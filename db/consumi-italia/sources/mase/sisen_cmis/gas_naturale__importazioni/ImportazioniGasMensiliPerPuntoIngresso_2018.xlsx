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20490" windowHeight="7755" tabRatio="634"/>
  </bookViews>
  <sheets>
    <sheet name="PUNTO D'INGRESSO" sheetId="6" r:id="rId1"/>
  </sheets>
  <calcPr calcId="125725"/>
</workbook>
</file>

<file path=xl/calcChain.xml><?xml version="1.0" encoding="utf-8"?>
<calcChain xmlns="http://schemas.openxmlformats.org/spreadsheetml/2006/main">
  <c r="N12" i="6"/>
  <c r="N14"/>
  <c r="N7"/>
  <c r="M17"/>
  <c r="N16"/>
  <c r="L17"/>
  <c r="K17"/>
  <c r="J17"/>
  <c r="I17"/>
  <c r="H17"/>
  <c r="G17"/>
  <c r="F17"/>
  <c r="E17"/>
  <c r="D17"/>
  <c r="C17"/>
  <c r="B17"/>
  <c r="N11"/>
  <c r="N10"/>
  <c r="N13"/>
  <c r="N9"/>
  <c r="N8"/>
  <c r="N6"/>
  <c r="N5"/>
  <c r="N15" l="1"/>
  <c r="N17" s="1"/>
  <c r="O16" s="1"/>
  <c r="O12" l="1"/>
  <c r="O14"/>
  <c r="O8"/>
  <c r="O5"/>
  <c r="O7"/>
  <c r="O6"/>
  <c r="O17"/>
  <c r="O13"/>
  <c r="O9"/>
  <c r="O11"/>
  <c r="O10"/>
  <c r="O15"/>
</calcChain>
</file>

<file path=xl/sharedStrings.xml><?xml version="1.0" encoding="utf-8"?>
<sst xmlns="http://schemas.openxmlformats.org/spreadsheetml/2006/main" count="30" uniqueCount="30">
  <si>
    <t>MESE</t>
  </si>
  <si>
    <t>Totale complessivo</t>
  </si>
  <si>
    <t>GELA</t>
  </si>
  <si>
    <t>MAZARA DEL VALLO</t>
  </si>
  <si>
    <t>PANIGAGLIA</t>
  </si>
  <si>
    <t>PASSO GRIES</t>
  </si>
  <si>
    <t>TARVISIO</t>
  </si>
  <si>
    <t>Gennaio</t>
  </si>
  <si>
    <t>Febbraio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</si>
  <si>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</si>
  <si>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</si>
  <si>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</si>
  <si>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</si>
  <si>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</si>
  <si>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</si>
  <si>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</si>
  <si>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</si>
  <si>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</si>
  <si>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</si>
  <si>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Peso %</t>
  </si>
  <si>
    <t>FALCONARA</t>
  </si>
  <si>
    <t>CASALBORSETTI</t>
  </si>
  <si>
    <t>VENTIMIGLIA</t>
  </si>
  <si>
    <t>ROVIGO - CAVARZERE</t>
  </si>
  <si>
    <t>OLT LIVORNO</t>
  </si>
  <si>
    <t>GORIZIA</t>
  </si>
  <si>
    <t>CAGLIARI</t>
  </si>
  <si>
    <t>Totale 2017</t>
  </si>
  <si>
    <t>IMPORTAZIONI DI GAS NATURALE PER PUNTO D'INGRESSO* - ANNO 2018 - Miliardi di standard metri cubi a 38,1 MJ/m3</t>
  </si>
  <si>
    <t>Fonte: Ministero dello Sviluppo Economico - DGSAIE</t>
  </si>
</sst>
</file>

<file path=xl/styles.xml><?xml version="1.0" encoding="utf-8"?>
<styleSheet xmlns="http://schemas.openxmlformats.org/spreadsheetml/2006/main">
  <numFmts count="3">
    <numFmt numFmtId="41" formatCode="_-* #,##0_-;\-* #,##0_-;_-* &quot;-&quot;_-;_-@_-"/>
    <numFmt numFmtId="164" formatCode="_-* #,##0_-;\-* #,##0_-;_-* &quot;-&quot;??_-;_-@_-"/>
    <numFmt numFmtId="165" formatCode="0.0%"/>
  </numFmts>
  <fonts count="6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Fill="1"/>
    <xf numFmtId="0" fontId="0" fillId="0" borderId="0" xfId="0" applyFill="1" applyBorder="1"/>
    <xf numFmtId="41" fontId="0" fillId="0" borderId="0" xfId="0" applyNumberFormat="1"/>
    <xf numFmtId="0" fontId="0" fillId="0" borderId="0" xfId="0" applyFill="1" applyBorder="1" applyAlignment="1">
      <alignment vertical="center"/>
    </xf>
    <xf numFmtId="164" fontId="0" fillId="0" borderId="0" xfId="0" applyNumberFormat="1"/>
    <xf numFmtId="165" fontId="0" fillId="0" borderId="3" xfId="0" applyNumberFormat="1" applyBorder="1"/>
    <xf numFmtId="9" fontId="0" fillId="0" borderId="0" xfId="1" applyFont="1"/>
    <xf numFmtId="3" fontId="0" fillId="0" borderId="4" xfId="0" applyNumberFormat="1" applyFill="1" applyBorder="1"/>
    <xf numFmtId="3" fontId="0" fillId="0" borderId="5" xfId="0" applyNumberFormat="1" applyFill="1" applyBorder="1"/>
    <xf numFmtId="3" fontId="0" fillId="0" borderId="7" xfId="0" applyNumberFormat="1" applyFill="1" applyBorder="1"/>
    <xf numFmtId="3" fontId="0" fillId="0" borderId="0" xfId="0" applyNumberFormat="1" applyFill="1"/>
    <xf numFmtId="3" fontId="1" fillId="0" borderId="0" xfId="0" applyNumberFormat="1" applyFont="1" applyFill="1"/>
    <xf numFmtId="3" fontId="5" fillId="0" borderId="0" xfId="0" applyNumberFormat="1" applyFont="1" applyFill="1"/>
    <xf numFmtId="3" fontId="3" fillId="0" borderId="6" xfId="0" applyNumberFormat="1" applyFont="1" applyFill="1" applyBorder="1"/>
    <xf numFmtId="3" fontId="3" fillId="0" borderId="8" xfId="0" applyNumberFormat="1" applyFont="1" applyFill="1" applyBorder="1"/>
    <xf numFmtId="3" fontId="3" fillId="0" borderId="11" xfId="0" applyNumberFormat="1" applyFont="1" applyBorder="1"/>
    <xf numFmtId="3" fontId="3" fillId="0" borderId="9" xfId="0" applyNumberFormat="1" applyFont="1" applyBorder="1"/>
    <xf numFmtId="3" fontId="3" fillId="0" borderId="10" xfId="0" applyNumberFormat="1" applyFont="1" applyBorder="1"/>
    <xf numFmtId="0" fontId="3" fillId="0" borderId="4" xfId="0" applyFont="1" applyFill="1" applyBorder="1"/>
    <xf numFmtId="0" fontId="3" fillId="0" borderId="7" xfId="0" applyFont="1" applyFill="1" applyBorder="1"/>
    <xf numFmtId="0" fontId="3" fillId="0" borderId="9" xfId="0" applyFont="1" applyBorder="1"/>
    <xf numFmtId="3" fontId="1" fillId="0" borderId="8" xfId="0" applyNumberFormat="1" applyFont="1" applyFill="1" applyBorder="1"/>
    <xf numFmtId="3" fontId="1" fillId="0" borderId="0" xfId="0" applyNumberFormat="1" applyFont="1" applyFill="1" applyBorder="1"/>
    <xf numFmtId="0" fontId="1" fillId="0" borderId="1" xfId="0" applyFont="1" applyBorder="1"/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2">
    <cellStyle name="Normale" xfId="0" builtinId="0"/>
    <cellStyle name="Percentual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7"/>
  <sheetViews>
    <sheetView tabSelected="1" zoomScale="190" zoomScaleNormal="190" workbookViewId="0">
      <pane xSplit="21120" topLeftCell="O1"/>
      <selection activeCell="A18" sqref="A18"/>
      <selection pane="topRight" activeCell="O1" sqref="O1"/>
    </sheetView>
  </sheetViews>
  <sheetFormatPr defaultRowHeight="12.75"/>
  <cols>
    <col min="1" max="1" width="25.140625" customWidth="1"/>
    <col min="2" max="2" width="16" customWidth="1"/>
    <col min="3" max="3" width="17.28515625" customWidth="1"/>
    <col min="4" max="4" width="16.5703125" customWidth="1"/>
    <col min="5" max="5" width="15.85546875" customWidth="1"/>
    <col min="6" max="6" width="14.5703125" customWidth="1"/>
    <col min="7" max="7" width="13.85546875" customWidth="1"/>
    <col min="8" max="8" width="11.85546875" customWidth="1"/>
    <col min="9" max="9" width="12.42578125" customWidth="1"/>
    <col min="10" max="10" width="11.85546875" customWidth="1"/>
    <col min="11" max="11" width="11.28515625" customWidth="1"/>
    <col min="12" max="12" width="11.42578125" customWidth="1"/>
    <col min="13" max="13" width="12.42578125" customWidth="1"/>
    <col min="14" max="14" width="13.7109375" customWidth="1"/>
    <col min="18" max="18" width="17.5703125" customWidth="1"/>
    <col min="19" max="19" width="21.42578125" customWidth="1"/>
  </cols>
  <sheetData>
    <row r="1" spans="1:15" ht="13.5" thickBot="1"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5" ht="15.75">
      <c r="A2" s="28" t="s">
        <v>28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30"/>
    </row>
    <row r="3" spans="1:15">
      <c r="A3" s="2"/>
      <c r="B3" s="31" t="s">
        <v>0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2"/>
      <c r="O3" s="33"/>
    </row>
    <row r="4" spans="1:15">
      <c r="A4" s="2"/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  <c r="H4" s="1" t="s">
        <v>13</v>
      </c>
      <c r="I4" s="1" t="s">
        <v>14</v>
      </c>
      <c r="J4" s="1" t="s">
        <v>15</v>
      </c>
      <c r="K4" s="1" t="s">
        <v>16</v>
      </c>
      <c r="L4" s="1" t="s">
        <v>17</v>
      </c>
      <c r="M4" s="1" t="s">
        <v>18</v>
      </c>
      <c r="N4" s="27" t="s">
        <v>27</v>
      </c>
      <c r="O4" s="3" t="s">
        <v>19</v>
      </c>
    </row>
    <row r="5" spans="1:15">
      <c r="A5" s="22" t="s">
        <v>6</v>
      </c>
      <c r="B5" s="11">
        <v>1678.8</v>
      </c>
      <c r="C5" s="12">
        <v>2643.7</v>
      </c>
      <c r="D5" s="12">
        <v>2714.7</v>
      </c>
      <c r="E5" s="12">
        <v>3157.2</v>
      </c>
      <c r="F5" s="12">
        <v>2956.7</v>
      </c>
      <c r="G5" s="12">
        <v>2627</v>
      </c>
      <c r="H5" s="12">
        <v>2959.5</v>
      </c>
      <c r="I5" s="12">
        <v>2819.9</v>
      </c>
      <c r="J5" s="12">
        <v>2453.3000000000002</v>
      </c>
      <c r="K5" s="12">
        <v>1290.3</v>
      </c>
      <c r="L5" s="12">
        <v>1855.4</v>
      </c>
      <c r="M5" s="12">
        <v>2503.8000000000002</v>
      </c>
      <c r="N5" s="17">
        <f t="shared" ref="N5:N11" si="0">SUM(B5:M5)</f>
        <v>29660.3</v>
      </c>
      <c r="O5" s="9">
        <f t="shared" ref="O5:O17" si="1">N5/$N$17</f>
        <v>0.43698802494018368</v>
      </c>
    </row>
    <row r="6" spans="1:15">
      <c r="A6" s="23" t="s">
        <v>3</v>
      </c>
      <c r="B6" s="13">
        <v>2103.4</v>
      </c>
      <c r="C6" s="14">
        <v>1949</v>
      </c>
      <c r="D6" s="14">
        <v>2100.3000000000002</v>
      </c>
      <c r="E6" s="14">
        <v>1160</v>
      </c>
      <c r="F6" s="14">
        <v>922.9</v>
      </c>
      <c r="G6" s="14">
        <v>1051.8</v>
      </c>
      <c r="H6" s="14">
        <v>1112.5999999999999</v>
      </c>
      <c r="I6" s="14">
        <v>842.2</v>
      </c>
      <c r="J6" s="14">
        <v>965.3</v>
      </c>
      <c r="K6" s="14">
        <v>1672.7</v>
      </c>
      <c r="L6" s="14">
        <v>1564.5</v>
      </c>
      <c r="M6" s="14">
        <v>1649.6</v>
      </c>
      <c r="N6" s="18">
        <f t="shared" si="0"/>
        <v>17094.3</v>
      </c>
      <c r="O6" s="9">
        <f t="shared" si="1"/>
        <v>0.25185195007248684</v>
      </c>
    </row>
    <row r="7" spans="1:15">
      <c r="A7" s="23" t="s">
        <v>5</v>
      </c>
      <c r="B7" s="13">
        <v>693.9</v>
      </c>
      <c r="C7" s="14">
        <v>405.6</v>
      </c>
      <c r="D7" s="14">
        <v>266.60000000000002</v>
      </c>
      <c r="E7" s="14">
        <v>957.4</v>
      </c>
      <c r="F7" s="14">
        <v>1275.7</v>
      </c>
      <c r="G7" s="14">
        <v>1036.5</v>
      </c>
      <c r="H7" s="14">
        <v>795</v>
      </c>
      <c r="I7" s="14">
        <v>507.3</v>
      </c>
      <c r="J7" s="14">
        <v>822.4</v>
      </c>
      <c r="K7" s="14">
        <v>523.29999999999995</v>
      </c>
      <c r="L7" s="14">
        <v>72</v>
      </c>
      <c r="M7" s="14">
        <v>426.5</v>
      </c>
      <c r="N7" s="18">
        <f t="shared" si="0"/>
        <v>7782.2</v>
      </c>
      <c r="O7" s="9">
        <f t="shared" si="1"/>
        <v>0.11465589382742242</v>
      </c>
    </row>
    <row r="8" spans="1:15">
      <c r="A8" s="23" t="s">
        <v>23</v>
      </c>
      <c r="B8" s="13">
        <v>544.20000000000005</v>
      </c>
      <c r="C8" s="14">
        <v>355.2</v>
      </c>
      <c r="D8" s="14">
        <v>703.4</v>
      </c>
      <c r="E8" s="14">
        <v>509.3</v>
      </c>
      <c r="F8" s="14">
        <v>573.29999999999995</v>
      </c>
      <c r="G8" s="14">
        <v>474.4</v>
      </c>
      <c r="H8" s="14">
        <v>616.4</v>
      </c>
      <c r="I8" s="14">
        <v>447.7</v>
      </c>
      <c r="J8" s="14">
        <v>620.79999999999995</v>
      </c>
      <c r="K8" s="14">
        <v>533.4</v>
      </c>
      <c r="L8" s="14">
        <v>672.3</v>
      </c>
      <c r="M8" s="14">
        <v>620.4</v>
      </c>
      <c r="N8" s="18">
        <f t="shared" si="0"/>
        <v>6670.8</v>
      </c>
      <c r="O8" s="9">
        <f t="shared" si="1"/>
        <v>9.8281531770446601E-2</v>
      </c>
    </row>
    <row r="9" spans="1:15">
      <c r="A9" s="23" t="s">
        <v>2</v>
      </c>
      <c r="B9" s="13">
        <v>314</v>
      </c>
      <c r="C9" s="14">
        <v>343.3</v>
      </c>
      <c r="D9" s="14">
        <v>491.6</v>
      </c>
      <c r="E9" s="14">
        <v>13.7</v>
      </c>
      <c r="F9" s="14">
        <v>218.9</v>
      </c>
      <c r="G9" s="14">
        <v>390.3</v>
      </c>
      <c r="H9" s="14">
        <v>387.1</v>
      </c>
      <c r="I9" s="14">
        <v>396.6</v>
      </c>
      <c r="J9" s="14">
        <v>508.7</v>
      </c>
      <c r="K9" s="14">
        <v>530.6</v>
      </c>
      <c r="L9" s="14">
        <v>455.1</v>
      </c>
      <c r="M9" s="14">
        <v>416.5</v>
      </c>
      <c r="N9" s="18">
        <f t="shared" si="0"/>
        <v>4466.3999999999996</v>
      </c>
      <c r="O9" s="9">
        <f t="shared" si="1"/>
        <v>6.5803896609030799E-2</v>
      </c>
    </row>
    <row r="10" spans="1:15">
      <c r="A10" s="23" t="s">
        <v>24</v>
      </c>
      <c r="B10" s="13">
        <v>0</v>
      </c>
      <c r="C10" s="14">
        <v>0</v>
      </c>
      <c r="D10" s="14">
        <v>57.9</v>
      </c>
      <c r="E10" s="14">
        <v>0</v>
      </c>
      <c r="F10" s="15">
        <v>88.1</v>
      </c>
      <c r="G10" s="14">
        <v>0</v>
      </c>
      <c r="H10" s="14">
        <v>0</v>
      </c>
      <c r="I10" s="14">
        <v>0</v>
      </c>
      <c r="J10" s="14">
        <v>0</v>
      </c>
      <c r="K10" s="14">
        <v>238.8</v>
      </c>
      <c r="L10" s="14">
        <v>430.5</v>
      </c>
      <c r="M10" s="14">
        <v>370.6</v>
      </c>
      <c r="N10" s="18">
        <f t="shared" si="0"/>
        <v>1185.9000000000001</v>
      </c>
      <c r="O10" s="9">
        <f t="shared" si="1"/>
        <v>1.7471977652841131E-2</v>
      </c>
    </row>
    <row r="11" spans="1:15">
      <c r="A11" s="23" t="s">
        <v>4</v>
      </c>
      <c r="B11" s="13">
        <v>0.4</v>
      </c>
      <c r="C11" s="14">
        <v>0.3</v>
      </c>
      <c r="D11" s="14">
        <v>36.799999999999997</v>
      </c>
      <c r="E11" s="14">
        <v>75.900000000000006</v>
      </c>
      <c r="F11" s="14">
        <v>179.5</v>
      </c>
      <c r="G11" s="14">
        <v>81.400000000000006</v>
      </c>
      <c r="H11" s="14">
        <v>88.7</v>
      </c>
      <c r="I11" s="14">
        <v>83.5</v>
      </c>
      <c r="J11" s="14">
        <v>84.1</v>
      </c>
      <c r="K11" s="14">
        <v>84</v>
      </c>
      <c r="L11" s="16">
        <v>77.2</v>
      </c>
      <c r="M11" s="14">
        <v>91.2</v>
      </c>
      <c r="N11" s="18">
        <f t="shared" si="0"/>
        <v>883.00000000000011</v>
      </c>
      <c r="O11" s="9">
        <f t="shared" si="1"/>
        <v>1.3009323102671997E-2</v>
      </c>
    </row>
    <row r="12" spans="1:15">
      <c r="A12" s="23" t="s">
        <v>21</v>
      </c>
      <c r="B12" s="13">
        <v>6.4</v>
      </c>
      <c r="C12" s="14">
        <v>5.5</v>
      </c>
      <c r="D12" s="14">
        <v>6.8</v>
      </c>
      <c r="E12" s="15">
        <v>6.2</v>
      </c>
      <c r="F12" s="15">
        <v>5.8</v>
      </c>
      <c r="G12" s="14">
        <v>4.7</v>
      </c>
      <c r="H12" s="14">
        <v>4.4000000000000004</v>
      </c>
      <c r="I12" s="14">
        <v>2</v>
      </c>
      <c r="J12" s="14">
        <v>1.5</v>
      </c>
      <c r="K12" s="14">
        <v>7.6</v>
      </c>
      <c r="L12" s="14">
        <v>1.3</v>
      </c>
      <c r="M12" s="14">
        <v>0</v>
      </c>
      <c r="N12" s="18">
        <f>SUM(B12:M12)</f>
        <v>52.199999999999996</v>
      </c>
      <c r="O12" s="9">
        <f t="shared" si="1"/>
        <v>7.6906757186803862E-4</v>
      </c>
    </row>
    <row r="13" spans="1:15">
      <c r="A13" s="23" t="s">
        <v>20</v>
      </c>
      <c r="B13" s="13">
        <v>4.8</v>
      </c>
      <c r="C13" s="14">
        <v>4.3</v>
      </c>
      <c r="D13" s="14">
        <v>4.5999999999999996</v>
      </c>
      <c r="E13" s="16">
        <v>4.5</v>
      </c>
      <c r="F13" s="15">
        <v>4.7</v>
      </c>
      <c r="G13" s="14">
        <v>4.4000000000000004</v>
      </c>
      <c r="H13" s="14">
        <v>4.5999999999999996</v>
      </c>
      <c r="I13" s="14">
        <v>4.2</v>
      </c>
      <c r="J13" s="14">
        <v>4.2</v>
      </c>
      <c r="K13" s="14">
        <v>4.2</v>
      </c>
      <c r="L13" s="14">
        <v>4</v>
      </c>
      <c r="M13" s="14">
        <v>4</v>
      </c>
      <c r="N13" s="18">
        <f>SUM(B13:M13)</f>
        <v>52.500000000000007</v>
      </c>
      <c r="O13" s="9">
        <f t="shared" si="1"/>
        <v>7.7348750044199308E-4</v>
      </c>
    </row>
    <row r="14" spans="1:15">
      <c r="A14" s="23" t="s">
        <v>25</v>
      </c>
      <c r="B14" s="13">
        <v>0</v>
      </c>
      <c r="C14" s="14">
        <v>8.8000000000000007</v>
      </c>
      <c r="D14" s="14">
        <v>6.6</v>
      </c>
      <c r="E14" s="14">
        <v>4.4000000000000004</v>
      </c>
      <c r="F14" s="15">
        <v>1.1000000000000001</v>
      </c>
      <c r="G14" s="14">
        <v>0.1</v>
      </c>
      <c r="H14" s="14">
        <v>0.1</v>
      </c>
      <c r="I14" s="14">
        <v>1.5</v>
      </c>
      <c r="J14" s="14">
        <v>0.1</v>
      </c>
      <c r="K14" s="14">
        <v>0.5</v>
      </c>
      <c r="L14" s="14">
        <v>0</v>
      </c>
      <c r="M14" s="14">
        <v>1.5</v>
      </c>
      <c r="N14" s="18">
        <f>SUM(B14:M14)</f>
        <v>24.700000000000006</v>
      </c>
      <c r="O14" s="9">
        <f t="shared" si="1"/>
        <v>3.6390745258889964E-4</v>
      </c>
    </row>
    <row r="15" spans="1:15">
      <c r="A15" s="23" t="s">
        <v>22</v>
      </c>
      <c r="B15" s="13">
        <v>0.3</v>
      </c>
      <c r="C15" s="14">
        <v>0.3</v>
      </c>
      <c r="D15" s="14">
        <v>0.3</v>
      </c>
      <c r="E15" s="14">
        <v>0.4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25">
        <v>0</v>
      </c>
      <c r="N15" s="18">
        <f t="shared" ref="N15:N16" si="2">SUM(B15:M15)</f>
        <v>1.2999999999999998</v>
      </c>
      <c r="O15" s="9">
        <f t="shared" si="1"/>
        <v>1.9153023820468392E-5</v>
      </c>
    </row>
    <row r="16" spans="1:15">
      <c r="A16" s="23" t="s">
        <v>26</v>
      </c>
      <c r="B16" s="13">
        <v>0.2</v>
      </c>
      <c r="C16" s="14">
        <v>0.2</v>
      </c>
      <c r="D16" s="14">
        <v>0.2</v>
      </c>
      <c r="E16" s="14">
        <v>0.2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26">
        <v>0</v>
      </c>
      <c r="N16" s="18">
        <f t="shared" si="2"/>
        <v>0.8</v>
      </c>
      <c r="O16" s="9">
        <f t="shared" si="1"/>
        <v>1.1786476197211321E-5</v>
      </c>
    </row>
    <row r="17" spans="1:15">
      <c r="A17" s="24" t="s">
        <v>1</v>
      </c>
      <c r="B17" s="20">
        <f t="shared" ref="B17:N17" si="3">SUM(B5:B16)</f>
        <v>5346.3999999999987</v>
      </c>
      <c r="C17" s="21">
        <f t="shared" si="3"/>
        <v>5716.2000000000007</v>
      </c>
      <c r="D17" s="21">
        <f t="shared" si="3"/>
        <v>6389.8000000000011</v>
      </c>
      <c r="E17" s="21">
        <f t="shared" si="3"/>
        <v>5889.199999999998</v>
      </c>
      <c r="F17" s="21">
        <f t="shared" si="3"/>
        <v>6226.7000000000007</v>
      </c>
      <c r="G17" s="21">
        <f t="shared" si="3"/>
        <v>5670.5999999999995</v>
      </c>
      <c r="H17" s="21">
        <f t="shared" si="3"/>
        <v>5968.4000000000005</v>
      </c>
      <c r="I17" s="21">
        <f t="shared" si="3"/>
        <v>5104.9000000000005</v>
      </c>
      <c r="J17" s="21">
        <f t="shared" si="3"/>
        <v>5460.4000000000005</v>
      </c>
      <c r="K17" s="21">
        <f t="shared" si="3"/>
        <v>4885.4000000000005</v>
      </c>
      <c r="L17" s="21">
        <f t="shared" si="3"/>
        <v>5132.3</v>
      </c>
      <c r="M17" s="21">
        <f t="shared" si="3"/>
        <v>6084.0999999999995</v>
      </c>
      <c r="N17" s="19">
        <f t="shared" si="3"/>
        <v>67874.399999999994</v>
      </c>
      <c r="O17" s="9">
        <f t="shared" si="1"/>
        <v>1</v>
      </c>
    </row>
    <row r="18" spans="1:15">
      <c r="A18" s="7" t="s">
        <v>29</v>
      </c>
      <c r="B18" s="10"/>
    </row>
    <row r="19" spans="1:15">
      <c r="A19" s="5"/>
    </row>
    <row r="20" spans="1:15">
      <c r="A20" s="5"/>
    </row>
    <row r="22" spans="1:15">
      <c r="H22" s="4"/>
      <c r="I22" s="4"/>
      <c r="J22" s="4"/>
      <c r="K22" s="4"/>
      <c r="L22" s="4"/>
    </row>
    <row r="27" spans="1:15">
      <c r="B27" s="6"/>
      <c r="C27" s="6"/>
      <c r="D27" s="6"/>
      <c r="E27" s="6"/>
      <c r="F27" s="6"/>
      <c r="G27" s="6"/>
      <c r="H27" s="6"/>
      <c r="I27" s="6"/>
      <c r="J27" s="6"/>
      <c r="K27" s="6"/>
    </row>
  </sheetData>
  <mergeCells count="3">
    <mergeCell ref="A2:O2"/>
    <mergeCell ref="B3:M3"/>
    <mergeCell ref="N3:O3"/>
  </mergeCells>
  <phoneticPr fontId="2" type="noConversion"/>
  <pageMargins left="0.74803149606299213" right="0.43307086614173229" top="0.98425196850393704" bottom="0.62992125984251968" header="0.51181102362204722" footer="0.51181102362204722"/>
  <pageSetup paperSize="9" scale="6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PUNTO D'INGRESSO</vt:lpstr>
    </vt:vector>
  </TitlesOfParts>
  <Company>map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rossella.marcotulli</cp:lastModifiedBy>
  <cp:lastPrinted>2018-08-07T08:56:04Z</cp:lastPrinted>
  <dcterms:created xsi:type="dcterms:W3CDTF">2005-10-03T10:50:13Z</dcterms:created>
  <dcterms:modified xsi:type="dcterms:W3CDTF">2019-11-12T15:29:08Z</dcterms:modified>
</cp:coreProperties>
</file>