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tullirsl\Desktop\"/>
    </mc:Choice>
  </mc:AlternateContent>
  <xr:revisionPtr revIDLastSave="0" documentId="13_ncr:1_{14542134-2A63-4B55-AC44-FBFD1AB20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N18" i="1"/>
  <c r="L19" i="1"/>
  <c r="K19" i="1"/>
  <c r="J19" i="1"/>
  <c r="I19" i="1"/>
  <c r="H19" i="1"/>
  <c r="G19" i="1"/>
  <c r="F19" i="1"/>
  <c r="E19" i="1"/>
  <c r="D19" i="1"/>
  <c r="C19" i="1"/>
  <c r="B19" i="1"/>
  <c r="N17" i="1"/>
  <c r="N16" i="1"/>
  <c r="N7" i="1" l="1"/>
  <c r="N11" i="1"/>
  <c r="N8" i="1" l="1"/>
  <c r="N9" i="1"/>
  <c r="N10" i="1"/>
  <c r="N14" i="1"/>
  <c r="N13" i="1"/>
  <c r="N12" i="1"/>
  <c r="N15" i="1"/>
  <c r="N6" i="1"/>
  <c r="N19" i="1" l="1"/>
  <c r="O17" i="1" l="1"/>
  <c r="O18" i="1"/>
  <c r="O7" i="1"/>
  <c r="O16" i="1"/>
  <c r="O11" i="1"/>
  <c r="O10" i="1"/>
  <c r="O19" i="1"/>
  <c r="O8" i="1"/>
  <c r="O14" i="1"/>
  <c r="O15" i="1"/>
  <c r="O9" i="1"/>
  <c r="O13" i="1"/>
  <c r="O12" i="1"/>
  <c r="O6" i="1"/>
</calcChain>
</file>

<file path=xl/sharedStrings.xml><?xml version="1.0" encoding="utf-8"?>
<sst xmlns="http://schemas.openxmlformats.org/spreadsheetml/2006/main" count="33" uniqueCount="33">
  <si>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</si>
  <si>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</si>
  <si>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</si>
  <si>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</si>
  <si>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</si>
  <si>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</si>
  <si>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</si>
  <si>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</si>
  <si>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</si>
  <si>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</si>
  <si>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</si>
  <si>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</si>
  <si>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</si>
  <si>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Peso %</t>
  </si>
  <si>
    <t>Totale complessivo</t>
  </si>
  <si>
    <t>TARVISIO</t>
  </si>
  <si>
    <t>PASSO GRIES - MASARA</t>
  </si>
  <si>
    <t>MAZARA DEL VALLO</t>
  </si>
  <si>
    <t>ROVIGO - CAVARZERE</t>
  </si>
  <si>
    <t>GELA</t>
  </si>
  <si>
    <t>OLT LIVORNO</t>
  </si>
  <si>
    <t>PANIGAGLIA</t>
  </si>
  <si>
    <t>FALCONARA</t>
  </si>
  <si>
    <t>GORIZIA</t>
  </si>
  <si>
    <t>FONTE: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</si>
  <si>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</si>
  <si>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Totale</t>
  </si>
  <si>
    <r>
      <t xml:space="preserve">IMPORTAZIONI DI GAS NATURALE PER PUNTO DI INGRESSO - ANNO 2024 - Volumi espressi in M Sm3; gas da 10,57275 </t>
    </r>
    <r>
      <rPr>
        <sz val="9"/>
        <rFont val="Arial"/>
        <family val="2"/>
      </rPr>
      <t>25-15</t>
    </r>
    <r>
      <rPr>
        <b/>
        <sz val="12"/>
        <rFont val="Arial"/>
        <family val="2"/>
      </rPr>
      <t xml:space="preserve">  kWh/Sm</t>
    </r>
    <r>
      <rPr>
        <b/>
        <vertAlign val="superscript"/>
        <sz val="10"/>
        <rFont val="Arial"/>
        <family val="2"/>
      </rPr>
      <t>3 (*)</t>
    </r>
  </si>
  <si>
    <t>MELEDUGNO</t>
  </si>
  <si>
    <t>PIOMBINO</t>
  </si>
  <si>
    <t>RAVENNA DEP COST</t>
  </si>
  <si>
    <t>ORISTANO</t>
  </si>
  <si>
    <t xml:space="preserve">Ministero della Transizione Ecologica  FTA DIV.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</si>
</sst>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,,,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Verdana"/>
      <family val="2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8" fillId="0" borderId="0" xfId="0" applyFont="1"/>
    <xf numFmtId="3" fontId="8" fillId="0" borderId="0" xfId="0" applyNumberFormat="1" applyFont="1"/>
    <xf numFmtId="3" fontId="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/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25"/>
  <sheetViews>
    <sheetView tabSelected="1" workbookViewId="0">
      <selection activeCell="N18" sqref="N18"/>
    </sheetView>
  </sheetViews>
  <sheetFormatPr defaultRowHeight="14.4" x14ac:dyDescent="0.3"/>
  <cols>
    <col min="1" max="1" width="21.33203125" customWidth="1"/>
    <col min="2" max="2" width="12.33203125" customWidth="1"/>
    <col min="3" max="3" width="14" customWidth="1"/>
    <col min="4" max="5" width="12" customWidth="1"/>
    <col min="6" max="6" width="12.33203125" customWidth="1"/>
    <col min="7" max="7" width="11.5546875" customWidth="1"/>
    <col min="8" max="9" width="11.6640625" customWidth="1"/>
    <col min="10" max="11" width="12.33203125" customWidth="1"/>
    <col min="12" max="12" width="11.88671875" customWidth="1"/>
    <col min="13" max="13" width="11.44140625" customWidth="1"/>
    <col min="14" max="14" width="10.44140625" customWidth="1"/>
    <col min="15" max="15" width="12.33203125" customWidth="1"/>
  </cols>
  <sheetData>
    <row r="3" spans="1:15" ht="15.6" x14ac:dyDescent="0.3">
      <c r="A3" s="11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3">
      <c r="A4" s="8"/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3"/>
    </row>
    <row r="5" spans="1:15" x14ac:dyDescent="0.3">
      <c r="A5" s="8"/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26</v>
      </c>
      <c r="O5" s="8" t="s">
        <v>13</v>
      </c>
    </row>
    <row r="6" spans="1:15" ht="15.6" x14ac:dyDescent="0.3">
      <c r="A6" s="6" t="s">
        <v>17</v>
      </c>
      <c r="B6" s="5">
        <v>1386.4</v>
      </c>
      <c r="C6" s="5">
        <v>1318.7</v>
      </c>
      <c r="D6" s="5">
        <v>1978.4</v>
      </c>
      <c r="E6" s="5">
        <v>2061.6999999999998</v>
      </c>
      <c r="F6" s="5">
        <v>1920.2</v>
      </c>
      <c r="G6" s="5">
        <v>1727.2</v>
      </c>
      <c r="H6" s="5">
        <v>1582</v>
      </c>
      <c r="I6" s="5">
        <v>1544.7</v>
      </c>
      <c r="J6" s="5">
        <v>1136.5999999999999</v>
      </c>
      <c r="K6" s="5">
        <v>1826.1</v>
      </c>
      <c r="L6" s="5">
        <v>1976.4</v>
      </c>
      <c r="M6" s="5">
        <v>2608.8000000000002</v>
      </c>
      <c r="N6" s="4">
        <f>SUM(B6:M6)</f>
        <v>21067.200000000001</v>
      </c>
      <c r="O6" s="7">
        <f t="shared" ref="O6:O19" si="0">N6/$N$19</f>
        <v>0.35524223084674561</v>
      </c>
    </row>
    <row r="7" spans="1:15" ht="15.6" x14ac:dyDescent="0.3">
      <c r="A7" s="6" t="s">
        <v>28</v>
      </c>
      <c r="B7" s="5">
        <v>835.3</v>
      </c>
      <c r="C7" s="5">
        <v>794.5</v>
      </c>
      <c r="D7" s="5">
        <v>839.1</v>
      </c>
      <c r="E7" s="5">
        <v>769.9</v>
      </c>
      <c r="F7" s="5">
        <v>844.1</v>
      </c>
      <c r="G7" s="5">
        <v>821.6</v>
      </c>
      <c r="H7" s="5">
        <v>860.5</v>
      </c>
      <c r="I7" s="5">
        <v>632.5</v>
      </c>
      <c r="J7" s="5">
        <v>768.4</v>
      </c>
      <c r="K7" s="5">
        <v>874.6</v>
      </c>
      <c r="L7" s="5">
        <v>858.6</v>
      </c>
      <c r="M7" s="5">
        <v>1416.1</v>
      </c>
      <c r="N7" s="4">
        <f t="shared" ref="N7" si="1">SUM(B7:M7)</f>
        <v>10315.200000000001</v>
      </c>
      <c r="O7" s="7">
        <f t="shared" si="0"/>
        <v>0.17393838097280845</v>
      </c>
    </row>
    <row r="8" spans="1:15" ht="15.6" x14ac:dyDescent="0.3">
      <c r="A8" s="6" t="s">
        <v>18</v>
      </c>
      <c r="B8" s="5">
        <v>743.1</v>
      </c>
      <c r="C8" s="5">
        <v>663.6</v>
      </c>
      <c r="D8" s="5">
        <v>745.6</v>
      </c>
      <c r="E8" s="5">
        <v>785.9</v>
      </c>
      <c r="F8" s="5">
        <v>826.7</v>
      </c>
      <c r="G8" s="5">
        <v>725</v>
      </c>
      <c r="H8" s="5">
        <v>730.8</v>
      </c>
      <c r="I8" s="5">
        <v>758.9</v>
      </c>
      <c r="J8" s="5">
        <v>750.1</v>
      </c>
      <c r="K8" s="5">
        <v>713.6</v>
      </c>
      <c r="L8" s="5">
        <v>699.4</v>
      </c>
      <c r="M8" s="5">
        <v>863.4</v>
      </c>
      <c r="N8" s="4">
        <f>SUM(B8:M8)</f>
        <v>9006.1</v>
      </c>
      <c r="O8" s="7">
        <f t="shared" si="0"/>
        <v>0.15186389530781857</v>
      </c>
    </row>
    <row r="9" spans="1:15" ht="15.6" x14ac:dyDescent="0.3">
      <c r="A9" s="6" t="s">
        <v>16</v>
      </c>
      <c r="B9" s="5">
        <v>540.29999999999995</v>
      </c>
      <c r="C9" s="5">
        <v>630.5</v>
      </c>
      <c r="D9" s="5">
        <v>645.1</v>
      </c>
      <c r="E9" s="5">
        <v>217.7</v>
      </c>
      <c r="F9" s="5">
        <v>477.2</v>
      </c>
      <c r="G9" s="5">
        <v>583</v>
      </c>
      <c r="H9" s="5">
        <v>474.7</v>
      </c>
      <c r="I9" s="5">
        <v>591.1</v>
      </c>
      <c r="J9" s="5">
        <v>601</v>
      </c>
      <c r="K9" s="5">
        <v>266.5</v>
      </c>
      <c r="L9" s="5">
        <v>335.9</v>
      </c>
      <c r="M9" s="5">
        <v>639.5</v>
      </c>
      <c r="N9" s="4">
        <f>SUM(B9:M9)</f>
        <v>6002.5</v>
      </c>
      <c r="O9" s="7">
        <f t="shared" si="0"/>
        <v>0.10121617921022207</v>
      </c>
    </row>
    <row r="10" spans="1:15" ht="15.6" x14ac:dyDescent="0.3">
      <c r="A10" s="6" t="s">
        <v>15</v>
      </c>
      <c r="B10" s="5">
        <v>234</v>
      </c>
      <c r="C10" s="5">
        <v>282.39999999999998</v>
      </c>
      <c r="D10" s="5">
        <v>688.2</v>
      </c>
      <c r="E10" s="5">
        <v>536.9</v>
      </c>
      <c r="F10" s="5">
        <v>471.7</v>
      </c>
      <c r="G10" s="5">
        <v>365.7</v>
      </c>
      <c r="H10" s="5">
        <v>652.5</v>
      </c>
      <c r="I10" s="5">
        <v>352.6</v>
      </c>
      <c r="J10" s="5">
        <v>745.7</v>
      </c>
      <c r="K10" s="5">
        <v>192.8</v>
      </c>
      <c r="L10" s="5">
        <v>166.1</v>
      </c>
      <c r="M10" s="5">
        <v>925.4</v>
      </c>
      <c r="N10" s="4">
        <f t="shared" ref="N10:N18" si="2">SUM(B10:M10)</f>
        <v>5614</v>
      </c>
      <c r="O10" s="7">
        <f t="shared" si="0"/>
        <v>9.4665161197198949E-2</v>
      </c>
    </row>
    <row r="11" spans="1:15" ht="15.6" x14ac:dyDescent="0.3">
      <c r="A11" s="6" t="s">
        <v>29</v>
      </c>
      <c r="B11" s="5">
        <v>146.6</v>
      </c>
      <c r="C11" s="5">
        <v>341.1</v>
      </c>
      <c r="D11" s="5">
        <v>321.60000000000002</v>
      </c>
      <c r="E11" s="5">
        <v>292</v>
      </c>
      <c r="F11" s="5">
        <v>259.2</v>
      </c>
      <c r="G11" s="5">
        <v>129.5</v>
      </c>
      <c r="H11" s="5">
        <v>266.5</v>
      </c>
      <c r="I11" s="5">
        <v>365.4</v>
      </c>
      <c r="J11" s="5">
        <v>269.10000000000002</v>
      </c>
      <c r="K11" s="5">
        <v>340.7</v>
      </c>
      <c r="L11" s="5">
        <v>296.5</v>
      </c>
      <c r="M11" s="5">
        <v>563.79999999999995</v>
      </c>
      <c r="N11" s="4">
        <f t="shared" si="2"/>
        <v>3592</v>
      </c>
      <c r="O11" s="7">
        <f t="shared" si="0"/>
        <v>6.0569515322468584E-2</v>
      </c>
    </row>
    <row r="12" spans="1:15" ht="15.6" x14ac:dyDescent="0.3">
      <c r="A12" s="6" t="s">
        <v>19</v>
      </c>
      <c r="B12" s="5">
        <v>162.80000000000001</v>
      </c>
      <c r="C12" s="5">
        <v>136.69999999999999</v>
      </c>
      <c r="D12" s="5">
        <v>169.9</v>
      </c>
      <c r="E12" s="5">
        <v>210.6</v>
      </c>
      <c r="F12" s="5">
        <v>139.19999999999999</v>
      </c>
      <c r="G12" s="5">
        <v>63.5</v>
      </c>
      <c r="H12" s="5">
        <v>65.7</v>
      </c>
      <c r="I12" s="5">
        <v>77.8</v>
      </c>
      <c r="J12" s="5">
        <v>63.8</v>
      </c>
      <c r="K12" s="5">
        <v>93.3</v>
      </c>
      <c r="L12" s="5">
        <v>135.1</v>
      </c>
      <c r="M12" s="5">
        <v>88</v>
      </c>
      <c r="N12" s="4">
        <f>SUM(B12:M12)</f>
        <v>1406.3999999999999</v>
      </c>
      <c r="O12" s="7">
        <f t="shared" si="0"/>
        <v>2.3715191077260524E-2</v>
      </c>
    </row>
    <row r="13" spans="1:15" ht="15.6" x14ac:dyDescent="0.3">
      <c r="A13" s="6" t="s">
        <v>20</v>
      </c>
      <c r="B13" s="5">
        <v>374.1</v>
      </c>
      <c r="C13" s="5">
        <v>168.3</v>
      </c>
      <c r="D13" s="5">
        <v>18.7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97.6</v>
      </c>
      <c r="M13" s="5">
        <v>452.3</v>
      </c>
      <c r="N13" s="4">
        <f>SUM(B13:M13)</f>
        <v>1111.0000000000002</v>
      </c>
      <c r="O13" s="7">
        <f t="shared" si="0"/>
        <v>1.8734056660151061E-2</v>
      </c>
    </row>
    <row r="14" spans="1:15" ht="15.6" x14ac:dyDescent="0.3">
      <c r="A14" s="6" t="s">
        <v>21</v>
      </c>
      <c r="B14" s="5">
        <v>113</v>
      </c>
      <c r="C14" s="5">
        <v>221.3</v>
      </c>
      <c r="D14" s="5">
        <v>126.1</v>
      </c>
      <c r="E14" s="5">
        <v>179.3</v>
      </c>
      <c r="F14" s="5">
        <v>128.80000000000001</v>
      </c>
      <c r="G14" s="5">
        <v>44.9</v>
      </c>
      <c r="H14" s="5">
        <v>119.9</v>
      </c>
      <c r="I14" s="5">
        <v>2</v>
      </c>
      <c r="J14" s="5">
        <v>0.7</v>
      </c>
      <c r="K14" s="5">
        <v>50.1</v>
      </c>
      <c r="L14" s="5">
        <v>0</v>
      </c>
      <c r="M14" s="5">
        <v>0</v>
      </c>
      <c r="N14" s="4">
        <f>SUM(B14:M14)</f>
        <v>986.1</v>
      </c>
      <c r="O14" s="7">
        <f t="shared" si="0"/>
        <v>1.6627950740391501E-2</v>
      </c>
    </row>
    <row r="15" spans="1:15" ht="15.6" x14ac:dyDescent="0.3">
      <c r="A15" s="9" t="s">
        <v>30</v>
      </c>
      <c r="B15" s="5">
        <v>14.9</v>
      </c>
      <c r="C15" s="5">
        <v>14.3</v>
      </c>
      <c r="D15" s="5">
        <v>11.5</v>
      </c>
      <c r="E15" s="5">
        <v>10.3</v>
      </c>
      <c r="F15" s="5">
        <v>15</v>
      </c>
      <c r="G15" s="5">
        <v>12.1</v>
      </c>
      <c r="H15" s="5">
        <v>11.8</v>
      </c>
      <c r="I15" s="5">
        <v>23.7</v>
      </c>
      <c r="J15" s="5">
        <v>5.2</v>
      </c>
      <c r="K15" s="5">
        <v>25.4</v>
      </c>
      <c r="L15" s="5">
        <v>15.4</v>
      </c>
      <c r="M15" s="5">
        <v>14.6</v>
      </c>
      <c r="N15" s="4">
        <f t="shared" si="2"/>
        <v>174.2</v>
      </c>
      <c r="O15" s="7">
        <f t="shared" si="0"/>
        <v>2.9374191450929916E-3</v>
      </c>
    </row>
    <row r="16" spans="1:15" ht="15.6" x14ac:dyDescent="0.3">
      <c r="A16" s="9" t="s">
        <v>22</v>
      </c>
      <c r="B16" s="5">
        <v>2.2999999999999998</v>
      </c>
      <c r="C16" s="5">
        <v>1.9</v>
      </c>
      <c r="D16" s="5">
        <v>2.1</v>
      </c>
      <c r="E16" s="5">
        <v>2.1</v>
      </c>
      <c r="F16" s="5">
        <v>2</v>
      </c>
      <c r="G16" s="5">
        <v>1.8</v>
      </c>
      <c r="H16" s="5">
        <v>1.7</v>
      </c>
      <c r="I16" s="5">
        <v>1.2</v>
      </c>
      <c r="J16" s="5">
        <v>1.2</v>
      </c>
      <c r="K16" s="5">
        <v>1.3</v>
      </c>
      <c r="L16" s="5">
        <v>1.2</v>
      </c>
      <c r="M16" s="5">
        <v>1.1000000000000001</v>
      </c>
      <c r="N16" s="4">
        <f t="shared" si="2"/>
        <v>19.899999999999999</v>
      </c>
      <c r="O16" s="7">
        <f t="shared" si="0"/>
        <v>3.3556051083438883E-4</v>
      </c>
    </row>
    <row r="17" spans="1:15" ht="15.6" x14ac:dyDescent="0.3">
      <c r="A17" s="9" t="s">
        <v>23</v>
      </c>
      <c r="B17" s="5">
        <v>0.2</v>
      </c>
      <c r="C17" s="5">
        <v>0.7</v>
      </c>
      <c r="D17" s="5">
        <v>0</v>
      </c>
      <c r="E17" s="5">
        <v>0.4</v>
      </c>
      <c r="F17" s="5">
        <v>0</v>
      </c>
      <c r="G17" s="5">
        <v>0.2</v>
      </c>
      <c r="H17" s="5">
        <v>3.6</v>
      </c>
      <c r="I17" s="5">
        <v>1.9</v>
      </c>
      <c r="J17" s="5">
        <v>0.9</v>
      </c>
      <c r="K17" s="5">
        <v>0.7</v>
      </c>
      <c r="L17" s="5">
        <v>0.1</v>
      </c>
      <c r="M17" s="5">
        <v>0.3</v>
      </c>
      <c r="N17" s="4">
        <f t="shared" si="2"/>
        <v>9</v>
      </c>
      <c r="O17" s="7">
        <f t="shared" si="0"/>
        <v>1.5176103505072864E-4</v>
      </c>
    </row>
    <row r="18" spans="1:15" ht="15.6" x14ac:dyDescent="0.3">
      <c r="A18" s="9" t="s">
        <v>31</v>
      </c>
      <c r="B18" s="5">
        <v>0.01</v>
      </c>
      <c r="C18" s="5">
        <v>0.01</v>
      </c>
      <c r="D18" s="5">
        <v>0.01</v>
      </c>
      <c r="E18" s="5">
        <v>0.01</v>
      </c>
      <c r="F18" s="5">
        <v>0.01</v>
      </c>
      <c r="G18" s="5">
        <v>0.01</v>
      </c>
      <c r="H18" s="5">
        <v>0.02</v>
      </c>
      <c r="I18" s="5">
        <v>0.01</v>
      </c>
      <c r="J18" s="5">
        <v>0.02</v>
      </c>
      <c r="K18" s="5">
        <v>0.02</v>
      </c>
      <c r="L18" s="5">
        <v>0.02</v>
      </c>
      <c r="M18" s="5">
        <v>0.01</v>
      </c>
      <c r="N18" s="4">
        <f t="shared" si="2"/>
        <v>0.16</v>
      </c>
      <c r="O18" s="7">
        <f t="shared" si="0"/>
        <v>2.697973956457398E-6</v>
      </c>
    </row>
    <row r="19" spans="1:15" s="1" customFormat="1" ht="15.6" x14ac:dyDescent="0.3">
      <c r="A19" s="6" t="s">
        <v>14</v>
      </c>
      <c r="B19" s="10">
        <f t="shared" ref="B19:M19" si="3">SUM(B6:B18)</f>
        <v>4553.0099999999993</v>
      </c>
      <c r="C19" s="10">
        <f t="shared" si="3"/>
        <v>4574.01</v>
      </c>
      <c r="D19" s="10">
        <f t="shared" si="3"/>
        <v>5546.31</v>
      </c>
      <c r="E19" s="10">
        <f t="shared" si="3"/>
        <v>5066.8100000000004</v>
      </c>
      <c r="F19" s="10">
        <f t="shared" si="3"/>
        <v>5084.1099999999997</v>
      </c>
      <c r="G19" s="10">
        <f t="shared" si="3"/>
        <v>4474.51</v>
      </c>
      <c r="H19" s="10">
        <f t="shared" si="3"/>
        <v>4769.72</v>
      </c>
      <c r="I19" s="10">
        <f t="shared" si="3"/>
        <v>4351.8099999999995</v>
      </c>
      <c r="J19" s="10">
        <f t="shared" si="3"/>
        <v>4342.72</v>
      </c>
      <c r="K19" s="10">
        <f t="shared" si="3"/>
        <v>4385.1200000000008</v>
      </c>
      <c r="L19" s="10">
        <f t="shared" si="3"/>
        <v>4582.3200000000006</v>
      </c>
      <c r="M19" s="10">
        <f t="shared" si="3"/>
        <v>7573.3100000000013</v>
      </c>
      <c r="N19" s="4">
        <f>SUM(B19:M19)</f>
        <v>59303.760000000009</v>
      </c>
      <c r="O19" s="7">
        <f t="shared" si="0"/>
        <v>1</v>
      </c>
    </row>
    <row r="21" spans="1:15" s="2" customFormat="1" ht="18.75" customHeight="1" x14ac:dyDescent="0.35">
      <c r="A21" s="2" t="s">
        <v>24</v>
      </c>
      <c r="B21" s="16" t="s">
        <v>32</v>
      </c>
      <c r="C21" s="17"/>
      <c r="D21" s="17"/>
      <c r="E21" s="17"/>
      <c r="F21" s="17"/>
      <c r="G21" s="17"/>
      <c r="N21" s="3"/>
    </row>
    <row r="24" spans="1:15" x14ac:dyDescent="0.3">
      <c r="A24" s="14" t="s">
        <v>25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</sheetData>
  <mergeCells count="5">
    <mergeCell ref="A3:O3"/>
    <mergeCell ref="B4:M4"/>
    <mergeCell ref="N4:O4"/>
    <mergeCell ref="A24:O25"/>
    <mergeCell ref="B21:G21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Marcotulli</dc:creator>
  <cp:lastModifiedBy>Marcotulli Rossella</cp:lastModifiedBy>
  <cp:lastPrinted>2018-08-07T08:10:11Z</cp:lastPrinted>
  <dcterms:created xsi:type="dcterms:W3CDTF">2015-08-03T12:11:17Z</dcterms:created>
  <dcterms:modified xsi:type="dcterms:W3CDTF">2026-04-01T08:06:06Z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105bb57f-34db-48c5-8986-c951e542a0fc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2026-01-19T09:23:21Z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3360e6c0-3c83-4d14-aed8-f68edb8a549d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