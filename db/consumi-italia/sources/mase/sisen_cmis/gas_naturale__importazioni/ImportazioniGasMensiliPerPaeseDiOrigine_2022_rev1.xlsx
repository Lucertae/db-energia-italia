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t.it\MATTMFS\vdiprofiles$\marcotullirsl\Desktop\IMP 2022 DATI PETRICCA\"/>
    </mc:Choice>
  </mc:AlternateContent>
  <xr:revisionPtr revIDLastSave="0" documentId="8_{D44ABA50-9C0D-4011-8E51-CEF5CB26A1F4}" xr6:coauthVersionLast="47" xr6:coauthVersionMax="47" xr10:uidLastSave="{00000000-0000-0000-0000-000000000000}"/>
  <bookViews>
    <workbookView xWindow="-120" yWindow="-120" windowWidth="23160" windowHeight="10260" activeTab="1" xr2:uid="{00000000-000D-0000-FFFF-FFFF00000000}"/>
  </bookViews>
  <sheets>
    <sheet name="Foglio1" sheetId="1" r:id="rId1"/>
    <sheet name="Foglio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5" l="1"/>
  <c r="I22" i="5" s="1"/>
  <c r="H15" i="5"/>
  <c r="N15" i="5" s="1"/>
  <c r="M22" i="5"/>
  <c r="L22" i="5"/>
  <c r="K22" i="5"/>
  <c r="J22" i="5"/>
  <c r="G22" i="5"/>
  <c r="F22" i="5"/>
  <c r="E22" i="5"/>
  <c r="D22" i="5"/>
  <c r="C22" i="5"/>
  <c r="B22" i="5"/>
  <c r="N21" i="5"/>
  <c r="N19" i="5"/>
  <c r="N18" i="5"/>
  <c r="N17" i="5"/>
  <c r="N16" i="5"/>
  <c r="N14" i="5"/>
  <c r="N13" i="5"/>
  <c r="N20" i="5"/>
  <c r="N11" i="5"/>
  <c r="N12" i="5"/>
  <c r="N10" i="5"/>
  <c r="N9" i="5"/>
  <c r="N8" i="5"/>
  <c r="N7" i="5"/>
  <c r="N6" i="5"/>
  <c r="H22" i="5" l="1"/>
  <c r="N22" i="5"/>
  <c r="O6" i="5" s="1"/>
  <c r="O8" i="5" l="1"/>
  <c r="O20" i="5"/>
  <c r="O10" i="5"/>
  <c r="O21" i="5"/>
  <c r="O17" i="5"/>
  <c r="O14" i="5"/>
  <c r="O19" i="5"/>
  <c r="O9" i="5"/>
  <c r="O12" i="5"/>
  <c r="O16" i="5"/>
  <c r="O15" i="5"/>
  <c r="O13" i="5"/>
  <c r="O22" i="5"/>
  <c r="O11" i="5"/>
  <c r="O18" i="5"/>
  <c r="O7" i="5"/>
</calcChain>
</file>

<file path=xl/sharedStrings.xml><?xml version="1.0" encoding="utf-8"?>
<sst xmlns="http://schemas.openxmlformats.org/spreadsheetml/2006/main" count="37" uniqueCount="37">
  <si>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</si>
  <si>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</si>
  <si>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</si>
  <si>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</si>
  <si>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</si>
  <si>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</si>
  <si>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</si>
  <si>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</si>
  <si>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</si>
  <si>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</si>
  <si>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</si>
  <si>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</si>
  <si>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</si>
  <si>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</si>
  <si>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RUSSIA</t>
  </si>
  <si>
    <t>ALGERIA</t>
  </si>
  <si>
    <t>OLANDA</t>
  </si>
  <si>
    <t>LIBIA</t>
  </si>
  <si>
    <t>NORVEGIA</t>
  </si>
  <si>
    <t>CROAZIA</t>
  </si>
  <si>
    <t>FRANCIA</t>
  </si>
  <si>
    <t>Totale complessivo</t>
  </si>
  <si>
    <t>NIGERIA</t>
  </si>
  <si>
    <t>QATAR</t>
  </si>
  <si>
    <t>U.S.A.</t>
  </si>
  <si>
    <t>FONTE: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</si>
  <si>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</si>
  <si>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t>AZERBAIGIAN</t>
  </si>
  <si>
    <t>SPAGNA</t>
  </si>
  <si>
    <t>SLOVENIA</t>
  </si>
  <si>
    <t>EGITTO</t>
  </si>
  <si>
    <r>
      <t xml:space="preserve">IMPORTAZIONI DI GAS NATURALE PER PAESE DI ORIGINE* - ANNO 2022-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</si>
  <si>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>TRINIDAD</t>
  </si>
  <si>
    <t xml:space="preserve">ALRI UE </t>
  </si>
  <si>
    <t>Totale 2022</t>
  </si>
  <si>
    <t>gnl</t>
  </si>
  <si>
    <t xml:space="preserve">Ministero dell'Ambiente e della Sicurezza Energetica  DGIS DIV.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</si>
</sst>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,,,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/>
    <xf numFmtId="3" fontId="3" fillId="0" borderId="4" xfId="0" applyNumberFormat="1" applyFont="1" applyBorder="1"/>
    <xf numFmtId="3" fontId="3" fillId="0" borderId="0" xfId="0" applyNumberFormat="1" applyFont="1"/>
    <xf numFmtId="3" fontId="3" fillId="0" borderId="5" xfId="0" applyNumberFormat="1" applyFont="1" applyBorder="1"/>
    <xf numFmtId="3" fontId="1" fillId="0" borderId="2" xfId="0" applyNumberFormat="1" applyFont="1" applyBorder="1"/>
    <xf numFmtId="3" fontId="3" fillId="0" borderId="2" xfId="0" applyNumberFormat="1" applyFont="1" applyBorder="1"/>
    <xf numFmtId="3" fontId="3" fillId="0" borderId="6" xfId="0" applyNumberFormat="1" applyFont="1" applyBorder="1"/>
    <xf numFmtId="3" fontId="3" fillId="0" borderId="7" xfId="0" applyNumberFormat="1" applyFont="1" applyBorder="1"/>
    <xf numFmtId="3" fontId="3" fillId="0" borderId="9" xfId="0" applyNumberFormat="1" applyFont="1" applyBorder="1"/>
    <xf numFmtId="3" fontId="3" fillId="0" borderId="8" xfId="0" applyNumberFormat="1" applyFont="1" applyBorder="1"/>
    <xf numFmtId="3" fontId="3" fillId="0" borderId="12" xfId="0" applyNumberFormat="1" applyFont="1" applyBorder="1"/>
    <xf numFmtId="3" fontId="3" fillId="0" borderId="13" xfId="0" applyNumberFormat="1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11" xfId="0" applyFont="1" applyBorder="1"/>
    <xf numFmtId="164" fontId="2" fillId="0" borderId="1" xfId="0" applyNumberFormat="1" applyFont="1" applyBorder="1"/>
    <xf numFmtId="165" fontId="5" fillId="0" borderId="3" xfId="0" applyNumberFormat="1" applyFont="1" applyBorder="1"/>
    <xf numFmtId="0" fontId="5" fillId="0" borderId="0" xfId="0" applyFont="1"/>
    <xf numFmtId="165" fontId="5" fillId="0" borderId="2" xfId="0" applyNumberFormat="1" applyFont="1" applyBorder="1"/>
    <xf numFmtId="165" fontId="5" fillId="0" borderId="10" xfId="0" applyNumberFormat="1" applyFont="1" applyBorder="1"/>
    <xf numFmtId="164" fontId="2" fillId="0" borderId="19" xfId="0" applyNumberFormat="1" applyFont="1" applyBorder="1"/>
    <xf numFmtId="0" fontId="8" fillId="0" borderId="0" xfId="0" applyFont="1"/>
    <xf numFmtId="3" fontId="3" fillId="0" borderId="20" xfId="0" applyNumberFormat="1" applyFont="1" applyBorder="1"/>
    <xf numFmtId="3" fontId="3" fillId="0" borderId="21" xfId="0" applyNumberFormat="1" applyFont="1" applyBorder="1"/>
    <xf numFmtId="3" fontId="3" fillId="0" borderId="22" xfId="0" applyNumberFormat="1" applyFont="1" applyBorder="1"/>
    <xf numFmtId="164" fontId="2" fillId="0" borderId="23" xfId="0" applyNumberFormat="1" applyFont="1" applyBorder="1"/>
    <xf numFmtId="3" fontId="3" fillId="0" borderId="24" xfId="0" applyNumberFormat="1" applyFont="1" applyBorder="1"/>
    <xf numFmtId="3" fontId="3" fillId="0" borderId="25" xfId="0" applyNumberFormat="1" applyFont="1" applyBorder="1"/>
    <xf numFmtId="3" fontId="3" fillId="0" borderId="26" xfId="0" applyNumberFormat="1" applyFont="1" applyBorder="1"/>
    <xf numFmtId="3" fontId="3" fillId="0" borderId="27" xfId="0" applyNumberFormat="1" applyFont="1" applyBorder="1"/>
    <xf numFmtId="3" fontId="3" fillId="0" borderId="28" xfId="0" applyNumberFormat="1" applyFont="1" applyBorder="1"/>
    <xf numFmtId="3" fontId="3" fillId="0" borderId="29" xfId="0" applyNumberFormat="1" applyFont="1" applyBorder="1"/>
    <xf numFmtId="3" fontId="3" fillId="0" borderId="30" xfId="0" applyNumberFormat="1" applyFont="1" applyBorder="1"/>
    <xf numFmtId="3" fontId="3" fillId="0" borderId="31" xfId="0" applyNumberFormat="1" applyFont="1" applyBorder="1"/>
    <xf numFmtId="3" fontId="3" fillId="0" borderId="32" xfId="0" applyNumberFormat="1" applyFont="1" applyBorder="1"/>
    <xf numFmtId="3" fontId="3" fillId="0" borderId="33" xfId="0" applyNumberFormat="1" applyFont="1" applyBorder="1"/>
    <xf numFmtId="3" fontId="3" fillId="0" borderId="34" xfId="0" applyNumberFormat="1" applyFont="1" applyBorder="1"/>
    <xf numFmtId="3" fontId="3" fillId="0" borderId="35" xfId="0" applyNumberFormat="1" applyFont="1" applyBorder="1"/>
    <xf numFmtId="3" fontId="3" fillId="0" borderId="36" xfId="0" applyNumberFormat="1" applyFont="1" applyBorder="1"/>
    <xf numFmtId="3" fontId="3" fillId="0" borderId="37" xfId="0" applyNumberFormat="1" applyFont="1" applyBorder="1"/>
    <xf numFmtId="0" fontId="5" fillId="0" borderId="38" xfId="0" applyFont="1" applyBorder="1"/>
    <xf numFmtId="3" fontId="4" fillId="0" borderId="38" xfId="0" applyNumberFormat="1" applyFont="1" applyBorder="1" applyAlignment="1">
      <alignment horizontal="right" indent="1"/>
    </xf>
    <xf numFmtId="3" fontId="1" fillId="0" borderId="38" xfId="0" applyNumberFormat="1" applyFont="1" applyBorder="1"/>
    <xf numFmtId="165" fontId="5" fillId="0" borderId="38" xfId="0" applyNumberFormat="1" applyFont="1" applyBorder="1"/>
    <xf numFmtId="3" fontId="3" fillId="0" borderId="40" xfId="0" applyNumberFormat="1" applyFont="1" applyBorder="1"/>
    <xf numFmtId="0" fontId="5" fillId="0" borderId="41" xfId="0" applyFont="1" applyBorder="1"/>
    <xf numFmtId="3" fontId="3" fillId="0" borderId="14" xfId="0" applyNumberFormat="1" applyFont="1" applyBorder="1"/>
    <xf numFmtId="164" fontId="2" fillId="0" borderId="42" xfId="0" applyNumberFormat="1" applyFont="1" applyBorder="1"/>
    <xf numFmtId="3" fontId="1" fillId="0" borderId="0" xfId="0" applyNumberFormat="1" applyFont="1"/>
    <xf numFmtId="165" fontId="0" fillId="0" borderId="43" xfId="0" applyNumberFormat="1" applyBorder="1"/>
    <xf numFmtId="164" fontId="2" fillId="0" borderId="44" xfId="0" applyNumberFormat="1" applyFont="1" applyBorder="1"/>
    <xf numFmtId="164" fontId="2" fillId="0" borderId="45" xfId="0" applyNumberFormat="1" applyFont="1" applyBorder="1"/>
    <xf numFmtId="3" fontId="3" fillId="0" borderId="46" xfId="0" applyNumberFormat="1" applyFont="1" applyBorder="1"/>
    <xf numFmtId="3" fontId="3" fillId="0" borderId="39" xfId="0" applyNumberFormat="1" applyFont="1" applyBorder="1"/>
    <xf numFmtId="3" fontId="1" fillId="0" borderId="6" xfId="0" applyNumberFormat="1" applyFont="1" applyBorder="1"/>
    <xf numFmtId="165" fontId="0" fillId="0" borderId="10" xfId="0" applyNumberFormat="1" applyBorder="1"/>
    <xf numFmtId="3" fontId="1" fillId="0" borderId="7" xfId="0" applyNumberFormat="1" applyFont="1" applyBorder="1"/>
    <xf numFmtId="3" fontId="3" fillId="0" borderId="47" xfId="0" applyNumberFormat="1" applyFont="1" applyBorder="1"/>
    <xf numFmtId="164" fontId="2" fillId="0" borderId="48" xfId="0" applyNumberFormat="1" applyFont="1" applyBorder="1"/>
    <xf numFmtId="3" fontId="3" fillId="0" borderId="49" xfId="0" applyNumberFormat="1" applyFont="1" applyBorder="1"/>
    <xf numFmtId="3" fontId="3" fillId="0" borderId="50" xfId="0" applyNumberFormat="1" applyFont="1" applyBorder="1"/>
    <xf numFmtId="3" fontId="3" fillId="0" borderId="51" xfId="0" applyNumberFormat="1" applyFont="1" applyBorder="1"/>
    <xf numFmtId="3" fontId="3" fillId="0" borderId="52" xfId="0" applyNumberFormat="1" applyFont="1" applyBorder="1"/>
    <xf numFmtId="3" fontId="1" fillId="0" borderId="9" xfId="0" applyNumberFormat="1" applyFont="1" applyBorder="1"/>
    <xf numFmtId="165" fontId="0" fillId="0" borderId="53" xfId="0" applyNumberFormat="1" applyBorder="1"/>
    <xf numFmtId="165" fontId="0" fillId="0" borderId="54" xfId="0" applyNumberFormat="1" applyBorder="1"/>
    <xf numFmtId="3" fontId="1" fillId="0" borderId="52" xfId="0" applyNumberFormat="1" applyFont="1" applyBorder="1"/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2" borderId="0" xfId="0" applyFill="1"/>
    <xf numFmtId="165" fontId="5" fillId="0" borderId="55" xfId="0" applyNumberFormat="1" applyFont="1" applyBorder="1"/>
    <xf numFmtId="165" fontId="5" fillId="0" borderId="14" xfId="0" applyNumberFormat="1" applyFont="1" applyBorder="1"/>
    <xf numFmtId="3" fontId="0" fillId="0" borderId="56" xfId="0" applyNumberFormat="1" applyBorder="1"/>
    <xf numFmtId="164" fontId="2" fillId="0" borderId="57" xfId="0" applyNumberFormat="1" applyFont="1" applyBorder="1"/>
    <xf numFmtId="0" fontId="0" fillId="0" borderId="19" xfId="0" applyBorder="1"/>
    <xf numFmtId="0" fontId="5" fillId="0" borderId="31" xfId="0" applyFont="1" applyBorder="1"/>
    <xf numFmtId="0" fontId="5" fillId="0" borderId="28" xfId="0" applyFont="1" applyBorder="1"/>
    <xf numFmtId="0" fontId="5" fillId="0" borderId="58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9" fillId="0" borderId="39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35"/>
  <sheetViews>
    <sheetView workbookViewId="0">
      <pane xSplit="1" ySplit="4" topLeftCell="E5" activePane="bottomRight" state="frozen"/>
      <selection pane="topRight" activeCell="B1" sqref="B1"/>
      <selection pane="bottomLeft" activeCell="A5" sqref="A5"/>
      <selection pane="bottomRight" activeCell="P5" sqref="P5:S30"/>
    </sheetView>
  </sheetViews>
  <sheetFormatPr defaultRowHeight="15" outlineLevelCol="1" x14ac:dyDescent="0.25"/>
  <cols>
    <col min="1" max="1" width="23.5703125" customWidth="1"/>
    <col min="2" max="2" width="12.28515625" customWidth="1" outlineLevel="1"/>
    <col min="3" max="3" width="14" customWidth="1" outlineLevel="1"/>
    <col min="4" max="4" width="12" customWidth="1" outlineLevel="1"/>
    <col min="5" max="5" width="13" customWidth="1" outlineLevel="1"/>
    <col min="6" max="6" width="12.28515625" customWidth="1" outlineLevel="1"/>
    <col min="7" max="7" width="11.5703125" customWidth="1" outlineLevel="1"/>
    <col min="8" max="9" width="11.7109375" customWidth="1" outlineLevel="1"/>
    <col min="10" max="11" width="12.28515625" customWidth="1" outlineLevel="1"/>
    <col min="12" max="12" width="11.85546875" customWidth="1" outlineLevel="1"/>
    <col min="13" max="13" width="11.42578125" customWidth="1" outlineLevel="1"/>
    <col min="14" max="14" width="10.42578125" customWidth="1"/>
    <col min="15" max="15" width="12.28515625" customWidth="1"/>
    <col min="16" max="16" width="16.7109375" bestFit="1" customWidth="1"/>
  </cols>
  <sheetData>
    <row r="2" spans="1:22" ht="15.75" thickBot="1" x14ac:dyDescent="0.3"/>
    <row r="3" spans="1:22" ht="15.75" x14ac:dyDescent="0.25">
      <c r="A3" s="83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22" x14ac:dyDescent="0.25">
      <c r="A4" s="1"/>
      <c r="B4" s="86"/>
      <c r="C4" s="87"/>
      <c r="D4" s="87"/>
      <c r="E4" s="87"/>
      <c r="F4" s="87"/>
      <c r="G4" s="87"/>
      <c r="H4" s="87"/>
      <c r="I4" s="87"/>
      <c r="J4" s="87"/>
      <c r="K4" s="87"/>
      <c r="L4" s="87"/>
      <c r="M4" s="88"/>
      <c r="N4" s="89"/>
      <c r="O4" s="90"/>
    </row>
    <row r="5" spans="1:22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71"/>
      <c r="Q5" s="72"/>
      <c r="R5" s="72"/>
      <c r="S5" s="72"/>
      <c r="V5" s="72" t="s">
        <v>35</v>
      </c>
    </row>
    <row r="6" spans="1:22" ht="15.75" x14ac:dyDescent="0.25">
      <c r="A6" s="16"/>
      <c r="B6" s="5"/>
      <c r="C6" s="6"/>
      <c r="D6" s="5"/>
      <c r="E6" s="6"/>
      <c r="F6" s="5"/>
      <c r="G6" s="7"/>
      <c r="H6" s="6"/>
      <c r="I6" s="5"/>
      <c r="J6" s="6"/>
      <c r="K6" s="5"/>
      <c r="L6" s="5"/>
      <c r="M6" s="6"/>
      <c r="N6" s="8"/>
      <c r="O6" s="20"/>
      <c r="Q6" s="73"/>
      <c r="R6" s="73"/>
      <c r="V6">
        <v>1682.6980000000001</v>
      </c>
    </row>
    <row r="7" spans="1:22" ht="15.75" x14ac:dyDescent="0.25">
      <c r="A7" s="16"/>
      <c r="B7" s="9"/>
      <c r="C7" s="10"/>
      <c r="D7" s="9"/>
      <c r="E7" s="10"/>
      <c r="F7" s="9"/>
      <c r="G7" s="11"/>
      <c r="H7" s="10"/>
      <c r="I7" s="9"/>
      <c r="J7" s="10"/>
      <c r="K7" s="9"/>
      <c r="L7" s="9"/>
      <c r="M7" s="11"/>
      <c r="N7" s="8"/>
      <c r="O7" s="20"/>
      <c r="Q7" s="73"/>
      <c r="R7" s="73"/>
      <c r="V7">
        <v>193</v>
      </c>
    </row>
    <row r="8" spans="1:22" ht="15.75" x14ac:dyDescent="0.25">
      <c r="A8" s="24"/>
      <c r="B8" s="28"/>
      <c r="C8" s="36"/>
      <c r="D8" s="30"/>
      <c r="E8" s="31"/>
      <c r="F8" s="32"/>
      <c r="G8" s="33"/>
      <c r="H8" s="34"/>
      <c r="I8" s="26"/>
      <c r="J8" s="39"/>
      <c r="K8" s="14"/>
      <c r="L8" s="41"/>
      <c r="M8" s="42"/>
      <c r="N8" s="8"/>
      <c r="O8" s="4"/>
      <c r="P8" s="74"/>
      <c r="Q8" s="73"/>
      <c r="R8" s="73"/>
    </row>
    <row r="9" spans="1:22" ht="15.75" x14ac:dyDescent="0.25">
      <c r="A9" s="16"/>
      <c r="B9" s="13"/>
      <c r="C9" s="6"/>
      <c r="D9" s="13"/>
      <c r="E9" s="6"/>
      <c r="F9" s="9"/>
      <c r="G9" s="5"/>
      <c r="H9" s="9"/>
      <c r="I9" s="9"/>
      <c r="J9" s="6"/>
      <c r="K9" s="5"/>
      <c r="L9" s="9"/>
      <c r="M9" s="5"/>
      <c r="N9" s="8"/>
      <c r="O9" s="20"/>
      <c r="Q9" s="73"/>
      <c r="R9" s="73"/>
      <c r="V9">
        <v>7288.8519999999999</v>
      </c>
    </row>
    <row r="10" spans="1:22" ht="15.75" x14ac:dyDescent="0.25">
      <c r="A10" s="17"/>
      <c r="B10" s="9"/>
      <c r="C10" s="9"/>
      <c r="D10" s="9"/>
      <c r="E10" s="9"/>
      <c r="F10" s="5"/>
      <c r="G10" s="7"/>
      <c r="H10" s="12"/>
      <c r="I10" s="9"/>
      <c r="J10" s="9"/>
      <c r="K10" s="5"/>
      <c r="L10" s="5"/>
      <c r="M10" s="7"/>
      <c r="N10" s="8"/>
      <c r="O10" s="23"/>
      <c r="P10" s="74"/>
      <c r="Q10" s="73"/>
      <c r="R10" s="73"/>
    </row>
    <row r="11" spans="1:22" ht="15.75" x14ac:dyDescent="0.25">
      <c r="A11" s="49"/>
      <c r="B11" s="9"/>
      <c r="C11" s="10"/>
      <c r="D11" s="9"/>
      <c r="E11" s="10"/>
      <c r="F11" s="5"/>
      <c r="G11" s="7"/>
      <c r="H11" s="12"/>
      <c r="I11" s="9"/>
      <c r="J11" s="10"/>
      <c r="K11" s="5"/>
      <c r="L11" s="5"/>
      <c r="M11" s="12"/>
      <c r="N11" s="8"/>
      <c r="O11" s="23"/>
      <c r="Q11" s="73"/>
      <c r="R11" s="73"/>
      <c r="V11">
        <v>3003.9340000000002</v>
      </c>
    </row>
    <row r="12" spans="1:22" ht="15.75" x14ac:dyDescent="0.25">
      <c r="A12" s="18"/>
      <c r="B12" s="9"/>
      <c r="C12" s="10"/>
      <c r="D12" s="9"/>
      <c r="E12" s="10"/>
      <c r="F12" s="9"/>
      <c r="G12" s="11"/>
      <c r="H12" s="10"/>
      <c r="I12" s="9"/>
      <c r="J12" s="10"/>
      <c r="K12" s="9"/>
      <c r="L12" s="9"/>
      <c r="M12" s="10"/>
      <c r="N12" s="8"/>
      <c r="O12" s="20"/>
      <c r="Q12" s="73"/>
      <c r="R12" s="73"/>
    </row>
    <row r="13" spans="1:22" ht="15.75" x14ac:dyDescent="0.25">
      <c r="A13" s="18"/>
      <c r="B13" s="13"/>
      <c r="C13" s="10"/>
      <c r="D13" s="14"/>
      <c r="E13" s="6"/>
      <c r="F13" s="9"/>
      <c r="G13" s="7"/>
      <c r="H13" s="10"/>
      <c r="I13" s="9"/>
      <c r="J13" s="12"/>
      <c r="K13" s="5"/>
      <c r="L13" s="50"/>
      <c r="M13" s="10"/>
      <c r="N13" s="8"/>
      <c r="O13" s="20"/>
      <c r="Q13" s="73"/>
      <c r="R13" s="73"/>
    </row>
    <row r="14" spans="1:22" ht="15.75" x14ac:dyDescent="0.25">
      <c r="A14" s="18"/>
      <c r="B14" s="9"/>
      <c r="C14" s="9"/>
      <c r="D14" s="9"/>
      <c r="E14" s="9"/>
      <c r="F14" s="9"/>
      <c r="G14" s="9"/>
      <c r="H14" s="15"/>
      <c r="I14" s="14"/>
      <c r="J14" s="9"/>
      <c r="K14" s="9"/>
      <c r="L14" s="14"/>
      <c r="M14" s="9"/>
      <c r="N14" s="8"/>
      <c r="O14" s="22"/>
      <c r="Q14" s="73"/>
      <c r="R14" s="73"/>
      <c r="V14">
        <v>16.995000000000001</v>
      </c>
    </row>
    <row r="15" spans="1:22" ht="15.75" x14ac:dyDescent="0.25">
      <c r="A15" s="29"/>
      <c r="B15" s="9"/>
      <c r="C15" s="10"/>
      <c r="D15" s="50"/>
      <c r="E15" s="50"/>
      <c r="F15" s="50"/>
      <c r="G15" s="48"/>
      <c r="H15" s="6"/>
      <c r="I15" s="13"/>
      <c r="J15" s="39"/>
      <c r="K15" s="9"/>
      <c r="L15" s="6"/>
      <c r="M15" s="6"/>
      <c r="N15" s="8"/>
      <c r="O15" s="22"/>
      <c r="P15" s="6"/>
      <c r="Q15" s="73"/>
      <c r="R15" s="73"/>
      <c r="V15">
        <v>0</v>
      </c>
    </row>
    <row r="16" spans="1:22" ht="15.75" x14ac:dyDescent="0.25">
      <c r="A16" s="16"/>
      <c r="B16" s="13"/>
      <c r="C16" s="10"/>
      <c r="D16" s="14"/>
      <c r="E16" s="6"/>
      <c r="F16" s="9"/>
      <c r="G16" s="7"/>
      <c r="H16" s="10"/>
      <c r="I16" s="34"/>
      <c r="J16" s="34"/>
      <c r="K16" s="13"/>
      <c r="L16" s="40"/>
      <c r="M16" s="42"/>
      <c r="N16" s="8"/>
      <c r="O16" s="20"/>
      <c r="P16" s="6"/>
      <c r="Q16" s="73"/>
      <c r="R16" s="73"/>
      <c r="V16">
        <v>0</v>
      </c>
    </row>
    <row r="17" spans="1:22" ht="15.75" x14ac:dyDescent="0.25">
      <c r="A17" s="19"/>
      <c r="B17" s="34"/>
      <c r="C17" s="10"/>
      <c r="D17" s="14"/>
      <c r="E17" s="6"/>
      <c r="F17" s="9"/>
      <c r="G17" s="7"/>
      <c r="H17" s="10"/>
      <c r="I17" s="13"/>
      <c r="J17" s="34"/>
      <c r="K17" s="34"/>
      <c r="L17" s="12"/>
      <c r="M17" s="9"/>
      <c r="N17" s="8"/>
      <c r="O17" s="20"/>
      <c r="Q17" s="73"/>
      <c r="R17" s="73"/>
      <c r="V17">
        <v>918.32899999999995</v>
      </c>
    </row>
    <row r="18" spans="1:22" ht="15.75" x14ac:dyDescent="0.25">
      <c r="A18" s="19"/>
      <c r="B18" s="27"/>
      <c r="C18" s="10"/>
      <c r="D18" s="14"/>
      <c r="E18" s="27"/>
      <c r="F18" s="9"/>
      <c r="G18" s="34"/>
      <c r="H18" s="10"/>
      <c r="I18" s="39"/>
      <c r="J18" s="39"/>
      <c r="K18" s="39"/>
      <c r="L18" s="12"/>
      <c r="M18" s="9"/>
      <c r="N18" s="8"/>
      <c r="O18" s="20"/>
      <c r="Q18" s="73"/>
      <c r="R18" s="73"/>
      <c r="V18">
        <v>906.48099999999999</v>
      </c>
    </row>
    <row r="19" spans="1:22" ht="15.75" x14ac:dyDescent="0.25">
      <c r="A19" s="18"/>
      <c r="B19" s="26"/>
      <c r="C19" s="6"/>
      <c r="D19" s="13"/>
      <c r="E19" s="26"/>
      <c r="F19" s="9"/>
      <c r="G19" s="5"/>
      <c r="H19" s="15"/>
      <c r="I19" s="14"/>
      <c r="J19" s="6"/>
      <c r="K19" s="5"/>
      <c r="L19" s="14"/>
      <c r="M19" s="5"/>
      <c r="N19" s="8"/>
      <c r="O19" s="20"/>
      <c r="P19" s="57"/>
      <c r="Q19" s="73"/>
      <c r="R19" s="73"/>
      <c r="V19">
        <v>0</v>
      </c>
    </row>
    <row r="20" spans="1:22" ht="15.75" x14ac:dyDescent="0.25">
      <c r="A20" s="19"/>
      <c r="B20" s="13"/>
      <c r="C20" s="10"/>
      <c r="D20" s="26"/>
      <c r="E20" s="6"/>
      <c r="F20" s="9"/>
      <c r="G20" s="7"/>
      <c r="H20" s="6"/>
      <c r="I20" s="34"/>
      <c r="J20" s="39"/>
      <c r="K20" s="34"/>
      <c r="L20" s="12"/>
      <c r="M20" s="9"/>
      <c r="N20" s="8"/>
      <c r="O20" s="20"/>
      <c r="Q20" s="73"/>
      <c r="R20" s="73"/>
      <c r="V20">
        <v>221.12200000000001</v>
      </c>
    </row>
    <row r="21" spans="1:22" ht="15.75" x14ac:dyDescent="0.25">
      <c r="A21" s="54"/>
      <c r="B21" s="37"/>
      <c r="C21" s="36"/>
      <c r="D21" s="38"/>
      <c r="E21" s="56"/>
      <c r="F21" s="36"/>
      <c r="G21" s="35"/>
      <c r="H21" s="26"/>
      <c r="I21" s="14"/>
      <c r="J21" s="39"/>
      <c r="K21" s="14"/>
      <c r="L21" s="43"/>
      <c r="M21" s="42"/>
      <c r="N21" s="8"/>
      <c r="O21" s="4"/>
      <c r="Q21" s="73"/>
      <c r="R21" s="73"/>
      <c r="V21">
        <v>185.00299999999999</v>
      </c>
    </row>
    <row r="22" spans="1:22" ht="15.75" x14ac:dyDescent="0.25">
      <c r="A22" s="55"/>
      <c r="B22" s="41"/>
      <c r="C22" s="9"/>
      <c r="D22" s="26"/>
      <c r="E22" s="50"/>
      <c r="F22" s="10"/>
      <c r="G22" s="9"/>
      <c r="H22" s="50"/>
      <c r="I22" s="50"/>
      <c r="J22" s="41"/>
      <c r="K22" s="50"/>
      <c r="L22" s="9"/>
      <c r="M22" s="9"/>
      <c r="N22" s="58"/>
      <c r="O22" s="59"/>
      <c r="P22" s="57"/>
      <c r="Q22" s="73"/>
      <c r="R22" s="73"/>
      <c r="V22">
        <v>0</v>
      </c>
    </row>
    <row r="23" spans="1:22" ht="15.75" x14ac:dyDescent="0.25">
      <c r="A23" s="19"/>
      <c r="B23" s="9"/>
      <c r="C23" s="9"/>
      <c r="D23" s="9"/>
      <c r="E23" s="11"/>
      <c r="F23" s="7"/>
      <c r="G23" s="11"/>
      <c r="H23" s="9"/>
      <c r="I23" s="9"/>
      <c r="J23" s="9"/>
      <c r="K23" s="9"/>
      <c r="L23" s="9"/>
      <c r="M23" s="9"/>
      <c r="N23" s="8"/>
      <c r="O23" s="4"/>
      <c r="P23" s="57"/>
      <c r="Q23" s="73"/>
      <c r="R23" s="73"/>
      <c r="V23">
        <v>0</v>
      </c>
    </row>
    <row r="24" spans="1:22" ht="15.75" x14ac:dyDescent="0.25">
      <c r="A24" s="19"/>
      <c r="B24" s="50"/>
      <c r="C24" s="9"/>
      <c r="D24" s="9"/>
      <c r="E24" s="9"/>
      <c r="F24" s="11"/>
      <c r="G24" s="11"/>
      <c r="H24" s="9"/>
      <c r="I24" s="9"/>
      <c r="J24" s="9"/>
      <c r="K24" s="10"/>
      <c r="L24" s="9"/>
      <c r="M24" s="50"/>
      <c r="N24" s="8"/>
      <c r="O24" s="4"/>
      <c r="P24" s="57"/>
      <c r="Q24" s="73"/>
      <c r="R24" s="73"/>
      <c r="V24">
        <v>0</v>
      </c>
    </row>
    <row r="25" spans="1:22" ht="15.75" x14ac:dyDescent="0.25">
      <c r="A25" s="55"/>
      <c r="B25" s="50"/>
      <c r="C25" s="61"/>
      <c r="D25" s="9"/>
      <c r="E25" s="9"/>
      <c r="F25" s="9"/>
      <c r="G25" s="50"/>
      <c r="H25" s="9"/>
      <c r="I25" s="11"/>
      <c r="J25" s="11"/>
      <c r="K25" s="6"/>
      <c r="L25" s="9"/>
      <c r="M25" s="9"/>
      <c r="N25" s="60"/>
      <c r="O25" s="53"/>
      <c r="Q25" s="73"/>
      <c r="R25" s="73"/>
      <c r="V25">
        <v>25.009</v>
      </c>
    </row>
    <row r="26" spans="1:22" ht="15.75" x14ac:dyDescent="0.25">
      <c r="A26" s="51"/>
      <c r="B26" s="57"/>
      <c r="C26" s="9"/>
      <c r="D26" s="9"/>
      <c r="E26" s="6"/>
      <c r="F26" s="9"/>
      <c r="G26" s="6"/>
      <c r="H26" s="9"/>
      <c r="I26" s="10"/>
      <c r="J26" s="9"/>
      <c r="K26" s="11"/>
      <c r="L26" s="6"/>
      <c r="M26" s="9"/>
      <c r="N26" s="52"/>
      <c r="O26" s="68"/>
      <c r="P26" s="57"/>
      <c r="Q26" s="73"/>
      <c r="R26" s="73"/>
      <c r="V26">
        <v>0</v>
      </c>
    </row>
    <row r="27" spans="1:22" ht="15.75" x14ac:dyDescent="0.25">
      <c r="A27" s="19"/>
      <c r="B27" s="9"/>
      <c r="C27" s="9"/>
      <c r="D27" s="50"/>
      <c r="E27" s="50"/>
      <c r="F27" s="9"/>
      <c r="G27" s="12"/>
      <c r="H27" s="9"/>
      <c r="I27" s="15"/>
      <c r="J27" s="9"/>
      <c r="K27" s="11"/>
      <c r="L27" s="10"/>
      <c r="M27" s="9"/>
      <c r="N27" s="67"/>
      <c r="O27" s="68"/>
      <c r="P27" s="57"/>
      <c r="Q27" s="73"/>
      <c r="R27" s="73"/>
      <c r="V27">
        <v>0</v>
      </c>
    </row>
    <row r="28" spans="1:22" ht="15.75" x14ac:dyDescent="0.25">
      <c r="A28" s="51"/>
      <c r="B28" s="57"/>
      <c r="C28" s="50"/>
      <c r="D28" s="57"/>
      <c r="E28" s="9"/>
      <c r="F28" s="9"/>
      <c r="G28" s="12"/>
      <c r="H28" s="9"/>
      <c r="I28" s="9"/>
      <c r="J28" s="11"/>
      <c r="K28" s="10"/>
      <c r="L28" s="9"/>
      <c r="M28" s="9"/>
      <c r="N28" s="8"/>
      <c r="O28" s="68"/>
      <c r="Q28" s="73"/>
      <c r="R28" s="73"/>
      <c r="V28">
        <v>0</v>
      </c>
    </row>
    <row r="29" spans="1:22" ht="16.5" thickBot="1" x14ac:dyDescent="0.3">
      <c r="A29" s="62"/>
      <c r="B29" s="63"/>
      <c r="C29" s="64"/>
      <c r="D29" s="66"/>
      <c r="E29" s="66"/>
      <c r="F29" s="65"/>
      <c r="G29" s="64"/>
      <c r="H29" s="66"/>
      <c r="I29" s="65"/>
      <c r="J29" s="65"/>
      <c r="K29" s="63"/>
      <c r="L29" s="66"/>
      <c r="M29" s="66"/>
      <c r="N29" s="70"/>
      <c r="O29" s="69"/>
      <c r="P29" s="57"/>
      <c r="Q29" s="73"/>
      <c r="R29" s="73"/>
      <c r="V29">
        <v>0</v>
      </c>
    </row>
    <row r="30" spans="1:22" s="21" customFormat="1" ht="16.5" thickBot="1" x14ac:dyDescent="0.3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6"/>
      <c r="O30" s="47"/>
    </row>
    <row r="32" spans="1:22" s="25" customFormat="1" ht="18.75" customHeight="1" x14ac:dyDescent="0.3">
      <c r="B32" s="93"/>
      <c r="C32" s="94"/>
      <c r="D32" s="94"/>
      <c r="E32" s="94"/>
      <c r="F32" s="94"/>
      <c r="G32" s="94"/>
    </row>
    <row r="34" spans="1:15" x14ac:dyDescent="0.25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</row>
    <row r="35" spans="1:15" x14ac:dyDescent="0.2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</row>
  </sheetData>
  <mergeCells count="5">
    <mergeCell ref="A3:O3"/>
    <mergeCell ref="B4:M4"/>
    <mergeCell ref="N4:O4"/>
    <mergeCell ref="A34:O35"/>
    <mergeCell ref="B32:G3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5770-F17C-4697-A257-EB25073756D6}">
  <dimension ref="A2:R27"/>
  <sheetViews>
    <sheetView tabSelected="1" topLeftCell="A9" workbookViewId="0">
      <selection activeCell="O21" sqref="O21"/>
    </sheetView>
  </sheetViews>
  <sheetFormatPr defaultRowHeight="15" outlineLevelCol="1" x14ac:dyDescent="0.25"/>
  <cols>
    <col min="1" max="1" width="23.5703125" customWidth="1"/>
    <col min="2" max="2" width="12.28515625" customWidth="1" outlineLevel="1"/>
    <col min="3" max="3" width="14" customWidth="1" outlineLevel="1"/>
    <col min="4" max="4" width="12" customWidth="1" outlineLevel="1"/>
    <col min="5" max="5" width="13" customWidth="1" outlineLevel="1"/>
    <col min="6" max="6" width="12.28515625" customWidth="1" outlineLevel="1"/>
    <col min="7" max="7" width="11.5703125" customWidth="1" outlineLevel="1"/>
    <col min="8" max="9" width="11.7109375" customWidth="1" outlineLevel="1"/>
    <col min="10" max="11" width="12.28515625" customWidth="1" outlineLevel="1"/>
    <col min="12" max="12" width="11.85546875" customWidth="1" outlineLevel="1"/>
    <col min="13" max="13" width="11.42578125" customWidth="1" outlineLevel="1"/>
    <col min="14" max="14" width="10.42578125" customWidth="1"/>
    <col min="15" max="15" width="12.28515625" customWidth="1"/>
    <col min="16" max="16" width="16.7109375" bestFit="1" customWidth="1"/>
    <col min="18" max="18" width="12.7109375" bestFit="1" customWidth="1"/>
  </cols>
  <sheetData>
    <row r="2" spans="1:18" ht="15.75" thickBot="1" x14ac:dyDescent="0.3"/>
    <row r="3" spans="1:18" ht="15.75" x14ac:dyDescent="0.25">
      <c r="A3" s="83" t="s">
        <v>31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18" x14ac:dyDescent="0.25">
      <c r="A4" s="1"/>
      <c r="B4" s="86" t="s">
        <v>0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8"/>
      <c r="N4" s="89"/>
      <c r="O4" s="90"/>
    </row>
    <row r="5" spans="1:18" x14ac:dyDescent="0.25">
      <c r="A5" s="79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34</v>
      </c>
      <c r="O5" s="3" t="s">
        <v>13</v>
      </c>
      <c r="P5" s="71"/>
      <c r="Q5" s="72"/>
      <c r="R5" s="72"/>
    </row>
    <row r="6" spans="1:18" ht="15.75" x14ac:dyDescent="0.25">
      <c r="A6" s="80" t="s">
        <v>15</v>
      </c>
      <c r="B6" s="7">
        <v>2008.1250833333334</v>
      </c>
      <c r="C6" s="6">
        <v>1892.2250833333333</v>
      </c>
      <c r="D6" s="5">
        <v>2002.9250833333333</v>
      </c>
      <c r="E6" s="6">
        <v>2057.8250833333332</v>
      </c>
      <c r="F6" s="5">
        <v>2335.9250833333335</v>
      </c>
      <c r="G6" s="7">
        <v>2271.7250833333333</v>
      </c>
      <c r="H6" s="6">
        <v>1976.5250833333334</v>
      </c>
      <c r="I6" s="5">
        <v>2090.6250833333334</v>
      </c>
      <c r="J6" s="6">
        <v>2200.0250833333334</v>
      </c>
      <c r="K6" s="5">
        <v>2286.9250833333335</v>
      </c>
      <c r="L6" s="5">
        <v>2186.8250833333332</v>
      </c>
      <c r="M6" s="6">
        <v>2672.6250833333334</v>
      </c>
      <c r="N6" s="8">
        <f t="shared" ref="N6:N7" si="0">SUM(B6:M6)</f>
        <v>25982.301000000003</v>
      </c>
      <c r="O6" s="20">
        <f>N6/$N$22</f>
        <v>0.35792543506466029</v>
      </c>
      <c r="P6" s="73"/>
      <c r="Q6" s="73"/>
    </row>
    <row r="7" spans="1:18" ht="15.75" x14ac:dyDescent="0.25">
      <c r="A7" s="18" t="s">
        <v>14</v>
      </c>
      <c r="B7" s="9">
        <v>1595.8740833333334</v>
      </c>
      <c r="C7" s="10">
        <v>1440.5740833333334</v>
      </c>
      <c r="D7" s="9">
        <v>2410.5740833333334</v>
      </c>
      <c r="E7" s="10">
        <v>1371.2740833333335</v>
      </c>
      <c r="F7" s="9">
        <v>1417.5740833333334</v>
      </c>
      <c r="G7" s="11">
        <v>1112.7740833333335</v>
      </c>
      <c r="H7" s="10">
        <v>1185.1740833333333</v>
      </c>
      <c r="I7" s="9">
        <v>1082.8740833333334</v>
      </c>
      <c r="J7" s="10">
        <v>807.57408333333353</v>
      </c>
      <c r="K7" s="9">
        <v>344.27408333333341</v>
      </c>
      <c r="L7" s="9">
        <v>485.37408333333343</v>
      </c>
      <c r="M7" s="11">
        <v>733.67408333333344</v>
      </c>
      <c r="N7" s="8">
        <f t="shared" si="0"/>
        <v>13987.589000000002</v>
      </c>
      <c r="O7" s="20">
        <f>N7/$N$22</f>
        <v>0.19268939569019145</v>
      </c>
      <c r="P7" s="73"/>
      <c r="Q7" s="73"/>
    </row>
    <row r="8" spans="1:18" ht="15.75" x14ac:dyDescent="0.25">
      <c r="A8" s="24" t="s">
        <v>27</v>
      </c>
      <c r="B8" s="28">
        <v>697.56758333333346</v>
      </c>
      <c r="C8" s="36">
        <v>674.26758333333339</v>
      </c>
      <c r="D8" s="30">
        <v>820.86758333333341</v>
      </c>
      <c r="E8" s="31">
        <v>851.96758333333344</v>
      </c>
      <c r="F8" s="32">
        <v>847.36758333333341</v>
      </c>
      <c r="G8" s="33">
        <v>854.06758333333346</v>
      </c>
      <c r="H8" s="34">
        <v>865.46758333333344</v>
      </c>
      <c r="I8" s="26">
        <v>749.96758333333344</v>
      </c>
      <c r="J8" s="39">
        <v>818.26758333333339</v>
      </c>
      <c r="K8" s="14">
        <v>869.46758333333344</v>
      </c>
      <c r="L8" s="41">
        <v>815.76758333333339</v>
      </c>
      <c r="M8" s="42">
        <v>1459.9675833333333</v>
      </c>
      <c r="N8" s="8">
        <f t="shared" ref="N8:N20" si="1">SUM(B8:M8)</f>
        <v>10325.011</v>
      </c>
      <c r="O8" s="20">
        <f>N8/$N$22</f>
        <v>0.14223467175683951</v>
      </c>
      <c r="P8" s="73"/>
      <c r="Q8" s="73"/>
    </row>
    <row r="9" spans="1:18" ht="15.75" x14ac:dyDescent="0.25">
      <c r="A9" s="16" t="s">
        <v>23</v>
      </c>
      <c r="B9" s="13">
        <v>575.13199999999995</v>
      </c>
      <c r="C9" s="6">
        <v>469.13200000000001</v>
      </c>
      <c r="D9" s="13">
        <v>634.63199999999995</v>
      </c>
      <c r="E9" s="6">
        <v>652.33199999999999</v>
      </c>
      <c r="F9" s="9">
        <v>478.63200000000001</v>
      </c>
      <c r="G9" s="5">
        <v>481.83199999999999</v>
      </c>
      <c r="H9" s="9">
        <v>664.93200000000002</v>
      </c>
      <c r="I9" s="9">
        <v>0</v>
      </c>
      <c r="J9" s="6">
        <v>842.43200000000002</v>
      </c>
      <c r="K9" s="5">
        <v>774.03200000000004</v>
      </c>
      <c r="L9" s="9">
        <v>767.63199999999995</v>
      </c>
      <c r="M9" s="5">
        <v>948.13199999999995</v>
      </c>
      <c r="N9" s="8">
        <f t="shared" si="1"/>
        <v>7288.851999999999</v>
      </c>
      <c r="O9" s="20">
        <f>N9/$N$22</f>
        <v>0.10040933338513469</v>
      </c>
      <c r="P9" s="73"/>
      <c r="Q9" s="73"/>
    </row>
    <row r="10" spans="1:18" ht="15.75" x14ac:dyDescent="0.25">
      <c r="A10" s="81" t="s">
        <v>18</v>
      </c>
      <c r="B10" s="9">
        <v>797.42133333333334</v>
      </c>
      <c r="C10" s="9">
        <v>575.62133333333338</v>
      </c>
      <c r="D10" s="9">
        <v>322.22133333333335</v>
      </c>
      <c r="E10" s="9">
        <v>647.92133333333334</v>
      </c>
      <c r="F10" s="5">
        <v>604.52133333333336</v>
      </c>
      <c r="G10" s="7">
        <v>298.62133333333338</v>
      </c>
      <c r="H10" s="12">
        <v>599.02133333333336</v>
      </c>
      <c r="I10" s="9">
        <v>583.2213333333334</v>
      </c>
      <c r="J10" s="9">
        <v>380.12133333333338</v>
      </c>
      <c r="K10" s="5">
        <v>525.52133333333336</v>
      </c>
      <c r="L10" s="5">
        <v>445.32133333333331</v>
      </c>
      <c r="M10" s="7">
        <v>435.42133333333334</v>
      </c>
      <c r="N10" s="8">
        <f t="shared" si="1"/>
        <v>6214.9560000000001</v>
      </c>
      <c r="O10" s="23">
        <f>N10/$N$22</f>
        <v>8.5615620810786566E-2</v>
      </c>
      <c r="P10" s="73"/>
      <c r="Q10" s="73"/>
    </row>
    <row r="11" spans="1:18" ht="15.75" x14ac:dyDescent="0.25">
      <c r="A11" s="18" t="s">
        <v>17</v>
      </c>
      <c r="B11" s="9">
        <v>268.30899999999997</v>
      </c>
      <c r="C11" s="10">
        <v>152.80899999999997</v>
      </c>
      <c r="D11" s="9">
        <v>203.90899999999996</v>
      </c>
      <c r="E11" s="10">
        <v>295.60899999999998</v>
      </c>
      <c r="F11" s="9">
        <v>280.80899999999997</v>
      </c>
      <c r="G11" s="11">
        <v>239.60899999999998</v>
      </c>
      <c r="H11" s="10">
        <v>240.50899999999996</v>
      </c>
      <c r="I11" s="9">
        <v>235.60899999999998</v>
      </c>
      <c r="J11" s="10">
        <v>227.10899999999998</v>
      </c>
      <c r="K11" s="9">
        <v>325.80899999999997</v>
      </c>
      <c r="L11" s="9">
        <v>312.80899999999997</v>
      </c>
      <c r="M11" s="10">
        <v>337.10899999999998</v>
      </c>
      <c r="N11" s="8">
        <f>SUM(B11:M11)</f>
        <v>3120.0080000000003</v>
      </c>
      <c r="O11" s="20">
        <f>N11/$N$22</f>
        <v>4.2980420433325769E-2</v>
      </c>
      <c r="P11" s="73"/>
      <c r="Q11" s="73"/>
    </row>
    <row r="12" spans="1:18" ht="15.75" x14ac:dyDescent="0.25">
      <c r="A12" s="82" t="s">
        <v>24</v>
      </c>
      <c r="B12" s="42">
        <v>34.552833333333339</v>
      </c>
      <c r="C12" s="10">
        <v>284.15283333333332</v>
      </c>
      <c r="D12" s="9">
        <v>201.55283333333335</v>
      </c>
      <c r="E12" s="10">
        <v>58.652833333333348</v>
      </c>
      <c r="F12" s="5">
        <v>110.55283333333335</v>
      </c>
      <c r="G12" s="7">
        <v>523.45283333333339</v>
      </c>
      <c r="H12" s="12">
        <v>400.25283333333334</v>
      </c>
      <c r="I12" s="9">
        <v>302.05283333333335</v>
      </c>
      <c r="J12" s="10">
        <v>329.75283333333334</v>
      </c>
      <c r="K12" s="5">
        <v>197.85283333333334</v>
      </c>
      <c r="L12" s="5">
        <v>149.65283333333335</v>
      </c>
      <c r="M12" s="12">
        <v>411.45283333333333</v>
      </c>
      <c r="N12" s="8">
        <f t="shared" si="1"/>
        <v>3003.9340000000002</v>
      </c>
      <c r="O12" s="23">
        <f>N12/$N$22</f>
        <v>4.1381415135461834E-2</v>
      </c>
      <c r="P12" s="73"/>
      <c r="Q12" s="73"/>
    </row>
    <row r="13" spans="1:18" ht="15.75" x14ac:dyDescent="0.25">
      <c r="A13" s="19" t="s">
        <v>28</v>
      </c>
      <c r="B13" s="34">
        <v>0</v>
      </c>
      <c r="C13" s="10">
        <v>0</v>
      </c>
      <c r="D13" s="14">
        <v>0</v>
      </c>
      <c r="E13" s="6">
        <v>0</v>
      </c>
      <c r="F13" s="9">
        <v>104.23816666666667</v>
      </c>
      <c r="G13" s="7">
        <v>109.83816666666667</v>
      </c>
      <c r="H13" s="10">
        <v>0</v>
      </c>
      <c r="I13" s="13">
        <v>279.03816666666665</v>
      </c>
      <c r="J13" s="34">
        <v>0</v>
      </c>
      <c r="K13" s="34">
        <v>121.63816666666668</v>
      </c>
      <c r="L13" s="12">
        <v>141.53816666666665</v>
      </c>
      <c r="M13" s="9">
        <v>162.03816666666665</v>
      </c>
      <c r="N13" s="8">
        <f>SUM(B13:M13)</f>
        <v>918.32900000000018</v>
      </c>
      <c r="O13" s="20">
        <f>N13/$N$22</f>
        <v>1.2650661958596141E-2</v>
      </c>
      <c r="P13" s="73"/>
      <c r="Q13" s="73"/>
    </row>
    <row r="14" spans="1:18" ht="15.75" x14ac:dyDescent="0.25">
      <c r="A14" s="19" t="s">
        <v>30</v>
      </c>
      <c r="B14" s="26">
        <v>166.23016666666666</v>
      </c>
      <c r="C14" s="10">
        <v>110.53016666666667</v>
      </c>
      <c r="D14" s="14">
        <v>0</v>
      </c>
      <c r="E14" s="26">
        <v>0</v>
      </c>
      <c r="F14" s="9">
        <v>0</v>
      </c>
      <c r="G14" s="34">
        <v>112.43016666666668</v>
      </c>
      <c r="H14" s="10">
        <v>163.73016666666666</v>
      </c>
      <c r="I14" s="39">
        <v>0</v>
      </c>
      <c r="J14" s="39">
        <v>0</v>
      </c>
      <c r="K14" s="39">
        <v>108.23016666666668</v>
      </c>
      <c r="L14" s="9">
        <v>245.03016666666667</v>
      </c>
      <c r="M14" s="9">
        <v>0.3</v>
      </c>
      <c r="N14" s="8">
        <f>SUM(B14:M14)</f>
        <v>906.48099999999999</v>
      </c>
      <c r="O14" s="20">
        <f>N14/$N$22</f>
        <v>1.2487446985655669E-2</v>
      </c>
      <c r="P14" s="73"/>
      <c r="Q14" s="73"/>
    </row>
    <row r="15" spans="1:18" ht="15.75" x14ac:dyDescent="0.25">
      <c r="A15" s="18" t="s">
        <v>16</v>
      </c>
      <c r="B15" s="13">
        <v>85.926249999999996</v>
      </c>
      <c r="C15" s="10">
        <v>0</v>
      </c>
      <c r="D15" s="14">
        <v>0</v>
      </c>
      <c r="E15" s="6">
        <v>66.226250000000007</v>
      </c>
      <c r="F15" s="9">
        <v>0</v>
      </c>
      <c r="G15" s="7">
        <v>0</v>
      </c>
      <c r="H15" s="10">
        <f>202.12625-50-30</f>
        <v>122.12625</v>
      </c>
      <c r="I15" s="9">
        <f>41.92625+26</f>
        <v>67.92625000000001</v>
      </c>
      <c r="J15" s="12">
        <v>30.426249999999996</v>
      </c>
      <c r="K15" s="5">
        <v>0</v>
      </c>
      <c r="L15" s="50">
        <v>0</v>
      </c>
      <c r="M15" s="9">
        <v>0</v>
      </c>
      <c r="N15" s="8">
        <f t="shared" si="1"/>
        <v>372.63125000000002</v>
      </c>
      <c r="O15" s="20">
        <f>N15/$N$22</f>
        <v>5.1332713863540486E-3</v>
      </c>
      <c r="P15" s="73"/>
      <c r="Q15" s="73"/>
    </row>
    <row r="16" spans="1:18" ht="15.75" x14ac:dyDescent="0.25">
      <c r="A16" s="19" t="s">
        <v>32</v>
      </c>
      <c r="B16" s="13">
        <v>0</v>
      </c>
      <c r="C16" s="10">
        <v>0</v>
      </c>
      <c r="D16" s="26">
        <v>122.761</v>
      </c>
      <c r="E16" s="6">
        <v>98.36099999999999</v>
      </c>
      <c r="F16" s="9">
        <v>0</v>
      </c>
      <c r="G16" s="7">
        <v>0</v>
      </c>
      <c r="H16" s="6">
        <v>0</v>
      </c>
      <c r="I16" s="34">
        <v>0</v>
      </c>
      <c r="J16" s="39">
        <v>0</v>
      </c>
      <c r="K16" s="34">
        <v>0</v>
      </c>
      <c r="L16" s="12">
        <v>0</v>
      </c>
      <c r="M16" s="9">
        <v>0</v>
      </c>
      <c r="N16" s="8">
        <f>SUM(B16:M16)</f>
        <v>221.12199999999999</v>
      </c>
      <c r="O16" s="20">
        <f>N16/$N$22</f>
        <v>3.0461192814434639E-3</v>
      </c>
      <c r="P16" s="73"/>
      <c r="Q16" s="73"/>
    </row>
    <row r="17" spans="1:17" ht="15.75" x14ac:dyDescent="0.25">
      <c r="A17" s="54" t="s">
        <v>22</v>
      </c>
      <c r="B17" s="37">
        <v>130.30099999999999</v>
      </c>
      <c r="C17" s="36">
        <v>25.000999999999998</v>
      </c>
      <c r="D17" s="38">
        <v>0</v>
      </c>
      <c r="E17" s="56">
        <v>0</v>
      </c>
      <c r="F17" s="36">
        <v>0</v>
      </c>
      <c r="G17" s="35">
        <v>0</v>
      </c>
      <c r="H17" s="26">
        <v>0</v>
      </c>
      <c r="I17" s="14">
        <v>0</v>
      </c>
      <c r="J17" s="39">
        <v>0</v>
      </c>
      <c r="K17" s="14">
        <v>29.701000000000001</v>
      </c>
      <c r="L17" s="43">
        <v>0</v>
      </c>
      <c r="M17" s="42">
        <v>0</v>
      </c>
      <c r="N17" s="8">
        <f>SUM(B17:M17)</f>
        <v>185.00299999999999</v>
      </c>
      <c r="O17" s="20">
        <f>N17/$N$22</f>
        <v>2.5485533118589972E-3</v>
      </c>
      <c r="P17" s="73"/>
      <c r="Q17" s="73"/>
    </row>
    <row r="18" spans="1:17" ht="15.75" x14ac:dyDescent="0.25">
      <c r="A18" s="55" t="s">
        <v>19</v>
      </c>
      <c r="B18" s="50">
        <v>0</v>
      </c>
      <c r="C18" s="61">
        <v>0.56445454545454576</v>
      </c>
      <c r="D18" s="9">
        <v>0.96445454545454579</v>
      </c>
      <c r="E18" s="9">
        <v>0.86445454545454581</v>
      </c>
      <c r="F18" s="9">
        <v>1.0644545454545458</v>
      </c>
      <c r="G18" s="50">
        <v>2.8644545454545454</v>
      </c>
      <c r="H18" s="9">
        <v>3.2644545454545457</v>
      </c>
      <c r="I18" s="11">
        <v>3.2644545454545457</v>
      </c>
      <c r="J18" s="11">
        <v>3.0644545454545455</v>
      </c>
      <c r="K18" s="6">
        <v>3.1644545454545456</v>
      </c>
      <c r="L18" s="9">
        <v>2.9644545454545455</v>
      </c>
      <c r="M18" s="9">
        <v>2.9644545454545455</v>
      </c>
      <c r="N18" s="60">
        <f>SUM(B18:M18)</f>
        <v>25.009</v>
      </c>
      <c r="O18" s="22">
        <f>N18/$N$22</f>
        <v>3.4451749310163442E-4</v>
      </c>
      <c r="P18" s="73"/>
      <c r="Q18" s="73"/>
    </row>
    <row r="19" spans="1:17" ht="15.75" x14ac:dyDescent="0.25">
      <c r="A19" s="51" t="s">
        <v>29</v>
      </c>
      <c r="B19" s="57">
        <v>5.9176666666666664</v>
      </c>
      <c r="C19" s="50">
        <v>0</v>
      </c>
      <c r="D19" s="57">
        <v>0</v>
      </c>
      <c r="E19" s="9">
        <v>0</v>
      </c>
      <c r="F19" s="9">
        <v>0</v>
      </c>
      <c r="G19" s="12">
        <v>0.1</v>
      </c>
      <c r="H19" s="9">
        <v>0</v>
      </c>
      <c r="I19" s="9">
        <v>0</v>
      </c>
      <c r="J19" s="11">
        <v>0</v>
      </c>
      <c r="K19" s="10">
        <v>0</v>
      </c>
      <c r="L19" s="9">
        <v>5.5176666666666661</v>
      </c>
      <c r="M19" s="9">
        <v>11.217666666666666</v>
      </c>
      <c r="N19" s="8">
        <f>SUM(B19:M19)</f>
        <v>22.753</v>
      </c>
      <c r="O19" s="22">
        <f>N19/$N$22</f>
        <v>3.1343942262951287E-4</v>
      </c>
      <c r="P19" s="73"/>
      <c r="Q19" s="73"/>
    </row>
    <row r="20" spans="1:17" ht="15.75" x14ac:dyDescent="0.25">
      <c r="A20" s="18" t="s">
        <v>20</v>
      </c>
      <c r="B20" s="9">
        <v>17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15">
        <v>0</v>
      </c>
      <c r="I20" s="14">
        <v>0</v>
      </c>
      <c r="J20" s="9">
        <v>0</v>
      </c>
      <c r="K20" s="9">
        <v>0</v>
      </c>
      <c r="L20" s="14">
        <v>0</v>
      </c>
      <c r="M20" s="9">
        <v>0</v>
      </c>
      <c r="N20" s="8">
        <f t="shared" si="1"/>
        <v>17</v>
      </c>
      <c r="O20" s="76">
        <f>N20/$N$22</f>
        <v>2.3418758777751149E-4</v>
      </c>
      <c r="P20" s="77"/>
      <c r="Q20" s="73"/>
    </row>
    <row r="21" spans="1:17" ht="16.5" thickBot="1" x14ac:dyDescent="0.3">
      <c r="A21" s="78" t="s">
        <v>33</v>
      </c>
      <c r="B21" s="63">
        <v>0</v>
      </c>
      <c r="C21" s="64">
        <v>0</v>
      </c>
      <c r="D21" s="66">
        <v>0</v>
      </c>
      <c r="E21" s="66">
        <v>0.1</v>
      </c>
      <c r="F21" s="65">
        <v>0</v>
      </c>
      <c r="G21" s="64">
        <v>0.1</v>
      </c>
      <c r="H21" s="66">
        <v>0</v>
      </c>
      <c r="I21" s="65">
        <v>0</v>
      </c>
      <c r="J21" s="65">
        <v>0</v>
      </c>
      <c r="K21" s="63">
        <v>0.1</v>
      </c>
      <c r="L21" s="66">
        <v>0.1</v>
      </c>
      <c r="M21" s="66">
        <v>0</v>
      </c>
      <c r="N21" s="70">
        <f>SUM(B21:M21)</f>
        <v>0.4</v>
      </c>
      <c r="O21" s="22">
        <f>N21/$N$22</f>
        <v>5.51029618300027E-6</v>
      </c>
      <c r="P21" s="73"/>
      <c r="Q21" s="73"/>
    </row>
    <row r="22" spans="1:17" s="21" customFormat="1" ht="16.5" thickBot="1" x14ac:dyDescent="0.3">
      <c r="A22" s="44" t="s">
        <v>21</v>
      </c>
      <c r="B22" s="45">
        <f>SUM(B6:B21)</f>
        <v>6382.357</v>
      </c>
      <c r="C22" s="45">
        <f>SUM(C6:C21)</f>
        <v>5624.8775378787877</v>
      </c>
      <c r="D22" s="45">
        <f>SUM(D6:D21)</f>
        <v>6720.4073712121208</v>
      </c>
      <c r="E22" s="45">
        <f>SUM(E6:E21)</f>
        <v>6101.1336212121223</v>
      </c>
      <c r="F22" s="45">
        <f>SUM(F6:F21)</f>
        <v>6180.6845378787875</v>
      </c>
      <c r="G22" s="45">
        <f>SUM(G6:G21)</f>
        <v>6007.4147045454565</v>
      </c>
      <c r="H22" s="45">
        <f>SUM(H6:H21)</f>
        <v>6221.0027878787869</v>
      </c>
      <c r="I22" s="45">
        <f>SUM(I6:I21)</f>
        <v>5394.5787878787878</v>
      </c>
      <c r="J22" s="45">
        <f>SUM(J6:J21)</f>
        <v>5638.7726212121215</v>
      </c>
      <c r="K22" s="45">
        <f>SUM(K6:K21)</f>
        <v>5586.7157045454551</v>
      </c>
      <c r="L22" s="45">
        <f>SUM(L6:L21)</f>
        <v>5558.5323712121217</v>
      </c>
      <c r="M22" s="45">
        <f>SUM(M6:M21)</f>
        <v>7174.9022045454549</v>
      </c>
      <c r="N22" s="46">
        <f>SUM(B22,C22,D22,E22,F22,G22,H22,I22,J22,K22,L22,M22,)</f>
        <v>72591.379249999998</v>
      </c>
      <c r="O22" s="75">
        <f>N22/$N$22</f>
        <v>1</v>
      </c>
    </row>
    <row r="24" spans="1:17" s="25" customFormat="1" ht="18.75" customHeight="1" x14ac:dyDescent="0.3">
      <c r="A24" s="25" t="s">
        <v>25</v>
      </c>
      <c r="B24" s="93" t="s">
        <v>36</v>
      </c>
      <c r="C24" s="94"/>
      <c r="D24" s="94"/>
      <c r="E24" s="94"/>
      <c r="F24" s="94"/>
      <c r="G24" s="94"/>
    </row>
    <row r="25" spans="1:17" ht="18.75" customHeight="1" x14ac:dyDescent="0.25"/>
    <row r="26" spans="1:17" x14ac:dyDescent="0.25">
      <c r="A26" s="91" t="s">
        <v>26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</row>
    <row r="27" spans="1:17" ht="15" customHeight="1" x14ac:dyDescent="0.25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</row>
  </sheetData>
  <mergeCells count="5">
    <mergeCell ref="A3:O3"/>
    <mergeCell ref="B4:M4"/>
    <mergeCell ref="N4:O4"/>
    <mergeCell ref="B24:G24"/>
    <mergeCell ref="A26:O27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Marcotulli Rossella</cp:lastModifiedBy>
  <cp:lastPrinted>2018-08-07T08:10:11Z</cp:lastPrinted>
  <dcterms:created xsi:type="dcterms:W3CDTF">2015-08-03T12:11:17Z</dcterms:created>
  <dcterms:modified xsi:type="dcterms:W3CDTF">2024-06-12T08:13:51Z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ee9e49ca-5c60-4153-9c86-f5d2a438c41b</vt:lpwstr>
  </property>
</Properties>
</file>