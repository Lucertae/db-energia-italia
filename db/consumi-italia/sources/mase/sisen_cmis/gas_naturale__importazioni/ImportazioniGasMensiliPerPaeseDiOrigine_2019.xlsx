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55"/>
  </bookViews>
  <sheets>
    <sheet name="Foglio1" sheetId="1" r:id="rId1"/>
    <sheet name="Foglio2" sheetId="2" r:id="rId2"/>
    <sheet name="Foglio3" sheetId="3" r:id="rId3"/>
  </sheets>
  <calcPr calcId="152511"/>
</workbook>
</file>

<file path=xl/calcChain.xml><?xml version="1.0" encoding="utf-8"?>
<calcChain xmlns="http://schemas.openxmlformats.org/spreadsheetml/2006/main">
  <c r="M23" i="1" l="1"/>
  <c r="L23" i="1"/>
  <c r="K23" i="1"/>
  <c r="J23" i="1"/>
  <c r="I23" i="1"/>
  <c r="H23" i="1"/>
  <c r="G23" i="1"/>
  <c r="F23" i="1"/>
  <c r="E23" i="1"/>
  <c r="D23" i="1"/>
  <c r="C23" i="1"/>
  <c r="B23" i="1"/>
  <c r="N23" i="1" l="1"/>
  <c r="O20" i="1" l="1"/>
  <c r="O13" i="1"/>
  <c r="O11" i="1"/>
  <c r="O18" i="1"/>
  <c r="O14" i="1"/>
  <c r="O16" i="1"/>
  <c r="O17" i="1"/>
  <c r="O19" i="1"/>
  <c r="O21" i="1"/>
  <c r="O9" i="1"/>
  <c r="O6" i="1"/>
  <c r="O12" i="1"/>
  <c r="O8" i="1"/>
  <c r="O23" i="1"/>
  <c r="O15" i="1"/>
  <c r="O10" i="1"/>
  <c r="O7" i="1"/>
  <c r="O22" i="1"/>
</calcChain>
</file>

<file path=xl/sharedStrings.xml><?xml version="1.0" encoding="utf-8"?>
<sst xmlns="http://schemas.openxmlformats.org/spreadsheetml/2006/main" count="39" uniqueCount="39">
  <si>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</si>
  <si>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</si>
  <si>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</si>
  <si>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</si>
  <si>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</si>
  <si>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</si>
  <si>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</si>
  <si>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</si>
  <si>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</si>
  <si>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</si>
  <si>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</si>
  <si>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</si>
  <si>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</si>
  <si>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</si>
  <si>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RUSSIA</t>
  </si>
  <si>
    <t>ALGERIA</t>
  </si>
  <si>
    <t>OLANDA</t>
  </si>
  <si>
    <t>LIBIA</t>
  </si>
  <si>
    <t>NORVEGIA</t>
  </si>
  <si>
    <t>CROAZIA</t>
  </si>
  <si>
    <t>DANIMARCA</t>
  </si>
  <si>
    <t>REGNO UNITO</t>
  </si>
  <si>
    <t>FRANCIA</t>
  </si>
  <si>
    <t>Totale complessivo</t>
  </si>
  <si>
    <t>SLOVENIA</t>
  </si>
  <si>
    <t>NIGERIA</t>
  </si>
  <si>
    <t>SPAGNA</t>
  </si>
  <si>
    <t>EGITTO</t>
  </si>
  <si>
    <t>TRINIDAD</t>
  </si>
  <si>
    <t>MINISTERO DELLO SVILUPPO ECONOMICO - D.G.S.S.E.G.</t>
  </si>
  <si>
    <t>QATAR</t>
  </si>
  <si>
    <t>U.S.A.</t>
  </si>
  <si>
    <t>GUINEA  EQUATORIALE</t>
  </si>
  <si>
    <t>Totale 2019</t>
  </si>
  <si>
    <t>FONTE:</t>
  </si>
  <si>
    <t>DIV. III</t>
  </si>
  <si>
    <r>
      <t xml:space="preserve">IMPORTAZIONI DI GAS NATURALE PER PAESE DI ORIGINE* - ANNO 2019 -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</si>
  <si>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</si>
  <si>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D.G.I.S.S.E.G.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</si>
</sst>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,,,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3" fillId="0" borderId="4" xfId="0" applyNumberFormat="1" applyFont="1" applyFill="1" applyBorder="1" applyProtection="1"/>
    <xf numFmtId="3" fontId="3" fillId="0" borderId="0" xfId="0" applyNumberFormat="1" applyFont="1" applyFill="1" applyProtection="1"/>
    <xf numFmtId="3" fontId="3" fillId="0" borderId="5" xfId="0" applyNumberFormat="1" applyFont="1" applyFill="1" applyBorder="1" applyProtection="1"/>
    <xf numFmtId="3" fontId="1" fillId="0" borderId="2" xfId="0" applyNumberFormat="1" applyFont="1" applyBorder="1"/>
    <xf numFmtId="3" fontId="3" fillId="0" borderId="2" xfId="0" applyNumberFormat="1" applyFont="1" applyFill="1" applyBorder="1" applyProtection="1"/>
    <xf numFmtId="3" fontId="3" fillId="0" borderId="6" xfId="0" applyNumberFormat="1" applyFont="1" applyFill="1" applyBorder="1" applyProtection="1"/>
    <xf numFmtId="3" fontId="3" fillId="0" borderId="7" xfId="0" applyNumberFormat="1" applyFont="1" applyFill="1" applyBorder="1" applyProtection="1"/>
    <xf numFmtId="3" fontId="3" fillId="0" borderId="9" xfId="0" applyNumberFormat="1" applyFont="1" applyFill="1" applyBorder="1" applyProtection="1"/>
    <xf numFmtId="3" fontId="1" fillId="0" borderId="4" xfId="0" applyNumberFormat="1" applyFont="1" applyBorder="1"/>
    <xf numFmtId="3" fontId="3" fillId="0" borderId="8" xfId="0" applyNumberFormat="1" applyFont="1" applyFill="1" applyBorder="1" applyProtection="1"/>
    <xf numFmtId="3" fontId="3" fillId="0" borderId="12" xfId="0" applyNumberFormat="1" applyFont="1" applyFill="1" applyBorder="1" applyProtection="1"/>
    <xf numFmtId="3" fontId="3" fillId="0" borderId="13" xfId="0" applyNumberFormat="1" applyFont="1" applyFill="1" applyBorder="1" applyProtection="1"/>
    <xf numFmtId="0" fontId="5" fillId="0" borderId="1" xfId="0" applyFont="1" applyBorder="1"/>
    <xf numFmtId="0" fontId="5" fillId="0" borderId="2" xfId="0" applyFont="1" applyBorder="1"/>
    <xf numFmtId="0" fontId="5" fillId="0" borderId="11" xfId="0" applyFont="1" applyBorder="1"/>
    <xf numFmtId="164" fontId="2" fillId="0" borderId="1" xfId="0" applyNumberFormat="1" applyFont="1" applyBorder="1"/>
    <xf numFmtId="165" fontId="5" fillId="0" borderId="3" xfId="0" applyNumberFormat="1" applyFont="1" applyBorder="1"/>
    <xf numFmtId="0" fontId="5" fillId="0" borderId="0" xfId="0" applyFont="1"/>
    <xf numFmtId="165" fontId="5" fillId="0" borderId="2" xfId="0" applyNumberFormat="1" applyFont="1" applyBorder="1"/>
    <xf numFmtId="165" fontId="5" fillId="0" borderId="10" xfId="0" applyNumberFormat="1" applyFont="1" applyBorder="1"/>
    <xf numFmtId="164" fontId="2" fillId="0" borderId="19" xfId="0" applyNumberFormat="1" applyFont="1" applyBorder="1"/>
    <xf numFmtId="3" fontId="3" fillId="0" borderId="0" xfId="0" applyNumberFormat="1" applyFont="1" applyFill="1" applyBorder="1" applyProtection="1"/>
    <xf numFmtId="0" fontId="8" fillId="0" borderId="0" xfId="0" applyFont="1"/>
    <xf numFmtId="3" fontId="3" fillId="0" borderId="20" xfId="0" applyNumberFormat="1" applyFont="1" applyFill="1" applyBorder="1" applyProtection="1"/>
    <xf numFmtId="3" fontId="3" fillId="0" borderId="21" xfId="0" applyNumberFormat="1" applyFont="1" applyFill="1" applyBorder="1" applyProtection="1"/>
    <xf numFmtId="3" fontId="3" fillId="0" borderId="22" xfId="0" applyNumberFormat="1" applyFont="1" applyFill="1" applyBorder="1" applyProtection="1"/>
    <xf numFmtId="164" fontId="2" fillId="0" borderId="23" xfId="0" applyNumberFormat="1" applyFont="1" applyBorder="1"/>
    <xf numFmtId="3" fontId="3" fillId="0" borderId="24" xfId="0" applyNumberFormat="1" applyFont="1" applyFill="1" applyBorder="1" applyProtection="1"/>
    <xf numFmtId="3" fontId="3" fillId="0" borderId="25" xfId="0" applyNumberFormat="1" applyFont="1" applyFill="1" applyBorder="1" applyProtection="1"/>
    <xf numFmtId="3" fontId="3" fillId="0" borderId="26" xfId="0" applyNumberFormat="1" applyFont="1" applyFill="1" applyBorder="1" applyProtection="1"/>
    <xf numFmtId="3" fontId="3" fillId="0" borderId="27" xfId="0" applyNumberFormat="1" applyFont="1" applyFill="1" applyBorder="1" applyProtection="1"/>
    <xf numFmtId="3" fontId="3" fillId="0" borderId="28" xfId="0" applyNumberFormat="1" applyFont="1" applyFill="1" applyBorder="1" applyProtection="1"/>
    <xf numFmtId="3" fontId="3" fillId="0" borderId="29" xfId="0" applyNumberFormat="1" applyFont="1" applyFill="1" applyBorder="1" applyProtection="1"/>
    <xf numFmtId="3" fontId="3" fillId="0" borderId="30" xfId="0" applyNumberFormat="1" applyFont="1" applyFill="1" applyBorder="1" applyProtection="1"/>
    <xf numFmtId="3" fontId="3" fillId="0" borderId="31" xfId="0" applyNumberFormat="1" applyFont="1" applyFill="1" applyBorder="1" applyProtection="1"/>
    <xf numFmtId="3" fontId="3" fillId="0" borderId="32" xfId="0" applyNumberFormat="1" applyFont="1" applyFill="1" applyBorder="1" applyProtection="1"/>
    <xf numFmtId="3" fontId="3" fillId="0" borderId="33" xfId="0" applyNumberFormat="1" applyFont="1" applyFill="1" applyBorder="1" applyProtection="1"/>
    <xf numFmtId="3" fontId="3" fillId="0" borderId="34" xfId="0" applyNumberFormat="1" applyFont="1" applyFill="1" applyBorder="1" applyProtection="1"/>
    <xf numFmtId="3" fontId="3" fillId="0" borderId="35" xfId="0" applyNumberFormat="1" applyFont="1" applyFill="1" applyBorder="1" applyProtection="1"/>
    <xf numFmtId="3" fontId="3" fillId="0" borderId="36" xfId="0" applyNumberFormat="1" applyFont="1" applyFill="1" applyBorder="1" applyProtection="1"/>
    <xf numFmtId="3" fontId="3" fillId="0" borderId="37" xfId="0" applyNumberFormat="1" applyFont="1" applyFill="1" applyBorder="1" applyProtection="1"/>
    <xf numFmtId="3" fontId="3" fillId="0" borderId="38" xfId="0" applyNumberFormat="1" applyFont="1" applyFill="1" applyBorder="1" applyProtection="1"/>
    <xf numFmtId="164" fontId="2" fillId="0" borderId="4" xfId="0" applyNumberFormat="1" applyFont="1" applyBorder="1"/>
    <xf numFmtId="0" fontId="5" fillId="0" borderId="39" xfId="0" applyFont="1" applyBorder="1"/>
    <xf numFmtId="3" fontId="4" fillId="0" borderId="39" xfId="0" applyNumberFormat="1" applyFont="1" applyFill="1" applyBorder="1" applyAlignment="1">
      <alignment horizontal="right" indent="1"/>
    </xf>
    <xf numFmtId="3" fontId="1" fillId="0" borderId="39" xfId="0" applyNumberFormat="1" applyFont="1" applyBorder="1"/>
    <xf numFmtId="165" fontId="5" fillId="0" borderId="39" xfId="0" applyNumberFormat="1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8"/>
  <sheetViews>
    <sheetView tabSelected="1" workbookViewId="0">
      <selection activeCell="A27" sqref="A27:O28"/>
    </sheetView>
  </sheetViews>
  <sheetFormatPr defaultRowHeight="15" x14ac:dyDescent="0.25"/>
  <cols>
    <col min="1" max="1" width="23.5703125" customWidth="1"/>
    <col min="2" max="2" width="12.28515625" customWidth="1"/>
    <col min="3" max="3" width="14" customWidth="1"/>
    <col min="4" max="5" width="12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2" spans="1:15" ht="15.75" thickBot="1" x14ac:dyDescent="0.3"/>
    <row r="3" spans="1:15" ht="15.75" x14ac:dyDescent="0.25">
      <c r="A3" s="52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4"/>
    </row>
    <row r="4" spans="1:15" x14ac:dyDescent="0.25">
      <c r="A4" s="1"/>
      <c r="B4" s="55" t="s">
        <v>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7"/>
      <c r="N4" s="58"/>
      <c r="O4" s="59"/>
    </row>
    <row r="5" spans="1:15" x14ac:dyDescent="0.25">
      <c r="A5" s="1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33</v>
      </c>
      <c r="O5" s="3" t="s">
        <v>13</v>
      </c>
    </row>
    <row r="6" spans="1:15" ht="15.75" x14ac:dyDescent="0.25">
      <c r="A6" s="17" t="s">
        <v>14</v>
      </c>
      <c r="B6" s="5">
        <v>2938.5068269999992</v>
      </c>
      <c r="C6" s="6">
        <v>2026.8797929999998</v>
      </c>
      <c r="D6" s="5">
        <v>2950.0810759999995</v>
      </c>
      <c r="E6" s="6">
        <v>3420.6036700000009</v>
      </c>
      <c r="F6" s="5">
        <v>3309.3934769999992</v>
      </c>
      <c r="G6" s="7">
        <v>2975.8934629999994</v>
      </c>
      <c r="H6" s="6">
        <v>3079.8930270000005</v>
      </c>
      <c r="I6" s="5">
        <v>2366.7925309999996</v>
      </c>
      <c r="J6" s="6">
        <v>2846.1204639999987</v>
      </c>
      <c r="K6" s="5">
        <v>2079.3942459999998</v>
      </c>
      <c r="L6" s="5">
        <v>2806.9762400000004</v>
      </c>
      <c r="M6" s="6">
        <v>2648.6033650000008</v>
      </c>
      <c r="N6" s="8">
        <v>33449.138179000001</v>
      </c>
      <c r="O6" s="21">
        <f t="shared" ref="O6:O23" si="0">N6/$N$23</f>
        <v>0.47068371522272423</v>
      </c>
    </row>
    <row r="7" spans="1:15" ht="15.75" x14ac:dyDescent="0.25">
      <c r="A7" s="17" t="s">
        <v>15</v>
      </c>
      <c r="B7" s="9">
        <v>1848.734563</v>
      </c>
      <c r="C7" s="10">
        <v>1329.432004</v>
      </c>
      <c r="D7" s="9">
        <v>899.25028699999984</v>
      </c>
      <c r="E7" s="10">
        <v>1021.4704439999999</v>
      </c>
      <c r="F7" s="9">
        <v>1083.9403370000002</v>
      </c>
      <c r="G7" s="11">
        <v>1054.4759050000002</v>
      </c>
      <c r="H7" s="10">
        <v>894.59116299999994</v>
      </c>
      <c r="I7" s="9">
        <v>994.38060999999993</v>
      </c>
      <c r="J7" s="10">
        <v>1070.041929</v>
      </c>
      <c r="K7" s="9">
        <v>885.18977099999995</v>
      </c>
      <c r="L7" s="9">
        <v>875.82368099999997</v>
      </c>
      <c r="M7" s="11">
        <v>1408.2739219999999</v>
      </c>
      <c r="N7" s="8">
        <v>13365.604616000001</v>
      </c>
      <c r="O7" s="21">
        <f t="shared" si="0"/>
        <v>0.18807577053828142</v>
      </c>
    </row>
    <row r="8" spans="1:15" ht="15.75" x14ac:dyDescent="0.25">
      <c r="A8" s="18" t="s">
        <v>30</v>
      </c>
      <c r="B8" s="9">
        <v>541.55197699999997</v>
      </c>
      <c r="C8" s="10">
        <v>434.25316099999998</v>
      </c>
      <c r="D8" s="9">
        <v>609.6311310000001</v>
      </c>
      <c r="E8" s="10">
        <v>525.04291599999999</v>
      </c>
      <c r="F8" s="9">
        <v>521.66392299999995</v>
      </c>
      <c r="G8" s="11">
        <v>431.32013000000001</v>
      </c>
      <c r="H8" s="10">
        <v>625.93718000000001</v>
      </c>
      <c r="I8" s="9">
        <v>607.47950300000002</v>
      </c>
      <c r="J8" s="10">
        <v>519.38288</v>
      </c>
      <c r="K8" s="9">
        <v>606.67173200000002</v>
      </c>
      <c r="L8" s="9">
        <v>604.61178700000005</v>
      </c>
      <c r="M8" s="11">
        <v>522.52749000000006</v>
      </c>
      <c r="N8" s="8">
        <v>6550.0738099999999</v>
      </c>
      <c r="O8" s="23">
        <f t="shared" si="0"/>
        <v>9.2170179673252028E-2</v>
      </c>
    </row>
    <row r="9" spans="1:15" ht="15.75" x14ac:dyDescent="0.25">
      <c r="A9" s="17" t="s">
        <v>18</v>
      </c>
      <c r="B9" s="14">
        <v>448.48879600000004</v>
      </c>
      <c r="C9" s="6">
        <v>617.86526200000003</v>
      </c>
      <c r="D9" s="14">
        <v>619.31029699999988</v>
      </c>
      <c r="E9" s="6">
        <v>678.78405299999997</v>
      </c>
      <c r="F9" s="9">
        <v>787.59973400000001</v>
      </c>
      <c r="G9" s="5">
        <v>691.31450500000005</v>
      </c>
      <c r="H9" s="9">
        <v>656.07444600000008</v>
      </c>
      <c r="I9" s="9">
        <v>185.89664200000001</v>
      </c>
      <c r="J9" s="6">
        <v>161.55558200000002</v>
      </c>
      <c r="K9" s="5">
        <v>731.99900900000011</v>
      </c>
      <c r="L9" s="9">
        <v>258.024316</v>
      </c>
      <c r="M9" s="5">
        <v>303.67817799999995</v>
      </c>
      <c r="N9" s="8">
        <v>6140.5908200000003</v>
      </c>
      <c r="O9" s="21">
        <f t="shared" si="0"/>
        <v>8.6408088763097773E-2</v>
      </c>
    </row>
    <row r="10" spans="1:15" ht="15.75" x14ac:dyDescent="0.25">
      <c r="A10" s="18" t="s">
        <v>17</v>
      </c>
      <c r="B10" s="9">
        <v>425.477799</v>
      </c>
      <c r="C10" s="9">
        <v>393.701796</v>
      </c>
      <c r="D10" s="9">
        <v>478.77961500000004</v>
      </c>
      <c r="E10" s="9">
        <v>496.87456799999995</v>
      </c>
      <c r="F10" s="5">
        <v>552.41515900000002</v>
      </c>
      <c r="G10" s="7">
        <v>467.09903000000003</v>
      </c>
      <c r="H10" s="12">
        <v>463.92525599999999</v>
      </c>
      <c r="I10" s="9">
        <v>523.546155</v>
      </c>
      <c r="J10" s="9">
        <v>443.77940900000004</v>
      </c>
      <c r="K10" s="5">
        <v>506.16990800000002</v>
      </c>
      <c r="L10" s="5">
        <v>489.039422</v>
      </c>
      <c r="M10" s="7">
        <v>459.957156</v>
      </c>
      <c r="N10" s="13">
        <v>5700.765273</v>
      </c>
      <c r="O10" s="24">
        <f t="shared" si="0"/>
        <v>8.0219028781821564E-2</v>
      </c>
    </row>
    <row r="11" spans="1:15" ht="15.75" x14ac:dyDescent="0.25">
      <c r="A11" s="19" t="s">
        <v>16</v>
      </c>
      <c r="B11" s="14">
        <v>55.162526</v>
      </c>
      <c r="C11" s="6">
        <v>47.440301999999996</v>
      </c>
      <c r="D11" s="14">
        <v>57.469854999999995</v>
      </c>
      <c r="E11" s="6">
        <v>127.73061299999999</v>
      </c>
      <c r="F11" s="9">
        <v>62.774248999999998</v>
      </c>
      <c r="G11" s="5">
        <v>161.966531</v>
      </c>
      <c r="H11" s="16">
        <v>338.97135200000002</v>
      </c>
      <c r="I11" s="15">
        <v>485.42749500000002</v>
      </c>
      <c r="J11" s="6">
        <v>132.22168399999998</v>
      </c>
      <c r="K11" s="5">
        <v>132.29639399999999</v>
      </c>
      <c r="L11" s="15">
        <v>70.022368</v>
      </c>
      <c r="M11" s="5">
        <v>48.232830999999997</v>
      </c>
      <c r="N11" s="8">
        <v>1719.7162000000001</v>
      </c>
      <c r="O11" s="21">
        <f t="shared" si="0"/>
        <v>2.4199200763052504E-2</v>
      </c>
    </row>
    <row r="12" spans="1:15" ht="15.75" x14ac:dyDescent="0.25">
      <c r="A12" s="19" t="s">
        <v>31</v>
      </c>
      <c r="B12" s="9">
        <v>92.783430999999993</v>
      </c>
      <c r="C12" s="10">
        <v>186.12491199999999</v>
      </c>
      <c r="D12" s="9">
        <v>274.986716</v>
      </c>
      <c r="E12" s="10">
        <v>92.828360000000004</v>
      </c>
      <c r="F12" s="9">
        <v>89.795748000000003</v>
      </c>
      <c r="G12" s="11">
        <v>171.545613</v>
      </c>
      <c r="H12" s="10">
        <v>180.75199900000001</v>
      </c>
      <c r="I12" s="9">
        <v>183.53282300000001</v>
      </c>
      <c r="J12" s="10">
        <v>82.357737999999998</v>
      </c>
      <c r="K12" s="9">
        <v>90.235338999999996</v>
      </c>
      <c r="L12" s="9">
        <v>10.9</v>
      </c>
      <c r="M12" s="10">
        <v>157.662747</v>
      </c>
      <c r="N12" s="8">
        <v>1613.5054260000002</v>
      </c>
      <c r="O12" s="21">
        <f t="shared" si="0"/>
        <v>2.2704642624200761E-2</v>
      </c>
    </row>
    <row r="13" spans="1:15" ht="15.75" x14ac:dyDescent="0.25">
      <c r="A13" s="19" t="s">
        <v>28</v>
      </c>
      <c r="B13" s="14">
        <v>179.76949300000001</v>
      </c>
      <c r="C13" s="10">
        <v>77.275896000000003</v>
      </c>
      <c r="D13" s="15">
        <v>103.136762</v>
      </c>
      <c r="E13" s="26">
        <v>97.759159999999994</v>
      </c>
      <c r="F13" s="9">
        <v>94.578918999999999</v>
      </c>
      <c r="G13" s="7">
        <v>155.43392299999999</v>
      </c>
      <c r="H13" s="10">
        <v>115.81286900000001</v>
      </c>
      <c r="I13" s="36">
        <v>95.205112</v>
      </c>
      <c r="J13" s="36">
        <v>166.10162099999999</v>
      </c>
      <c r="K13" s="14">
        <v>101.63638</v>
      </c>
      <c r="L13" s="43">
        <v>140.350627</v>
      </c>
      <c r="M13" s="45">
        <v>85.713768000000002</v>
      </c>
      <c r="N13" s="8">
        <v>1412.7745299999999</v>
      </c>
      <c r="O13" s="21">
        <f t="shared" si="0"/>
        <v>1.9880032812621722E-2</v>
      </c>
    </row>
    <row r="14" spans="1:15" ht="15.75" x14ac:dyDescent="0.25">
      <c r="A14" s="19" t="s">
        <v>27</v>
      </c>
      <c r="B14" s="28">
        <v>0</v>
      </c>
      <c r="C14" s="6">
        <v>0</v>
      </c>
      <c r="D14" s="14">
        <v>0</v>
      </c>
      <c r="E14" s="28">
        <v>98.160730000000001</v>
      </c>
      <c r="F14" s="9">
        <v>94.371422999999993</v>
      </c>
      <c r="G14" s="5">
        <v>93.682955000000007</v>
      </c>
      <c r="H14" s="16">
        <v>89.375195000000005</v>
      </c>
      <c r="I14" s="15">
        <v>0</v>
      </c>
      <c r="J14" s="6">
        <v>0</v>
      </c>
      <c r="K14" s="5">
        <v>0</v>
      </c>
      <c r="L14" s="15">
        <v>0</v>
      </c>
      <c r="M14" s="5">
        <v>96.711838999999998</v>
      </c>
      <c r="N14" s="8">
        <v>472.302142</v>
      </c>
      <c r="O14" s="21">
        <f t="shared" si="0"/>
        <v>6.6460584339891266E-3</v>
      </c>
    </row>
    <row r="15" spans="1:15" ht="15.75" x14ac:dyDescent="0.25">
      <c r="A15" s="19" t="s">
        <v>25</v>
      </c>
      <c r="B15" s="9">
        <v>0</v>
      </c>
      <c r="C15" s="9">
        <v>0</v>
      </c>
      <c r="D15" s="9">
        <v>0</v>
      </c>
      <c r="E15" s="9">
        <v>92.681810999999996</v>
      </c>
      <c r="F15" s="9">
        <v>0</v>
      </c>
      <c r="G15" s="9">
        <v>0</v>
      </c>
      <c r="H15" s="16">
        <v>81.261503000000005</v>
      </c>
      <c r="I15" s="15">
        <v>0</v>
      </c>
      <c r="J15" s="9">
        <v>0</v>
      </c>
      <c r="K15" s="9">
        <v>0</v>
      </c>
      <c r="L15" s="15">
        <v>0</v>
      </c>
      <c r="M15" s="9">
        <v>0</v>
      </c>
      <c r="N15" s="8">
        <v>173.94331399999999</v>
      </c>
      <c r="O15" s="23">
        <f t="shared" si="0"/>
        <v>2.4476650140742295E-3</v>
      </c>
    </row>
    <row r="16" spans="1:15" ht="15.75" x14ac:dyDescent="0.25">
      <c r="A16" s="20" t="s">
        <v>22</v>
      </c>
      <c r="B16" s="14">
        <v>9.6489890000000003</v>
      </c>
      <c r="C16" s="10">
        <v>9.8617789999999985</v>
      </c>
      <c r="D16" s="15">
        <v>8.7396060000000002</v>
      </c>
      <c r="E16" s="6">
        <v>9.4733990000000006</v>
      </c>
      <c r="F16" s="9">
        <v>10.253448000000001</v>
      </c>
      <c r="G16" s="7">
        <v>9.8904589999999999</v>
      </c>
      <c r="H16" s="10">
        <v>9.6032399999999996</v>
      </c>
      <c r="I16" s="14">
        <v>8.7710080000000001</v>
      </c>
      <c r="J16" s="36">
        <v>9.4258180000000014</v>
      </c>
      <c r="K16" s="36">
        <v>9.6032709999999994</v>
      </c>
      <c r="L16" s="12">
        <v>9.0839239999999997</v>
      </c>
      <c r="M16" s="9">
        <v>10.243781999999999</v>
      </c>
      <c r="N16" s="8">
        <v>114.59872299999999</v>
      </c>
      <c r="O16" s="21">
        <f t="shared" si="0"/>
        <v>1.6125902082369419E-3</v>
      </c>
    </row>
    <row r="17" spans="1:15" ht="15.75" x14ac:dyDescent="0.25">
      <c r="A17" s="20" t="s">
        <v>20</v>
      </c>
      <c r="B17" s="29">
        <v>0.48925999999999997</v>
      </c>
      <c r="C17" s="10">
        <v>0.34015699999999999</v>
      </c>
      <c r="D17" s="15">
        <v>3.4866139999999999</v>
      </c>
      <c r="E17" s="29">
        <v>20.314696000000001</v>
      </c>
      <c r="F17" s="9">
        <v>8.9547139999999992</v>
      </c>
      <c r="G17" s="36">
        <v>8.2828350000000004</v>
      </c>
      <c r="H17" s="10">
        <v>8.4758549999999993</v>
      </c>
      <c r="I17" s="42">
        <v>8.0699810000000003</v>
      </c>
      <c r="J17" s="42">
        <v>10.242183000000001</v>
      </c>
      <c r="K17" s="42">
        <v>15.213010000000001</v>
      </c>
      <c r="L17" s="12">
        <v>0.93855100000000002</v>
      </c>
      <c r="M17" s="9">
        <v>0</v>
      </c>
      <c r="N17" s="8">
        <v>84.807856000000001</v>
      </c>
      <c r="O17" s="21">
        <f t="shared" si="0"/>
        <v>1.1933843116835481E-3</v>
      </c>
    </row>
    <row r="18" spans="1:15" ht="15.75" x14ac:dyDescent="0.25">
      <c r="A18" s="25" t="s">
        <v>21</v>
      </c>
      <c r="B18" s="30">
        <v>0.48925999999999997</v>
      </c>
      <c r="C18" s="38">
        <v>0.34015699999999999</v>
      </c>
      <c r="D18" s="32">
        <v>3.4866139999999999</v>
      </c>
      <c r="E18" s="33">
        <v>20.314696000000001</v>
      </c>
      <c r="F18" s="34">
        <v>8.9547139999999992</v>
      </c>
      <c r="G18" s="35">
        <v>8.2828350000000004</v>
      </c>
      <c r="H18" s="36">
        <v>8.4758549999999993</v>
      </c>
      <c r="I18" s="28">
        <v>8.0699810000000003</v>
      </c>
      <c r="J18" s="42">
        <v>10.242183000000001</v>
      </c>
      <c r="K18" s="15">
        <v>15.213010000000001</v>
      </c>
      <c r="L18" s="44">
        <v>0.93855100000000002</v>
      </c>
      <c r="M18" s="45">
        <v>0</v>
      </c>
      <c r="N18" s="8">
        <v>84.807856000000001</v>
      </c>
      <c r="O18" s="4">
        <f t="shared" si="0"/>
        <v>1.1933843116835481E-3</v>
      </c>
    </row>
    <row r="19" spans="1:15" ht="15.75" x14ac:dyDescent="0.25">
      <c r="A19" s="20" t="s">
        <v>32</v>
      </c>
      <c r="B19" s="14">
        <v>0</v>
      </c>
      <c r="C19" s="10">
        <v>0</v>
      </c>
      <c r="D19" s="28">
        <v>0</v>
      </c>
      <c r="E19" s="6">
        <v>0</v>
      </c>
      <c r="F19" s="9">
        <v>84.800134999999997</v>
      </c>
      <c r="G19" s="7">
        <v>0</v>
      </c>
      <c r="H19" s="6">
        <v>0</v>
      </c>
      <c r="I19" s="36">
        <v>0</v>
      </c>
      <c r="J19" s="42">
        <v>0</v>
      </c>
      <c r="K19" s="36">
        <v>0</v>
      </c>
      <c r="L19" s="12">
        <v>0</v>
      </c>
      <c r="M19" s="9">
        <v>0</v>
      </c>
      <c r="N19" s="8">
        <v>84.800134999999997</v>
      </c>
      <c r="O19" s="21">
        <f t="shared" si="0"/>
        <v>1.1932756646701097E-3</v>
      </c>
    </row>
    <row r="20" spans="1:15" ht="15.75" x14ac:dyDescent="0.25">
      <c r="A20" s="31" t="s">
        <v>26</v>
      </c>
      <c r="B20" s="39">
        <v>3.819871</v>
      </c>
      <c r="C20" s="38">
        <v>2.7</v>
      </c>
      <c r="D20" s="40">
        <v>4.2</v>
      </c>
      <c r="E20" s="41">
        <v>3.75</v>
      </c>
      <c r="F20" s="38">
        <v>2.95</v>
      </c>
      <c r="G20" s="37">
        <v>3.65</v>
      </c>
      <c r="H20" s="29">
        <v>3.9209999999999998</v>
      </c>
      <c r="I20" s="15">
        <v>4.8959999999999999</v>
      </c>
      <c r="J20" s="42">
        <v>4.3250000000000002</v>
      </c>
      <c r="K20" s="15">
        <v>4.2380000000000004</v>
      </c>
      <c r="L20" s="46">
        <v>4.3499999999999996</v>
      </c>
      <c r="M20" s="26">
        <v>5.5461029999999996</v>
      </c>
      <c r="N20" s="8">
        <v>48.345974000000005</v>
      </c>
      <c r="O20" s="4">
        <f t="shared" si="0"/>
        <v>6.8030639643408412E-4</v>
      </c>
    </row>
    <row r="21" spans="1:15" ht="15.75" x14ac:dyDescent="0.25">
      <c r="A21" s="20" t="s">
        <v>19</v>
      </c>
      <c r="B21" s="14">
        <v>3.935432</v>
      </c>
      <c r="C21" s="10">
        <v>3.5122239999999998</v>
      </c>
      <c r="D21" s="15">
        <v>3.8095680000000001</v>
      </c>
      <c r="E21" s="28">
        <v>3.6704020000000002</v>
      </c>
      <c r="F21" s="9">
        <v>3.73522</v>
      </c>
      <c r="G21" s="7">
        <v>3.3857240000000002</v>
      </c>
      <c r="H21" s="28">
        <v>3.5925609999999999</v>
      </c>
      <c r="I21" s="14">
        <v>3.059742</v>
      </c>
      <c r="J21" s="6">
        <v>3.1679729999999999</v>
      </c>
      <c r="K21" s="14">
        <v>3.3848799999999999</v>
      </c>
      <c r="L21" s="12">
        <v>3.1596790000000001</v>
      </c>
      <c r="M21" s="9">
        <v>3.2512620000000001</v>
      </c>
      <c r="N21" s="8">
        <v>41.664666999999994</v>
      </c>
      <c r="O21" s="21">
        <f t="shared" si="0"/>
        <v>5.8628955257776158E-4</v>
      </c>
    </row>
    <row r="22" spans="1:15" ht="16.5" thickBot="1" x14ac:dyDescent="0.3">
      <c r="A22" s="47" t="s">
        <v>24</v>
      </c>
      <c r="B22" s="5"/>
      <c r="C22" s="12"/>
      <c r="D22" s="5"/>
      <c r="E22" s="12">
        <v>9.8266999999999993E-2</v>
      </c>
      <c r="F22" s="5">
        <v>0.46208500000000002</v>
      </c>
      <c r="G22" s="7">
        <v>0.67871899999999996</v>
      </c>
      <c r="H22" s="12">
        <v>0.26705699999999999</v>
      </c>
      <c r="I22" s="5">
        <v>0.39515100000000003</v>
      </c>
      <c r="J22" s="12">
        <v>2.3424170000000002</v>
      </c>
      <c r="K22" s="5">
        <v>3.3166910000000001</v>
      </c>
      <c r="L22" s="5">
        <v>0</v>
      </c>
      <c r="M22" s="7">
        <v>0</v>
      </c>
      <c r="N22" s="13">
        <v>7.5603870000000004</v>
      </c>
      <c r="O22" s="24">
        <f t="shared" si="0"/>
        <v>1.0638692759850272E-4</v>
      </c>
    </row>
    <row r="23" spans="1:15" s="22" customFormat="1" ht="16.5" thickBot="1" x14ac:dyDescent="0.3">
      <c r="A23" s="48" t="s">
        <v>23</v>
      </c>
      <c r="B23" s="49">
        <f t="shared" ref="B23:M23" si="1">SUM(B6:B22)</f>
        <v>6548.8582239999996</v>
      </c>
      <c r="C23" s="49">
        <f t="shared" si="1"/>
        <v>5129.7274429999998</v>
      </c>
      <c r="D23" s="49">
        <f t="shared" si="1"/>
        <v>6016.3681410000008</v>
      </c>
      <c r="E23" s="49">
        <f t="shared" si="1"/>
        <v>6709.5577850000027</v>
      </c>
      <c r="F23" s="49">
        <f t="shared" si="1"/>
        <v>6716.6432850000001</v>
      </c>
      <c r="G23" s="49">
        <f t="shared" si="1"/>
        <v>6236.9026269999995</v>
      </c>
      <c r="H23" s="49">
        <f t="shared" si="1"/>
        <v>6560.9295580000016</v>
      </c>
      <c r="I23" s="49">
        <f t="shared" si="1"/>
        <v>5475.5227339999974</v>
      </c>
      <c r="J23" s="49">
        <f t="shared" si="1"/>
        <v>5461.3068809999977</v>
      </c>
      <c r="K23" s="49">
        <f t="shared" si="1"/>
        <v>5184.5616410000002</v>
      </c>
      <c r="L23" s="49">
        <f t="shared" si="1"/>
        <v>5274.2191460000004</v>
      </c>
      <c r="M23" s="49">
        <f t="shared" si="1"/>
        <v>5750.4024429999999</v>
      </c>
      <c r="N23" s="50">
        <f>SUM(B23:M23)</f>
        <v>71064.999908000013</v>
      </c>
      <c r="O23" s="51">
        <f t="shared" si="0"/>
        <v>1</v>
      </c>
    </row>
    <row r="25" spans="1:15" s="27" customFormat="1" ht="18.75" x14ac:dyDescent="0.3">
      <c r="A25" s="27" t="s">
        <v>34</v>
      </c>
      <c r="B25" s="27" t="s">
        <v>29</v>
      </c>
      <c r="F25" s="27" t="s">
        <v>38</v>
      </c>
      <c r="H25" s="27" t="s">
        <v>35</v>
      </c>
    </row>
    <row r="27" spans="1:15" x14ac:dyDescent="0.25">
      <c r="A27" s="60" t="s">
        <v>37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</row>
    <row r="28" spans="1:15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</row>
  </sheetData>
  <mergeCells count="4">
    <mergeCell ref="A3:O3"/>
    <mergeCell ref="B4:M4"/>
    <mergeCell ref="N4:O4"/>
    <mergeCell ref="A27:O28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 Mastroddi</cp:lastModifiedBy>
  <cp:lastPrinted>2018-08-07T08:10:11Z</cp:lastPrinted>
  <dcterms:created xsi:type="dcterms:W3CDTF">2015-08-03T12:11:17Z</dcterms:created>
  <dcterms:modified xsi:type="dcterms:W3CDTF">2020-11-25T09:22:27Z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ee9e49ca-5c60-4153-9c86-f5d2a438c41b</vt:lpwstr>
  </property>
</Properties>
</file>