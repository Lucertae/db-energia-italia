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a850325\Documents\Lavoro_AU\GasNaturale\2017\LavoroMarcotulli\"/>
    </mc:Choice>
  </mc:AlternateContent>
  <bookViews>
    <workbookView xWindow="0" yWindow="0" windowWidth="28800" windowHeight="12000" tabRatio="634"/>
  </bookViews>
  <sheets>
    <sheet name="PUNTO D'INGRESSO" sheetId="6" r:id="rId1"/>
  </sheets>
  <calcPr calcId="162913"/>
</workbook>
</file>

<file path=xl/calcChain.xml><?xml version="1.0" encoding="utf-8"?>
<calcChain xmlns="http://schemas.openxmlformats.org/spreadsheetml/2006/main">
  <c r="N11" i="6" l="1"/>
  <c r="N6" i="6"/>
  <c r="N7" i="6"/>
  <c r="N8" i="6"/>
  <c r="N9" i="6"/>
  <c r="N10" i="6"/>
  <c r="N12" i="6"/>
  <c r="N13" i="6"/>
  <c r="N14" i="6"/>
  <c r="N15" i="6"/>
  <c r="N16" i="6"/>
  <c r="N5" i="6"/>
  <c r="N17" i="6" l="1"/>
  <c r="M17" i="6"/>
  <c r="L17" i="6"/>
  <c r="K17" i="6"/>
  <c r="J17" i="6"/>
  <c r="I17" i="6"/>
  <c r="H17" i="6"/>
  <c r="G17" i="6"/>
  <c r="F17" i="6"/>
  <c r="E17" i="6"/>
  <c r="D17" i="6"/>
  <c r="C17" i="6"/>
  <c r="B17" i="6"/>
  <c r="O16" i="6" l="1"/>
  <c r="O12" i="6"/>
  <c r="O14" i="6"/>
  <c r="O8" i="6"/>
  <c r="O5" i="6"/>
  <c r="O7" i="6"/>
  <c r="O6" i="6"/>
  <c r="O17" i="6"/>
  <c r="O13" i="6"/>
  <c r="O9" i="6"/>
  <c r="O11" i="6"/>
  <c r="O10" i="6"/>
  <c r="O15" i="6"/>
</calcChain>
</file>

<file path=xl/sharedStrings.xml><?xml version="1.0" encoding="utf-8"?>
<sst xmlns="http://schemas.openxmlformats.org/spreadsheetml/2006/main" count="30" uniqueCount="30">
  <si>
    <t>MESE</t>
  </si>
  <si>
    <t>Totale complessivo</t>
  </si>
  <si>
    <t>GELA</t>
  </si>
  <si>
    <t>MAZARA DEL VALLO</t>
  </si>
  <si>
    <t>PANIGAGLIA</t>
  </si>
  <si>
    <t>PASSO GRIES</t>
  </si>
  <si>
    <t>TARVISIO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</si>
  <si>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</si>
  <si>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</si>
  <si>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</si>
  <si>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</si>
  <si>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</si>
  <si>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</si>
  <si>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</si>
  <si>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</si>
  <si>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</si>
  <si>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</si>
  <si>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</si>
  <si>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</si>
  <si>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</si>
  <si>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Fonte: Ministero dello Sviluppo Economico - Dipartimento per l'Energia - DGSAIE</t>
  </si>
  <si>
    <t>FALCONARA</t>
  </si>
  <si>
    <t>CASALBORSETTI</t>
  </si>
  <si>
    <t>VENTIMIGLIA</t>
  </si>
  <si>
    <t>ROVIGO - CAVARZERE</t>
  </si>
  <si>
    <t>OLT LIVORNO</t>
  </si>
  <si>
    <t>GORIZIA</t>
  </si>
  <si>
    <r>
      <t>IMPORTAZIONI DI GAS NATURALE PER PUNTO D'INGRESSO* - ANNO 2017 Miliardi di standard metri cubi a 38,1 MJ/m</t>
    </r>
    <r>
      <rPr>
        <b/>
        <vertAlign val="superscript"/>
        <sz val="12"/>
        <rFont val="Arial"/>
        <family val="2"/>
      </rPr>
      <t>3</t>
    </r>
  </si>
  <si>
    <t>CAGLIARI</t>
  </si>
  <si>
    <t>Totale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</si>
</sst>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\-* #,##0_-;_-* &quot;-&quot;??_-;_-@_-"/>
    <numFmt numFmtId="165" formatCode="0.0%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Fill="1" applyBorder="1" applyAlignment="1">
      <alignment vertical="center"/>
    </xf>
    <xf numFmtId="164" fontId="0" fillId="0" borderId="0" xfId="0" applyNumberFormat="1"/>
    <xf numFmtId="165" fontId="0" fillId="0" borderId="3" xfId="0" applyNumberFormat="1" applyBorder="1"/>
    <xf numFmtId="9" fontId="0" fillId="0" borderId="0" xfId="1" applyFont="1"/>
    <xf numFmtId="3" fontId="0" fillId="0" borderId="4" xfId="0" applyNumberFormat="1" applyFill="1" applyBorder="1"/>
    <xf numFmtId="3" fontId="0" fillId="0" borderId="5" xfId="0" applyNumberFormat="1" applyFill="1" applyBorder="1"/>
    <xf numFmtId="3" fontId="0" fillId="0" borderId="7" xfId="0" applyNumberFormat="1" applyFill="1" applyBorder="1"/>
    <xf numFmtId="3" fontId="0" fillId="0" borderId="0" xfId="0" applyNumberFormat="1" applyFill="1"/>
    <xf numFmtId="3" fontId="1" fillId="0" borderId="0" xfId="0" applyNumberFormat="1" applyFont="1" applyFill="1"/>
    <xf numFmtId="3" fontId="6" fillId="0" borderId="0" xfId="0" applyNumberFormat="1" applyFont="1" applyFill="1"/>
    <xf numFmtId="3" fontId="3" fillId="0" borderId="6" xfId="0" applyNumberFormat="1" applyFont="1" applyFill="1" applyBorder="1"/>
    <xf numFmtId="3" fontId="3" fillId="0" borderId="8" xfId="0" applyNumberFormat="1" applyFont="1" applyFill="1" applyBorder="1"/>
    <xf numFmtId="3" fontId="3" fillId="0" borderId="11" xfId="0" applyNumberFormat="1" applyFont="1" applyBorder="1"/>
    <xf numFmtId="3" fontId="3" fillId="0" borderId="9" xfId="0" applyNumberFormat="1" applyFont="1" applyBorder="1"/>
    <xf numFmtId="3" fontId="3" fillId="0" borderId="10" xfId="0" applyNumberFormat="1" applyFont="1" applyBorder="1"/>
    <xf numFmtId="0" fontId="3" fillId="0" borderId="4" xfId="0" applyFont="1" applyFill="1" applyBorder="1"/>
    <xf numFmtId="0" fontId="3" fillId="0" borderId="7" xfId="0" applyFont="1" applyFill="1" applyBorder="1"/>
    <xf numFmtId="0" fontId="3" fillId="0" borderId="9" xfId="0" applyFont="1" applyBorder="1"/>
    <xf numFmtId="3" fontId="1" fillId="0" borderId="8" xfId="0" applyNumberFormat="1" applyFont="1" applyFill="1" applyBorder="1"/>
    <xf numFmtId="3" fontId="1" fillId="0" borderId="0" xfId="0" applyNumberFormat="1" applyFont="1" applyFill="1" applyBorder="1"/>
    <xf numFmtId="0" fontId="1" fillId="0" borderId="1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topLeftCell="A12" zoomScaleNormal="100" workbookViewId="0">
      <selection activeCell="B17" sqref="B17"/>
    </sheetView>
  </sheetViews>
  <sheetFormatPr defaultRowHeight="12.75" x14ac:dyDescent="0.2"/>
  <cols>
    <col min="1" max="1" width="25.140625" customWidth="1"/>
    <col min="2" max="2" width="16" customWidth="1"/>
    <col min="3" max="3" width="17.28515625" customWidth="1"/>
    <col min="4" max="4" width="16.5703125" customWidth="1"/>
    <col min="5" max="5" width="15.85546875" customWidth="1"/>
    <col min="6" max="6" width="14.5703125" customWidth="1"/>
    <col min="7" max="7" width="13.85546875" customWidth="1"/>
    <col min="8" max="8" width="11.85546875" customWidth="1"/>
    <col min="9" max="9" width="12.42578125" customWidth="1"/>
    <col min="10" max="10" width="11.85546875" customWidth="1"/>
    <col min="11" max="11" width="11.28515625" customWidth="1"/>
    <col min="12" max="12" width="11.42578125" customWidth="1"/>
    <col min="13" max="13" width="12.42578125" customWidth="1"/>
    <col min="14" max="14" width="13.7109375" customWidth="1"/>
    <col min="18" max="18" width="17.5703125" customWidth="1"/>
    <col min="19" max="19" width="21.42578125" customWidth="1"/>
  </cols>
  <sheetData>
    <row r="1" spans="1:15" ht="13.5" thickBot="1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5" ht="18.75" x14ac:dyDescent="0.25">
      <c r="A2" s="26" t="s">
        <v>27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1:15" x14ac:dyDescent="0.2">
      <c r="A3" s="2"/>
      <c r="B3" s="29" t="s">
        <v>0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  <c r="O3" s="31"/>
    </row>
    <row r="4" spans="1:15" x14ac:dyDescent="0.2">
      <c r="A4" s="2"/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25" t="s">
        <v>29</v>
      </c>
      <c r="O4" s="3" t="s">
        <v>19</v>
      </c>
    </row>
    <row r="5" spans="1:15" x14ac:dyDescent="0.2">
      <c r="A5" s="20" t="s">
        <v>6</v>
      </c>
      <c r="B5" s="9">
        <v>3307</v>
      </c>
      <c r="C5" s="10">
        <v>2134</v>
      </c>
      <c r="D5" s="10">
        <v>1563</v>
      </c>
      <c r="E5" s="10">
        <v>2716</v>
      </c>
      <c r="F5" s="10">
        <v>2940</v>
      </c>
      <c r="G5" s="10">
        <v>2733</v>
      </c>
      <c r="H5" s="10">
        <v>2319</v>
      </c>
      <c r="I5" s="10">
        <v>2736</v>
      </c>
      <c r="J5" s="10">
        <v>2209</v>
      </c>
      <c r="K5" s="10">
        <v>2060</v>
      </c>
      <c r="L5" s="10">
        <v>2559</v>
      </c>
      <c r="M5" s="10">
        <v>3017</v>
      </c>
      <c r="N5" s="15">
        <f>SUM(B5:M5)</f>
        <v>30293</v>
      </c>
      <c r="O5" s="7">
        <f t="shared" ref="O5:O17" si="0">N5/$N$17</f>
        <v>0.43493180186647523</v>
      </c>
    </row>
    <row r="6" spans="1:15" x14ac:dyDescent="0.2">
      <c r="A6" s="21" t="s">
        <v>3</v>
      </c>
      <c r="B6" s="11">
        <v>2069</v>
      </c>
      <c r="C6" s="12">
        <v>1989</v>
      </c>
      <c r="D6" s="12">
        <v>2216</v>
      </c>
      <c r="E6" s="12">
        <v>1540</v>
      </c>
      <c r="F6" s="12">
        <v>1291</v>
      </c>
      <c r="G6" s="12">
        <v>909</v>
      </c>
      <c r="H6" s="12">
        <v>1167</v>
      </c>
      <c r="I6" s="12">
        <v>819</v>
      </c>
      <c r="J6" s="12">
        <v>957</v>
      </c>
      <c r="K6" s="12">
        <v>1802</v>
      </c>
      <c r="L6" s="12">
        <v>1980</v>
      </c>
      <c r="M6" s="12">
        <v>2076</v>
      </c>
      <c r="N6" s="16">
        <f t="shared" ref="N6:N11" si="1">SUM(B6:M6)</f>
        <v>18815</v>
      </c>
      <c r="O6" s="7">
        <f t="shared" si="0"/>
        <v>0.27013639626704955</v>
      </c>
    </row>
    <row r="7" spans="1:15" x14ac:dyDescent="0.2">
      <c r="A7" s="21" t="s">
        <v>5</v>
      </c>
      <c r="B7" s="11">
        <v>754</v>
      </c>
      <c r="C7" s="12">
        <v>278</v>
      </c>
      <c r="D7" s="12">
        <v>669</v>
      </c>
      <c r="E7" s="12">
        <v>393</v>
      </c>
      <c r="F7" s="12">
        <v>703</v>
      </c>
      <c r="G7" s="12">
        <v>1054</v>
      </c>
      <c r="H7" s="12">
        <v>1106</v>
      </c>
      <c r="I7" s="12">
        <v>501</v>
      </c>
      <c r="J7" s="12">
        <v>430</v>
      </c>
      <c r="K7" s="12">
        <v>521</v>
      </c>
      <c r="L7" s="12">
        <v>211</v>
      </c>
      <c r="M7" s="12">
        <v>586</v>
      </c>
      <c r="N7" s="16">
        <f t="shared" si="1"/>
        <v>7206</v>
      </c>
      <c r="O7" s="7">
        <f t="shared" si="0"/>
        <v>0.10346015793251974</v>
      </c>
    </row>
    <row r="8" spans="1:15" x14ac:dyDescent="0.2">
      <c r="A8" s="21" t="s">
        <v>24</v>
      </c>
      <c r="B8" s="11">
        <v>493</v>
      </c>
      <c r="C8" s="12">
        <v>406</v>
      </c>
      <c r="D8" s="12">
        <v>536</v>
      </c>
      <c r="E8" s="12">
        <v>541</v>
      </c>
      <c r="F8" s="12">
        <v>618</v>
      </c>
      <c r="G8" s="12">
        <v>577</v>
      </c>
      <c r="H8" s="12">
        <v>651</v>
      </c>
      <c r="I8" s="12">
        <v>621</v>
      </c>
      <c r="J8" s="12">
        <v>583</v>
      </c>
      <c r="K8" s="12">
        <v>559</v>
      </c>
      <c r="L8" s="12">
        <v>535</v>
      </c>
      <c r="M8" s="12">
        <v>528</v>
      </c>
      <c r="N8" s="16">
        <f t="shared" si="1"/>
        <v>6648</v>
      </c>
      <c r="O8" s="7">
        <f t="shared" si="0"/>
        <v>9.5448671931083987E-2</v>
      </c>
    </row>
    <row r="9" spans="1:15" x14ac:dyDescent="0.2">
      <c r="A9" s="21" t="s">
        <v>2</v>
      </c>
      <c r="B9" s="11">
        <v>478</v>
      </c>
      <c r="C9" s="12">
        <v>352</v>
      </c>
      <c r="D9" s="12">
        <v>359</v>
      </c>
      <c r="E9" s="12">
        <v>306</v>
      </c>
      <c r="F9" s="12">
        <v>433</v>
      </c>
      <c r="G9" s="12">
        <v>396</v>
      </c>
      <c r="H9" s="12">
        <v>390</v>
      </c>
      <c r="I9" s="12">
        <v>315</v>
      </c>
      <c r="J9" s="12">
        <v>361</v>
      </c>
      <c r="K9" s="12">
        <v>476</v>
      </c>
      <c r="L9" s="12">
        <v>429</v>
      </c>
      <c r="M9" s="12">
        <v>345</v>
      </c>
      <c r="N9" s="16">
        <f t="shared" si="1"/>
        <v>4640</v>
      </c>
      <c r="O9" s="7">
        <f t="shared" si="0"/>
        <v>6.6618808327351037E-2</v>
      </c>
    </row>
    <row r="10" spans="1:15" x14ac:dyDescent="0.2">
      <c r="A10" s="21" t="s">
        <v>25</v>
      </c>
      <c r="B10" s="11">
        <v>0</v>
      </c>
      <c r="C10" s="12">
        <v>0</v>
      </c>
      <c r="D10" s="12">
        <v>0</v>
      </c>
      <c r="E10" s="12">
        <v>179</v>
      </c>
      <c r="F10" s="13">
        <v>236</v>
      </c>
      <c r="G10" s="12">
        <v>236</v>
      </c>
      <c r="H10" s="12">
        <v>90</v>
      </c>
      <c r="I10" s="12">
        <v>0</v>
      </c>
      <c r="J10" s="12">
        <v>85</v>
      </c>
      <c r="K10" s="12">
        <v>0</v>
      </c>
      <c r="L10" s="12">
        <v>0</v>
      </c>
      <c r="M10" s="12">
        <v>163</v>
      </c>
      <c r="N10" s="16">
        <f t="shared" si="1"/>
        <v>989</v>
      </c>
      <c r="O10" s="7">
        <f t="shared" si="0"/>
        <v>1.419956927494616E-2</v>
      </c>
    </row>
    <row r="11" spans="1:15" x14ac:dyDescent="0.2">
      <c r="A11" s="21" t="s">
        <v>4</v>
      </c>
      <c r="B11" s="11">
        <v>0</v>
      </c>
      <c r="C11" s="12">
        <v>0</v>
      </c>
      <c r="D11" s="12">
        <v>0</v>
      </c>
      <c r="E11" s="12">
        <v>0</v>
      </c>
      <c r="F11" s="12">
        <v>56</v>
      </c>
      <c r="G11" s="12">
        <v>59</v>
      </c>
      <c r="H11" s="12">
        <v>130</v>
      </c>
      <c r="I11" s="12">
        <v>191</v>
      </c>
      <c r="J11" s="12">
        <v>161</v>
      </c>
      <c r="K11" s="12">
        <v>1</v>
      </c>
      <c r="L11" s="14">
        <v>2</v>
      </c>
      <c r="M11" s="12">
        <v>0</v>
      </c>
      <c r="N11" s="16">
        <f>SUM(B11:M11)</f>
        <v>600</v>
      </c>
      <c r="O11" s="7">
        <f t="shared" si="0"/>
        <v>8.6145010768126345E-3</v>
      </c>
    </row>
    <row r="12" spans="1:15" x14ac:dyDescent="0.2">
      <c r="A12" s="21" t="s">
        <v>22</v>
      </c>
      <c r="B12" s="11">
        <v>75</v>
      </c>
      <c r="C12" s="12">
        <v>35</v>
      </c>
      <c r="D12" s="12">
        <v>63</v>
      </c>
      <c r="E12" s="13">
        <v>22</v>
      </c>
      <c r="F12" s="13">
        <v>16</v>
      </c>
      <c r="G12" s="12">
        <v>17</v>
      </c>
      <c r="H12" s="12">
        <v>12</v>
      </c>
      <c r="I12" s="12">
        <v>11</v>
      </c>
      <c r="J12" s="12">
        <v>7</v>
      </c>
      <c r="K12" s="12">
        <v>51</v>
      </c>
      <c r="L12" s="12">
        <v>47</v>
      </c>
      <c r="M12" s="12">
        <v>17</v>
      </c>
      <c r="N12" s="16">
        <f t="shared" ref="N12:N16" si="2">SUM(B12:M12)</f>
        <v>373</v>
      </c>
      <c r="O12" s="7">
        <f t="shared" si="0"/>
        <v>5.3553481694185211E-3</v>
      </c>
    </row>
    <row r="13" spans="1:15" x14ac:dyDescent="0.2">
      <c r="A13" s="21" t="s">
        <v>21</v>
      </c>
      <c r="B13" s="11">
        <v>6</v>
      </c>
      <c r="C13" s="12">
        <v>6</v>
      </c>
      <c r="D13" s="12">
        <v>5</v>
      </c>
      <c r="E13" s="14">
        <v>5</v>
      </c>
      <c r="F13" s="13">
        <v>5</v>
      </c>
      <c r="G13" s="12">
        <v>5</v>
      </c>
      <c r="H13" s="12">
        <v>5</v>
      </c>
      <c r="I13" s="12">
        <v>5</v>
      </c>
      <c r="J13" s="12">
        <v>5</v>
      </c>
      <c r="K13" s="12">
        <v>5</v>
      </c>
      <c r="L13" s="12">
        <v>5</v>
      </c>
      <c r="M13" s="12">
        <v>5</v>
      </c>
      <c r="N13" s="16">
        <f>SUM(B13:M13)</f>
        <v>62</v>
      </c>
      <c r="O13" s="7">
        <f t="shared" si="0"/>
        <v>8.9016511127063892E-4</v>
      </c>
    </row>
    <row r="14" spans="1:15" x14ac:dyDescent="0.2">
      <c r="A14" s="21" t="s">
        <v>26</v>
      </c>
      <c r="B14" s="11">
        <v>3</v>
      </c>
      <c r="C14" s="12">
        <v>0</v>
      </c>
      <c r="D14" s="12">
        <v>0</v>
      </c>
      <c r="E14" s="12">
        <v>0</v>
      </c>
      <c r="F14" s="13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1</v>
      </c>
      <c r="M14" s="12">
        <v>20</v>
      </c>
      <c r="N14" s="16">
        <f>SUM(B14:M14)</f>
        <v>24</v>
      </c>
      <c r="O14" s="7">
        <f t="shared" si="0"/>
        <v>3.445800430725054E-4</v>
      </c>
    </row>
    <row r="15" spans="1:15" x14ac:dyDescent="0.2">
      <c r="A15" s="21" t="s">
        <v>23</v>
      </c>
      <c r="B15" s="11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23">
        <v>0</v>
      </c>
      <c r="N15" s="16">
        <f t="shared" si="2"/>
        <v>0</v>
      </c>
      <c r="O15" s="7">
        <f t="shared" si="0"/>
        <v>0</v>
      </c>
    </row>
    <row r="16" spans="1:15" x14ac:dyDescent="0.2">
      <c r="A16" s="21" t="s">
        <v>28</v>
      </c>
      <c r="B16" s="11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24">
        <v>0</v>
      </c>
      <c r="N16" s="16">
        <f t="shared" si="2"/>
        <v>0</v>
      </c>
      <c r="O16" s="7">
        <f t="shared" si="0"/>
        <v>0</v>
      </c>
    </row>
    <row r="17" spans="1:15" x14ac:dyDescent="0.2">
      <c r="A17" s="22" t="s">
        <v>1</v>
      </c>
      <c r="B17" s="18">
        <f t="shared" ref="B17:M17" si="3">SUM(B5:B16)</f>
        <v>7185</v>
      </c>
      <c r="C17" s="19">
        <f t="shared" si="3"/>
        <v>5200</v>
      </c>
      <c r="D17" s="19">
        <f t="shared" si="3"/>
        <v>5411</v>
      </c>
      <c r="E17" s="19">
        <f t="shared" si="3"/>
        <v>5702</v>
      </c>
      <c r="F17" s="19">
        <f t="shared" si="3"/>
        <v>6298</v>
      </c>
      <c r="G17" s="19">
        <f t="shared" si="3"/>
        <v>5986</v>
      </c>
      <c r="H17" s="19">
        <f t="shared" si="3"/>
        <v>5870</v>
      </c>
      <c r="I17" s="19">
        <f t="shared" si="3"/>
        <v>5199</v>
      </c>
      <c r="J17" s="19">
        <f t="shared" si="3"/>
        <v>4798</v>
      </c>
      <c r="K17" s="19">
        <f t="shared" si="3"/>
        <v>5475</v>
      </c>
      <c r="L17" s="19">
        <f t="shared" si="3"/>
        <v>5769</v>
      </c>
      <c r="M17" s="19">
        <f t="shared" si="3"/>
        <v>6757</v>
      </c>
      <c r="N17" s="17">
        <f>SUM(N5:N16)</f>
        <v>69650</v>
      </c>
      <c r="O17" s="7">
        <f t="shared" si="0"/>
        <v>1</v>
      </c>
    </row>
    <row r="18" spans="1:15" x14ac:dyDescent="0.2">
      <c r="A18" s="5" t="s">
        <v>20</v>
      </c>
      <c r="B18" s="8"/>
    </row>
    <row r="19" spans="1:15" x14ac:dyDescent="0.2">
      <c r="A19" s="4"/>
    </row>
    <row r="20" spans="1:15" x14ac:dyDescent="0.2">
      <c r="A20" s="4"/>
    </row>
  </sheetData>
  <mergeCells count="3">
    <mergeCell ref="A2:O2"/>
    <mergeCell ref="B3:M3"/>
    <mergeCell ref="N3:O3"/>
  </mergeCells>
  <phoneticPr fontId="2" type="noConversion"/>
  <pageMargins left="0.74803149606299213" right="0.43307086614173229" top="0.98425196850393704" bottom="0.62992125984251968" header="0.51181102362204722" footer="0.51181102362204722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PUNTO D'INGRESSO</vt:lpstr>
    </vt:vector>
  </TitlesOfParts>
  <Company>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Mercanti Andrea (AU)</cp:lastModifiedBy>
  <cp:lastPrinted>2018-08-07T08:56:04Z</cp:lastPrinted>
  <dcterms:created xsi:type="dcterms:W3CDTF">2005-10-03T10:50:13Z</dcterms:created>
  <dcterms:modified xsi:type="dcterms:W3CDTF">2018-11-23T09:50:29Z</dcterms:modified>
</cp:coreProperties>
</file>