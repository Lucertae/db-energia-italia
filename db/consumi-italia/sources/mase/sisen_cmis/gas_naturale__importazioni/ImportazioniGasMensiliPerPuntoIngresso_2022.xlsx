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t.it\MATTMFS\vdiprofiles$\marcotullirsl\Desktop\"/>
    </mc:Choice>
  </mc:AlternateContent>
  <xr:revisionPtr revIDLastSave="0" documentId="8_{4818DF82-A414-4336-9F36-37F66A8719C8}" xr6:coauthVersionLast="47" xr6:coauthVersionMax="47" xr10:uidLastSave="{00000000-0000-0000-0000-000000000000}"/>
  <bookViews>
    <workbookView xWindow="-120" yWindow="-120" windowWidth="23160" windowHeight="10260" xr2:uid="{00000000-000D-0000-FFFF-FFFF00000000}"/>
  </bookViews>
  <sheets>
    <sheet name="Foglio1" sheetId="2" r:id="rId1"/>
    <sheet name="Foglio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N13" i="2" s="1"/>
  <c r="N7" i="2"/>
  <c r="N8" i="2"/>
  <c r="N9" i="2"/>
  <c r="N10" i="2"/>
  <c r="N11" i="2"/>
  <c r="N12" i="2"/>
  <c r="N14" i="2"/>
  <c r="N15" i="2"/>
  <c r="N16" i="2"/>
  <c r="N17" i="2"/>
  <c r="N18" i="2"/>
  <c r="M19" i="2" l="1"/>
  <c r="L19" i="2"/>
  <c r="K19" i="2"/>
  <c r="J19" i="2"/>
  <c r="I19" i="2"/>
  <c r="H19" i="2"/>
  <c r="G19" i="2"/>
  <c r="F19" i="2"/>
  <c r="E19" i="2"/>
  <c r="D19" i="2"/>
  <c r="B19" i="2"/>
  <c r="N6" i="2" l="1"/>
  <c r="C19" i="2"/>
  <c r="N19" i="2" s="1"/>
  <c r="O15" i="2" l="1"/>
  <c r="O14" i="2"/>
  <c r="O19" i="2"/>
  <c r="O7" i="2"/>
  <c r="O11" i="2"/>
  <c r="O17" i="2"/>
  <c r="O8" i="2"/>
  <c r="O9" i="2"/>
  <c r="O18" i="2"/>
  <c r="O12" i="2"/>
  <c r="O13" i="2"/>
  <c r="O10" i="2"/>
  <c r="O16" i="2"/>
  <c r="O6" i="2"/>
</calcChain>
</file>

<file path=xl/sharedStrings.xml><?xml version="1.0" encoding="utf-8"?>
<sst xmlns="http://schemas.openxmlformats.org/spreadsheetml/2006/main" count="33" uniqueCount="33">
  <si>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</si>
  <si>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</si>
  <si>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</si>
  <si>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</si>
  <si>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</si>
  <si>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</si>
  <si>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</si>
  <si>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</si>
  <si>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</si>
  <si>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</si>
  <si>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</si>
  <si>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</si>
  <si>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</si>
  <si>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</si>
  <si>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</si>
  <si>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</si>
  <si>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</si>
  <si>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</si>
  <si>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</si>
  <si>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</si>
  <si>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</si>
  <si>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</si>
  <si>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VENTIMIGLIA</t>
  </si>
  <si>
    <t>FALCONARA</t>
  </si>
  <si>
    <t>GORIZIA</t>
  </si>
  <si>
    <t>CAGLIARI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</si>
  <si>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</si>
  <si>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</si>
  <si>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r>
      <t xml:space="preserve">IMPORTAZIONI DI GAS NATURALE PER PUNTO DI INGRESSO - ANNO 2022-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</si>
  <si>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MELEDUGNO</t>
  </si>
  <si>
    <t>CASALBORSETTI</t>
  </si>
  <si>
    <t>Totale 2022</t>
  </si>
  <si>
    <t xml:space="preserve">Ministero dell'Ambiente e della Sicurezza energetica  DGIS DIV.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</si>
</sst>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,,,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ACF-AED4-4899-9D9E-04AC8CB9790B}">
  <dimension ref="A3:O2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RowHeight="15" x14ac:dyDescent="0.25"/>
  <cols>
    <col min="1" max="1" width="23.28515625" customWidth="1"/>
    <col min="2" max="2" width="12.28515625" customWidth="1"/>
    <col min="3" max="3" width="14" customWidth="1"/>
    <col min="4" max="5" width="12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3" spans="1:15" ht="15.75" x14ac:dyDescent="0.25">
      <c r="A3" s="13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9"/>
      <c r="B4" s="1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  <c r="O4" s="15"/>
    </row>
    <row r="5" spans="1:15" x14ac:dyDescent="0.25">
      <c r="A5" s="9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31</v>
      </c>
      <c r="O5" s="9" t="s">
        <v>13</v>
      </c>
    </row>
    <row r="6" spans="1:15" ht="15.75" x14ac:dyDescent="0.25">
      <c r="A6" s="6" t="s">
        <v>17</v>
      </c>
      <c r="B6" s="5">
        <v>2112.8417500000005</v>
      </c>
      <c r="C6" s="5">
        <v>1976.8417500000005</v>
      </c>
      <c r="D6" s="5">
        <v>2128.7417500000006</v>
      </c>
      <c r="E6" s="5">
        <v>2092.7417500000006</v>
      </c>
      <c r="F6" s="5">
        <v>2247.2417500000006</v>
      </c>
      <c r="G6" s="5">
        <v>2144.5417500000003</v>
      </c>
      <c r="H6" s="5">
        <v>1900.9417500000004</v>
      </c>
      <c r="I6" s="5">
        <v>2148.3417500000005</v>
      </c>
      <c r="J6" s="5">
        <v>2342.5417500000003</v>
      </c>
      <c r="K6" s="5">
        <v>2201.6417500000007</v>
      </c>
      <c r="L6" s="5">
        <v>2119.9417500000004</v>
      </c>
      <c r="M6" s="5">
        <v>2565.9417500000004</v>
      </c>
      <c r="N6" s="4">
        <f>SUM(B6:M6)</f>
        <v>25982.301000000007</v>
      </c>
      <c r="O6" s="7">
        <f t="shared" ref="O6:O19" si="0">N6/$N$19</f>
        <v>0.35792892826924605</v>
      </c>
    </row>
    <row r="7" spans="1:15" ht="15.75" x14ac:dyDescent="0.25">
      <c r="A7" s="6" t="s">
        <v>15</v>
      </c>
      <c r="B7" s="5">
        <v>1698.5324166666667</v>
      </c>
      <c r="C7" s="5">
        <v>1428.6324166666668</v>
      </c>
      <c r="D7" s="5">
        <v>2381.0324166666669</v>
      </c>
      <c r="E7" s="5">
        <v>1446.3324166666666</v>
      </c>
      <c r="F7" s="5">
        <v>1298.7324166666667</v>
      </c>
      <c r="G7" s="5">
        <v>1014.7324166666667</v>
      </c>
      <c r="H7" s="5">
        <v>1243.0324166666667</v>
      </c>
      <c r="I7" s="5">
        <v>1102.9324166666668</v>
      </c>
      <c r="J7" s="5">
        <v>801.23241666666672</v>
      </c>
      <c r="K7" s="5">
        <v>316.93241666666671</v>
      </c>
      <c r="L7" s="5">
        <v>467.23241666666672</v>
      </c>
      <c r="M7" s="5">
        <v>788.23241666666672</v>
      </c>
      <c r="N7" s="4">
        <f t="shared" ref="N7:N8" si="1">SUM(B7:M7)</f>
        <v>13987.589</v>
      </c>
      <c r="O7" s="7">
        <f t="shared" si="0"/>
        <v>0.19269127625920018</v>
      </c>
    </row>
    <row r="8" spans="1:15" ht="15.75" x14ac:dyDescent="0.25">
      <c r="A8" s="6" t="s">
        <v>29</v>
      </c>
      <c r="B8" s="5">
        <v>697.56758333333346</v>
      </c>
      <c r="C8" s="5">
        <v>674.26758333333339</v>
      </c>
      <c r="D8" s="5">
        <v>820.86758333333341</v>
      </c>
      <c r="E8" s="5">
        <v>851.96758333333344</v>
      </c>
      <c r="F8" s="5">
        <v>847.36758333333341</v>
      </c>
      <c r="G8" s="5">
        <v>854.06758333333346</v>
      </c>
      <c r="H8" s="5">
        <v>865.46758333333344</v>
      </c>
      <c r="I8" s="5">
        <v>749.96758333333344</v>
      </c>
      <c r="J8" s="5">
        <v>818.26758333333339</v>
      </c>
      <c r="K8" s="5">
        <v>869.46758333333344</v>
      </c>
      <c r="L8" s="5">
        <v>815.76758333333339</v>
      </c>
      <c r="M8" s="5">
        <v>1459.9675833333333</v>
      </c>
      <c r="N8" s="4">
        <f t="shared" si="1"/>
        <v>10325.011</v>
      </c>
      <c r="O8" s="7">
        <f t="shared" si="0"/>
        <v>0.14223605990855756</v>
      </c>
    </row>
    <row r="9" spans="1:15" ht="15.75" x14ac:dyDescent="0.25">
      <c r="A9" s="6" t="s">
        <v>18</v>
      </c>
      <c r="B9" s="5">
        <v>437.09233333333339</v>
      </c>
      <c r="C9" s="5">
        <v>405.79233333333343</v>
      </c>
      <c r="D9" s="5">
        <v>550.89233333333345</v>
      </c>
      <c r="E9" s="5">
        <v>562.39233333333345</v>
      </c>
      <c r="F9" s="5">
        <v>694.39233333333345</v>
      </c>
      <c r="G9" s="5">
        <v>637.69233333333341</v>
      </c>
      <c r="H9" s="5">
        <v>665.59233333333339</v>
      </c>
      <c r="I9" s="5">
        <v>566.29233333333343</v>
      </c>
      <c r="J9" s="5">
        <v>668.99233333333348</v>
      </c>
      <c r="K9" s="5">
        <v>688.29233333333343</v>
      </c>
      <c r="L9" s="5">
        <v>731.29233333333343</v>
      </c>
      <c r="M9" s="5">
        <v>763.09233333333339</v>
      </c>
      <c r="N9" s="4">
        <f>SUM(B9:M9)</f>
        <v>7371.8080000000018</v>
      </c>
      <c r="O9" s="7">
        <f t="shared" si="0"/>
        <v>0.10155310481726211</v>
      </c>
    </row>
    <row r="10" spans="1:15" ht="15.75" x14ac:dyDescent="0.25">
      <c r="A10" s="6" t="s">
        <v>16</v>
      </c>
      <c r="B10" s="5">
        <v>746.45833333333337</v>
      </c>
      <c r="C10" s="5">
        <v>494.75833333333338</v>
      </c>
      <c r="D10" s="5">
        <v>180.45833333333337</v>
      </c>
      <c r="E10" s="5">
        <v>640.75833333333344</v>
      </c>
      <c r="F10" s="5">
        <v>804.75833333333344</v>
      </c>
      <c r="G10" s="5">
        <v>340.75833333333338</v>
      </c>
      <c r="H10" s="5">
        <v>1249.9583333333333</v>
      </c>
      <c r="I10" s="5">
        <v>585.35833333333346</v>
      </c>
      <c r="J10" s="5">
        <v>360.35833333333335</v>
      </c>
      <c r="K10" s="5">
        <v>431.55833333333334</v>
      </c>
      <c r="L10" s="5">
        <v>301.35833333333335</v>
      </c>
      <c r="M10" s="5">
        <v>451.45833333333331</v>
      </c>
      <c r="N10" s="4">
        <f>SUM(B10:M10)</f>
        <v>6588</v>
      </c>
      <c r="O10" s="7">
        <f t="shared" si="0"/>
        <v>9.0755463861256644E-2</v>
      </c>
    </row>
    <row r="11" spans="1:15" ht="15.75" x14ac:dyDescent="0.25">
      <c r="A11" s="6" t="s">
        <v>20</v>
      </c>
      <c r="B11" s="5">
        <v>291.95</v>
      </c>
      <c r="C11" s="5">
        <v>290.55</v>
      </c>
      <c r="D11" s="5">
        <v>413.95</v>
      </c>
      <c r="E11" s="5">
        <v>140.15</v>
      </c>
      <c r="F11" s="5">
        <v>34.15</v>
      </c>
      <c r="G11" s="5">
        <v>333.65</v>
      </c>
      <c r="H11" s="5">
        <v>408.85</v>
      </c>
      <c r="I11" s="5">
        <v>437.35</v>
      </c>
      <c r="J11" s="5">
        <v>355.15</v>
      </c>
      <c r="K11" s="5">
        <v>180.15</v>
      </c>
      <c r="L11" s="5">
        <v>174.15</v>
      </c>
      <c r="M11" s="5">
        <v>581.75</v>
      </c>
      <c r="N11" s="4">
        <f>SUM(B11:M11)</f>
        <v>3641.8</v>
      </c>
      <c r="O11" s="7">
        <f t="shared" si="0"/>
        <v>5.0168981221907168E-2</v>
      </c>
    </row>
    <row r="12" spans="1:15" ht="15.75" x14ac:dyDescent="0.25">
      <c r="A12" s="6" t="s">
        <v>19</v>
      </c>
      <c r="B12" s="5">
        <v>226.51666666666665</v>
      </c>
      <c r="C12" s="5">
        <v>111.01666666666665</v>
      </c>
      <c r="D12" s="5">
        <v>162.11666666666665</v>
      </c>
      <c r="E12" s="5">
        <v>253.81666666666666</v>
      </c>
      <c r="F12" s="5">
        <v>239.01666666666665</v>
      </c>
      <c r="G12" s="5">
        <v>197.81666666666666</v>
      </c>
      <c r="H12" s="5">
        <v>198.71666666666664</v>
      </c>
      <c r="I12" s="5">
        <v>193.81666666666666</v>
      </c>
      <c r="J12" s="5">
        <v>185.31666666666666</v>
      </c>
      <c r="K12" s="5">
        <v>284.01666666666665</v>
      </c>
      <c r="L12" s="5">
        <v>271.51666666666665</v>
      </c>
      <c r="M12" s="5">
        <v>295.31666666666666</v>
      </c>
      <c r="N12" s="4">
        <f t="shared" ref="N12:N18" si="2">SUM(B12:M12)</f>
        <v>2619</v>
      </c>
      <c r="O12" s="7">
        <f t="shared" si="0"/>
        <v>3.6079016371073337E-2</v>
      </c>
    </row>
    <row r="13" spans="1:15" ht="15.75" x14ac:dyDescent="0.25">
      <c r="A13" s="6" t="s">
        <v>21</v>
      </c>
      <c r="B13" s="5">
        <v>26.293749999999989</v>
      </c>
      <c r="C13" s="5">
        <v>46.39374999999999</v>
      </c>
      <c r="D13" s="5">
        <v>5.1937499999999872</v>
      </c>
      <c r="E13" s="5">
        <v>96.093749999999986</v>
      </c>
      <c r="F13" s="5">
        <v>252.89375000000001</v>
      </c>
      <c r="G13" s="5">
        <v>296.29374999999999</v>
      </c>
      <c r="H13" s="5">
        <v>206.59375</v>
      </c>
      <c r="I13" s="5">
        <v>183.09375</v>
      </c>
      <c r="J13" s="5">
        <v>0</v>
      </c>
      <c r="K13" s="5">
        <v>266.99374999999998</v>
      </c>
      <c r="L13" s="5">
        <v>285.69374999999997</v>
      </c>
      <c r="M13" s="5">
        <f>349.39375-12</f>
        <v>337.39375000000001</v>
      </c>
      <c r="N13" s="4">
        <f t="shared" si="2"/>
        <v>2002.9312499999999</v>
      </c>
      <c r="O13" s="7">
        <f t="shared" si="0"/>
        <v>2.7592130339398387E-2</v>
      </c>
    </row>
    <row r="14" spans="1:15" ht="15.75" x14ac:dyDescent="0.25">
      <c r="A14" s="6" t="s">
        <v>23</v>
      </c>
      <c r="B14" s="5">
        <v>0</v>
      </c>
      <c r="C14" s="5">
        <v>0.5</v>
      </c>
      <c r="D14" s="5">
        <v>0.9</v>
      </c>
      <c r="E14" s="5">
        <v>0.8</v>
      </c>
      <c r="F14" s="5">
        <v>1</v>
      </c>
      <c r="G14" s="5">
        <v>2.8</v>
      </c>
      <c r="H14" s="5">
        <v>3.2</v>
      </c>
      <c r="I14" s="5">
        <v>3.2</v>
      </c>
      <c r="J14" s="5">
        <v>3</v>
      </c>
      <c r="K14" s="5">
        <v>3.1</v>
      </c>
      <c r="L14" s="5">
        <v>2.9</v>
      </c>
      <c r="M14" s="5">
        <v>2.9</v>
      </c>
      <c r="N14" s="4">
        <f t="shared" si="2"/>
        <v>24.299999999999997</v>
      </c>
      <c r="O14" s="7">
        <f t="shared" si="0"/>
        <v>3.3475376014397936E-4</v>
      </c>
    </row>
    <row r="15" spans="1:15" ht="15.75" x14ac:dyDescent="0.25">
      <c r="A15" s="6" t="s">
        <v>24</v>
      </c>
      <c r="B15" s="5">
        <v>9.7377500000000001</v>
      </c>
      <c r="C15" s="5">
        <v>3.7750000000000013E-2</v>
      </c>
      <c r="D15" s="5">
        <v>3.7750000000000013E-2</v>
      </c>
      <c r="E15" s="5">
        <v>-6.2249999999999993E-2</v>
      </c>
      <c r="F15" s="5">
        <v>0.13775000000000001</v>
      </c>
      <c r="G15" s="5">
        <v>1.63775</v>
      </c>
      <c r="H15" s="5">
        <v>1.13775</v>
      </c>
      <c r="I15" s="5">
        <v>-6.2249999999999993E-2</v>
      </c>
      <c r="J15" s="5">
        <v>0.23774999999999999</v>
      </c>
      <c r="K15" s="5">
        <v>1.2377500000000001</v>
      </c>
      <c r="L15" s="5">
        <v>0.83774999999999999</v>
      </c>
      <c r="M15" s="5">
        <v>7.8377500000000007</v>
      </c>
      <c r="N15" s="4">
        <f>SUM(B15:M15)</f>
        <v>22.753000000000004</v>
      </c>
      <c r="O15" s="7">
        <f t="shared" si="0"/>
        <v>3.1344248166896972E-4</v>
      </c>
    </row>
    <row r="16" spans="1:15" ht="15.75" x14ac:dyDescent="0.25">
      <c r="A16" s="6" t="s">
        <v>22</v>
      </c>
      <c r="B16" s="5">
        <v>2.0757499999999998</v>
      </c>
      <c r="C16" s="5">
        <v>2.37575</v>
      </c>
      <c r="D16" s="5">
        <v>2.87575</v>
      </c>
      <c r="E16" s="5">
        <v>2.1757499999999999</v>
      </c>
      <c r="F16" s="5">
        <v>2.1757499999999999</v>
      </c>
      <c r="G16" s="5">
        <v>2.2757499999999999</v>
      </c>
      <c r="H16" s="5">
        <v>2.4757499999999997</v>
      </c>
      <c r="I16" s="5">
        <v>1.9757499999999999</v>
      </c>
      <c r="J16" s="5">
        <v>1.6757499999999999</v>
      </c>
      <c r="K16" s="5">
        <v>1.6757499999999999</v>
      </c>
      <c r="L16" s="5">
        <v>1.4757499999999999</v>
      </c>
      <c r="M16" s="5">
        <v>1.7757499999999999</v>
      </c>
      <c r="N16" s="4">
        <f>SUM(B16:M16)</f>
        <v>25.009000000000004</v>
      </c>
      <c r="O16" s="7">
        <f t="shared" si="0"/>
        <v>3.4452085545023795E-4</v>
      </c>
    </row>
    <row r="17" spans="1:15" ht="15.75" x14ac:dyDescent="0.25">
      <c r="A17" s="10" t="s">
        <v>25</v>
      </c>
      <c r="B17" s="5">
        <v>0</v>
      </c>
      <c r="C17" s="5">
        <v>0</v>
      </c>
      <c r="D17" s="5">
        <v>1.1247999999999999E-2</v>
      </c>
      <c r="E17" s="5">
        <v>1.5928000000000001E-2</v>
      </c>
      <c r="F17" s="5">
        <v>0</v>
      </c>
      <c r="G17" s="5">
        <v>0</v>
      </c>
      <c r="H17" s="5">
        <v>2.4099000000000002E-2</v>
      </c>
      <c r="I17" s="5">
        <v>4.4524000000000001E-2</v>
      </c>
      <c r="J17" s="5">
        <v>1.8880999999999998E-2</v>
      </c>
      <c r="K17" s="5">
        <v>2.129E-2</v>
      </c>
      <c r="L17" s="5">
        <v>2.1644E-2</v>
      </c>
      <c r="M17" s="5">
        <v>1.0931E-2</v>
      </c>
      <c r="N17" s="8">
        <f t="shared" si="2"/>
        <v>0.16854499999999997</v>
      </c>
      <c r="O17" s="7">
        <f t="shared" si="0"/>
        <v>2.3218548355336214E-6</v>
      </c>
    </row>
    <row r="18" spans="1:15" ht="15.75" x14ac:dyDescent="0.25">
      <c r="A18" s="10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8">
        <f t="shared" si="2"/>
        <v>0</v>
      </c>
      <c r="O18" s="7">
        <f t="shared" si="0"/>
        <v>0</v>
      </c>
    </row>
    <row r="19" spans="1:15" s="1" customFormat="1" ht="15.75" x14ac:dyDescent="0.25">
      <c r="A19" s="6" t="s">
        <v>14</v>
      </c>
      <c r="B19" s="11">
        <f t="shared" ref="B19:M19" si="3">SUM(B6:B18)</f>
        <v>6249.0663333333332</v>
      </c>
      <c r="C19" s="11">
        <f t="shared" si="3"/>
        <v>5431.1663333333345</v>
      </c>
      <c r="D19" s="11">
        <f t="shared" si="3"/>
        <v>6647.0775813333348</v>
      </c>
      <c r="E19" s="11">
        <f t="shared" si="3"/>
        <v>6087.1822613333334</v>
      </c>
      <c r="F19" s="11">
        <f t="shared" si="3"/>
        <v>6421.8663333333334</v>
      </c>
      <c r="G19" s="11">
        <f t="shared" si="3"/>
        <v>5826.266333333333</v>
      </c>
      <c r="H19" s="11">
        <f t="shared" si="3"/>
        <v>6745.990432333333</v>
      </c>
      <c r="I19" s="11">
        <f t="shared" si="3"/>
        <v>5972.3108573333338</v>
      </c>
      <c r="J19" s="11">
        <f t="shared" si="3"/>
        <v>5536.7914643333343</v>
      </c>
      <c r="K19" s="11">
        <f t="shared" si="3"/>
        <v>5245.0876233333338</v>
      </c>
      <c r="L19" s="11">
        <f t="shared" si="3"/>
        <v>5172.187977333333</v>
      </c>
      <c r="M19" s="11">
        <f t="shared" si="3"/>
        <v>7255.6772643333325</v>
      </c>
      <c r="N19" s="4">
        <f>SUM(B19:M19)</f>
        <v>72590.670794999998</v>
      </c>
      <c r="O19" s="7">
        <f t="shared" si="0"/>
        <v>1</v>
      </c>
    </row>
    <row r="21" spans="1:15" s="2" customFormat="1" ht="18.75" customHeight="1" x14ac:dyDescent="0.3">
      <c r="A21" s="2" t="s">
        <v>26</v>
      </c>
      <c r="B21" s="16" t="s">
        <v>32</v>
      </c>
      <c r="C21" s="17"/>
      <c r="D21" s="17"/>
      <c r="E21" s="17"/>
      <c r="F21" s="17"/>
      <c r="G21" s="17"/>
      <c r="N21" s="3"/>
    </row>
    <row r="22" spans="1:15" x14ac:dyDescent="0.25">
      <c r="N22" s="12"/>
    </row>
    <row r="24" spans="1:15" x14ac:dyDescent="0.25">
      <c r="A24" s="18" t="s">
        <v>27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</sheetData>
  <mergeCells count="5">
    <mergeCell ref="A3:O3"/>
    <mergeCell ref="B4:M4"/>
    <mergeCell ref="N4:O4"/>
    <mergeCell ref="B21:G21"/>
    <mergeCell ref="A24:O2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2266-AD38-47DE-8F43-6E453D59D6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2024-06-11T07:40:41Z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</Properties>
</file>