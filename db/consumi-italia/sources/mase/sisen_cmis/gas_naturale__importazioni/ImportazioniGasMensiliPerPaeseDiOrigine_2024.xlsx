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tullirsl\Desktop\"/>
    </mc:Choice>
  </mc:AlternateContent>
  <xr:revisionPtr revIDLastSave="0" documentId="8_{0EBFA8E8-AB08-49D5-865D-65CBB7C944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Foglio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5" l="1"/>
  <c r="N27" i="5"/>
  <c r="M28" i="5"/>
  <c r="L28" i="5"/>
  <c r="K28" i="5"/>
  <c r="J28" i="5"/>
  <c r="I28" i="5"/>
  <c r="H28" i="5"/>
  <c r="G28" i="5"/>
  <c r="F28" i="5"/>
  <c r="E28" i="5"/>
  <c r="D28" i="5"/>
  <c r="C28" i="5"/>
  <c r="B28" i="5"/>
  <c r="N28" i="5" s="1"/>
  <c r="O12" i="5" s="1"/>
  <c r="N26" i="5"/>
  <c r="N25" i="5"/>
  <c r="N24" i="5"/>
  <c r="N23" i="5"/>
  <c r="N14" i="5" l="1"/>
  <c r="N22" i="5"/>
  <c r="N21" i="5"/>
  <c r="N20" i="5"/>
  <c r="N19" i="5"/>
  <c r="N18" i="5"/>
  <c r="N17" i="5"/>
  <c r="N16" i="5"/>
  <c r="N15" i="5"/>
  <c r="N13" i="5"/>
  <c r="N11" i="5"/>
  <c r="N10" i="5"/>
  <c r="N9" i="5"/>
  <c r="N8" i="5"/>
  <c r="N7" i="5"/>
  <c r="N6" i="5"/>
  <c r="O26" i="5" l="1"/>
  <c r="O27" i="5"/>
  <c r="O24" i="5"/>
  <c r="O25" i="5"/>
  <c r="O6" i="5"/>
  <c r="O23" i="5"/>
  <c r="O8" i="5"/>
  <c r="O15" i="5"/>
  <c r="O10" i="5"/>
  <c r="O22" i="5"/>
  <c r="O19" i="5"/>
  <c r="O17" i="5"/>
  <c r="O21" i="5"/>
  <c r="O9" i="5"/>
  <c r="O11" i="5"/>
  <c r="O18" i="5"/>
  <c r="O14" i="5"/>
  <c r="O16" i="5"/>
  <c r="O28" i="5"/>
  <c r="O13" i="5"/>
  <c r="O20" i="5"/>
  <c r="O7" i="5"/>
</calcChain>
</file>

<file path=xl/sharedStrings.xml><?xml version="1.0" encoding="utf-8"?>
<sst xmlns="http://schemas.openxmlformats.org/spreadsheetml/2006/main" count="43" uniqueCount="43">
  <si>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</si>
  <si>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</si>
  <si>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</si>
  <si>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</si>
  <si>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</si>
  <si>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</si>
  <si>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</si>
  <si>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</si>
  <si>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</si>
  <si>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</si>
  <si>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</si>
  <si>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</si>
  <si>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</si>
  <si>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</si>
  <si>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</si>
  <si>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</si>
  <si>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</si>
  <si>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</si>
  <si>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</si>
  <si>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</si>
  <si>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FRANCIA</t>
  </si>
  <si>
    <t>Totale complessivo</t>
  </si>
  <si>
    <t>QATAR</t>
  </si>
  <si>
    <t>U.S.A.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</si>
  <si>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</si>
  <si>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</si>
  <si>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AZERBAIGIAN</t>
  </si>
  <si>
    <t>SPAGNA</t>
  </si>
  <si>
    <t>SLOVENIA</t>
  </si>
  <si>
    <t>EGITTO</t>
  </si>
  <si>
    <t>TRINIDAD</t>
  </si>
  <si>
    <t>Totale 2022</t>
  </si>
  <si>
    <t>gnl</t>
  </si>
  <si>
    <r>
      <t xml:space="preserve">IMPORTAZIONI DI GAS NATURALE PER PAESE DI ORIGINE* - ANNO 2024-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</si>
  <si>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GUINEA EQUATORIALE</t>
  </si>
  <si>
    <t>ANGOLA</t>
  </si>
  <si>
    <t>ALTRI UE</t>
  </si>
  <si>
    <t>BELGIO</t>
  </si>
  <si>
    <t>CONGO</t>
  </si>
  <si>
    <t>AUSTRIA</t>
  </si>
  <si>
    <t>GERMANIA</t>
  </si>
  <si>
    <t>SLOVACCHIA</t>
  </si>
  <si>
    <t xml:space="preserve">Ministero dell'Ambiente e della Sicurezza Energetica  FTA DIV.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</si>
</sst>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1" fillId="0" borderId="2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3" fontId="3" fillId="0" borderId="7" xfId="0" applyNumberFormat="1" applyFont="1" applyBorder="1"/>
    <xf numFmtId="3" fontId="3" fillId="0" borderId="9" xfId="0" applyNumberFormat="1" applyFont="1" applyBorder="1"/>
    <xf numFmtId="3" fontId="3" fillId="0" borderId="8" xfId="0" applyNumberFormat="1" applyFont="1" applyBorder="1"/>
    <xf numFmtId="3" fontId="3" fillId="0" borderId="12" xfId="0" applyNumberFormat="1" applyFont="1" applyBorder="1"/>
    <xf numFmtId="3" fontId="3" fillId="0" borderId="13" xfId="0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0" fontId="8" fillId="0" borderId="0" xfId="0" applyFont="1"/>
    <xf numFmtId="3" fontId="3" fillId="0" borderId="20" xfId="0" applyNumberFormat="1" applyFont="1" applyBorder="1"/>
    <xf numFmtId="3" fontId="3" fillId="0" borderId="21" xfId="0" applyNumberFormat="1" applyFont="1" applyBorder="1"/>
    <xf numFmtId="3" fontId="3" fillId="0" borderId="22" xfId="0" applyNumberFormat="1" applyFont="1" applyBorder="1"/>
    <xf numFmtId="164" fontId="2" fillId="0" borderId="23" xfId="0" applyNumberFormat="1" applyFont="1" applyBorder="1"/>
    <xf numFmtId="3" fontId="3" fillId="0" borderId="24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3" fontId="3" fillId="0" borderId="27" xfId="0" applyNumberFormat="1" applyFont="1" applyBorder="1"/>
    <xf numFmtId="3" fontId="3" fillId="0" borderId="28" xfId="0" applyNumberFormat="1" applyFont="1" applyBorder="1"/>
    <xf numFmtId="3" fontId="3" fillId="0" borderId="29" xfId="0" applyNumberFormat="1" applyFont="1" applyBorder="1"/>
    <xf numFmtId="3" fontId="3" fillId="0" borderId="30" xfId="0" applyNumberFormat="1" applyFont="1" applyBorder="1"/>
    <xf numFmtId="3" fontId="3" fillId="0" borderId="31" xfId="0" applyNumberFormat="1" applyFont="1" applyBorder="1"/>
    <xf numFmtId="3" fontId="3" fillId="0" borderId="32" xfId="0" applyNumberFormat="1" applyFont="1" applyBorder="1"/>
    <xf numFmtId="3" fontId="3" fillId="0" borderId="33" xfId="0" applyNumberFormat="1" applyFont="1" applyBorder="1"/>
    <xf numFmtId="3" fontId="3" fillId="0" borderId="34" xfId="0" applyNumberFormat="1" applyFont="1" applyBorder="1"/>
    <xf numFmtId="3" fontId="3" fillId="0" borderId="35" xfId="0" applyNumberFormat="1" applyFont="1" applyBorder="1"/>
    <xf numFmtId="3" fontId="3" fillId="0" borderId="36" xfId="0" applyNumberFormat="1" applyFont="1" applyBorder="1"/>
    <xf numFmtId="3" fontId="3" fillId="0" borderId="37" xfId="0" applyNumberFormat="1" applyFont="1" applyBorder="1"/>
    <xf numFmtId="0" fontId="5" fillId="0" borderId="38" xfId="0" applyFont="1" applyBorder="1"/>
    <xf numFmtId="3" fontId="4" fillId="0" borderId="38" xfId="0" applyNumberFormat="1" applyFont="1" applyBorder="1" applyAlignment="1">
      <alignment horizontal="right" indent="1"/>
    </xf>
    <xf numFmtId="3" fontId="1" fillId="0" borderId="38" xfId="0" applyNumberFormat="1" applyFont="1" applyBorder="1"/>
    <xf numFmtId="165" fontId="5" fillId="0" borderId="38" xfId="0" applyNumberFormat="1" applyFont="1" applyBorder="1"/>
    <xf numFmtId="3" fontId="3" fillId="0" borderId="40" xfId="0" applyNumberFormat="1" applyFont="1" applyBorder="1"/>
    <xf numFmtId="0" fontId="5" fillId="0" borderId="41" xfId="0" applyFont="1" applyBorder="1"/>
    <xf numFmtId="3" fontId="3" fillId="0" borderId="14" xfId="0" applyNumberFormat="1" applyFont="1" applyBorder="1"/>
    <xf numFmtId="164" fontId="2" fillId="0" borderId="42" xfId="0" applyNumberFormat="1" applyFont="1" applyBorder="1"/>
    <xf numFmtId="3" fontId="1" fillId="0" borderId="0" xfId="0" applyNumberFormat="1" applyFont="1"/>
    <xf numFmtId="165" fontId="0" fillId="0" borderId="43" xfId="0" applyNumberFormat="1" applyBorder="1"/>
    <xf numFmtId="164" fontId="2" fillId="0" borderId="44" xfId="0" applyNumberFormat="1" applyFont="1" applyBorder="1"/>
    <xf numFmtId="164" fontId="2" fillId="0" borderId="45" xfId="0" applyNumberFormat="1" applyFont="1" applyBorder="1"/>
    <xf numFmtId="3" fontId="3" fillId="0" borderId="46" xfId="0" applyNumberFormat="1" applyFont="1" applyBorder="1"/>
    <xf numFmtId="3" fontId="3" fillId="0" borderId="39" xfId="0" applyNumberFormat="1" applyFont="1" applyBorder="1"/>
    <xf numFmtId="3" fontId="1" fillId="0" borderId="6" xfId="0" applyNumberFormat="1" applyFont="1" applyBorder="1"/>
    <xf numFmtId="165" fontId="0" fillId="0" borderId="10" xfId="0" applyNumberFormat="1" applyBorder="1"/>
    <xf numFmtId="3" fontId="1" fillId="0" borderId="7" xfId="0" applyNumberFormat="1" applyFont="1" applyBorder="1"/>
    <xf numFmtId="3" fontId="3" fillId="0" borderId="47" xfId="0" applyNumberFormat="1" applyFont="1" applyBorder="1"/>
    <xf numFmtId="164" fontId="2" fillId="0" borderId="48" xfId="0" applyNumberFormat="1" applyFont="1" applyBorder="1"/>
    <xf numFmtId="3" fontId="3" fillId="0" borderId="49" xfId="0" applyNumberFormat="1" applyFont="1" applyBorder="1"/>
    <xf numFmtId="3" fontId="3" fillId="0" borderId="50" xfId="0" applyNumberFormat="1" applyFont="1" applyBorder="1"/>
    <xf numFmtId="3" fontId="3" fillId="0" borderId="51" xfId="0" applyNumberFormat="1" applyFont="1" applyBorder="1"/>
    <xf numFmtId="3" fontId="3" fillId="0" borderId="52" xfId="0" applyNumberFormat="1" applyFont="1" applyBorder="1"/>
    <xf numFmtId="3" fontId="1" fillId="0" borderId="9" xfId="0" applyNumberFormat="1" applyFont="1" applyBorder="1"/>
    <xf numFmtId="165" fontId="0" fillId="0" borderId="53" xfId="0" applyNumberFormat="1" applyBorder="1"/>
    <xf numFmtId="165" fontId="0" fillId="0" borderId="54" xfId="0" applyNumberFormat="1" applyBorder="1"/>
    <xf numFmtId="3" fontId="1" fillId="0" borderId="52" xfId="0" applyNumberFormat="1" applyFont="1" applyBorder="1"/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/>
    <xf numFmtId="165" fontId="5" fillId="0" borderId="55" xfId="0" applyNumberFormat="1" applyFont="1" applyBorder="1"/>
    <xf numFmtId="165" fontId="0" fillId="0" borderId="2" xfId="0" applyNumberFormat="1" applyBorder="1"/>
    <xf numFmtId="165" fontId="5" fillId="0" borderId="14" xfId="0" applyNumberFormat="1" applyFont="1" applyBorder="1"/>
    <xf numFmtId="3" fontId="0" fillId="0" borderId="56" xfId="0" applyNumberFormat="1" applyBorder="1"/>
    <xf numFmtId="0" fontId="0" fillId="0" borderId="19" xfId="0" applyBorder="1"/>
    <xf numFmtId="0" fontId="5" fillId="0" borderId="31" xfId="0" applyFont="1" applyBorder="1"/>
    <xf numFmtId="0" fontId="5" fillId="0" borderId="28" xfId="0" applyFont="1" applyBorder="1"/>
    <xf numFmtId="0" fontId="5" fillId="0" borderId="57" xfId="0" applyFont="1" applyBorder="1"/>
    <xf numFmtId="164" fontId="2" fillId="0" borderId="58" xfId="0" applyNumberFormat="1" applyFont="1" applyBorder="1"/>
    <xf numFmtId="3" fontId="3" fillId="0" borderId="59" xfId="0" applyNumberFormat="1" applyFont="1" applyBorder="1"/>
    <xf numFmtId="164" fontId="2" fillId="0" borderId="60" xfId="0" applyNumberFormat="1" applyFont="1" applyBorder="1"/>
    <xf numFmtId="164" fontId="2" fillId="0" borderId="2" xfId="0" applyNumberFormat="1" applyFont="1" applyBorder="1"/>
    <xf numFmtId="3" fontId="3" fillId="0" borderId="61" xfId="0" applyNumberFormat="1" applyFont="1" applyBorder="1"/>
    <xf numFmtId="3" fontId="3" fillId="0" borderId="63" xfId="0" applyNumberFormat="1" applyFont="1" applyBorder="1"/>
    <xf numFmtId="3" fontId="3" fillId="0" borderId="62" xfId="0" applyNumberFormat="1" applyFont="1" applyBorder="1"/>
    <xf numFmtId="3" fontId="3" fillId="0" borderId="64" xfId="0" applyNumberFormat="1" applyFont="1" applyBorder="1"/>
    <xf numFmtId="3" fontId="3" fillId="0" borderId="66" xfId="0" applyNumberFormat="1" applyFont="1" applyBorder="1"/>
    <xf numFmtId="3" fontId="3" fillId="0" borderId="65" xfId="0" applyNumberFormat="1" applyFont="1" applyBorder="1"/>
    <xf numFmtId="164" fontId="2" fillId="0" borderId="67" xfId="0" applyNumberFormat="1" applyFont="1" applyBorder="1"/>
    <xf numFmtId="164" fontId="2" fillId="0" borderId="68" xfId="0" applyNumberFormat="1" applyFont="1" applyBorder="1"/>
    <xf numFmtId="3" fontId="3" fillId="0" borderId="69" xfId="0" applyNumberFormat="1" applyFont="1" applyBorder="1"/>
    <xf numFmtId="3" fontId="1" fillId="0" borderId="4" xfId="0" applyNumberFormat="1" applyFont="1" applyBorder="1"/>
    <xf numFmtId="3" fontId="1" fillId="0" borderId="70" xfId="0" applyNumberFormat="1" applyFont="1" applyBorder="1"/>
    <xf numFmtId="3" fontId="0" fillId="0" borderId="71" xfId="0" applyNumberFormat="1" applyBorder="1"/>
    <xf numFmtId="165" fontId="0" fillId="0" borderId="72" xfId="0" applyNumberFormat="1" applyBorder="1"/>
    <xf numFmtId="165" fontId="0" fillId="0" borderId="73" xfId="0" applyNumberFormat="1" applyBorder="1"/>
    <xf numFmtId="3" fontId="1" fillId="0" borderId="74" xfId="0" applyNumberFormat="1" applyFont="1" applyBorder="1"/>
    <xf numFmtId="165" fontId="0" fillId="0" borderId="75" xfId="0" applyNumberForma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3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O27"/>
    </sheetView>
  </sheetViews>
  <sheetFormatPr defaultRowHeight="14.4" outlineLevelCol="1" x14ac:dyDescent="0.3"/>
  <cols>
    <col min="1" max="1" width="23.5546875" customWidth="1"/>
    <col min="2" max="2" width="12.332031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33203125" customWidth="1" outlineLevel="1"/>
    <col min="7" max="7" width="11.5546875" customWidth="1" outlineLevel="1"/>
    <col min="8" max="9" width="11.6640625" customWidth="1" outlineLevel="1"/>
    <col min="10" max="11" width="12.33203125" customWidth="1" outlineLevel="1"/>
    <col min="12" max="12" width="11.88671875" customWidth="1" outlineLevel="1"/>
    <col min="13" max="13" width="11.44140625" customWidth="1" outlineLevel="1"/>
    <col min="14" max="14" width="10.44140625" customWidth="1"/>
    <col min="15" max="15" width="12.33203125" customWidth="1"/>
    <col min="16" max="16" width="16.6640625" bestFit="1" customWidth="1"/>
  </cols>
  <sheetData>
    <row r="2" spans="1:22" ht="15" thickBot="1" x14ac:dyDescent="0.35"/>
    <row r="3" spans="1:22" ht="15.6" x14ac:dyDescent="0.3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5"/>
    </row>
    <row r="4" spans="1:22" x14ac:dyDescent="0.3">
      <c r="A4" s="1"/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8"/>
      <c r="N4" s="109"/>
      <c r="O4" s="110"/>
    </row>
    <row r="5" spans="1:22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71"/>
      <c r="Q5" s="72"/>
      <c r="R5" s="72"/>
      <c r="S5" s="72"/>
      <c r="V5" s="72" t="s">
        <v>32</v>
      </c>
    </row>
    <row r="6" spans="1:22" ht="15.6" x14ac:dyDescent="0.3">
      <c r="A6" s="16"/>
      <c r="B6" s="5"/>
      <c r="C6" s="6"/>
      <c r="D6" s="5"/>
      <c r="E6" s="6"/>
      <c r="F6" s="5"/>
      <c r="G6" s="7"/>
      <c r="H6" s="6"/>
      <c r="I6" s="5"/>
      <c r="J6" s="6"/>
      <c r="K6" s="5"/>
      <c r="L6" s="5"/>
      <c r="M6" s="6"/>
      <c r="N6" s="8"/>
      <c r="O6" s="20"/>
      <c r="Q6" s="73"/>
      <c r="R6" s="73"/>
      <c r="V6">
        <v>1682.6980000000001</v>
      </c>
    </row>
    <row r="7" spans="1:22" ht="15.6" x14ac:dyDescent="0.3">
      <c r="A7" s="16"/>
      <c r="B7" s="9"/>
      <c r="C7" s="10"/>
      <c r="D7" s="9"/>
      <c r="E7" s="10"/>
      <c r="F7" s="9"/>
      <c r="G7" s="11"/>
      <c r="H7" s="10"/>
      <c r="I7" s="9"/>
      <c r="J7" s="10"/>
      <c r="K7" s="9"/>
      <c r="L7" s="9"/>
      <c r="M7" s="11"/>
      <c r="N7" s="8"/>
      <c r="O7" s="20"/>
      <c r="Q7" s="73"/>
      <c r="R7" s="73"/>
      <c r="V7">
        <v>193</v>
      </c>
    </row>
    <row r="8" spans="1:22" ht="15.6" x14ac:dyDescent="0.3">
      <c r="A8" s="24"/>
      <c r="B8" s="28"/>
      <c r="C8" s="36"/>
      <c r="D8" s="30"/>
      <c r="E8" s="31"/>
      <c r="F8" s="32"/>
      <c r="G8" s="33"/>
      <c r="H8" s="34"/>
      <c r="I8" s="26"/>
      <c r="J8" s="39"/>
      <c r="K8" s="14"/>
      <c r="L8" s="41"/>
      <c r="M8" s="42"/>
      <c r="N8" s="8"/>
      <c r="O8" s="4"/>
      <c r="P8" s="74"/>
      <c r="Q8" s="73"/>
      <c r="R8" s="73"/>
    </row>
    <row r="9" spans="1:22" ht="15.6" x14ac:dyDescent="0.3">
      <c r="A9" s="16"/>
      <c r="B9" s="13"/>
      <c r="C9" s="6"/>
      <c r="D9" s="13"/>
      <c r="E9" s="6"/>
      <c r="F9" s="9"/>
      <c r="G9" s="5"/>
      <c r="H9" s="9"/>
      <c r="I9" s="9"/>
      <c r="J9" s="6"/>
      <c r="K9" s="5"/>
      <c r="L9" s="9"/>
      <c r="M9" s="5"/>
      <c r="N9" s="8"/>
      <c r="O9" s="20"/>
      <c r="Q9" s="73"/>
      <c r="R9" s="73"/>
      <c r="V9">
        <v>7288.8519999999999</v>
      </c>
    </row>
    <row r="10" spans="1:22" ht="15.6" x14ac:dyDescent="0.3">
      <c r="A10" s="17"/>
      <c r="B10" s="9"/>
      <c r="C10" s="9"/>
      <c r="D10" s="9"/>
      <c r="E10" s="9"/>
      <c r="F10" s="5"/>
      <c r="G10" s="7"/>
      <c r="H10" s="12"/>
      <c r="I10" s="9"/>
      <c r="J10" s="9"/>
      <c r="K10" s="5"/>
      <c r="L10" s="5"/>
      <c r="M10" s="7"/>
      <c r="N10" s="8"/>
      <c r="O10" s="23"/>
      <c r="P10" s="74"/>
      <c r="Q10" s="73"/>
      <c r="R10" s="73"/>
    </row>
    <row r="11" spans="1:22" ht="15.6" x14ac:dyDescent="0.3">
      <c r="A11" s="49"/>
      <c r="B11" s="9"/>
      <c r="C11" s="10"/>
      <c r="D11" s="9"/>
      <c r="E11" s="10"/>
      <c r="F11" s="5"/>
      <c r="G11" s="7"/>
      <c r="H11" s="12"/>
      <c r="I11" s="9"/>
      <c r="J11" s="10"/>
      <c r="K11" s="5"/>
      <c r="L11" s="5"/>
      <c r="M11" s="12"/>
      <c r="N11" s="8"/>
      <c r="O11" s="23"/>
      <c r="Q11" s="73"/>
      <c r="R11" s="73"/>
      <c r="V11">
        <v>3003.9340000000002</v>
      </c>
    </row>
    <row r="12" spans="1:22" ht="15.6" x14ac:dyDescent="0.3">
      <c r="A12" s="18"/>
      <c r="B12" s="9"/>
      <c r="C12" s="10"/>
      <c r="D12" s="9"/>
      <c r="E12" s="10"/>
      <c r="F12" s="9"/>
      <c r="G12" s="11"/>
      <c r="H12" s="10"/>
      <c r="I12" s="9"/>
      <c r="J12" s="10"/>
      <c r="K12" s="9"/>
      <c r="L12" s="9"/>
      <c r="M12" s="10"/>
      <c r="N12" s="8"/>
      <c r="O12" s="20"/>
      <c r="Q12" s="73"/>
      <c r="R12" s="73"/>
    </row>
    <row r="13" spans="1:22" ht="15.6" x14ac:dyDescent="0.3">
      <c r="A13" s="18"/>
      <c r="B13" s="13"/>
      <c r="C13" s="10"/>
      <c r="D13" s="14"/>
      <c r="E13" s="6"/>
      <c r="F13" s="9"/>
      <c r="G13" s="7"/>
      <c r="H13" s="10"/>
      <c r="I13" s="9"/>
      <c r="J13" s="12"/>
      <c r="K13" s="5"/>
      <c r="L13" s="50"/>
      <c r="M13" s="10"/>
      <c r="N13" s="8"/>
      <c r="O13" s="20"/>
      <c r="Q13" s="73"/>
      <c r="R13" s="73"/>
    </row>
    <row r="14" spans="1:22" ht="15.6" x14ac:dyDescent="0.3">
      <c r="A14" s="18"/>
      <c r="B14" s="9"/>
      <c r="C14" s="9"/>
      <c r="D14" s="9"/>
      <c r="E14" s="9"/>
      <c r="F14" s="9"/>
      <c r="G14" s="9"/>
      <c r="H14" s="15"/>
      <c r="I14" s="14"/>
      <c r="J14" s="9"/>
      <c r="K14" s="9"/>
      <c r="L14" s="14"/>
      <c r="M14" s="9"/>
      <c r="N14" s="8"/>
      <c r="O14" s="22"/>
      <c r="Q14" s="73"/>
      <c r="R14" s="73"/>
      <c r="V14">
        <v>16.995000000000001</v>
      </c>
    </row>
    <row r="15" spans="1:22" ht="15.6" x14ac:dyDescent="0.3">
      <c r="A15" s="29"/>
      <c r="B15" s="9"/>
      <c r="C15" s="10"/>
      <c r="D15" s="50"/>
      <c r="E15" s="50"/>
      <c r="F15" s="50"/>
      <c r="G15" s="48"/>
      <c r="H15" s="6"/>
      <c r="I15" s="13"/>
      <c r="J15" s="39"/>
      <c r="K15" s="9"/>
      <c r="L15" s="6"/>
      <c r="M15" s="6"/>
      <c r="N15" s="8"/>
      <c r="O15" s="22"/>
      <c r="P15" s="6"/>
      <c r="Q15" s="73"/>
      <c r="R15" s="73"/>
      <c r="V15">
        <v>0</v>
      </c>
    </row>
    <row r="16" spans="1:22" ht="15.6" x14ac:dyDescent="0.3">
      <c r="A16" s="16"/>
      <c r="B16" s="13"/>
      <c r="C16" s="10"/>
      <c r="D16" s="14"/>
      <c r="E16" s="6"/>
      <c r="F16" s="9"/>
      <c r="G16" s="7"/>
      <c r="H16" s="10"/>
      <c r="I16" s="34"/>
      <c r="J16" s="34"/>
      <c r="K16" s="13"/>
      <c r="L16" s="40"/>
      <c r="M16" s="42"/>
      <c r="N16" s="8"/>
      <c r="O16" s="20"/>
      <c r="P16" s="6"/>
      <c r="Q16" s="73"/>
      <c r="R16" s="73"/>
      <c r="V16">
        <v>0</v>
      </c>
    </row>
    <row r="17" spans="1:22" ht="15.6" x14ac:dyDescent="0.3">
      <c r="A17" s="19"/>
      <c r="B17" s="34"/>
      <c r="C17" s="10"/>
      <c r="D17" s="14"/>
      <c r="E17" s="6"/>
      <c r="F17" s="9"/>
      <c r="G17" s="7"/>
      <c r="H17" s="10"/>
      <c r="I17" s="13"/>
      <c r="J17" s="34"/>
      <c r="K17" s="34"/>
      <c r="L17" s="12"/>
      <c r="M17" s="9"/>
      <c r="N17" s="8"/>
      <c r="O17" s="20"/>
      <c r="Q17" s="73"/>
      <c r="R17" s="73"/>
      <c r="V17">
        <v>918.32899999999995</v>
      </c>
    </row>
    <row r="18" spans="1:22" ht="15.6" x14ac:dyDescent="0.3">
      <c r="A18" s="19"/>
      <c r="B18" s="27"/>
      <c r="C18" s="10"/>
      <c r="D18" s="14"/>
      <c r="E18" s="27"/>
      <c r="F18" s="9"/>
      <c r="G18" s="34"/>
      <c r="H18" s="10"/>
      <c r="I18" s="39"/>
      <c r="J18" s="39"/>
      <c r="K18" s="39"/>
      <c r="L18" s="12"/>
      <c r="M18" s="9"/>
      <c r="N18" s="8"/>
      <c r="O18" s="20"/>
      <c r="Q18" s="73"/>
      <c r="R18" s="73"/>
      <c r="V18">
        <v>906.48099999999999</v>
      </c>
    </row>
    <row r="19" spans="1:22" ht="15.6" x14ac:dyDescent="0.3">
      <c r="A19" s="18"/>
      <c r="B19" s="26"/>
      <c r="C19" s="6"/>
      <c r="D19" s="13"/>
      <c r="E19" s="26"/>
      <c r="F19" s="9"/>
      <c r="G19" s="5"/>
      <c r="H19" s="15"/>
      <c r="I19" s="14"/>
      <c r="J19" s="6"/>
      <c r="K19" s="5"/>
      <c r="L19" s="14"/>
      <c r="M19" s="5"/>
      <c r="N19" s="8"/>
      <c r="O19" s="20"/>
      <c r="P19" s="57"/>
      <c r="Q19" s="73"/>
      <c r="R19" s="73"/>
      <c r="V19">
        <v>0</v>
      </c>
    </row>
    <row r="20" spans="1:22" ht="15.6" x14ac:dyDescent="0.3">
      <c r="A20" s="19"/>
      <c r="B20" s="13"/>
      <c r="C20" s="10"/>
      <c r="D20" s="26"/>
      <c r="E20" s="6"/>
      <c r="F20" s="9"/>
      <c r="G20" s="7"/>
      <c r="H20" s="6"/>
      <c r="I20" s="34"/>
      <c r="J20" s="39"/>
      <c r="K20" s="34"/>
      <c r="L20" s="12"/>
      <c r="M20" s="9"/>
      <c r="N20" s="8"/>
      <c r="O20" s="20"/>
      <c r="Q20" s="73"/>
      <c r="R20" s="73"/>
      <c r="V20">
        <v>221.12200000000001</v>
      </c>
    </row>
    <row r="21" spans="1:22" ht="15.6" x14ac:dyDescent="0.3">
      <c r="A21" s="54"/>
      <c r="B21" s="37"/>
      <c r="C21" s="36"/>
      <c r="D21" s="38"/>
      <c r="E21" s="56"/>
      <c r="F21" s="36"/>
      <c r="G21" s="35"/>
      <c r="H21" s="26"/>
      <c r="I21" s="14"/>
      <c r="J21" s="39"/>
      <c r="K21" s="14"/>
      <c r="L21" s="43"/>
      <c r="M21" s="42"/>
      <c r="N21" s="8"/>
      <c r="O21" s="4"/>
      <c r="Q21" s="73"/>
      <c r="R21" s="73"/>
      <c r="V21">
        <v>185.00299999999999</v>
      </c>
    </row>
    <row r="22" spans="1:22" ht="15.6" x14ac:dyDescent="0.3">
      <c r="A22" s="55"/>
      <c r="B22" s="41"/>
      <c r="C22" s="9"/>
      <c r="D22" s="26"/>
      <c r="E22" s="50"/>
      <c r="F22" s="10"/>
      <c r="G22" s="9"/>
      <c r="H22" s="50"/>
      <c r="I22" s="50"/>
      <c r="J22" s="41"/>
      <c r="K22" s="50"/>
      <c r="L22" s="9"/>
      <c r="M22" s="9"/>
      <c r="N22" s="58"/>
      <c r="O22" s="59"/>
      <c r="P22" s="57"/>
      <c r="Q22" s="73"/>
      <c r="R22" s="73"/>
      <c r="V22">
        <v>0</v>
      </c>
    </row>
    <row r="23" spans="1:22" ht="15.6" x14ac:dyDescent="0.3">
      <c r="A23" s="19"/>
      <c r="B23" s="9"/>
      <c r="C23" s="9"/>
      <c r="D23" s="9"/>
      <c r="E23" s="11"/>
      <c r="F23" s="7"/>
      <c r="G23" s="11"/>
      <c r="H23" s="9"/>
      <c r="I23" s="9"/>
      <c r="J23" s="9"/>
      <c r="K23" s="9"/>
      <c r="L23" s="9"/>
      <c r="M23" s="9"/>
      <c r="N23" s="8"/>
      <c r="O23" s="4"/>
      <c r="P23" s="57"/>
      <c r="Q23" s="73"/>
      <c r="R23" s="73"/>
      <c r="V23">
        <v>0</v>
      </c>
    </row>
    <row r="24" spans="1:22" ht="15.6" x14ac:dyDescent="0.3">
      <c r="A24" s="19"/>
      <c r="B24" s="50"/>
      <c r="C24" s="9"/>
      <c r="D24" s="9"/>
      <c r="E24" s="9"/>
      <c r="F24" s="11"/>
      <c r="G24" s="11"/>
      <c r="H24" s="9"/>
      <c r="I24" s="9"/>
      <c r="J24" s="9"/>
      <c r="K24" s="10"/>
      <c r="L24" s="9"/>
      <c r="M24" s="50"/>
      <c r="N24" s="8"/>
      <c r="O24" s="4"/>
      <c r="P24" s="57"/>
      <c r="Q24" s="73"/>
      <c r="R24" s="73"/>
      <c r="V24">
        <v>0</v>
      </c>
    </row>
    <row r="25" spans="1:22" ht="15.6" x14ac:dyDescent="0.3">
      <c r="A25" s="55"/>
      <c r="B25" s="50"/>
      <c r="C25" s="61"/>
      <c r="D25" s="9"/>
      <c r="E25" s="9"/>
      <c r="F25" s="9"/>
      <c r="G25" s="50"/>
      <c r="H25" s="9"/>
      <c r="I25" s="11"/>
      <c r="J25" s="11"/>
      <c r="K25" s="6"/>
      <c r="L25" s="9"/>
      <c r="M25" s="9"/>
      <c r="N25" s="60"/>
      <c r="O25" s="53"/>
      <c r="Q25" s="73"/>
      <c r="R25" s="73"/>
      <c r="V25">
        <v>25.009</v>
      </c>
    </row>
    <row r="26" spans="1:22" ht="15.6" x14ac:dyDescent="0.3">
      <c r="A26" s="51"/>
      <c r="B26" s="57"/>
      <c r="C26" s="9"/>
      <c r="D26" s="9"/>
      <c r="E26" s="6"/>
      <c r="F26" s="9"/>
      <c r="G26" s="6"/>
      <c r="H26" s="9"/>
      <c r="I26" s="10"/>
      <c r="J26" s="9"/>
      <c r="K26" s="11"/>
      <c r="L26" s="6"/>
      <c r="M26" s="9"/>
      <c r="N26" s="52"/>
      <c r="O26" s="68"/>
      <c r="P26" s="57"/>
      <c r="Q26" s="73"/>
      <c r="R26" s="73"/>
      <c r="V26">
        <v>0</v>
      </c>
    </row>
    <row r="27" spans="1:22" ht="15.6" x14ac:dyDescent="0.3">
      <c r="A27" s="19"/>
      <c r="B27" s="9"/>
      <c r="C27" s="9"/>
      <c r="D27" s="50"/>
      <c r="E27" s="50"/>
      <c r="F27" s="9"/>
      <c r="G27" s="12"/>
      <c r="H27" s="9"/>
      <c r="I27" s="15"/>
      <c r="J27" s="9"/>
      <c r="K27" s="11"/>
      <c r="L27" s="10"/>
      <c r="M27" s="9"/>
      <c r="N27" s="67"/>
      <c r="O27" s="68"/>
      <c r="P27" s="57"/>
      <c r="Q27" s="73"/>
      <c r="R27" s="73"/>
      <c r="V27">
        <v>0</v>
      </c>
    </row>
    <row r="28" spans="1:22" ht="15.6" x14ac:dyDescent="0.3">
      <c r="A28" s="51"/>
      <c r="B28" s="57"/>
      <c r="C28" s="50"/>
      <c r="D28" s="57"/>
      <c r="E28" s="9"/>
      <c r="F28" s="9"/>
      <c r="G28" s="12"/>
      <c r="H28" s="9"/>
      <c r="I28" s="9"/>
      <c r="J28" s="11"/>
      <c r="K28" s="10"/>
      <c r="L28" s="9"/>
      <c r="M28" s="9"/>
      <c r="N28" s="8"/>
      <c r="O28" s="68"/>
      <c r="Q28" s="73"/>
      <c r="R28" s="73"/>
      <c r="V28">
        <v>0</v>
      </c>
    </row>
    <row r="29" spans="1:22" ht="16.2" thickBot="1" x14ac:dyDescent="0.35">
      <c r="A29" s="62"/>
      <c r="B29" s="63"/>
      <c r="C29" s="64"/>
      <c r="D29" s="66"/>
      <c r="E29" s="66"/>
      <c r="F29" s="65"/>
      <c r="G29" s="64"/>
      <c r="H29" s="66"/>
      <c r="I29" s="65"/>
      <c r="J29" s="65"/>
      <c r="K29" s="63"/>
      <c r="L29" s="66"/>
      <c r="M29" s="66"/>
      <c r="N29" s="70"/>
      <c r="O29" s="69"/>
      <c r="P29" s="57"/>
      <c r="Q29" s="73"/>
      <c r="R29" s="73"/>
      <c r="V29">
        <v>0</v>
      </c>
    </row>
    <row r="30" spans="1:22" s="21" customFormat="1" ht="16.2" thickBot="1" x14ac:dyDescent="0.3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  <c r="O30" s="47"/>
    </row>
    <row r="32" spans="1:22" s="25" customFormat="1" ht="18.75" customHeight="1" x14ac:dyDescent="0.35">
      <c r="B32" s="111"/>
      <c r="C32" s="112"/>
      <c r="D32" s="112"/>
      <c r="E32" s="112"/>
      <c r="F32" s="112"/>
      <c r="G32" s="112"/>
    </row>
    <row r="34" spans="1:15" x14ac:dyDescent="0.3">
      <c r="A34" s="113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</row>
    <row r="35" spans="1:15" x14ac:dyDescent="0.3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</row>
  </sheetData>
  <mergeCells count="5">
    <mergeCell ref="A3:O3"/>
    <mergeCell ref="B4:M4"/>
    <mergeCell ref="N4:O4"/>
    <mergeCell ref="A34:O35"/>
    <mergeCell ref="B32:G3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5770-F17C-4697-A257-EB25073756D6}">
  <dimension ref="A2:R33"/>
  <sheetViews>
    <sheetView tabSelected="1" topLeftCell="A23" workbookViewId="0">
      <selection activeCell="B31" sqref="B31"/>
    </sheetView>
  </sheetViews>
  <sheetFormatPr defaultRowHeight="14.4" outlineLevelCol="1" x14ac:dyDescent="0.3"/>
  <cols>
    <col min="1" max="1" width="23.5546875" customWidth="1"/>
    <col min="2" max="2" width="12.33203125" customWidth="1" outlineLevel="1"/>
    <col min="3" max="3" width="14" customWidth="1" outlineLevel="1"/>
    <col min="4" max="4" width="12" customWidth="1" outlineLevel="1"/>
    <col min="5" max="5" width="13" customWidth="1" outlineLevel="1"/>
    <col min="6" max="6" width="12.33203125" customWidth="1" outlineLevel="1"/>
    <col min="7" max="7" width="11.5546875" customWidth="1" outlineLevel="1"/>
    <col min="8" max="9" width="11.6640625" customWidth="1" outlineLevel="1"/>
    <col min="10" max="11" width="12.33203125" customWidth="1" outlineLevel="1"/>
    <col min="12" max="12" width="11.88671875" customWidth="1" outlineLevel="1"/>
    <col min="13" max="13" width="11.44140625" customWidth="1" outlineLevel="1"/>
    <col min="14" max="14" width="10.44140625" customWidth="1"/>
    <col min="15" max="15" width="12.33203125" customWidth="1"/>
    <col min="16" max="16" width="16.6640625" bestFit="1" customWidth="1"/>
    <col min="18" max="18" width="12.6640625" bestFit="1" customWidth="1"/>
  </cols>
  <sheetData>
    <row r="2" spans="1:18" ht="15" thickBot="1" x14ac:dyDescent="0.35"/>
    <row r="3" spans="1:18" ht="16.2" x14ac:dyDescent="0.3">
      <c r="A3" s="103" t="s">
        <v>33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5"/>
    </row>
    <row r="4" spans="1:18" x14ac:dyDescent="0.3">
      <c r="A4" s="1"/>
      <c r="B4" s="106" t="s">
        <v>0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8"/>
      <c r="N4" s="109"/>
      <c r="O4" s="110"/>
    </row>
    <row r="5" spans="1:18" x14ac:dyDescent="0.3">
      <c r="A5" s="79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31</v>
      </c>
      <c r="O5" s="3" t="s">
        <v>13</v>
      </c>
      <c r="P5" s="71"/>
      <c r="Q5" s="72"/>
      <c r="R5" s="72"/>
    </row>
    <row r="6" spans="1:18" ht="15.6" x14ac:dyDescent="0.3">
      <c r="A6" s="80" t="s">
        <v>15</v>
      </c>
      <c r="B6" s="7">
        <v>1499.4</v>
      </c>
      <c r="C6" s="6">
        <v>1621.3</v>
      </c>
      <c r="D6" s="5">
        <v>2199.5</v>
      </c>
      <c r="E6" s="6">
        <v>2249.9</v>
      </c>
      <c r="F6" s="5">
        <v>2158.9</v>
      </c>
      <c r="G6" s="7">
        <v>1875.4</v>
      </c>
      <c r="H6" s="6">
        <v>1805.3</v>
      </c>
      <c r="I6" s="5">
        <v>1643.1</v>
      </c>
      <c r="J6" s="6">
        <v>1241.7</v>
      </c>
      <c r="K6" s="5">
        <v>1826.1</v>
      </c>
      <c r="L6" s="5">
        <v>2070.8000000000002</v>
      </c>
      <c r="M6" s="6">
        <v>2707.8</v>
      </c>
      <c r="N6" s="8">
        <f t="shared" ref="N6:N7" si="0">SUM(B6:M6)</f>
        <v>22899.199999999997</v>
      </c>
      <c r="O6" s="20">
        <f t="shared" ref="O6:O28" si="1">N6/$N$28</f>
        <v>0.38613246998516121</v>
      </c>
      <c r="P6" s="73"/>
      <c r="Q6" s="73"/>
    </row>
    <row r="7" spans="1:18" ht="15.6" x14ac:dyDescent="0.3">
      <c r="A7" s="18" t="s">
        <v>26</v>
      </c>
      <c r="B7" s="9">
        <v>835.3</v>
      </c>
      <c r="C7" s="10">
        <v>794.5</v>
      </c>
      <c r="D7" s="9">
        <v>839.1</v>
      </c>
      <c r="E7" s="10">
        <v>769.9</v>
      </c>
      <c r="F7" s="9">
        <v>844.1</v>
      </c>
      <c r="G7" s="11">
        <v>821.6</v>
      </c>
      <c r="H7" s="10">
        <v>860.5</v>
      </c>
      <c r="I7" s="9">
        <v>632.5</v>
      </c>
      <c r="J7" s="10">
        <v>768.4</v>
      </c>
      <c r="K7" s="9">
        <v>874.6</v>
      </c>
      <c r="L7" s="9">
        <v>858.6</v>
      </c>
      <c r="M7" s="11">
        <v>1416.1</v>
      </c>
      <c r="N7" s="8">
        <f t="shared" si="0"/>
        <v>10315.200000000001</v>
      </c>
      <c r="O7" s="20">
        <f t="shared" si="1"/>
        <v>0.1739376770538244</v>
      </c>
      <c r="P7" s="73"/>
      <c r="Q7" s="73"/>
    </row>
    <row r="8" spans="1:18" ht="15.6" x14ac:dyDescent="0.3">
      <c r="A8" s="24" t="s">
        <v>22</v>
      </c>
      <c r="B8" s="28">
        <v>546.1</v>
      </c>
      <c r="C8" s="36">
        <v>514</v>
      </c>
      <c r="D8" s="30">
        <v>567.6</v>
      </c>
      <c r="E8" s="31">
        <v>632.70000000000005</v>
      </c>
      <c r="F8" s="32">
        <v>646.79999999999995</v>
      </c>
      <c r="G8" s="33">
        <v>635.6</v>
      </c>
      <c r="H8" s="34">
        <v>511.7</v>
      </c>
      <c r="I8" s="26">
        <v>691.7</v>
      </c>
      <c r="J8" s="39">
        <v>438.4</v>
      </c>
      <c r="K8" s="14">
        <v>538.29999999999995</v>
      </c>
      <c r="L8" s="41">
        <v>535.70000000000005</v>
      </c>
      <c r="M8" s="42">
        <v>851.6</v>
      </c>
      <c r="N8" s="8">
        <f t="shared" ref="N8:N27" si="2">SUM(B8:M8)</f>
        <v>7110.2</v>
      </c>
      <c r="O8" s="4">
        <f t="shared" si="1"/>
        <v>0.11989410495076219</v>
      </c>
      <c r="P8" s="73"/>
      <c r="Q8" s="73"/>
    </row>
    <row r="9" spans="1:18" ht="15.6" x14ac:dyDescent="0.3">
      <c r="A9" s="16" t="s">
        <v>18</v>
      </c>
      <c r="B9" s="13">
        <v>488.9</v>
      </c>
      <c r="C9" s="6">
        <v>574.70000000000005</v>
      </c>
      <c r="D9" s="13">
        <v>869.1</v>
      </c>
      <c r="E9" s="6">
        <v>365.4</v>
      </c>
      <c r="F9" s="9">
        <v>570</v>
      </c>
      <c r="G9" s="5">
        <v>624.79999999999995</v>
      </c>
      <c r="H9" s="9">
        <v>602.9</v>
      </c>
      <c r="I9" s="9">
        <v>616.79999999999995</v>
      </c>
      <c r="J9" s="6">
        <v>696.2</v>
      </c>
      <c r="K9" s="5">
        <v>272.60000000000002</v>
      </c>
      <c r="L9" s="9">
        <v>210.8</v>
      </c>
      <c r="M9" s="5">
        <v>474.5</v>
      </c>
      <c r="N9" s="8">
        <f t="shared" si="2"/>
        <v>6366.7</v>
      </c>
      <c r="O9" s="20">
        <f t="shared" si="1"/>
        <v>0.10735700795899097</v>
      </c>
      <c r="P9" s="73"/>
      <c r="Q9" s="73"/>
    </row>
    <row r="10" spans="1:18" ht="15.6" x14ac:dyDescent="0.3">
      <c r="A10" s="81" t="s">
        <v>23</v>
      </c>
      <c r="B10" s="9">
        <v>682.7</v>
      </c>
      <c r="C10" s="9">
        <v>456.6</v>
      </c>
      <c r="D10" s="9">
        <v>315.39999999999998</v>
      </c>
      <c r="E10" s="9">
        <v>425.8</v>
      </c>
      <c r="F10" s="5">
        <v>329.1</v>
      </c>
      <c r="G10" s="7">
        <v>115.4</v>
      </c>
      <c r="H10" s="12">
        <v>382.2</v>
      </c>
      <c r="I10" s="9">
        <v>345.7</v>
      </c>
      <c r="J10" s="9">
        <v>481.6</v>
      </c>
      <c r="K10" s="5">
        <v>516</v>
      </c>
      <c r="L10" s="5">
        <v>463.3</v>
      </c>
      <c r="M10" s="7">
        <v>660.2</v>
      </c>
      <c r="N10" s="8">
        <f t="shared" si="2"/>
        <v>5174</v>
      </c>
      <c r="O10" s="23">
        <f t="shared" si="1"/>
        <v>8.7245379738297602E-2</v>
      </c>
      <c r="P10" s="73"/>
      <c r="Q10" s="73"/>
    </row>
    <row r="11" spans="1:18" ht="15.6" x14ac:dyDescent="0.3">
      <c r="A11" s="82" t="s">
        <v>14</v>
      </c>
      <c r="B11" s="42">
        <v>115.6</v>
      </c>
      <c r="C11" s="10">
        <v>127.5</v>
      </c>
      <c r="D11" s="9">
        <v>238.9</v>
      </c>
      <c r="E11" s="10">
        <v>240</v>
      </c>
      <c r="F11" s="5">
        <v>260.60000000000002</v>
      </c>
      <c r="G11" s="7">
        <v>151.69999999999999</v>
      </c>
      <c r="H11" s="12">
        <v>226.5</v>
      </c>
      <c r="I11" s="9">
        <v>128.1</v>
      </c>
      <c r="J11" s="10">
        <v>329.4</v>
      </c>
      <c r="K11" s="5">
        <v>77.8</v>
      </c>
      <c r="L11" s="5">
        <v>68.400000000000006</v>
      </c>
      <c r="M11" s="12">
        <v>450.1</v>
      </c>
      <c r="N11" s="8">
        <f t="shared" si="2"/>
        <v>2414.6</v>
      </c>
      <c r="O11" s="23">
        <f t="shared" si="1"/>
        <v>4.0715634695804671E-2</v>
      </c>
      <c r="P11" s="73"/>
      <c r="Q11" s="73"/>
    </row>
    <row r="12" spans="1:18" ht="15.6" x14ac:dyDescent="0.3">
      <c r="A12" s="21" t="s">
        <v>20</v>
      </c>
      <c r="B12" s="11">
        <v>146.80000000000001</v>
      </c>
      <c r="C12" s="10">
        <v>189.5</v>
      </c>
      <c r="D12" s="9">
        <v>152.6</v>
      </c>
      <c r="E12" s="10">
        <v>23.1</v>
      </c>
      <c r="F12" s="5">
        <v>82.1</v>
      </c>
      <c r="G12" s="7">
        <v>117.8</v>
      </c>
      <c r="H12" s="12">
        <v>124.5</v>
      </c>
      <c r="I12" s="9">
        <v>140.30000000000001</v>
      </c>
      <c r="J12" s="10">
        <v>184.1</v>
      </c>
      <c r="K12" s="5">
        <v>120.8</v>
      </c>
      <c r="L12" s="5">
        <v>173.3</v>
      </c>
      <c r="M12" s="12">
        <v>252.3</v>
      </c>
      <c r="N12" s="8">
        <f t="shared" si="2"/>
        <v>1707.1999999999998</v>
      </c>
      <c r="O12" s="23">
        <f t="shared" si="1"/>
        <v>2.8787265614461082E-2</v>
      </c>
      <c r="P12" s="73"/>
      <c r="Q12" s="73"/>
    </row>
    <row r="13" spans="1:18" ht="15.6" x14ac:dyDescent="0.3">
      <c r="A13" s="18" t="s">
        <v>17</v>
      </c>
      <c r="B13" s="9">
        <v>162.80000000000001</v>
      </c>
      <c r="C13" s="10">
        <v>136.69999999999999</v>
      </c>
      <c r="D13" s="9">
        <v>169.9</v>
      </c>
      <c r="E13" s="10">
        <v>210.6</v>
      </c>
      <c r="F13" s="9">
        <v>139.19999999999999</v>
      </c>
      <c r="G13" s="11">
        <v>63.5</v>
      </c>
      <c r="H13" s="10">
        <v>65.7</v>
      </c>
      <c r="I13" s="9">
        <v>77.8</v>
      </c>
      <c r="J13" s="10">
        <v>63.8</v>
      </c>
      <c r="K13" s="9">
        <v>93.3</v>
      </c>
      <c r="L13" s="9">
        <v>135.1</v>
      </c>
      <c r="M13" s="10">
        <v>88</v>
      </c>
      <c r="N13" s="8">
        <f t="shared" si="2"/>
        <v>1406.3999999999999</v>
      </c>
      <c r="O13" s="20">
        <f t="shared" si="1"/>
        <v>2.3715095103197088E-2</v>
      </c>
      <c r="P13" s="73"/>
      <c r="Q13" s="73"/>
    </row>
    <row r="14" spans="1:18" ht="15.6" x14ac:dyDescent="0.3">
      <c r="A14" s="18" t="s">
        <v>16</v>
      </c>
      <c r="B14" s="13">
        <v>20.8</v>
      </c>
      <c r="C14" s="10">
        <v>19.399999999999999</v>
      </c>
      <c r="D14" s="14">
        <v>69.099999999999994</v>
      </c>
      <c r="E14" s="6">
        <v>122.1</v>
      </c>
      <c r="F14" s="9">
        <v>33.6</v>
      </c>
      <c r="G14" s="7">
        <v>51.9</v>
      </c>
      <c r="H14" s="10">
        <v>150.5</v>
      </c>
      <c r="I14" s="9">
        <v>56.5</v>
      </c>
      <c r="J14" s="12">
        <v>130.5</v>
      </c>
      <c r="K14" s="5">
        <v>36.4</v>
      </c>
      <c r="L14" s="50">
        <v>47.6</v>
      </c>
      <c r="M14" s="9">
        <v>554</v>
      </c>
      <c r="N14" s="8">
        <f t="shared" si="2"/>
        <v>1292.4000000000001</v>
      </c>
      <c r="O14" s="20">
        <f t="shared" si="1"/>
        <v>2.1792796438688793E-2</v>
      </c>
      <c r="P14" s="73"/>
      <c r="Q14" s="73"/>
    </row>
    <row r="15" spans="1:18" ht="15.6" x14ac:dyDescent="0.3">
      <c r="A15" s="18" t="s">
        <v>27</v>
      </c>
      <c r="B15" s="9">
        <v>14.9</v>
      </c>
      <c r="C15" s="9">
        <v>14.3</v>
      </c>
      <c r="D15" s="9">
        <v>26.8</v>
      </c>
      <c r="E15" s="9">
        <v>10.3</v>
      </c>
      <c r="F15" s="9">
        <v>16.2</v>
      </c>
      <c r="G15" s="9">
        <v>12.1</v>
      </c>
      <c r="H15" s="15">
        <v>11.8</v>
      </c>
      <c r="I15" s="14">
        <v>14.2</v>
      </c>
      <c r="J15" s="9">
        <v>0</v>
      </c>
      <c r="K15" s="9">
        <v>25.4</v>
      </c>
      <c r="L15" s="14">
        <v>15.4</v>
      </c>
      <c r="M15" s="9">
        <v>14.6</v>
      </c>
      <c r="N15" s="8">
        <f t="shared" si="2"/>
        <v>176</v>
      </c>
      <c r="O15" s="77">
        <f t="shared" si="1"/>
        <v>2.9677593416970191E-3</v>
      </c>
      <c r="P15" s="78"/>
      <c r="Q15" s="73"/>
    </row>
    <row r="16" spans="1:18" ht="15.6" x14ac:dyDescent="0.3">
      <c r="A16" s="19" t="s">
        <v>34</v>
      </c>
      <c r="B16" s="34">
        <v>0</v>
      </c>
      <c r="C16" s="10">
        <v>0</v>
      </c>
      <c r="D16" s="14">
        <v>0</v>
      </c>
      <c r="E16" s="6">
        <v>0</v>
      </c>
      <c r="F16" s="9">
        <v>0</v>
      </c>
      <c r="G16" s="7">
        <v>0</v>
      </c>
      <c r="H16" s="10">
        <v>0</v>
      </c>
      <c r="I16" s="13">
        <v>0</v>
      </c>
      <c r="J16" s="34">
        <v>0</v>
      </c>
      <c r="K16" s="34">
        <v>0</v>
      </c>
      <c r="L16" s="12">
        <v>0</v>
      </c>
      <c r="M16" s="9">
        <v>94.7</v>
      </c>
      <c r="N16" s="8">
        <f t="shared" si="2"/>
        <v>94.7</v>
      </c>
      <c r="O16" s="20">
        <f t="shared" si="1"/>
        <v>1.5968568730608393E-3</v>
      </c>
      <c r="P16" s="73"/>
      <c r="Q16" s="73"/>
    </row>
    <row r="17" spans="1:17" ht="15.6" x14ac:dyDescent="0.3">
      <c r="A17" s="19" t="s">
        <v>30</v>
      </c>
      <c r="B17" s="26">
        <v>0</v>
      </c>
      <c r="C17" s="10">
        <v>0</v>
      </c>
      <c r="D17" s="14">
        <v>92.7</v>
      </c>
      <c r="E17" s="26">
        <v>0</v>
      </c>
      <c r="F17" s="9">
        <v>0</v>
      </c>
      <c r="G17" s="34">
        <v>0</v>
      </c>
      <c r="H17" s="10">
        <v>0</v>
      </c>
      <c r="I17" s="39">
        <v>0</v>
      </c>
      <c r="J17" s="39">
        <v>0</v>
      </c>
      <c r="K17" s="39">
        <v>0</v>
      </c>
      <c r="L17" s="9">
        <v>0</v>
      </c>
      <c r="M17" s="9">
        <v>0.3</v>
      </c>
      <c r="N17" s="8">
        <f t="shared" si="2"/>
        <v>93</v>
      </c>
      <c r="O17" s="20">
        <f t="shared" si="1"/>
        <v>1.5681910157830841E-3</v>
      </c>
      <c r="P17" s="73"/>
      <c r="Q17" s="73"/>
    </row>
    <row r="18" spans="1:17" ht="15.6" x14ac:dyDescent="0.3">
      <c r="A18" s="19" t="s">
        <v>29</v>
      </c>
      <c r="B18" s="13">
        <v>35.1</v>
      </c>
      <c r="C18" s="10">
        <v>45.7</v>
      </c>
      <c r="D18" s="26">
        <v>0</v>
      </c>
      <c r="E18" s="6">
        <v>0</v>
      </c>
      <c r="F18" s="9">
        <v>0</v>
      </c>
      <c r="G18" s="7">
        <v>0</v>
      </c>
      <c r="H18" s="6">
        <v>0</v>
      </c>
      <c r="I18" s="34">
        <v>0</v>
      </c>
      <c r="J18" s="39">
        <v>0</v>
      </c>
      <c r="K18" s="34">
        <v>0</v>
      </c>
      <c r="L18" s="12">
        <v>0</v>
      </c>
      <c r="M18" s="9">
        <v>0</v>
      </c>
      <c r="N18" s="8">
        <f t="shared" si="2"/>
        <v>80.800000000000011</v>
      </c>
      <c r="O18" s="20">
        <f t="shared" si="1"/>
        <v>1.3624713341427227E-3</v>
      </c>
      <c r="P18" s="73"/>
      <c r="Q18" s="73"/>
    </row>
    <row r="19" spans="1:17" ht="15.6" x14ac:dyDescent="0.3">
      <c r="A19" s="54" t="s">
        <v>35</v>
      </c>
      <c r="B19" s="37">
        <v>0</v>
      </c>
      <c r="C19" s="36">
        <v>75.5</v>
      </c>
      <c r="D19" s="38">
        <v>0</v>
      </c>
      <c r="E19" s="56">
        <v>0</v>
      </c>
      <c r="F19" s="36">
        <v>0</v>
      </c>
      <c r="G19" s="35">
        <v>0</v>
      </c>
      <c r="H19" s="26">
        <v>0</v>
      </c>
      <c r="I19" s="14">
        <v>0</v>
      </c>
      <c r="J19" s="39">
        <v>0</v>
      </c>
      <c r="K19" s="14">
        <v>0</v>
      </c>
      <c r="L19" s="43">
        <v>0</v>
      </c>
      <c r="M19" s="42">
        <v>0</v>
      </c>
      <c r="N19" s="8">
        <f t="shared" si="2"/>
        <v>75.5</v>
      </c>
      <c r="O19" s="4">
        <f t="shared" si="1"/>
        <v>1.2731013085120735E-3</v>
      </c>
      <c r="P19" s="73"/>
      <c r="Q19" s="73"/>
    </row>
    <row r="20" spans="1:17" ht="15.6" x14ac:dyDescent="0.3">
      <c r="A20" s="55" t="s">
        <v>36</v>
      </c>
      <c r="B20" s="50">
        <v>1.2</v>
      </c>
      <c r="C20" s="61">
        <v>2.2999999999999998</v>
      </c>
      <c r="D20" s="9">
        <v>3.6</v>
      </c>
      <c r="E20" s="9">
        <v>2.4</v>
      </c>
      <c r="F20" s="9">
        <v>2.7</v>
      </c>
      <c r="G20" s="50">
        <v>2.4</v>
      </c>
      <c r="H20" s="9">
        <v>1.2</v>
      </c>
      <c r="I20" s="11">
        <v>1.8</v>
      </c>
      <c r="J20" s="11">
        <v>4.9000000000000004</v>
      </c>
      <c r="K20" s="6">
        <v>1.9</v>
      </c>
      <c r="L20" s="9">
        <v>1.4</v>
      </c>
      <c r="M20" s="9">
        <v>1.9</v>
      </c>
      <c r="N20" s="60">
        <f t="shared" si="2"/>
        <v>27.699999999999996</v>
      </c>
      <c r="O20" s="76">
        <f t="shared" si="1"/>
        <v>4.6708485093754215E-4</v>
      </c>
      <c r="P20" s="73"/>
      <c r="Q20" s="73"/>
    </row>
    <row r="21" spans="1:17" ht="15.6" x14ac:dyDescent="0.3">
      <c r="A21" s="51" t="s">
        <v>37</v>
      </c>
      <c r="B21" s="57">
        <v>0</v>
      </c>
      <c r="C21" s="50">
        <v>0</v>
      </c>
      <c r="D21" s="57">
        <v>0</v>
      </c>
      <c r="E21" s="9">
        <v>1.9</v>
      </c>
      <c r="F21" s="9">
        <v>0</v>
      </c>
      <c r="G21" s="12">
        <v>0</v>
      </c>
      <c r="H21" s="9">
        <v>21.8</v>
      </c>
      <c r="I21" s="9">
        <v>0.2</v>
      </c>
      <c r="J21" s="11">
        <v>1.6</v>
      </c>
      <c r="K21" s="10">
        <v>0</v>
      </c>
      <c r="L21" s="9">
        <v>0</v>
      </c>
      <c r="M21" s="9">
        <v>0</v>
      </c>
      <c r="N21" s="8">
        <f t="shared" si="2"/>
        <v>25.5</v>
      </c>
      <c r="O21" s="76">
        <f t="shared" si="1"/>
        <v>4.299878591663295E-4</v>
      </c>
      <c r="P21" s="73"/>
      <c r="Q21" s="73"/>
    </row>
    <row r="22" spans="1:17" ht="15.6" x14ac:dyDescent="0.3">
      <c r="A22" s="85" t="s">
        <v>19</v>
      </c>
      <c r="B22" s="12">
        <v>2.2999999999999998</v>
      </c>
      <c r="C22" s="89">
        <v>1.9</v>
      </c>
      <c r="D22" s="5">
        <v>2.1</v>
      </c>
      <c r="E22" s="89">
        <v>2.1</v>
      </c>
      <c r="F22" s="7">
        <v>2</v>
      </c>
      <c r="G22" s="61">
        <v>1.8</v>
      </c>
      <c r="H22" s="5">
        <v>1.7</v>
      </c>
      <c r="I22" s="7">
        <v>1.7</v>
      </c>
      <c r="J22" s="89">
        <v>1.2</v>
      </c>
      <c r="K22" s="12">
        <v>1.3</v>
      </c>
      <c r="L22" s="89">
        <v>1.2</v>
      </c>
      <c r="M22" s="5">
        <v>1.1000000000000001</v>
      </c>
      <c r="N22" s="96">
        <f t="shared" si="2"/>
        <v>20.399999999999999</v>
      </c>
      <c r="O22" s="76">
        <f t="shared" si="1"/>
        <v>3.4399028733306356E-4</v>
      </c>
      <c r="P22" s="73"/>
      <c r="Q22" s="73"/>
    </row>
    <row r="23" spans="1:17" ht="15.6" x14ac:dyDescent="0.3">
      <c r="A23" s="86" t="s">
        <v>38</v>
      </c>
      <c r="B23" s="87">
        <v>0</v>
      </c>
      <c r="C23" s="92">
        <v>0</v>
      </c>
      <c r="D23" s="92">
        <v>0</v>
      </c>
      <c r="E23" s="57">
        <v>10.5</v>
      </c>
      <c r="F23" s="92">
        <v>0</v>
      </c>
      <c r="G23" s="95">
        <v>0</v>
      </c>
      <c r="H23" s="95">
        <v>0</v>
      </c>
      <c r="I23" s="95">
        <v>0</v>
      </c>
      <c r="J23" s="57">
        <v>0</v>
      </c>
      <c r="K23" s="95">
        <v>0</v>
      </c>
      <c r="L23" s="57">
        <v>0</v>
      </c>
      <c r="M23" s="95">
        <v>0</v>
      </c>
      <c r="N23" s="97">
        <f t="shared" si="2"/>
        <v>10.5</v>
      </c>
      <c r="O23" s="99">
        <f t="shared" si="1"/>
        <v>1.7705382436260624E-4</v>
      </c>
      <c r="P23" s="98"/>
      <c r="Q23" s="73"/>
    </row>
    <row r="24" spans="1:17" ht="15.6" x14ac:dyDescent="0.3">
      <c r="A24" s="93" t="s">
        <v>28</v>
      </c>
      <c r="B24" s="89">
        <v>0.2</v>
      </c>
      <c r="C24" s="92">
        <v>0.2</v>
      </c>
      <c r="D24" s="92">
        <v>0</v>
      </c>
      <c r="E24" s="92">
        <v>0.2</v>
      </c>
      <c r="F24" s="92">
        <v>0</v>
      </c>
      <c r="G24" s="95">
        <v>0</v>
      </c>
      <c r="H24" s="95">
        <v>3.2</v>
      </c>
      <c r="I24" s="95">
        <v>1.9</v>
      </c>
      <c r="J24" s="95">
        <v>0.9</v>
      </c>
      <c r="K24" s="95">
        <v>0.7</v>
      </c>
      <c r="L24" s="95">
        <v>0.1</v>
      </c>
      <c r="M24" s="95">
        <v>0.3</v>
      </c>
      <c r="N24" s="97">
        <f t="shared" si="2"/>
        <v>7.7</v>
      </c>
      <c r="O24" s="100">
        <f t="shared" si="1"/>
        <v>1.2983947119924458E-4</v>
      </c>
      <c r="P24" s="73"/>
      <c r="Q24" s="73"/>
    </row>
    <row r="25" spans="1:17" ht="15.6" x14ac:dyDescent="0.3">
      <c r="A25" s="94" t="s">
        <v>39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5">
        <v>0</v>
      </c>
      <c r="H25" s="95">
        <v>0</v>
      </c>
      <c r="I25" s="95">
        <v>0</v>
      </c>
      <c r="J25" s="95">
        <v>0</v>
      </c>
      <c r="K25" s="92">
        <v>0</v>
      </c>
      <c r="L25" s="95">
        <v>0</v>
      </c>
      <c r="M25" s="95">
        <v>3.6</v>
      </c>
      <c r="N25" s="97">
        <f t="shared" si="2"/>
        <v>3.6</v>
      </c>
      <c r="O25" s="100">
        <f t="shared" si="1"/>
        <v>6.0704168352893577E-5</v>
      </c>
      <c r="P25" s="98"/>
      <c r="Q25" s="73"/>
    </row>
    <row r="26" spans="1:17" ht="15.6" x14ac:dyDescent="0.3">
      <c r="A26" s="94" t="s">
        <v>40</v>
      </c>
      <c r="B26" s="92">
        <v>0</v>
      </c>
      <c r="C26" s="13">
        <v>0</v>
      </c>
      <c r="D26" s="92">
        <v>0</v>
      </c>
      <c r="E26" s="92">
        <v>0</v>
      </c>
      <c r="F26" s="92">
        <v>0</v>
      </c>
      <c r="G26" s="95">
        <v>0</v>
      </c>
      <c r="H26" s="92">
        <v>0</v>
      </c>
      <c r="I26" s="95">
        <v>0</v>
      </c>
      <c r="J26" s="95">
        <v>0</v>
      </c>
      <c r="K26" s="57">
        <v>0</v>
      </c>
      <c r="L26" s="95">
        <v>0</v>
      </c>
      <c r="M26" s="95">
        <v>2.5</v>
      </c>
      <c r="N26" s="97">
        <f t="shared" si="2"/>
        <v>2.5</v>
      </c>
      <c r="O26" s="100">
        <f t="shared" si="1"/>
        <v>4.2155672467287203E-5</v>
      </c>
      <c r="P26" s="98"/>
      <c r="Q26" s="73"/>
    </row>
    <row r="27" spans="1:17" ht="16.2" thickBot="1" x14ac:dyDescent="0.35">
      <c r="A27" s="83" t="s">
        <v>41</v>
      </c>
      <c r="B27" s="88">
        <v>0</v>
      </c>
      <c r="C27" s="90">
        <v>0</v>
      </c>
      <c r="D27" s="84">
        <v>0</v>
      </c>
      <c r="E27" s="88">
        <v>0</v>
      </c>
      <c r="F27" s="88">
        <v>0</v>
      </c>
      <c r="G27" s="90">
        <v>0.2</v>
      </c>
      <c r="H27" s="91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101">
        <f t="shared" si="2"/>
        <v>0.2</v>
      </c>
      <c r="O27" s="102">
        <f t="shared" si="1"/>
        <v>3.3724537973829765E-6</v>
      </c>
      <c r="P27" s="98"/>
      <c r="Q27" s="73"/>
    </row>
    <row r="28" spans="1:17" s="21" customFormat="1" ht="16.2" thickBot="1" x14ac:dyDescent="0.35">
      <c r="A28" s="44" t="s">
        <v>21</v>
      </c>
      <c r="B28" s="45">
        <f t="shared" ref="B28:M28" si="3">SUM(B6:B27)</f>
        <v>4552.1000000000004</v>
      </c>
      <c r="C28" s="45">
        <f t="shared" si="3"/>
        <v>4574.0999999999995</v>
      </c>
      <c r="D28" s="45">
        <f t="shared" si="3"/>
        <v>5546.4000000000005</v>
      </c>
      <c r="E28" s="45">
        <f t="shared" si="3"/>
        <v>5066.9000000000005</v>
      </c>
      <c r="F28" s="45">
        <f t="shared" si="3"/>
        <v>5085.3000000000011</v>
      </c>
      <c r="G28" s="45">
        <f t="shared" si="3"/>
        <v>4474.2</v>
      </c>
      <c r="H28" s="45">
        <f t="shared" si="3"/>
        <v>4769.5</v>
      </c>
      <c r="I28" s="45">
        <f t="shared" si="3"/>
        <v>4352.2999999999993</v>
      </c>
      <c r="J28" s="45">
        <f t="shared" si="3"/>
        <v>4342.7</v>
      </c>
      <c r="K28" s="45">
        <f t="shared" si="3"/>
        <v>4385.1999999999989</v>
      </c>
      <c r="L28" s="45">
        <f t="shared" si="3"/>
        <v>4581.7000000000007</v>
      </c>
      <c r="M28" s="45">
        <f t="shared" si="3"/>
        <v>7573.6000000000013</v>
      </c>
      <c r="N28" s="46">
        <f>SUM(B28,C28,D28,E28,F28,G28,H28,I28,J28,K28,L28,M28,)</f>
        <v>59303.999999999993</v>
      </c>
      <c r="O28" s="75">
        <f t="shared" si="1"/>
        <v>1</v>
      </c>
    </row>
    <row r="30" spans="1:17" s="25" customFormat="1" ht="18.75" customHeight="1" x14ac:dyDescent="0.35">
      <c r="A30" s="25" t="s">
        <v>24</v>
      </c>
      <c r="B30" s="111" t="s">
        <v>42</v>
      </c>
      <c r="C30" s="112"/>
      <c r="D30" s="112"/>
      <c r="E30" s="112"/>
      <c r="F30" s="112"/>
      <c r="G30" s="112"/>
    </row>
    <row r="31" spans="1:17" ht="18.75" customHeight="1" x14ac:dyDescent="0.3"/>
    <row r="32" spans="1:17" x14ac:dyDescent="0.3">
      <c r="A32" s="113" t="s">
        <v>25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</row>
    <row r="33" spans="1:15" ht="15" customHeight="1" x14ac:dyDescent="0.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</row>
  </sheetData>
  <mergeCells count="5">
    <mergeCell ref="A3:O3"/>
    <mergeCell ref="B4:M4"/>
    <mergeCell ref="N4:O4"/>
    <mergeCell ref="B30:G30"/>
    <mergeCell ref="A32:O3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2026-04-01T08:02:37Z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2026-01-19T09:22:00Z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c73e549e-0f11-453e-955b-cb89e60e0a27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