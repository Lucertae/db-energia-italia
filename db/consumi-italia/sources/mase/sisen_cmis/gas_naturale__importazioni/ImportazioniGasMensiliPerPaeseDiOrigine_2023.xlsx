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otullirsl\Desktop\"/>
    </mc:Choice>
  </mc:AlternateContent>
  <xr:revisionPtr revIDLastSave="0" documentId="8_{BDC92A76-516F-408E-B407-800C6C96090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oglio1" sheetId="1" r:id="rId1"/>
    <sheet name="Foglio2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5" l="1"/>
  <c r="N22" i="5"/>
  <c r="N21" i="5"/>
  <c r="N20" i="5"/>
  <c r="N19" i="5"/>
  <c r="N17" i="5"/>
  <c r="N16" i="5"/>
  <c r="N15" i="5"/>
  <c r="N14" i="5"/>
  <c r="N13" i="5"/>
  <c r="N12" i="5"/>
  <c r="N23" i="5"/>
  <c r="I27" i="5"/>
  <c r="N24" i="5"/>
  <c r="M27" i="5"/>
  <c r="L27" i="5"/>
  <c r="K27" i="5"/>
  <c r="J27" i="5"/>
  <c r="G27" i="5"/>
  <c r="F27" i="5"/>
  <c r="E27" i="5"/>
  <c r="D27" i="5"/>
  <c r="C27" i="5"/>
  <c r="B27" i="5"/>
  <c r="N26" i="5"/>
  <c r="N25" i="5"/>
  <c r="N11" i="5"/>
  <c r="N10" i="5"/>
  <c r="N9" i="5"/>
  <c r="N8" i="5"/>
  <c r="N7" i="5"/>
  <c r="N6" i="5"/>
  <c r="H27" i="5" l="1"/>
  <c r="N27" i="5"/>
  <c r="O18" i="5" s="1"/>
  <c r="O21" i="5" l="1"/>
  <c r="O22" i="5"/>
  <c r="O19" i="5"/>
  <c r="O20" i="5"/>
  <c r="O16" i="5"/>
  <c r="O17" i="5"/>
  <c r="O14" i="5"/>
  <c r="O15" i="5"/>
  <c r="O12" i="5"/>
  <c r="O13" i="5"/>
  <c r="O6" i="5"/>
  <c r="O23" i="5"/>
  <c r="O8" i="5"/>
  <c r="O25" i="5"/>
  <c r="O10" i="5"/>
  <c r="O9" i="5"/>
  <c r="O24" i="5"/>
  <c r="O26" i="5"/>
  <c r="O27" i="5"/>
  <c r="O11" i="5"/>
  <c r="O7" i="5"/>
</calcChain>
</file>

<file path=xl/sharedStrings.xml><?xml version="1.0" encoding="utf-8"?>
<sst xmlns="http://schemas.openxmlformats.org/spreadsheetml/2006/main" count="42" uniqueCount="42">
  <si>
    <t>MESE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</si>
  <si>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</si>
  <si>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</si>
  <si>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</si>
  <si>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</si>
  <si>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</si>
  <si>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</si>
  <si>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</si>
  <si>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</si>
  <si>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</si>
  <si>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</si>
  <si>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</si>
  <si>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</si>
  <si>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Peso %</t>
  </si>
  <si>
    <t>ALGERIA</t>
  </si>
  <si>
    <t>OLANDA</t>
  </si>
  <si>
    <t>LIBIA</t>
  </si>
  <si>
    <t>NORVEGIA</t>
  </si>
  <si>
    <t>CROAZIA</t>
  </si>
  <si>
    <t>FRANCIA</t>
  </si>
  <si>
    <t>Totale complessivo</t>
  </si>
  <si>
    <t>NIGERIA</t>
  </si>
  <si>
    <t>QATAR</t>
  </si>
  <si>
    <t>U.S.A.</t>
  </si>
  <si>
    <t>FONTE:</t>
  </si>
  <si>
    <t>(*)  Il Regolamento UE 2015/703 prevede all’articolo n° 13.1 che ogni TSO debba usare un set comune di unità di misura per lo scambio e pubblicazione dei dati relativi al regolamento 715/2009 come esposto
all’articolo 13.2. Il PCS di riferimento precedentemente utilizzato per la normalizzazione dell’energia, 38.100, kJ/Sm³15-15, pertanto diventa 10,57275 kWh/Sm³25-15</t>
  </si>
  <si>
    <t>AZERBAIGIAN</t>
  </si>
  <si>
    <t>SPAGNA</t>
  </si>
  <si>
    <t>SLOVENIA</t>
  </si>
  <si>
    <t>EGITTO</t>
  </si>
  <si>
    <t>TRINIDAD</t>
  </si>
  <si>
    <t>Totale 2022</t>
  </si>
  <si>
    <t>gnl</t>
  </si>
  <si>
    <t xml:space="preserve">Ministero dell'Ambiente e della Sicurezza Energetica  DGIS DIV. II </t>
  </si>
  <si>
    <r>
      <t xml:space="preserve">IMPORTAZIONI DI GAS NATURALE PER PAESE DI ORIGINE* - ANNO 2023- Volumi espressi in M Sm3; gas da 10,57275 </t>
    </r>
    <r>
      <rPr>
        <sz val="9"/>
        <rFont val="Arial"/>
        <family val="2"/>
      </rPr>
      <t>25-15</t>
    </r>
    <r>
      <rPr>
        <b/>
        <sz val="12"/>
        <rFont val="Arial"/>
        <family val="2"/>
      </rPr>
      <t xml:space="preserve">  kWh/Sm</t>
    </r>
    <r>
      <rPr>
        <b/>
        <vertAlign val="superscript"/>
        <sz val="10"/>
        <rFont val="Arial"/>
        <family val="2"/>
      </rPr>
      <t>3 (*)</t>
    </r>
  </si>
  <si>
    <t>MALAYSIA</t>
  </si>
  <si>
    <t>RUSSIA</t>
  </si>
  <si>
    <t>BELGIO</t>
  </si>
  <si>
    <t>ALTRI UE</t>
  </si>
  <si>
    <t>DANIMARCA</t>
  </si>
  <si>
    <t>REGNO UNITO</t>
  </si>
  <si>
    <t>GUINEA EQUATORIALE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</si>
</sst>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,,,"/>
    <numFmt numFmtId="165" formatCode="0.0%"/>
  </numFmts>
  <fonts count="10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Verdana"/>
      <family val="2"/>
    </font>
    <font>
      <b/>
      <sz val="11"/>
      <color theme="1"/>
      <name val="Calibri"/>
      <family val="2"/>
      <scheme val="minor"/>
    </font>
    <font>
      <b/>
      <vertAlign val="superscript"/>
      <sz val="10"/>
      <name val="Arial"/>
      <family val="2"/>
    </font>
    <font>
      <sz val="9"/>
      <name val="Arial"/>
      <family val="2"/>
    </font>
    <font>
      <b/>
      <sz val="14"/>
      <color theme="1"/>
      <name val="Calibri"/>
      <family val="2"/>
      <scheme val="minor"/>
    </font>
    <font>
      <b/>
      <i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/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3" xfId="0" applyNumberFormat="1" applyBorder="1"/>
    <xf numFmtId="3" fontId="3" fillId="0" borderId="4" xfId="0" applyNumberFormat="1" applyFont="1" applyBorder="1"/>
    <xf numFmtId="3" fontId="3" fillId="0" borderId="0" xfId="0" applyNumberFormat="1" applyFont="1"/>
    <xf numFmtId="3" fontId="3" fillId="0" borderId="5" xfId="0" applyNumberFormat="1" applyFont="1" applyBorder="1"/>
    <xf numFmtId="3" fontId="1" fillId="0" borderId="2" xfId="0" applyNumberFormat="1" applyFont="1" applyBorder="1"/>
    <xf numFmtId="3" fontId="3" fillId="0" borderId="2" xfId="0" applyNumberFormat="1" applyFont="1" applyBorder="1"/>
    <xf numFmtId="3" fontId="3" fillId="0" borderId="6" xfId="0" applyNumberFormat="1" applyFont="1" applyBorder="1"/>
    <xf numFmtId="3" fontId="3" fillId="0" borderId="7" xfId="0" applyNumberFormat="1" applyFont="1" applyBorder="1"/>
    <xf numFmtId="3" fontId="3" fillId="0" borderId="9" xfId="0" applyNumberFormat="1" applyFont="1" applyBorder="1"/>
    <xf numFmtId="3" fontId="3" fillId="0" borderId="8" xfId="0" applyNumberFormat="1" applyFont="1" applyBorder="1"/>
    <xf numFmtId="3" fontId="3" fillId="0" borderId="12" xfId="0" applyNumberFormat="1" applyFont="1" applyBorder="1"/>
    <xf numFmtId="3" fontId="3" fillId="0" borderId="13" xfId="0" applyNumberFormat="1" applyFont="1" applyBorder="1"/>
    <xf numFmtId="0" fontId="5" fillId="0" borderId="1" xfId="0" applyFont="1" applyBorder="1"/>
    <xf numFmtId="0" fontId="5" fillId="0" borderId="2" xfId="0" applyFont="1" applyBorder="1"/>
    <xf numFmtId="0" fontId="5" fillId="0" borderId="11" xfId="0" applyFont="1" applyBorder="1"/>
    <xf numFmtId="164" fontId="2" fillId="0" borderId="1" xfId="0" applyNumberFormat="1" applyFont="1" applyBorder="1"/>
    <xf numFmtId="165" fontId="5" fillId="0" borderId="3" xfId="0" applyNumberFormat="1" applyFont="1" applyBorder="1"/>
    <xf numFmtId="0" fontId="5" fillId="0" borderId="0" xfId="0" applyFont="1"/>
    <xf numFmtId="165" fontId="5" fillId="0" borderId="2" xfId="0" applyNumberFormat="1" applyFont="1" applyBorder="1"/>
    <xf numFmtId="165" fontId="5" fillId="0" borderId="10" xfId="0" applyNumberFormat="1" applyFont="1" applyBorder="1"/>
    <xf numFmtId="164" fontId="2" fillId="0" borderId="19" xfId="0" applyNumberFormat="1" applyFont="1" applyBorder="1"/>
    <xf numFmtId="0" fontId="8" fillId="0" borderId="0" xfId="0" applyFont="1"/>
    <xf numFmtId="3" fontId="3" fillId="0" borderId="20" xfId="0" applyNumberFormat="1" applyFont="1" applyBorder="1"/>
    <xf numFmtId="3" fontId="3" fillId="0" borderId="21" xfId="0" applyNumberFormat="1" applyFont="1" applyBorder="1"/>
    <xf numFmtId="3" fontId="3" fillId="0" borderId="22" xfId="0" applyNumberFormat="1" applyFont="1" applyBorder="1"/>
    <xf numFmtId="164" fontId="2" fillId="0" borderId="23" xfId="0" applyNumberFormat="1" applyFont="1" applyBorder="1"/>
    <xf numFmtId="3" fontId="3" fillId="0" borderId="24" xfId="0" applyNumberFormat="1" applyFont="1" applyBorder="1"/>
    <xf numFmtId="3" fontId="3" fillId="0" borderId="25" xfId="0" applyNumberFormat="1" applyFont="1" applyBorder="1"/>
    <xf numFmtId="3" fontId="3" fillId="0" borderId="26" xfId="0" applyNumberFormat="1" applyFont="1" applyBorder="1"/>
    <xf numFmtId="3" fontId="3" fillId="0" borderId="27" xfId="0" applyNumberFormat="1" applyFont="1" applyBorder="1"/>
    <xf numFmtId="3" fontId="3" fillId="0" borderId="28" xfId="0" applyNumberFormat="1" applyFont="1" applyBorder="1"/>
    <xf numFmtId="3" fontId="3" fillId="0" borderId="29" xfId="0" applyNumberFormat="1" applyFont="1" applyBorder="1"/>
    <xf numFmtId="3" fontId="3" fillId="0" borderId="30" xfId="0" applyNumberFormat="1" applyFont="1" applyBorder="1"/>
    <xf numFmtId="3" fontId="3" fillId="0" borderId="31" xfId="0" applyNumberFormat="1" applyFont="1" applyBorder="1"/>
    <xf numFmtId="3" fontId="3" fillId="0" borderId="32" xfId="0" applyNumberFormat="1" applyFont="1" applyBorder="1"/>
    <xf numFmtId="3" fontId="3" fillId="0" borderId="33" xfId="0" applyNumberFormat="1" applyFont="1" applyBorder="1"/>
    <xf numFmtId="3" fontId="3" fillId="0" borderId="34" xfId="0" applyNumberFormat="1" applyFont="1" applyBorder="1"/>
    <xf numFmtId="3" fontId="3" fillId="0" borderId="35" xfId="0" applyNumberFormat="1" applyFont="1" applyBorder="1"/>
    <xf numFmtId="3" fontId="3" fillId="0" borderId="36" xfId="0" applyNumberFormat="1" applyFont="1" applyBorder="1"/>
    <xf numFmtId="3" fontId="3" fillId="0" borderId="37" xfId="0" applyNumberFormat="1" applyFont="1" applyBorder="1"/>
    <xf numFmtId="0" fontId="5" fillId="0" borderId="38" xfId="0" applyFont="1" applyBorder="1"/>
    <xf numFmtId="3" fontId="4" fillId="0" borderId="38" xfId="0" applyNumberFormat="1" applyFont="1" applyBorder="1" applyAlignment="1">
      <alignment horizontal="right" indent="1"/>
    </xf>
    <xf numFmtId="3" fontId="1" fillId="0" borderId="38" xfId="0" applyNumberFormat="1" applyFont="1" applyBorder="1"/>
    <xf numFmtId="165" fontId="5" fillId="0" borderId="38" xfId="0" applyNumberFormat="1" applyFont="1" applyBorder="1"/>
    <xf numFmtId="3" fontId="3" fillId="0" borderId="40" xfId="0" applyNumberFormat="1" applyFont="1" applyBorder="1"/>
    <xf numFmtId="0" fontId="5" fillId="0" borderId="41" xfId="0" applyFont="1" applyBorder="1"/>
    <xf numFmtId="3" fontId="3" fillId="0" borderId="14" xfId="0" applyNumberFormat="1" applyFont="1" applyBorder="1"/>
    <xf numFmtId="164" fontId="2" fillId="0" borderId="42" xfId="0" applyNumberFormat="1" applyFont="1" applyBorder="1"/>
    <xf numFmtId="3" fontId="1" fillId="0" borderId="0" xfId="0" applyNumberFormat="1" applyFont="1"/>
    <xf numFmtId="165" fontId="0" fillId="0" borderId="43" xfId="0" applyNumberFormat="1" applyBorder="1"/>
    <xf numFmtId="164" fontId="2" fillId="0" borderId="44" xfId="0" applyNumberFormat="1" applyFont="1" applyBorder="1"/>
    <xf numFmtId="164" fontId="2" fillId="0" borderId="45" xfId="0" applyNumberFormat="1" applyFont="1" applyBorder="1"/>
    <xf numFmtId="3" fontId="3" fillId="0" borderId="46" xfId="0" applyNumberFormat="1" applyFont="1" applyBorder="1"/>
    <xf numFmtId="3" fontId="3" fillId="0" borderId="39" xfId="0" applyNumberFormat="1" applyFont="1" applyBorder="1"/>
    <xf numFmtId="3" fontId="1" fillId="0" borderId="6" xfId="0" applyNumberFormat="1" applyFont="1" applyBorder="1"/>
    <xf numFmtId="165" fontId="0" fillId="0" borderId="10" xfId="0" applyNumberFormat="1" applyBorder="1"/>
    <xf numFmtId="3" fontId="1" fillId="0" borderId="7" xfId="0" applyNumberFormat="1" applyFont="1" applyBorder="1"/>
    <xf numFmtId="3" fontId="3" fillId="0" borderId="47" xfId="0" applyNumberFormat="1" applyFont="1" applyBorder="1"/>
    <xf numFmtId="164" fontId="2" fillId="0" borderId="48" xfId="0" applyNumberFormat="1" applyFont="1" applyBorder="1"/>
    <xf numFmtId="3" fontId="3" fillId="0" borderId="49" xfId="0" applyNumberFormat="1" applyFont="1" applyBorder="1"/>
    <xf numFmtId="3" fontId="3" fillId="0" borderId="50" xfId="0" applyNumberFormat="1" applyFont="1" applyBorder="1"/>
    <xf numFmtId="3" fontId="3" fillId="0" borderId="51" xfId="0" applyNumberFormat="1" applyFont="1" applyBorder="1"/>
    <xf numFmtId="3" fontId="3" fillId="0" borderId="52" xfId="0" applyNumberFormat="1" applyFont="1" applyBorder="1"/>
    <xf numFmtId="3" fontId="1" fillId="0" borderId="9" xfId="0" applyNumberFormat="1" applyFont="1" applyBorder="1"/>
    <xf numFmtId="165" fontId="0" fillId="0" borderId="53" xfId="0" applyNumberFormat="1" applyBorder="1"/>
    <xf numFmtId="165" fontId="0" fillId="0" borderId="54" xfId="0" applyNumberFormat="1" applyBorder="1"/>
    <xf numFmtId="3" fontId="1" fillId="0" borderId="52" xfId="0" applyNumberFormat="1" applyFont="1" applyBorder="1"/>
    <xf numFmtId="0" fontId="0" fillId="0" borderId="39" xfId="0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0" fontId="0" fillId="2" borderId="0" xfId="0" applyFill="1"/>
    <xf numFmtId="165" fontId="5" fillId="0" borderId="55" xfId="0" applyNumberFormat="1" applyFont="1" applyBorder="1"/>
    <xf numFmtId="165" fontId="5" fillId="0" borderId="14" xfId="0" applyNumberFormat="1" applyFont="1" applyBorder="1"/>
    <xf numFmtId="3" fontId="0" fillId="0" borderId="56" xfId="0" applyNumberFormat="1" applyBorder="1"/>
    <xf numFmtId="0" fontId="0" fillId="0" borderId="19" xfId="0" applyBorder="1"/>
    <xf numFmtId="0" fontId="5" fillId="0" borderId="31" xfId="0" applyFont="1" applyBorder="1"/>
    <xf numFmtId="0" fontId="5" fillId="0" borderId="28" xfId="0" applyFont="1" applyBorder="1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9" fillId="0" borderId="39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35"/>
  <sheetViews>
    <sheetView workbookViewId="0">
      <pane xSplit="1" ySplit="4" topLeftCell="E5" activePane="bottomRight" state="frozen"/>
      <selection pane="topRight" activeCell="B1" sqref="B1"/>
      <selection pane="bottomLeft" activeCell="A5" sqref="A5"/>
      <selection pane="bottomRight" activeCell="P5" sqref="P5:S30"/>
    </sheetView>
  </sheetViews>
  <sheetFormatPr defaultRowHeight="14.4" outlineLevelCol="1" x14ac:dyDescent="0.3"/>
  <cols>
    <col min="1" max="1" width="23.5546875" customWidth="1"/>
    <col min="2" max="2" width="12.33203125" customWidth="1" outlineLevel="1"/>
    <col min="3" max="3" width="14" customWidth="1" outlineLevel="1"/>
    <col min="4" max="4" width="12" customWidth="1" outlineLevel="1"/>
    <col min="5" max="5" width="13" customWidth="1" outlineLevel="1"/>
    <col min="6" max="6" width="12.33203125" customWidth="1" outlineLevel="1"/>
    <col min="7" max="7" width="11.5546875" customWidth="1" outlineLevel="1"/>
    <col min="8" max="9" width="11.6640625" customWidth="1" outlineLevel="1"/>
    <col min="10" max="11" width="12.33203125" customWidth="1" outlineLevel="1"/>
    <col min="12" max="12" width="11.88671875" customWidth="1" outlineLevel="1"/>
    <col min="13" max="13" width="11.44140625" customWidth="1" outlineLevel="1"/>
    <col min="14" max="14" width="10.44140625" customWidth="1"/>
    <col min="15" max="15" width="12.33203125" customWidth="1"/>
    <col min="16" max="16" width="16.6640625" bestFit="1" customWidth="1"/>
  </cols>
  <sheetData>
    <row r="2" spans="1:22" ht="15" thickBot="1" x14ac:dyDescent="0.35"/>
    <row r="3" spans="1:22" ht="15.6" x14ac:dyDescent="0.3">
      <c r="A3" s="81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3"/>
    </row>
    <row r="4" spans="1:22" x14ac:dyDescent="0.3">
      <c r="A4" s="1"/>
      <c r="B4" s="84"/>
      <c r="C4" s="85"/>
      <c r="D4" s="85"/>
      <c r="E4" s="85"/>
      <c r="F4" s="85"/>
      <c r="G4" s="85"/>
      <c r="H4" s="85"/>
      <c r="I4" s="85"/>
      <c r="J4" s="85"/>
      <c r="K4" s="85"/>
      <c r="L4" s="85"/>
      <c r="M4" s="86"/>
      <c r="N4" s="87"/>
      <c r="O4" s="88"/>
    </row>
    <row r="5" spans="1:22" x14ac:dyDescent="0.3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71"/>
      <c r="Q5" s="72"/>
      <c r="R5" s="72"/>
      <c r="S5" s="72"/>
      <c r="V5" s="72" t="s">
        <v>32</v>
      </c>
    </row>
    <row r="6" spans="1:22" ht="15.6" x14ac:dyDescent="0.3">
      <c r="A6" s="16"/>
      <c r="B6" s="5"/>
      <c r="C6" s="6"/>
      <c r="D6" s="5"/>
      <c r="E6" s="6"/>
      <c r="F6" s="5"/>
      <c r="G6" s="7"/>
      <c r="H6" s="6"/>
      <c r="I6" s="5"/>
      <c r="J6" s="6"/>
      <c r="K6" s="5"/>
      <c r="L6" s="5"/>
      <c r="M6" s="6"/>
      <c r="N6" s="8"/>
      <c r="O6" s="20"/>
      <c r="Q6" s="73"/>
      <c r="R6" s="73"/>
      <c r="V6">
        <v>1682.6980000000001</v>
      </c>
    </row>
    <row r="7" spans="1:22" ht="15.6" x14ac:dyDescent="0.3">
      <c r="A7" s="16"/>
      <c r="B7" s="9"/>
      <c r="C7" s="10"/>
      <c r="D7" s="9"/>
      <c r="E7" s="10"/>
      <c r="F7" s="9"/>
      <c r="G7" s="11"/>
      <c r="H7" s="10"/>
      <c r="I7" s="9"/>
      <c r="J7" s="10"/>
      <c r="K7" s="9"/>
      <c r="L7" s="9"/>
      <c r="M7" s="11"/>
      <c r="N7" s="8"/>
      <c r="O7" s="20"/>
      <c r="Q7" s="73"/>
      <c r="R7" s="73"/>
      <c r="V7">
        <v>193</v>
      </c>
    </row>
    <row r="8" spans="1:22" ht="15.6" x14ac:dyDescent="0.3">
      <c r="A8" s="24"/>
      <c r="B8" s="28"/>
      <c r="C8" s="36"/>
      <c r="D8" s="30"/>
      <c r="E8" s="31"/>
      <c r="F8" s="32"/>
      <c r="G8" s="33"/>
      <c r="H8" s="34"/>
      <c r="I8" s="26"/>
      <c r="J8" s="39"/>
      <c r="K8" s="14"/>
      <c r="L8" s="41"/>
      <c r="M8" s="42"/>
      <c r="N8" s="8"/>
      <c r="O8" s="4"/>
      <c r="P8" s="74"/>
      <c r="Q8" s="73"/>
      <c r="R8" s="73"/>
    </row>
    <row r="9" spans="1:22" ht="15.6" x14ac:dyDescent="0.3">
      <c r="A9" s="16"/>
      <c r="B9" s="13"/>
      <c r="C9" s="6"/>
      <c r="D9" s="13"/>
      <c r="E9" s="6"/>
      <c r="F9" s="9"/>
      <c r="G9" s="5"/>
      <c r="H9" s="9"/>
      <c r="I9" s="9"/>
      <c r="J9" s="6"/>
      <c r="K9" s="5"/>
      <c r="L9" s="9"/>
      <c r="M9" s="5"/>
      <c r="N9" s="8"/>
      <c r="O9" s="20"/>
      <c r="Q9" s="73"/>
      <c r="R9" s="73"/>
      <c r="V9">
        <v>7288.8519999999999</v>
      </c>
    </row>
    <row r="10" spans="1:22" ht="15.6" x14ac:dyDescent="0.3">
      <c r="A10" s="17"/>
      <c r="B10" s="9"/>
      <c r="C10" s="9"/>
      <c r="D10" s="9"/>
      <c r="E10" s="9"/>
      <c r="F10" s="5"/>
      <c r="G10" s="7"/>
      <c r="H10" s="12"/>
      <c r="I10" s="9"/>
      <c r="J10" s="9"/>
      <c r="K10" s="5"/>
      <c r="L10" s="5"/>
      <c r="M10" s="7"/>
      <c r="N10" s="8"/>
      <c r="O10" s="23"/>
      <c r="P10" s="74"/>
      <c r="Q10" s="73"/>
      <c r="R10" s="73"/>
    </row>
    <row r="11" spans="1:22" ht="15.6" x14ac:dyDescent="0.3">
      <c r="A11" s="49"/>
      <c r="B11" s="9"/>
      <c r="C11" s="10"/>
      <c r="D11" s="9"/>
      <c r="E11" s="10"/>
      <c r="F11" s="5"/>
      <c r="G11" s="7"/>
      <c r="H11" s="12"/>
      <c r="I11" s="9"/>
      <c r="J11" s="10"/>
      <c r="K11" s="5"/>
      <c r="L11" s="5"/>
      <c r="M11" s="12"/>
      <c r="N11" s="8"/>
      <c r="O11" s="23"/>
      <c r="Q11" s="73"/>
      <c r="R11" s="73"/>
      <c r="V11">
        <v>3003.9340000000002</v>
      </c>
    </row>
    <row r="12" spans="1:22" ht="15.6" x14ac:dyDescent="0.3">
      <c r="A12" s="18"/>
      <c r="B12" s="9"/>
      <c r="C12" s="10"/>
      <c r="D12" s="9"/>
      <c r="E12" s="10"/>
      <c r="F12" s="9"/>
      <c r="G12" s="11"/>
      <c r="H12" s="10"/>
      <c r="I12" s="9"/>
      <c r="J12" s="10"/>
      <c r="K12" s="9"/>
      <c r="L12" s="9"/>
      <c r="M12" s="10"/>
      <c r="N12" s="8"/>
      <c r="O12" s="20"/>
      <c r="Q12" s="73"/>
      <c r="R12" s="73"/>
    </row>
    <row r="13" spans="1:22" ht="15.6" x14ac:dyDescent="0.3">
      <c r="A13" s="18"/>
      <c r="B13" s="13"/>
      <c r="C13" s="10"/>
      <c r="D13" s="14"/>
      <c r="E13" s="6"/>
      <c r="F13" s="9"/>
      <c r="G13" s="7"/>
      <c r="H13" s="10"/>
      <c r="I13" s="9"/>
      <c r="J13" s="12"/>
      <c r="K13" s="5"/>
      <c r="L13" s="50"/>
      <c r="M13" s="10"/>
      <c r="N13" s="8"/>
      <c r="O13" s="20"/>
      <c r="Q13" s="73"/>
      <c r="R13" s="73"/>
    </row>
    <row r="14" spans="1:22" ht="15.6" x14ac:dyDescent="0.3">
      <c r="A14" s="18"/>
      <c r="B14" s="9"/>
      <c r="C14" s="9"/>
      <c r="D14" s="9"/>
      <c r="E14" s="9"/>
      <c r="F14" s="9"/>
      <c r="G14" s="9"/>
      <c r="H14" s="15"/>
      <c r="I14" s="14"/>
      <c r="J14" s="9"/>
      <c r="K14" s="9"/>
      <c r="L14" s="14"/>
      <c r="M14" s="9"/>
      <c r="N14" s="8"/>
      <c r="O14" s="22"/>
      <c r="Q14" s="73"/>
      <c r="R14" s="73"/>
      <c r="V14">
        <v>16.995000000000001</v>
      </c>
    </row>
    <row r="15" spans="1:22" ht="15.6" x14ac:dyDescent="0.3">
      <c r="A15" s="29"/>
      <c r="B15" s="9"/>
      <c r="C15" s="10"/>
      <c r="D15" s="50"/>
      <c r="E15" s="50"/>
      <c r="F15" s="50"/>
      <c r="G15" s="48"/>
      <c r="H15" s="6"/>
      <c r="I15" s="13"/>
      <c r="J15" s="39"/>
      <c r="K15" s="9"/>
      <c r="L15" s="6"/>
      <c r="M15" s="6"/>
      <c r="N15" s="8"/>
      <c r="O15" s="22"/>
      <c r="P15" s="6"/>
      <c r="Q15" s="73"/>
      <c r="R15" s="73"/>
      <c r="V15">
        <v>0</v>
      </c>
    </row>
    <row r="16" spans="1:22" ht="15.6" x14ac:dyDescent="0.3">
      <c r="A16" s="16"/>
      <c r="B16" s="13"/>
      <c r="C16" s="10"/>
      <c r="D16" s="14"/>
      <c r="E16" s="6"/>
      <c r="F16" s="9"/>
      <c r="G16" s="7"/>
      <c r="H16" s="10"/>
      <c r="I16" s="34"/>
      <c r="J16" s="34"/>
      <c r="K16" s="13"/>
      <c r="L16" s="40"/>
      <c r="M16" s="42"/>
      <c r="N16" s="8"/>
      <c r="O16" s="20"/>
      <c r="P16" s="6"/>
      <c r="Q16" s="73"/>
      <c r="R16" s="73"/>
      <c r="V16">
        <v>0</v>
      </c>
    </row>
    <row r="17" spans="1:22" ht="15.6" x14ac:dyDescent="0.3">
      <c r="A17" s="19"/>
      <c r="B17" s="34"/>
      <c r="C17" s="10"/>
      <c r="D17" s="14"/>
      <c r="E17" s="6"/>
      <c r="F17" s="9"/>
      <c r="G17" s="7"/>
      <c r="H17" s="10"/>
      <c r="I17" s="13"/>
      <c r="J17" s="34"/>
      <c r="K17" s="34"/>
      <c r="L17" s="12"/>
      <c r="M17" s="9"/>
      <c r="N17" s="8"/>
      <c r="O17" s="20"/>
      <c r="Q17" s="73"/>
      <c r="R17" s="73"/>
      <c r="V17">
        <v>918.32899999999995</v>
      </c>
    </row>
    <row r="18" spans="1:22" ht="15.6" x14ac:dyDescent="0.3">
      <c r="A18" s="19"/>
      <c r="B18" s="27"/>
      <c r="C18" s="10"/>
      <c r="D18" s="14"/>
      <c r="E18" s="27"/>
      <c r="F18" s="9"/>
      <c r="G18" s="34"/>
      <c r="H18" s="10"/>
      <c r="I18" s="39"/>
      <c r="J18" s="39"/>
      <c r="K18" s="39"/>
      <c r="L18" s="12"/>
      <c r="M18" s="9"/>
      <c r="N18" s="8"/>
      <c r="O18" s="20"/>
      <c r="Q18" s="73"/>
      <c r="R18" s="73"/>
      <c r="V18">
        <v>906.48099999999999</v>
      </c>
    </row>
    <row r="19" spans="1:22" ht="15.6" x14ac:dyDescent="0.3">
      <c r="A19" s="18"/>
      <c r="B19" s="26"/>
      <c r="C19" s="6"/>
      <c r="D19" s="13"/>
      <c r="E19" s="26"/>
      <c r="F19" s="9"/>
      <c r="G19" s="5"/>
      <c r="H19" s="15"/>
      <c r="I19" s="14"/>
      <c r="J19" s="6"/>
      <c r="K19" s="5"/>
      <c r="L19" s="14"/>
      <c r="M19" s="5"/>
      <c r="N19" s="8"/>
      <c r="O19" s="20"/>
      <c r="P19" s="57"/>
      <c r="Q19" s="73"/>
      <c r="R19" s="73"/>
      <c r="V19">
        <v>0</v>
      </c>
    </row>
    <row r="20" spans="1:22" ht="15.6" x14ac:dyDescent="0.3">
      <c r="A20" s="19"/>
      <c r="B20" s="13"/>
      <c r="C20" s="10"/>
      <c r="D20" s="26"/>
      <c r="E20" s="6"/>
      <c r="F20" s="9"/>
      <c r="G20" s="7"/>
      <c r="H20" s="6"/>
      <c r="I20" s="34"/>
      <c r="J20" s="39"/>
      <c r="K20" s="34"/>
      <c r="L20" s="12"/>
      <c r="M20" s="9"/>
      <c r="N20" s="8"/>
      <c r="O20" s="20"/>
      <c r="Q20" s="73"/>
      <c r="R20" s="73"/>
      <c r="V20">
        <v>221.12200000000001</v>
      </c>
    </row>
    <row r="21" spans="1:22" ht="15.6" x14ac:dyDescent="0.3">
      <c r="A21" s="54"/>
      <c r="B21" s="37"/>
      <c r="C21" s="36"/>
      <c r="D21" s="38"/>
      <c r="E21" s="56"/>
      <c r="F21" s="36"/>
      <c r="G21" s="35"/>
      <c r="H21" s="26"/>
      <c r="I21" s="14"/>
      <c r="J21" s="39"/>
      <c r="K21" s="14"/>
      <c r="L21" s="43"/>
      <c r="M21" s="42"/>
      <c r="N21" s="8"/>
      <c r="O21" s="4"/>
      <c r="Q21" s="73"/>
      <c r="R21" s="73"/>
      <c r="V21">
        <v>185.00299999999999</v>
      </c>
    </row>
    <row r="22" spans="1:22" ht="15.6" x14ac:dyDescent="0.3">
      <c r="A22" s="55"/>
      <c r="B22" s="41"/>
      <c r="C22" s="9"/>
      <c r="D22" s="26"/>
      <c r="E22" s="50"/>
      <c r="F22" s="10"/>
      <c r="G22" s="9"/>
      <c r="H22" s="50"/>
      <c r="I22" s="50"/>
      <c r="J22" s="41"/>
      <c r="K22" s="50"/>
      <c r="L22" s="9"/>
      <c r="M22" s="9"/>
      <c r="N22" s="58"/>
      <c r="O22" s="59"/>
      <c r="P22" s="57"/>
      <c r="Q22" s="73"/>
      <c r="R22" s="73"/>
      <c r="V22">
        <v>0</v>
      </c>
    </row>
    <row r="23" spans="1:22" ht="15.6" x14ac:dyDescent="0.3">
      <c r="A23" s="19"/>
      <c r="B23" s="9"/>
      <c r="C23" s="9"/>
      <c r="D23" s="9"/>
      <c r="E23" s="11"/>
      <c r="F23" s="7"/>
      <c r="G23" s="11"/>
      <c r="H23" s="9"/>
      <c r="I23" s="9"/>
      <c r="J23" s="9"/>
      <c r="K23" s="9"/>
      <c r="L23" s="9"/>
      <c r="M23" s="9"/>
      <c r="N23" s="8"/>
      <c r="O23" s="4"/>
      <c r="P23" s="57"/>
      <c r="Q23" s="73"/>
      <c r="R23" s="73"/>
      <c r="V23">
        <v>0</v>
      </c>
    </row>
    <row r="24" spans="1:22" ht="15.6" x14ac:dyDescent="0.3">
      <c r="A24" s="19"/>
      <c r="B24" s="50"/>
      <c r="C24" s="9"/>
      <c r="D24" s="9"/>
      <c r="E24" s="9"/>
      <c r="F24" s="11"/>
      <c r="G24" s="11"/>
      <c r="H24" s="9"/>
      <c r="I24" s="9"/>
      <c r="J24" s="9"/>
      <c r="K24" s="10"/>
      <c r="L24" s="9"/>
      <c r="M24" s="50"/>
      <c r="N24" s="8"/>
      <c r="O24" s="4"/>
      <c r="P24" s="57"/>
      <c r="Q24" s="73"/>
      <c r="R24" s="73"/>
      <c r="V24">
        <v>0</v>
      </c>
    </row>
    <row r="25" spans="1:22" ht="15.6" x14ac:dyDescent="0.3">
      <c r="A25" s="55"/>
      <c r="B25" s="50"/>
      <c r="C25" s="61"/>
      <c r="D25" s="9"/>
      <c r="E25" s="9"/>
      <c r="F25" s="9"/>
      <c r="G25" s="50"/>
      <c r="H25" s="9"/>
      <c r="I25" s="11"/>
      <c r="J25" s="11"/>
      <c r="K25" s="6"/>
      <c r="L25" s="9"/>
      <c r="M25" s="9"/>
      <c r="N25" s="60"/>
      <c r="O25" s="53"/>
      <c r="Q25" s="73"/>
      <c r="R25" s="73"/>
      <c r="V25">
        <v>25.009</v>
      </c>
    </row>
    <row r="26" spans="1:22" ht="15.6" x14ac:dyDescent="0.3">
      <c r="A26" s="51"/>
      <c r="B26" s="57"/>
      <c r="C26" s="9"/>
      <c r="D26" s="9"/>
      <c r="E26" s="6"/>
      <c r="F26" s="9"/>
      <c r="G26" s="6"/>
      <c r="H26" s="9"/>
      <c r="I26" s="10"/>
      <c r="J26" s="9"/>
      <c r="K26" s="11"/>
      <c r="L26" s="6"/>
      <c r="M26" s="9"/>
      <c r="N26" s="52"/>
      <c r="O26" s="68"/>
      <c r="P26" s="57"/>
      <c r="Q26" s="73"/>
      <c r="R26" s="73"/>
      <c r="V26">
        <v>0</v>
      </c>
    </row>
    <row r="27" spans="1:22" ht="15.6" x14ac:dyDescent="0.3">
      <c r="A27" s="19"/>
      <c r="B27" s="9"/>
      <c r="C27" s="9"/>
      <c r="D27" s="50"/>
      <c r="E27" s="50"/>
      <c r="F27" s="9"/>
      <c r="G27" s="12"/>
      <c r="H27" s="9"/>
      <c r="I27" s="15"/>
      <c r="J27" s="9"/>
      <c r="K27" s="11"/>
      <c r="L27" s="10"/>
      <c r="M27" s="9"/>
      <c r="N27" s="67"/>
      <c r="O27" s="68"/>
      <c r="P27" s="57"/>
      <c r="Q27" s="73"/>
      <c r="R27" s="73"/>
      <c r="V27">
        <v>0</v>
      </c>
    </row>
    <row r="28" spans="1:22" ht="15.6" x14ac:dyDescent="0.3">
      <c r="A28" s="51"/>
      <c r="B28" s="57"/>
      <c r="C28" s="50"/>
      <c r="D28" s="57"/>
      <c r="E28" s="9"/>
      <c r="F28" s="9"/>
      <c r="G28" s="12"/>
      <c r="H28" s="9"/>
      <c r="I28" s="9"/>
      <c r="J28" s="11"/>
      <c r="K28" s="10"/>
      <c r="L28" s="9"/>
      <c r="M28" s="9"/>
      <c r="N28" s="8"/>
      <c r="O28" s="68"/>
      <c r="Q28" s="73"/>
      <c r="R28" s="73"/>
      <c r="V28">
        <v>0</v>
      </c>
    </row>
    <row r="29" spans="1:22" ht="16.2" thickBot="1" x14ac:dyDescent="0.35">
      <c r="A29" s="62"/>
      <c r="B29" s="63"/>
      <c r="C29" s="64"/>
      <c r="D29" s="66"/>
      <c r="E29" s="66"/>
      <c r="F29" s="65"/>
      <c r="G29" s="64"/>
      <c r="H29" s="66"/>
      <c r="I29" s="65"/>
      <c r="J29" s="65"/>
      <c r="K29" s="63"/>
      <c r="L29" s="66"/>
      <c r="M29" s="66"/>
      <c r="N29" s="70"/>
      <c r="O29" s="69"/>
      <c r="P29" s="57"/>
      <c r="Q29" s="73"/>
      <c r="R29" s="73"/>
      <c r="V29">
        <v>0</v>
      </c>
    </row>
    <row r="30" spans="1:22" s="21" customFormat="1" ht="16.2" thickBot="1" x14ac:dyDescent="0.35">
      <c r="A30" s="44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6"/>
      <c r="O30" s="47"/>
    </row>
    <row r="32" spans="1:22" s="25" customFormat="1" ht="18.75" customHeight="1" x14ac:dyDescent="0.35">
      <c r="B32" s="89"/>
      <c r="C32" s="90"/>
      <c r="D32" s="90"/>
      <c r="E32" s="90"/>
      <c r="F32" s="90"/>
      <c r="G32" s="90"/>
    </row>
    <row r="34" spans="1:15" x14ac:dyDescent="0.3">
      <c r="A34" s="91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</row>
    <row r="35" spans="1:15" x14ac:dyDescent="0.3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</row>
  </sheetData>
  <mergeCells count="5">
    <mergeCell ref="A3:O3"/>
    <mergeCell ref="B4:M4"/>
    <mergeCell ref="N4:O4"/>
    <mergeCell ref="A34:O35"/>
    <mergeCell ref="B32:G32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B5770-F17C-4697-A257-EB25073756D6}">
  <dimension ref="A2:R32"/>
  <sheetViews>
    <sheetView tabSelected="1" workbookViewId="0">
      <selection activeCell="I7" sqref="I7"/>
    </sheetView>
  </sheetViews>
  <sheetFormatPr defaultRowHeight="14.4" outlineLevelCol="1" x14ac:dyDescent="0.3"/>
  <cols>
    <col min="1" max="1" width="23.5546875" customWidth="1"/>
    <col min="2" max="2" width="12.33203125" customWidth="1" outlineLevel="1"/>
    <col min="3" max="3" width="14" customWidth="1" outlineLevel="1"/>
    <col min="4" max="4" width="12" customWidth="1" outlineLevel="1"/>
    <col min="5" max="5" width="13" customWidth="1" outlineLevel="1"/>
    <col min="6" max="6" width="12.33203125" customWidth="1" outlineLevel="1"/>
    <col min="7" max="7" width="11.5546875" customWidth="1" outlineLevel="1"/>
    <col min="8" max="9" width="11.6640625" customWidth="1" outlineLevel="1"/>
    <col min="10" max="11" width="12.33203125" customWidth="1" outlineLevel="1"/>
    <col min="12" max="12" width="11.88671875" customWidth="1" outlineLevel="1"/>
    <col min="13" max="13" width="11.44140625" customWidth="1" outlineLevel="1"/>
    <col min="14" max="14" width="10.44140625" customWidth="1"/>
    <col min="15" max="15" width="12.33203125" customWidth="1"/>
    <col min="16" max="16" width="16.6640625" bestFit="1" customWidth="1"/>
    <col min="18" max="18" width="12.6640625" bestFit="1" customWidth="1"/>
  </cols>
  <sheetData>
    <row r="2" spans="1:18" ht="15" thickBot="1" x14ac:dyDescent="0.35"/>
    <row r="3" spans="1:18" ht="16.2" x14ac:dyDescent="0.3">
      <c r="A3" s="81" t="s">
        <v>34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3"/>
    </row>
    <row r="4" spans="1:18" x14ac:dyDescent="0.3">
      <c r="A4" s="1"/>
      <c r="B4" s="84" t="s">
        <v>0</v>
      </c>
      <c r="C4" s="85"/>
      <c r="D4" s="85"/>
      <c r="E4" s="85"/>
      <c r="F4" s="85"/>
      <c r="G4" s="85"/>
      <c r="H4" s="85"/>
      <c r="I4" s="85"/>
      <c r="J4" s="85"/>
      <c r="K4" s="85"/>
      <c r="L4" s="85"/>
      <c r="M4" s="86"/>
      <c r="N4" s="87"/>
      <c r="O4" s="88"/>
    </row>
    <row r="5" spans="1:18" x14ac:dyDescent="0.3">
      <c r="A5" s="78"/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31</v>
      </c>
      <c r="O5" s="3" t="s">
        <v>13</v>
      </c>
      <c r="P5" s="71"/>
      <c r="Q5" s="72"/>
      <c r="R5" s="72"/>
    </row>
    <row r="6" spans="1:18" ht="15.6" x14ac:dyDescent="0.3">
      <c r="A6" s="79" t="s">
        <v>14</v>
      </c>
      <c r="B6" s="7">
        <v>1528</v>
      </c>
      <c r="C6" s="6">
        <v>1649.7</v>
      </c>
      <c r="D6" s="5">
        <v>2220.6999999999998</v>
      </c>
      <c r="E6" s="6">
        <v>2745.4</v>
      </c>
      <c r="F6" s="5">
        <v>2093.5</v>
      </c>
      <c r="G6" s="7">
        <v>2256.6999999999998</v>
      </c>
      <c r="H6" s="6">
        <v>2428.1999999999998</v>
      </c>
      <c r="I6" s="5">
        <v>2394</v>
      </c>
      <c r="J6" s="6">
        <v>2421.8000000000002</v>
      </c>
      <c r="K6" s="5">
        <v>2107.6</v>
      </c>
      <c r="L6" s="5">
        <v>1881</v>
      </c>
      <c r="M6" s="6">
        <v>2030.3</v>
      </c>
      <c r="N6" s="8">
        <f t="shared" ref="N6:N7" si="0">SUM(B6:M6)</f>
        <v>25756.899999999998</v>
      </c>
      <c r="O6" s="20">
        <f t="shared" ref="O6:O27" si="1">N6/$N$27</f>
        <v>0.41931319432686925</v>
      </c>
      <c r="P6" s="73"/>
      <c r="Q6" s="73"/>
    </row>
    <row r="7" spans="1:18" ht="15.6" x14ac:dyDescent="0.3">
      <c r="A7" s="18" t="s">
        <v>26</v>
      </c>
      <c r="B7" s="9">
        <v>810.3</v>
      </c>
      <c r="C7" s="10">
        <v>667.2</v>
      </c>
      <c r="D7" s="9">
        <v>853.7</v>
      </c>
      <c r="E7" s="10">
        <v>808.5</v>
      </c>
      <c r="F7" s="9">
        <v>763.5</v>
      </c>
      <c r="G7" s="11">
        <v>739.5</v>
      </c>
      <c r="H7" s="10">
        <v>765.5</v>
      </c>
      <c r="I7" s="9">
        <v>764</v>
      </c>
      <c r="J7" s="10">
        <v>793.8</v>
      </c>
      <c r="K7" s="9">
        <v>880.9</v>
      </c>
      <c r="L7" s="9">
        <v>839.1</v>
      </c>
      <c r="M7" s="11">
        <v>1301.9000000000001</v>
      </c>
      <c r="N7" s="8">
        <f t="shared" si="0"/>
        <v>9987.9</v>
      </c>
      <c r="O7" s="20">
        <f t="shared" si="1"/>
        <v>0.16259946863237956</v>
      </c>
      <c r="P7" s="73"/>
      <c r="Q7" s="73"/>
    </row>
    <row r="8" spans="1:18" ht="15.6" x14ac:dyDescent="0.3">
      <c r="A8" s="24" t="s">
        <v>22</v>
      </c>
      <c r="B8" s="28">
        <v>489.3</v>
      </c>
      <c r="C8" s="36">
        <v>475.2</v>
      </c>
      <c r="D8" s="30">
        <v>607.29999999999995</v>
      </c>
      <c r="E8" s="31">
        <v>518.70000000000005</v>
      </c>
      <c r="F8" s="32">
        <v>447.7</v>
      </c>
      <c r="G8" s="33">
        <v>531.4</v>
      </c>
      <c r="H8" s="34">
        <v>733.4</v>
      </c>
      <c r="I8" s="26">
        <v>467.1</v>
      </c>
      <c r="J8" s="39">
        <v>534.70000000000005</v>
      </c>
      <c r="K8" s="14">
        <v>605</v>
      </c>
      <c r="L8" s="41">
        <v>615.79999999999995</v>
      </c>
      <c r="M8" s="42">
        <v>1524.6</v>
      </c>
      <c r="N8" s="8">
        <f t="shared" ref="N8:N26" si="2">SUM(B8:M8)</f>
        <v>7550.2000000000007</v>
      </c>
      <c r="O8" s="4">
        <f t="shared" si="1"/>
        <v>0.12291457744552833</v>
      </c>
      <c r="P8" s="73"/>
      <c r="Q8" s="73"/>
    </row>
    <row r="9" spans="1:18" ht="15.6" x14ac:dyDescent="0.3">
      <c r="A9" s="16" t="s">
        <v>23</v>
      </c>
      <c r="B9" s="13">
        <v>210.9</v>
      </c>
      <c r="C9" s="6">
        <v>339.6</v>
      </c>
      <c r="D9" s="13">
        <v>164.7</v>
      </c>
      <c r="E9" s="6">
        <v>303.60000000000002</v>
      </c>
      <c r="F9" s="9">
        <v>314.89999999999998</v>
      </c>
      <c r="G9" s="5">
        <v>438.2</v>
      </c>
      <c r="H9" s="9">
        <v>525.4</v>
      </c>
      <c r="I9" s="9">
        <v>419.4</v>
      </c>
      <c r="J9" s="6">
        <v>475.4</v>
      </c>
      <c r="K9" s="5">
        <v>494.7</v>
      </c>
      <c r="L9" s="9">
        <v>645.20000000000005</v>
      </c>
      <c r="M9" s="5">
        <v>463.9</v>
      </c>
      <c r="N9" s="8">
        <f t="shared" si="2"/>
        <v>4795.8999999999996</v>
      </c>
      <c r="O9" s="20">
        <f t="shared" si="1"/>
        <v>7.8075550577601821E-2</v>
      </c>
      <c r="P9" s="73"/>
      <c r="Q9" s="73"/>
    </row>
    <row r="10" spans="1:18" ht="15.6" x14ac:dyDescent="0.3">
      <c r="A10" s="80" t="s">
        <v>17</v>
      </c>
      <c r="B10" s="9">
        <v>625.4</v>
      </c>
      <c r="C10" s="9">
        <v>439.7</v>
      </c>
      <c r="D10" s="9">
        <v>372</v>
      </c>
      <c r="E10" s="9">
        <v>422.7</v>
      </c>
      <c r="F10" s="5">
        <v>433.5</v>
      </c>
      <c r="G10" s="7">
        <v>267.7</v>
      </c>
      <c r="H10" s="12">
        <v>415.3</v>
      </c>
      <c r="I10" s="9">
        <v>106.7</v>
      </c>
      <c r="J10" s="9">
        <v>80.099999999999994</v>
      </c>
      <c r="K10" s="5">
        <v>391.3</v>
      </c>
      <c r="L10" s="5">
        <v>357.2</v>
      </c>
      <c r="M10" s="7">
        <v>440.7</v>
      </c>
      <c r="N10" s="8">
        <f t="shared" si="2"/>
        <v>4352.3</v>
      </c>
      <c r="O10" s="23">
        <f t="shared" si="1"/>
        <v>7.0853899951812266E-2</v>
      </c>
      <c r="P10" s="73"/>
      <c r="Q10" s="73"/>
    </row>
    <row r="11" spans="1:18" ht="15.6" x14ac:dyDescent="0.3">
      <c r="A11" s="18" t="s">
        <v>16</v>
      </c>
      <c r="B11" s="9">
        <v>211.2</v>
      </c>
      <c r="C11" s="10">
        <v>189.5</v>
      </c>
      <c r="D11" s="9">
        <v>271.39999999999998</v>
      </c>
      <c r="E11" s="10">
        <v>251.5</v>
      </c>
      <c r="F11" s="9">
        <v>242.2</v>
      </c>
      <c r="G11" s="11">
        <v>209.8</v>
      </c>
      <c r="H11" s="10">
        <v>169.3</v>
      </c>
      <c r="I11" s="9">
        <v>141.19999999999999</v>
      </c>
      <c r="J11" s="10">
        <v>182.6</v>
      </c>
      <c r="K11" s="9">
        <v>198.1</v>
      </c>
      <c r="L11" s="9">
        <v>288.8</v>
      </c>
      <c r="M11" s="10">
        <v>166.5</v>
      </c>
      <c r="N11" s="8">
        <f t="shared" si="2"/>
        <v>2522.1</v>
      </c>
      <c r="O11" s="20">
        <f t="shared" si="1"/>
        <v>4.1058893244598417E-2</v>
      </c>
      <c r="P11" s="73"/>
      <c r="Q11" s="73"/>
    </row>
    <row r="12" spans="1:18" ht="15.6" x14ac:dyDescent="0.3">
      <c r="A12" s="18" t="s">
        <v>36</v>
      </c>
      <c r="B12" s="13">
        <v>647.29999999999995</v>
      </c>
      <c r="C12" s="10">
        <v>406.1</v>
      </c>
      <c r="D12" s="14">
        <v>122</v>
      </c>
      <c r="E12" s="6">
        <v>159.69999999999999</v>
      </c>
      <c r="F12" s="9">
        <v>286.39999999999998</v>
      </c>
      <c r="G12" s="7">
        <v>150.19999999999999</v>
      </c>
      <c r="H12" s="10">
        <v>164.9</v>
      </c>
      <c r="I12" s="9">
        <v>82.4</v>
      </c>
      <c r="J12" s="12">
        <v>67.900000000000006</v>
      </c>
      <c r="K12" s="5">
        <v>39.4</v>
      </c>
      <c r="L12" s="50">
        <v>20.3</v>
      </c>
      <c r="M12" s="10">
        <v>229</v>
      </c>
      <c r="N12" s="8">
        <f t="shared" si="2"/>
        <v>2375.6000000000004</v>
      </c>
      <c r="O12" s="20">
        <f t="shared" si="1"/>
        <v>3.8673925217821661E-2</v>
      </c>
      <c r="P12" s="73"/>
      <c r="Q12" s="73"/>
    </row>
    <row r="13" spans="1:18" ht="15.6" x14ac:dyDescent="0.3">
      <c r="A13" s="18" t="s">
        <v>19</v>
      </c>
      <c r="B13" s="13">
        <v>222.9</v>
      </c>
      <c r="C13" s="10">
        <v>197.6</v>
      </c>
      <c r="D13" s="14">
        <v>121.7</v>
      </c>
      <c r="E13" s="6">
        <v>60.9</v>
      </c>
      <c r="F13" s="9">
        <v>283</v>
      </c>
      <c r="G13" s="7">
        <v>230</v>
      </c>
      <c r="H13" s="10">
        <v>157.6</v>
      </c>
      <c r="I13" s="9">
        <v>99.9</v>
      </c>
      <c r="J13" s="12">
        <v>90.2</v>
      </c>
      <c r="K13" s="5">
        <v>28.4</v>
      </c>
      <c r="L13" s="50">
        <v>64.3</v>
      </c>
      <c r="M13" s="10">
        <v>107.3</v>
      </c>
      <c r="N13" s="8">
        <f t="shared" si="2"/>
        <v>1663.8</v>
      </c>
      <c r="O13" s="20">
        <f t="shared" si="1"/>
        <v>2.7086073740281054E-2</v>
      </c>
      <c r="P13" s="73"/>
      <c r="Q13" s="73"/>
    </row>
    <row r="14" spans="1:18" ht="15.6" x14ac:dyDescent="0.3">
      <c r="A14" s="18" t="s">
        <v>15</v>
      </c>
      <c r="B14" s="13">
        <v>276.7</v>
      </c>
      <c r="C14" s="10">
        <v>211.3</v>
      </c>
      <c r="D14" s="14">
        <v>133.4</v>
      </c>
      <c r="E14" s="6">
        <v>121.6</v>
      </c>
      <c r="F14" s="9">
        <v>144.80000000000001</v>
      </c>
      <c r="G14" s="7">
        <v>57.2</v>
      </c>
      <c r="H14" s="10">
        <v>92.8</v>
      </c>
      <c r="I14" s="9">
        <v>43.6</v>
      </c>
      <c r="J14" s="12">
        <v>37.200000000000003</v>
      </c>
      <c r="K14" s="5">
        <v>51.4</v>
      </c>
      <c r="L14" s="50">
        <v>7.7</v>
      </c>
      <c r="M14" s="10">
        <v>33.5</v>
      </c>
      <c r="N14" s="8">
        <f t="shared" si="2"/>
        <v>1211.2</v>
      </c>
      <c r="O14" s="20">
        <f t="shared" si="1"/>
        <v>1.9717906307385753E-2</v>
      </c>
      <c r="P14" s="73"/>
      <c r="Q14" s="73"/>
    </row>
    <row r="15" spans="1:18" ht="15.6" x14ac:dyDescent="0.3">
      <c r="A15" s="18" t="s">
        <v>27</v>
      </c>
      <c r="B15" s="13">
        <v>111.3</v>
      </c>
      <c r="C15" s="10">
        <v>85.9</v>
      </c>
      <c r="D15" s="14">
        <v>104.1</v>
      </c>
      <c r="E15" s="6">
        <v>44.7</v>
      </c>
      <c r="F15" s="9">
        <v>75.5</v>
      </c>
      <c r="G15" s="7">
        <v>63.2</v>
      </c>
      <c r="H15" s="10">
        <v>4.7</v>
      </c>
      <c r="I15" s="9">
        <v>5.6</v>
      </c>
      <c r="J15" s="12">
        <v>9.1999999999999993</v>
      </c>
      <c r="K15" s="5">
        <v>17.2</v>
      </c>
      <c r="L15" s="50">
        <v>0</v>
      </c>
      <c r="M15" s="10">
        <v>9</v>
      </c>
      <c r="N15" s="8">
        <f t="shared" si="2"/>
        <v>530.4</v>
      </c>
      <c r="O15" s="20">
        <f t="shared" si="1"/>
        <v>8.6347238320982518E-3</v>
      </c>
      <c r="P15" s="73"/>
      <c r="Q15" s="73"/>
    </row>
    <row r="16" spans="1:18" ht="15.6" x14ac:dyDescent="0.3">
      <c r="A16" s="18" t="s">
        <v>29</v>
      </c>
      <c r="B16" s="13">
        <v>53.9</v>
      </c>
      <c r="C16" s="10">
        <v>59.8</v>
      </c>
      <c r="D16" s="14">
        <v>33.5</v>
      </c>
      <c r="E16" s="6">
        <v>8.6</v>
      </c>
      <c r="F16" s="9">
        <v>83.4</v>
      </c>
      <c r="G16" s="7">
        <v>0</v>
      </c>
      <c r="H16" s="10">
        <v>13.3</v>
      </c>
      <c r="I16" s="9">
        <v>0</v>
      </c>
      <c r="J16" s="12">
        <v>0</v>
      </c>
      <c r="K16" s="5">
        <v>0</v>
      </c>
      <c r="L16" s="50">
        <v>0</v>
      </c>
      <c r="M16" s="10">
        <v>0</v>
      </c>
      <c r="N16" s="8">
        <f t="shared" si="2"/>
        <v>252.5</v>
      </c>
      <c r="O16" s="20">
        <f t="shared" si="1"/>
        <v>4.1106104215776935E-3</v>
      </c>
      <c r="P16" s="73"/>
      <c r="Q16" s="73"/>
    </row>
    <row r="17" spans="1:17" ht="15.6" x14ac:dyDescent="0.3">
      <c r="A17" s="18" t="s">
        <v>21</v>
      </c>
      <c r="B17" s="13">
        <v>0</v>
      </c>
      <c r="C17" s="10">
        <v>138.80000000000001</v>
      </c>
      <c r="D17" s="14">
        <v>0</v>
      </c>
      <c r="E17" s="6">
        <v>28.3</v>
      </c>
      <c r="F17" s="9">
        <v>0</v>
      </c>
      <c r="G17" s="7">
        <v>0</v>
      </c>
      <c r="H17" s="10">
        <v>0</v>
      </c>
      <c r="I17" s="9">
        <v>0</v>
      </c>
      <c r="J17" s="12">
        <v>0</v>
      </c>
      <c r="K17" s="5">
        <v>0</v>
      </c>
      <c r="L17" s="50">
        <v>0</v>
      </c>
      <c r="M17" s="10">
        <v>19.7</v>
      </c>
      <c r="N17" s="8">
        <f t="shared" si="2"/>
        <v>186.8</v>
      </c>
      <c r="O17" s="20">
        <f t="shared" si="1"/>
        <v>3.0410377297057948E-3</v>
      </c>
      <c r="P17" s="73"/>
      <c r="Q17" s="73"/>
    </row>
    <row r="18" spans="1:17" ht="15.6" x14ac:dyDescent="0.3">
      <c r="A18" s="18" t="s">
        <v>41</v>
      </c>
      <c r="B18" s="13">
        <v>0</v>
      </c>
      <c r="C18" s="10">
        <v>0</v>
      </c>
      <c r="D18" s="14">
        <v>0</v>
      </c>
      <c r="E18" s="6">
        <v>0</v>
      </c>
      <c r="F18" s="9">
        <v>0</v>
      </c>
      <c r="G18" s="7">
        <v>0</v>
      </c>
      <c r="H18" s="10">
        <v>0</v>
      </c>
      <c r="I18" s="9">
        <v>0</v>
      </c>
      <c r="J18" s="12">
        <v>102.6</v>
      </c>
      <c r="K18" s="5">
        <v>0</v>
      </c>
      <c r="L18" s="50">
        <v>0</v>
      </c>
      <c r="M18" s="10">
        <v>0</v>
      </c>
      <c r="N18" s="8">
        <f t="shared" si="2"/>
        <v>102.6</v>
      </c>
      <c r="O18" s="20">
        <f t="shared" si="1"/>
        <v>1.6702916010054309E-3</v>
      </c>
      <c r="P18" s="73"/>
      <c r="Q18" s="73"/>
    </row>
    <row r="19" spans="1:17" ht="15.6" x14ac:dyDescent="0.3">
      <c r="A19" s="18" t="s">
        <v>28</v>
      </c>
      <c r="B19" s="13">
        <v>0.4</v>
      </c>
      <c r="C19" s="10">
        <v>0.1</v>
      </c>
      <c r="D19" s="14">
        <v>0.6</v>
      </c>
      <c r="E19" s="6">
        <v>0.8</v>
      </c>
      <c r="F19" s="9">
        <v>0.4</v>
      </c>
      <c r="G19" s="7">
        <v>2</v>
      </c>
      <c r="H19" s="10">
        <v>1.7</v>
      </c>
      <c r="I19" s="9">
        <v>0.7</v>
      </c>
      <c r="J19" s="12">
        <v>0.4</v>
      </c>
      <c r="K19" s="5">
        <v>0.8</v>
      </c>
      <c r="L19" s="50">
        <v>0.2</v>
      </c>
      <c r="M19" s="10">
        <v>35.700000000000003</v>
      </c>
      <c r="N19" s="8">
        <f t="shared" si="2"/>
        <v>43.800000000000004</v>
      </c>
      <c r="O19" s="20">
        <f t="shared" si="1"/>
        <v>7.1304846124793262E-4</v>
      </c>
      <c r="P19" s="73"/>
      <c r="Q19" s="73"/>
    </row>
    <row r="20" spans="1:17" ht="15.6" x14ac:dyDescent="0.3">
      <c r="A20" s="18" t="s">
        <v>37</v>
      </c>
      <c r="B20" s="13">
        <v>9</v>
      </c>
      <c r="C20" s="10">
        <v>3.7</v>
      </c>
      <c r="D20" s="14">
        <v>2</v>
      </c>
      <c r="E20" s="6">
        <v>1.6</v>
      </c>
      <c r="F20" s="9">
        <v>4.8</v>
      </c>
      <c r="G20" s="7">
        <v>4.9000000000000004</v>
      </c>
      <c r="H20" s="10">
        <v>1.5</v>
      </c>
      <c r="I20" s="9">
        <v>0.5</v>
      </c>
      <c r="J20" s="12">
        <v>0</v>
      </c>
      <c r="K20" s="5">
        <v>3.9</v>
      </c>
      <c r="L20" s="50">
        <v>0</v>
      </c>
      <c r="M20" s="10">
        <v>0</v>
      </c>
      <c r="N20" s="8">
        <f t="shared" si="2"/>
        <v>31.9</v>
      </c>
      <c r="O20" s="20">
        <f t="shared" si="1"/>
        <v>5.1932068296367691E-4</v>
      </c>
      <c r="P20" s="73"/>
      <c r="Q20" s="73"/>
    </row>
    <row r="21" spans="1:17" ht="15.6" x14ac:dyDescent="0.3">
      <c r="A21" s="18" t="s">
        <v>18</v>
      </c>
      <c r="B21" s="13">
        <v>2.9</v>
      </c>
      <c r="C21" s="10">
        <v>2.6</v>
      </c>
      <c r="D21" s="14">
        <v>2.9</v>
      </c>
      <c r="E21" s="6">
        <v>2.8</v>
      </c>
      <c r="F21" s="9">
        <v>2.8</v>
      </c>
      <c r="G21" s="7">
        <v>2.6</v>
      </c>
      <c r="H21" s="10">
        <v>2.6</v>
      </c>
      <c r="I21" s="9">
        <v>2.5</v>
      </c>
      <c r="J21" s="12">
        <v>2.4</v>
      </c>
      <c r="K21" s="5">
        <v>2.4</v>
      </c>
      <c r="L21" s="50">
        <v>2.4</v>
      </c>
      <c r="M21" s="10">
        <v>2.4</v>
      </c>
      <c r="N21" s="8">
        <f t="shared" si="2"/>
        <v>31.299999999999997</v>
      </c>
      <c r="O21" s="20">
        <f t="shared" si="1"/>
        <v>5.0955289582329426E-4</v>
      </c>
      <c r="P21" s="73"/>
      <c r="Q21" s="73"/>
    </row>
    <row r="22" spans="1:17" ht="15.6" x14ac:dyDescent="0.3">
      <c r="A22" s="18" t="s">
        <v>30</v>
      </c>
      <c r="B22" s="13">
        <v>0</v>
      </c>
      <c r="C22" s="10">
        <v>0</v>
      </c>
      <c r="D22" s="14">
        <v>0</v>
      </c>
      <c r="E22" s="6">
        <v>0</v>
      </c>
      <c r="F22" s="9">
        <v>0</v>
      </c>
      <c r="G22" s="7">
        <v>0</v>
      </c>
      <c r="H22" s="10">
        <v>0</v>
      </c>
      <c r="I22" s="9">
        <v>0</v>
      </c>
      <c r="J22" s="12">
        <v>0</v>
      </c>
      <c r="K22" s="5">
        <v>0</v>
      </c>
      <c r="L22" s="50">
        <v>0</v>
      </c>
      <c r="M22" s="10">
        <v>16.3</v>
      </c>
      <c r="N22" s="8">
        <f t="shared" si="2"/>
        <v>16.3</v>
      </c>
      <c r="O22" s="20">
        <f t="shared" si="1"/>
        <v>2.6535821731372836E-4</v>
      </c>
      <c r="P22" s="73"/>
      <c r="Q22" s="73"/>
    </row>
    <row r="23" spans="1:17" ht="15.6" x14ac:dyDescent="0.3">
      <c r="A23" s="18" t="s">
        <v>38</v>
      </c>
      <c r="B23" s="13">
        <v>1.9</v>
      </c>
      <c r="C23" s="10">
        <v>1.9</v>
      </c>
      <c r="D23" s="14">
        <v>1.1000000000000001</v>
      </c>
      <c r="E23" s="6">
        <v>1.2</v>
      </c>
      <c r="F23" s="9">
        <v>1.2</v>
      </c>
      <c r="G23" s="7">
        <v>0.6</v>
      </c>
      <c r="H23" s="10">
        <v>0.7</v>
      </c>
      <c r="I23" s="9">
        <v>0.3</v>
      </c>
      <c r="J23" s="12">
        <v>0.2</v>
      </c>
      <c r="K23" s="5">
        <v>0.3</v>
      </c>
      <c r="L23" s="50">
        <v>0.3</v>
      </c>
      <c r="M23" s="10">
        <v>1.2</v>
      </c>
      <c r="N23" s="8">
        <f t="shared" si="2"/>
        <v>10.9</v>
      </c>
      <c r="O23" s="20">
        <f t="shared" si="1"/>
        <v>1.774481330502846E-4</v>
      </c>
      <c r="P23" s="73"/>
      <c r="Q23" s="73"/>
    </row>
    <row r="24" spans="1:17" ht="15.6" x14ac:dyDescent="0.3">
      <c r="A24" s="18" t="s">
        <v>35</v>
      </c>
      <c r="B24" s="13">
        <v>0</v>
      </c>
      <c r="C24" s="10">
        <v>0</v>
      </c>
      <c r="D24" s="14">
        <v>0</v>
      </c>
      <c r="E24" s="6">
        <v>0</v>
      </c>
      <c r="F24" s="9">
        <v>0</v>
      </c>
      <c r="G24" s="7">
        <v>0</v>
      </c>
      <c r="H24" s="10">
        <v>0</v>
      </c>
      <c r="I24" s="9">
        <v>0</v>
      </c>
      <c r="J24" s="12">
        <v>0</v>
      </c>
      <c r="K24" s="5">
        <v>0</v>
      </c>
      <c r="L24" s="50">
        <v>0</v>
      </c>
      <c r="M24" s="9">
        <v>2.4</v>
      </c>
      <c r="N24" s="8">
        <f t="shared" si="2"/>
        <v>2.4</v>
      </c>
      <c r="O24" s="20">
        <f t="shared" si="1"/>
        <v>3.9071148561530549E-5</v>
      </c>
      <c r="P24" s="73"/>
      <c r="Q24" s="73"/>
    </row>
    <row r="25" spans="1:17" ht="15.6" x14ac:dyDescent="0.3">
      <c r="A25" s="18" t="s">
        <v>39</v>
      </c>
      <c r="B25" s="9">
        <v>0.7</v>
      </c>
      <c r="C25" s="9">
        <v>0.1</v>
      </c>
      <c r="D25" s="9">
        <v>0</v>
      </c>
      <c r="E25" s="9">
        <v>0</v>
      </c>
      <c r="F25" s="9">
        <v>0</v>
      </c>
      <c r="G25" s="9">
        <v>0</v>
      </c>
      <c r="H25" s="15">
        <v>0</v>
      </c>
      <c r="I25" s="14">
        <v>0</v>
      </c>
      <c r="J25" s="9">
        <v>0</v>
      </c>
      <c r="K25" s="9">
        <v>0</v>
      </c>
      <c r="L25" s="14">
        <v>0</v>
      </c>
      <c r="M25" s="9">
        <v>0</v>
      </c>
      <c r="N25" s="8">
        <f t="shared" si="2"/>
        <v>0.79999999999999993</v>
      </c>
      <c r="O25" s="76">
        <f t="shared" si="1"/>
        <v>1.3023716187176848E-5</v>
      </c>
      <c r="P25" s="77"/>
      <c r="Q25" s="73"/>
    </row>
    <row r="26" spans="1:17" ht="16.2" thickBot="1" x14ac:dyDescent="0.35">
      <c r="A26" s="19" t="s">
        <v>40</v>
      </c>
      <c r="B26" s="34">
        <v>0.7</v>
      </c>
      <c r="C26" s="10">
        <v>0.1</v>
      </c>
      <c r="D26" s="14">
        <v>0</v>
      </c>
      <c r="E26" s="6">
        <v>0</v>
      </c>
      <c r="F26" s="9">
        <v>0</v>
      </c>
      <c r="G26" s="7">
        <v>0</v>
      </c>
      <c r="H26" s="10">
        <v>0</v>
      </c>
      <c r="I26" s="13">
        <v>0</v>
      </c>
      <c r="J26" s="34">
        <v>0</v>
      </c>
      <c r="K26" s="34">
        <v>0</v>
      </c>
      <c r="L26" s="12">
        <v>0</v>
      </c>
      <c r="M26" s="9">
        <v>0</v>
      </c>
      <c r="N26" s="8">
        <f t="shared" si="2"/>
        <v>0.79999999999999993</v>
      </c>
      <c r="O26" s="20">
        <f t="shared" si="1"/>
        <v>1.3023716187176848E-5</v>
      </c>
      <c r="P26" s="73"/>
      <c r="Q26" s="73"/>
    </row>
    <row r="27" spans="1:17" s="21" customFormat="1" ht="16.2" thickBot="1" x14ac:dyDescent="0.35">
      <c r="A27" s="44" t="s">
        <v>20</v>
      </c>
      <c r="B27" s="45">
        <f t="shared" ref="B27:M27" si="3">SUM(B6:B26)</f>
        <v>5202.7999999999984</v>
      </c>
      <c r="C27" s="45">
        <f t="shared" si="3"/>
        <v>4868.9000000000015</v>
      </c>
      <c r="D27" s="45">
        <f t="shared" si="3"/>
        <v>5011.0999999999995</v>
      </c>
      <c r="E27" s="45">
        <f t="shared" si="3"/>
        <v>5480.6000000000013</v>
      </c>
      <c r="F27" s="45">
        <f t="shared" si="3"/>
        <v>5177.5999999999995</v>
      </c>
      <c r="G27" s="45">
        <f t="shared" si="3"/>
        <v>4954</v>
      </c>
      <c r="H27" s="45">
        <f t="shared" si="3"/>
        <v>5476.9000000000005</v>
      </c>
      <c r="I27" s="45">
        <f t="shared" si="3"/>
        <v>4527.8999999999996</v>
      </c>
      <c r="J27" s="45">
        <f t="shared" si="3"/>
        <v>4798.4999999999991</v>
      </c>
      <c r="K27" s="45">
        <f t="shared" si="3"/>
        <v>4821.3999999999987</v>
      </c>
      <c r="L27" s="45">
        <f t="shared" si="3"/>
        <v>4722.2999999999993</v>
      </c>
      <c r="M27" s="45">
        <f t="shared" si="3"/>
        <v>6384.3999999999978</v>
      </c>
      <c r="N27" s="46">
        <f>SUM(B27,C27,D27,E27,F27,G27,H27,I27,J27,K27,L27,M27,)</f>
        <v>61426.399999999994</v>
      </c>
      <c r="O27" s="75">
        <f t="shared" si="1"/>
        <v>1</v>
      </c>
    </row>
    <row r="29" spans="1:17" s="25" customFormat="1" ht="18.75" customHeight="1" x14ac:dyDescent="0.35">
      <c r="A29" s="25" t="s">
        <v>24</v>
      </c>
      <c r="B29" s="89" t="s">
        <v>33</v>
      </c>
      <c r="C29" s="90"/>
      <c r="D29" s="90"/>
      <c r="E29" s="90"/>
      <c r="F29" s="90"/>
      <c r="G29" s="90"/>
    </row>
    <row r="30" spans="1:17" ht="18.75" customHeight="1" x14ac:dyDescent="0.3"/>
    <row r="31" spans="1:17" x14ac:dyDescent="0.3">
      <c r="A31" s="91" t="s">
        <v>25</v>
      </c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</row>
    <row r="32" spans="1:17" ht="15" customHeight="1" x14ac:dyDescent="0.3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</row>
  </sheetData>
  <mergeCells count="5">
    <mergeCell ref="A3:O3"/>
    <mergeCell ref="B4:M4"/>
    <mergeCell ref="N4:O4"/>
    <mergeCell ref="B29:G29"/>
    <mergeCell ref="A31:O32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Rossella Marcotulli</dc:creator>
  <cp:lastModifiedBy>Marcotulli Rossella</cp:lastModifiedBy>
  <cp:lastPrinted>2018-08-07T08:10:11Z</cp:lastPrinted>
  <dcterms:created xsi:type="dcterms:W3CDTF">2015-08-03T12:11:17Z</dcterms:created>
  <dcterms:modified xsi:type="dcterms:W3CDTF">2026-04-01T09:29:36Z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ee9e49ca-5c60-4153-9c86-f5d2a438c41b</vt:lpwstr>
  </property>
  <property fmtid="{D5CDD505-2E9C-101B-9397-08002B2CF9AE}" pid="3" name="MSIP_Label_94f5f15f-11ca-4705-a655-5e46846a1c6b_Enabled">
    <vt:lpwstr>true</vt:lpwstr>
  </property>
  <property fmtid="{D5CDD505-2E9C-101B-9397-08002B2CF9AE}" pid="4" name="MSIP_Label_94f5f15f-11ca-4705-a655-5e46846a1c6b_SetDate">
    <vt:lpwstr>2025-02-26T14:16:27Z</vt:lpwstr>
  </property>
  <property fmtid="{D5CDD505-2E9C-101B-9397-08002B2CF9AE}" pid="5" name="MSIP_Label_94f5f15f-11ca-4705-a655-5e46846a1c6b_Method">
    <vt:lpwstr>Standard</vt:lpwstr>
  </property>
  <property fmtid="{D5CDD505-2E9C-101B-9397-08002B2CF9AE}" pid="6" name="MSIP_Label_94f5f15f-11ca-4705-a655-5e46846a1c6b_Name">
    <vt:lpwstr>Pubblico</vt:lpwstr>
  </property>
  <property fmtid="{D5CDD505-2E9C-101B-9397-08002B2CF9AE}" pid="7" name="MSIP_Label_94f5f15f-11ca-4705-a655-5e46846a1c6b_SiteId">
    <vt:lpwstr>49ea7387-144b-4c06-b54d-6a66b2b79d71</vt:lpwstr>
  </property>
  <property fmtid="{D5CDD505-2E9C-101B-9397-08002B2CF9AE}" pid="8" name="MSIP_Label_94f5f15f-11ca-4705-a655-5e46846a1c6b_ActionId">
    <vt:lpwstr>a8d3e9e3-104c-48d1-9d58-00bfc863ca87</vt:lpwstr>
  </property>
  <property fmtid="{D5CDD505-2E9C-101B-9397-08002B2CF9AE}" pid="9" name="MSIP_Label_94f5f15f-11ca-4705-a655-5e46846a1c6b_ContentBits">
    <vt:lpwstr>0</vt:lpwstr>
  </property>
</Properties>
</file>