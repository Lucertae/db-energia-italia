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tullirsl\Desktop\"/>
    </mc:Choice>
  </mc:AlternateContent>
  <xr:revisionPtr revIDLastSave="0" documentId="8_{6DD9A1A9-6C38-4579-897E-C8B976BC71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2" r:id="rId1"/>
    <sheet name="Foglio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2" l="1"/>
  <c r="N19" i="2"/>
  <c r="L20" i="2"/>
  <c r="K20" i="2"/>
  <c r="J20" i="2"/>
  <c r="I20" i="2"/>
  <c r="H20" i="2"/>
  <c r="G20" i="2"/>
  <c r="F20" i="2"/>
  <c r="E20" i="2"/>
  <c r="C20" i="2"/>
  <c r="B20" i="2"/>
  <c r="D20" i="2"/>
  <c r="N13" i="2"/>
  <c r="N7" i="2"/>
  <c r="N8" i="2"/>
  <c r="N9" i="2"/>
  <c r="N10" i="2"/>
  <c r="N11" i="2"/>
  <c r="N12" i="2"/>
  <c r="N14" i="2"/>
  <c r="N15" i="2"/>
  <c r="N16" i="2"/>
  <c r="N17" i="2"/>
  <c r="N18" i="2"/>
  <c r="N6" i="2" l="1"/>
  <c r="N20" i="2"/>
  <c r="O19" i="2" s="1"/>
  <c r="O15" i="2" l="1"/>
  <c r="O14" i="2"/>
  <c r="O20" i="2"/>
  <c r="O7" i="2"/>
  <c r="O11" i="2"/>
  <c r="O17" i="2"/>
  <c r="O8" i="2"/>
  <c r="O9" i="2"/>
  <c r="O18" i="2"/>
  <c r="O12" i="2"/>
  <c r="O13" i="2"/>
  <c r="O10" i="2"/>
  <c r="O16" i="2"/>
  <c r="O6" i="2"/>
</calcChain>
</file>

<file path=xl/sharedStrings.xml><?xml version="1.0" encoding="utf-8"?>
<sst xmlns="http://schemas.openxmlformats.org/spreadsheetml/2006/main" count="34" uniqueCount="34">
  <si>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</si>
  <si>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</si>
  <si>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</si>
  <si>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</si>
  <si>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</si>
  <si>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</si>
  <si>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</si>
  <si>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</si>
  <si>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</si>
  <si>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</si>
  <si>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</si>
  <si>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</si>
  <si>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</si>
  <si>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</si>
  <si>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Totale complessivo</t>
  </si>
  <si>
    <t>TARVISIO</t>
  </si>
  <si>
    <t>PASSO GRIES - MASARA</t>
  </si>
  <si>
    <t>MAZARA DEL VALLO</t>
  </si>
  <si>
    <t>ROVIGO - CAVARZERE</t>
  </si>
  <si>
    <t>GELA</t>
  </si>
  <si>
    <t>OLT LIVORNO</t>
  </si>
  <si>
    <t>PANIGAGLIA</t>
  </si>
  <si>
    <t>FALCONARA</t>
  </si>
  <si>
    <t>GORIZIA</t>
  </si>
  <si>
    <t>FONTE: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</si>
  <si>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</si>
  <si>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t>MELEDUGNO</t>
  </si>
  <si>
    <t>Totale 2022</t>
  </si>
  <si>
    <t xml:space="preserve">Ministero dell'Ambiente e della Sicurezza energetica  DGIS DIV. II </t>
  </si>
  <si>
    <r>
      <t xml:space="preserve">IMPORTAZIONI DI GAS NATURALE PER PUNTO DI INGRESSO - ANNO 2023-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</si>
  <si>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>PIOMBINO</t>
  </si>
  <si>
    <t>RAVENNA DEPOSITO COSTIERO</t>
  </si>
  <si>
    <t>MONFALCONE</t>
  </si>
  <si>
    <t>ORISTANO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</si>
</sst>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,,,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/>
    <xf numFmtId="0" fontId="8" fillId="0" borderId="0" xfId="0" applyFont="1"/>
    <xf numFmtId="3" fontId="8" fillId="0" borderId="0" xfId="0" applyNumberFormat="1" applyFont="1"/>
    <xf numFmtId="3" fontId="1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0" fillId="0" borderId="0" xfId="0" applyNumberForma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FACF-AED4-4899-9D9E-04AC8CB9790B}">
  <dimension ref="A3:O2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1" sqref="D11"/>
    </sheetView>
  </sheetViews>
  <sheetFormatPr defaultRowHeight="14.4" x14ac:dyDescent="0.3"/>
  <cols>
    <col min="1" max="1" width="27.6640625" customWidth="1"/>
    <col min="2" max="2" width="12.33203125" customWidth="1"/>
    <col min="3" max="3" width="14" customWidth="1"/>
    <col min="4" max="5" width="12" customWidth="1"/>
    <col min="6" max="6" width="12.33203125" customWidth="1"/>
    <col min="7" max="7" width="11.5546875" customWidth="1"/>
    <col min="8" max="9" width="11.6640625" customWidth="1"/>
    <col min="10" max="11" width="12.33203125" customWidth="1"/>
    <col min="12" max="12" width="11.88671875" customWidth="1"/>
    <col min="13" max="13" width="11.44140625" customWidth="1"/>
    <col min="14" max="14" width="10.44140625" customWidth="1"/>
    <col min="15" max="15" width="12.33203125" customWidth="1"/>
  </cols>
  <sheetData>
    <row r="3" spans="1:15" ht="15.6" x14ac:dyDescent="0.3">
      <c r="A3" s="12" t="s">
        <v>29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x14ac:dyDescent="0.3">
      <c r="A4" s="8"/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  <c r="O4" s="14"/>
    </row>
    <row r="5" spans="1:15" x14ac:dyDescent="0.3">
      <c r="A5" s="8"/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27</v>
      </c>
      <c r="O5" s="8" t="s">
        <v>13</v>
      </c>
    </row>
    <row r="6" spans="1:15" ht="15.6" x14ac:dyDescent="0.3">
      <c r="A6" s="6" t="s">
        <v>17</v>
      </c>
      <c r="B6" s="5">
        <v>1351.9</v>
      </c>
      <c r="C6" s="5">
        <v>1591.4</v>
      </c>
      <c r="D6" s="5">
        <v>2045.1</v>
      </c>
      <c r="E6" s="5">
        <v>2514.4</v>
      </c>
      <c r="F6" s="5">
        <v>1834</v>
      </c>
      <c r="G6" s="5">
        <v>2026.3</v>
      </c>
      <c r="H6" s="5">
        <v>1996</v>
      </c>
      <c r="I6" s="5">
        <v>2089.8000000000002</v>
      </c>
      <c r="J6" s="5">
        <v>2267</v>
      </c>
      <c r="K6" s="5">
        <v>1866.8</v>
      </c>
      <c r="L6" s="5">
        <v>1637</v>
      </c>
      <c r="M6" s="5">
        <v>1820</v>
      </c>
      <c r="N6" s="4">
        <f>SUM(B6:M6)</f>
        <v>23039.699999999997</v>
      </c>
      <c r="O6" s="7">
        <f t="shared" ref="O6:O20" si="0">N6/$N$20</f>
        <v>0.375079302467139</v>
      </c>
    </row>
    <row r="7" spans="1:15" ht="15.6" x14ac:dyDescent="0.3">
      <c r="A7" s="6" t="s">
        <v>26</v>
      </c>
      <c r="B7" s="5">
        <v>810.3</v>
      </c>
      <c r="C7" s="5">
        <v>667.2</v>
      </c>
      <c r="D7" s="5">
        <v>853.8</v>
      </c>
      <c r="E7" s="5">
        <v>808.6</v>
      </c>
      <c r="F7" s="5">
        <v>765.6</v>
      </c>
      <c r="G7" s="5">
        <v>739.6</v>
      </c>
      <c r="H7" s="5">
        <v>765.6</v>
      </c>
      <c r="I7" s="5">
        <v>764</v>
      </c>
      <c r="J7" s="5">
        <v>793.8</v>
      </c>
      <c r="K7" s="5">
        <v>880.9</v>
      </c>
      <c r="L7" s="5">
        <v>839.1</v>
      </c>
      <c r="M7" s="5">
        <v>1301.9000000000001</v>
      </c>
      <c r="N7" s="4">
        <f t="shared" ref="N7:N8" si="1">SUM(B7:M7)</f>
        <v>9990.4</v>
      </c>
      <c r="O7" s="7">
        <f t="shared" si="0"/>
        <v>0.16264067081462458</v>
      </c>
    </row>
    <row r="8" spans="1:15" ht="15.6" x14ac:dyDescent="0.3">
      <c r="A8" s="6" t="s">
        <v>18</v>
      </c>
      <c r="B8" s="5">
        <v>489.3</v>
      </c>
      <c r="C8" s="5">
        <v>574.6</v>
      </c>
      <c r="D8" s="5">
        <v>607.29999999999995</v>
      </c>
      <c r="E8" s="5">
        <v>518.70000000000005</v>
      </c>
      <c r="F8" s="5">
        <v>656.7</v>
      </c>
      <c r="G8" s="5">
        <v>632.79999999999995</v>
      </c>
      <c r="H8" s="5">
        <v>834</v>
      </c>
      <c r="I8" s="5">
        <v>641.79999999999995</v>
      </c>
      <c r="J8" s="5">
        <v>752.1</v>
      </c>
      <c r="K8" s="5">
        <v>775.8</v>
      </c>
      <c r="L8" s="5">
        <v>809.5</v>
      </c>
      <c r="M8" s="5">
        <v>1482.3</v>
      </c>
      <c r="N8" s="4">
        <f t="shared" si="1"/>
        <v>8774.9000000000015</v>
      </c>
      <c r="O8" s="7">
        <f t="shared" si="0"/>
        <v>0.14285270082591783</v>
      </c>
    </row>
    <row r="9" spans="1:15" ht="15.6" x14ac:dyDescent="0.3">
      <c r="A9" s="6" t="s">
        <v>16</v>
      </c>
      <c r="B9" s="5">
        <v>966.2</v>
      </c>
      <c r="C9" s="5">
        <v>826.1</v>
      </c>
      <c r="D9" s="5">
        <v>520.9</v>
      </c>
      <c r="E9" s="5">
        <v>504.5</v>
      </c>
      <c r="F9" s="5">
        <v>896.4</v>
      </c>
      <c r="G9" s="5">
        <v>512.6</v>
      </c>
      <c r="H9" s="5">
        <v>626.5</v>
      </c>
      <c r="I9" s="5">
        <v>230.6</v>
      </c>
      <c r="J9" s="5">
        <v>170.5</v>
      </c>
      <c r="K9" s="5">
        <v>450.9</v>
      </c>
      <c r="L9" s="5">
        <v>398.6</v>
      </c>
      <c r="M9" s="5">
        <v>460.9</v>
      </c>
      <c r="N9" s="4">
        <f>SUM(B9:M9)</f>
        <v>6564.7000000000007</v>
      </c>
      <c r="O9" s="7">
        <f t="shared" si="0"/>
        <v>0.10687131763460583</v>
      </c>
    </row>
    <row r="10" spans="1:15" ht="15.6" x14ac:dyDescent="0.3">
      <c r="A10" s="6" t="s">
        <v>20</v>
      </c>
      <c r="B10" s="5">
        <v>355.7</v>
      </c>
      <c r="C10" s="5">
        <v>438.3</v>
      </c>
      <c r="D10" s="5">
        <v>108</v>
      </c>
      <c r="E10" s="5">
        <v>331.9</v>
      </c>
      <c r="F10" s="5">
        <v>105.9</v>
      </c>
      <c r="G10" s="5">
        <v>336.8</v>
      </c>
      <c r="H10" s="5">
        <v>568.5</v>
      </c>
      <c r="I10" s="5">
        <v>301.3</v>
      </c>
      <c r="J10" s="5">
        <v>463.9</v>
      </c>
      <c r="K10" s="5">
        <v>221.9</v>
      </c>
      <c r="L10" s="5">
        <v>177.6</v>
      </c>
      <c r="M10" s="5">
        <v>374.4</v>
      </c>
      <c r="N10" s="4">
        <f>SUM(B10:M10)</f>
        <v>3784.2000000000007</v>
      </c>
      <c r="O10" s="7">
        <f t="shared" si="0"/>
        <v>6.1605624048757052E-2</v>
      </c>
    </row>
    <row r="11" spans="1:15" ht="15.6" x14ac:dyDescent="0.3">
      <c r="A11" s="6" t="s">
        <v>15</v>
      </c>
      <c r="B11" s="5">
        <v>727.4</v>
      </c>
      <c r="C11" s="5">
        <v>334.7</v>
      </c>
      <c r="D11" s="5">
        <v>231.4</v>
      </c>
      <c r="E11" s="5">
        <v>262.7</v>
      </c>
      <c r="F11" s="5">
        <v>257.5</v>
      </c>
      <c r="G11" s="5">
        <v>198.1</v>
      </c>
      <c r="H11" s="5">
        <v>206.2</v>
      </c>
      <c r="I11" s="5">
        <v>102.9</v>
      </c>
      <c r="J11" s="5">
        <v>105</v>
      </c>
      <c r="K11" s="5">
        <v>63.8</v>
      </c>
      <c r="L11" s="5">
        <v>40</v>
      </c>
      <c r="M11" s="5">
        <v>311.8</v>
      </c>
      <c r="N11" s="4">
        <f>SUM(B11:M11)</f>
        <v>2841.5000000000005</v>
      </c>
      <c r="O11" s="7">
        <f t="shared" si="0"/>
        <v>4.6258755016791699E-2</v>
      </c>
    </row>
    <row r="12" spans="1:15" ht="15.6" x14ac:dyDescent="0.3">
      <c r="A12" s="6" t="s">
        <v>21</v>
      </c>
      <c r="B12" s="5">
        <v>282.2</v>
      </c>
      <c r="C12" s="5">
        <v>237</v>
      </c>
      <c r="D12" s="5">
        <v>349.8</v>
      </c>
      <c r="E12" s="5">
        <v>275.7</v>
      </c>
      <c r="F12" s="5">
        <v>324.60000000000002</v>
      </c>
      <c r="G12" s="5">
        <v>282</v>
      </c>
      <c r="H12" s="5">
        <v>198.7</v>
      </c>
      <c r="I12" s="5">
        <v>240.3</v>
      </c>
      <c r="J12" s="5">
        <v>51.7</v>
      </c>
      <c r="K12" s="5">
        <v>89.8</v>
      </c>
      <c r="L12" s="5">
        <v>161.80000000000001</v>
      </c>
      <c r="M12" s="5">
        <v>73.599999999999994</v>
      </c>
      <c r="N12" s="4">
        <f t="shared" ref="N12:N19" si="2">SUM(B12:M12)</f>
        <v>2567.2000000000003</v>
      </c>
      <c r="O12" s="7">
        <f t="shared" si="0"/>
        <v>4.1793234516666423E-2</v>
      </c>
    </row>
    <row r="13" spans="1:15" ht="15.6" x14ac:dyDescent="0.3">
      <c r="A13" s="6" t="s">
        <v>19</v>
      </c>
      <c r="B13" s="5">
        <v>211.2</v>
      </c>
      <c r="C13" s="5">
        <v>189.5</v>
      </c>
      <c r="D13" s="5">
        <v>271.39999999999998</v>
      </c>
      <c r="E13" s="5">
        <v>251.5</v>
      </c>
      <c r="F13" s="5">
        <v>242.2</v>
      </c>
      <c r="G13" s="5">
        <v>209.8</v>
      </c>
      <c r="H13" s="5">
        <v>169.3</v>
      </c>
      <c r="I13" s="5">
        <v>141.19999999999999</v>
      </c>
      <c r="J13" s="5">
        <v>182.6</v>
      </c>
      <c r="K13" s="5">
        <v>198.1</v>
      </c>
      <c r="L13" s="5">
        <v>288.8</v>
      </c>
      <c r="M13" s="5">
        <v>166</v>
      </c>
      <c r="N13" s="4">
        <f t="shared" si="2"/>
        <v>2521.6</v>
      </c>
      <c r="O13" s="7">
        <f t="shared" si="0"/>
        <v>4.1050880397797619E-2</v>
      </c>
    </row>
    <row r="14" spans="1:15" ht="15.6" x14ac:dyDescent="0.3">
      <c r="A14" s="6" t="s">
        <v>30</v>
      </c>
      <c r="B14" s="5">
        <v>0</v>
      </c>
      <c r="C14" s="5">
        <v>0</v>
      </c>
      <c r="D14" s="5">
        <v>0</v>
      </c>
      <c r="E14" s="5">
        <v>0</v>
      </c>
      <c r="F14" s="5">
        <v>77.599999999999994</v>
      </c>
      <c r="G14" s="5">
        <v>0</v>
      </c>
      <c r="H14" s="5">
        <v>103.1</v>
      </c>
      <c r="I14" s="5">
        <v>7.9</v>
      </c>
      <c r="J14" s="5">
        <v>0</v>
      </c>
      <c r="K14" s="5">
        <v>253.1</v>
      </c>
      <c r="L14" s="5">
        <v>356.1</v>
      </c>
      <c r="M14" s="5">
        <v>343</v>
      </c>
      <c r="N14" s="4">
        <f t="shared" si="2"/>
        <v>1140.8</v>
      </c>
      <c r="O14" s="7">
        <f t="shared" si="0"/>
        <v>1.8571876728191435E-2</v>
      </c>
    </row>
    <row r="15" spans="1:15" ht="15.6" x14ac:dyDescent="0.3">
      <c r="A15" s="6" t="s">
        <v>31</v>
      </c>
      <c r="B15" s="5">
        <v>5.0999999999999996</v>
      </c>
      <c r="C15" s="5">
        <v>6.3</v>
      </c>
      <c r="D15" s="5">
        <v>19.100000000000001</v>
      </c>
      <c r="E15" s="5">
        <v>8.6</v>
      </c>
      <c r="F15" s="5">
        <v>16.399999999999999</v>
      </c>
      <c r="G15" s="5">
        <v>11.5</v>
      </c>
      <c r="H15" s="5">
        <v>4.7</v>
      </c>
      <c r="I15" s="5">
        <v>5.6</v>
      </c>
      <c r="J15" s="5">
        <v>9.1999999999999993</v>
      </c>
      <c r="K15" s="5">
        <v>17.2</v>
      </c>
      <c r="L15" s="5">
        <v>11.2</v>
      </c>
      <c r="M15" s="5">
        <v>9</v>
      </c>
      <c r="N15" s="4">
        <f>SUM(B15:M15)</f>
        <v>123.9</v>
      </c>
      <c r="O15" s="7">
        <f t="shared" si="0"/>
        <v>2.0170542835053636E-3</v>
      </c>
    </row>
    <row r="16" spans="1:15" ht="15.6" x14ac:dyDescent="0.3">
      <c r="A16" s="6" t="s">
        <v>23</v>
      </c>
      <c r="B16" s="5">
        <v>0.4</v>
      </c>
      <c r="C16" s="5">
        <v>0.1</v>
      </c>
      <c r="D16" s="5">
        <v>0.5</v>
      </c>
      <c r="E16" s="5">
        <v>0.8</v>
      </c>
      <c r="F16" s="5">
        <v>0.4</v>
      </c>
      <c r="G16" s="5">
        <v>2</v>
      </c>
      <c r="H16" s="5">
        <v>1.7</v>
      </c>
      <c r="I16" s="5">
        <v>0.7</v>
      </c>
      <c r="J16" s="5">
        <v>0.4</v>
      </c>
      <c r="K16" s="5">
        <v>0.8</v>
      </c>
      <c r="L16" s="5">
        <v>0.2</v>
      </c>
      <c r="M16" s="5">
        <v>35.700000000000003</v>
      </c>
      <c r="N16" s="4">
        <f>SUM(B16:M16)</f>
        <v>43.7</v>
      </c>
      <c r="O16" s="7">
        <f t="shared" si="0"/>
        <v>7.114226972492687E-4</v>
      </c>
    </row>
    <row r="17" spans="1:15" ht="15.6" x14ac:dyDescent="0.3">
      <c r="A17" s="9" t="s">
        <v>22</v>
      </c>
      <c r="B17" s="5">
        <v>2.9</v>
      </c>
      <c r="C17" s="5">
        <v>2.6</v>
      </c>
      <c r="D17" s="5">
        <v>2.9</v>
      </c>
      <c r="E17" s="5">
        <v>2.8</v>
      </c>
      <c r="F17" s="5">
        <v>2.8</v>
      </c>
      <c r="G17" s="5">
        <v>2.6</v>
      </c>
      <c r="H17" s="5">
        <v>2.5</v>
      </c>
      <c r="I17" s="5">
        <v>2.4</v>
      </c>
      <c r="J17" s="5">
        <v>2.4</v>
      </c>
      <c r="K17" s="5">
        <v>2.4</v>
      </c>
      <c r="L17" s="5">
        <v>2.4</v>
      </c>
      <c r="M17" s="5">
        <v>2.4</v>
      </c>
      <c r="N17" s="4">
        <f t="shared" si="2"/>
        <v>31.099999999999994</v>
      </c>
      <c r="O17" s="7">
        <f t="shared" si="0"/>
        <v>5.0629853282499427E-4</v>
      </c>
    </row>
    <row r="18" spans="1:15" ht="15.6" x14ac:dyDescent="0.3">
      <c r="A18" s="9" t="s">
        <v>32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2.4</v>
      </c>
      <c r="N18" s="4">
        <f t="shared" si="2"/>
        <v>2.4</v>
      </c>
      <c r="O18" s="7">
        <f t="shared" si="0"/>
        <v>3.9071269414147478E-5</v>
      </c>
    </row>
    <row r="19" spans="1:15" ht="15.6" x14ac:dyDescent="0.3">
      <c r="A19" s="9" t="s">
        <v>33</v>
      </c>
      <c r="B19" s="5">
        <v>0</v>
      </c>
      <c r="C19" s="5">
        <v>0</v>
      </c>
      <c r="D19" s="5">
        <v>0.1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0.01</v>
      </c>
      <c r="L19" s="5">
        <v>0</v>
      </c>
      <c r="M19" s="5">
        <v>0</v>
      </c>
      <c r="N19" s="4">
        <f t="shared" si="2"/>
        <v>0.11</v>
      </c>
      <c r="O19" s="7">
        <f t="shared" si="0"/>
        <v>1.7907665148150928E-6</v>
      </c>
    </row>
    <row r="20" spans="1:15" s="1" customFormat="1" ht="15.6" x14ac:dyDescent="0.3">
      <c r="A20" s="6" t="s">
        <v>14</v>
      </c>
      <c r="B20" s="10">
        <f t="shared" ref="B20:M20" si="3">SUM(B6:B19)</f>
        <v>5202.5999999999985</v>
      </c>
      <c r="C20" s="10">
        <f t="shared" si="3"/>
        <v>4867.8000000000011</v>
      </c>
      <c r="D20" s="10">
        <f t="shared" si="3"/>
        <v>5010.3</v>
      </c>
      <c r="E20" s="10">
        <f t="shared" si="3"/>
        <v>5480.2</v>
      </c>
      <c r="F20" s="10">
        <f t="shared" si="3"/>
        <v>5180.0999999999995</v>
      </c>
      <c r="G20" s="10">
        <f t="shared" si="3"/>
        <v>4954.1000000000004</v>
      </c>
      <c r="H20" s="10">
        <f t="shared" si="3"/>
        <v>5476.8</v>
      </c>
      <c r="I20" s="10">
        <f t="shared" si="3"/>
        <v>4528.5</v>
      </c>
      <c r="J20" s="10">
        <f t="shared" si="3"/>
        <v>4798.5999999999995</v>
      </c>
      <c r="K20" s="10">
        <f t="shared" si="3"/>
        <v>4821.5100000000011</v>
      </c>
      <c r="L20" s="10">
        <f t="shared" si="3"/>
        <v>4722.2999999999993</v>
      </c>
      <c r="M20" s="10">
        <f t="shared" si="3"/>
        <v>6383.3999999999987</v>
      </c>
      <c r="N20" s="4">
        <f>SUM(B20:M20)</f>
        <v>61426.21</v>
      </c>
      <c r="O20" s="7">
        <f t="shared" si="0"/>
        <v>1</v>
      </c>
    </row>
    <row r="22" spans="1:15" s="2" customFormat="1" ht="18.75" customHeight="1" x14ac:dyDescent="0.35">
      <c r="A22" s="2" t="s">
        <v>24</v>
      </c>
      <c r="B22" s="15" t="s">
        <v>28</v>
      </c>
      <c r="C22" s="16"/>
      <c r="D22" s="16"/>
      <c r="E22" s="16"/>
      <c r="F22" s="16"/>
      <c r="G22" s="16"/>
      <c r="N22" s="3"/>
    </row>
    <row r="23" spans="1:15" x14ac:dyDescent="0.3">
      <c r="N23" s="11"/>
    </row>
    <row r="25" spans="1:15" x14ac:dyDescent="0.3">
      <c r="A25" s="17" t="s">
        <v>25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</sheetData>
  <mergeCells count="5">
    <mergeCell ref="A3:O3"/>
    <mergeCell ref="B4:M4"/>
    <mergeCell ref="N4:O4"/>
    <mergeCell ref="B22:G22"/>
    <mergeCell ref="A25:O26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2266-AD38-47DE-8F43-6E453D59D6C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Marcotulli Rossella</cp:lastModifiedBy>
  <cp:lastPrinted>2018-08-07T08:10:11Z</cp:lastPrinted>
  <dcterms:created xsi:type="dcterms:W3CDTF">2015-08-03T12:11:17Z</dcterms:created>
  <dcterms:modified xsi:type="dcterms:W3CDTF">2026-04-01T09:04:47Z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105bb57f-34db-48c5-8986-c951e542a0fc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2025-02-26T10:26:16Z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c853f97b-1ad3-4eac-8f7a-732e2f01860b</vt:lpwstr>
  </property>
  <property fmtid="{D5CDD505-2E9C-101B-9397-08002B2CF9AE}" pid="9" name="MSIP_Label_94f5f15f-11ca-4705-a655-5e46846a1c6b_ContentBits">
    <vt:lpwstr>0</vt:lpwstr>
  </property>
</Properties>
</file>