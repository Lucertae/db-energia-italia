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490" windowHeight="7455"/>
  </bookViews>
  <sheets>
    <sheet name="Foglio1" sheetId="1" r:id="rId1"/>
  </sheets>
  <calcPr calcId="145621"/>
</workbook>
</file>

<file path=xl/calcChain.xml><?xml version="1.0" encoding="utf-8"?>
<calcChain xmlns="http://schemas.openxmlformats.org/spreadsheetml/2006/main">
  <c r="N7" i="1" l="1"/>
  <c r="N12" i="1"/>
  <c r="N14" i="1"/>
  <c r="N8" i="1" l="1"/>
  <c r="N9" i="1"/>
  <c r="N10" i="1"/>
  <c r="N11" i="1"/>
  <c r="N15" i="1"/>
  <c r="N13" i="1"/>
  <c r="N16" i="1"/>
  <c r="N17" i="1"/>
  <c r="N6" i="1"/>
  <c r="M18" i="1" l="1"/>
  <c r="L18" i="1"/>
  <c r="K18" i="1"/>
  <c r="J18" i="1"/>
  <c r="I18" i="1"/>
  <c r="H18" i="1"/>
  <c r="G18" i="1"/>
  <c r="F18" i="1"/>
  <c r="E18" i="1"/>
  <c r="D18" i="1"/>
  <c r="C18" i="1"/>
  <c r="B18" i="1"/>
  <c r="N18" i="1" l="1"/>
  <c r="O7" i="1" s="1"/>
  <c r="O12" i="1" l="1"/>
  <c r="O11" i="1"/>
  <c r="O14" i="1"/>
  <c r="O18" i="1"/>
  <c r="O9" i="1"/>
  <c r="O15" i="1"/>
  <c r="O8" i="1"/>
  <c r="O17" i="1"/>
  <c r="O10" i="1"/>
  <c r="O13" i="1"/>
  <c r="O16" i="1"/>
  <c r="O6" i="1"/>
</calcChain>
</file>

<file path=xl/sharedStrings.xml><?xml version="1.0" encoding="utf-8"?>
<sst xmlns="http://schemas.openxmlformats.org/spreadsheetml/2006/main" count="33" uniqueCount="33">
  <si>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</si>
  <si>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</si>
  <si>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</si>
  <si>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</si>
  <si>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</si>
  <si>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</si>
  <si>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</si>
  <si>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</si>
  <si>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</si>
  <si>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</si>
  <si>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</si>
  <si>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</si>
  <si>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</si>
  <si>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</si>
  <si>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Totale complessivo</t>
  </si>
  <si>
    <t>TARVISIO</t>
  </si>
  <si>
    <t>PASSO GRIES - MASARA</t>
  </si>
  <si>
    <t>MAZARA DEL VALLO</t>
  </si>
  <si>
    <t>ROVIGO - CAVARZERE</t>
  </si>
  <si>
    <t>GELA</t>
  </si>
  <si>
    <t>OLT LIVORNO</t>
  </si>
  <si>
    <t>PANIGAGLIA</t>
  </si>
  <si>
    <t>VENTIMIGLIA</t>
  </si>
  <si>
    <t>FALCONARA</t>
  </si>
  <si>
    <t>GORIZIA</t>
  </si>
  <si>
    <t>CAGLIARI</t>
  </si>
  <si>
    <t>FONTE:</t>
  </si>
  <si>
    <t>DIV. III</t>
  </si>
  <si>
    <t>(*)  Il Regolamento UE 2015/703 prevede all’articolo n° 13.1 che ogni TSO debba usare un set comune di unità di misura per lo scambio e pubblicazione dei dati relativi al regolamento 715/2009 come esposto
all’articolo 13.2. Il PCS di riferimento precedentemente utilizzato per la normalizzazione dell’energia, 38.100, kJ/Sm³15-15, pertanto diventa 10,57275 kWh/Sm³25-15</t>
  </si>
  <si>
    <r>
      <t xml:space="preserve">IMPORTAZIONI DI GAS NATURALE PER PUNTO DI INGRESSO - ANNO 2020 - Volumi espressi in M Sm3; gas da 10,57275 </t>
    </r>
    <r>
      <rPr>
        <sz val="9"/>
        <rFont val="Arial"/>
        <family val="2"/>
      </rPr>
      <t>25-15</t>
    </r>
    <r>
      <rPr>
        <b/>
        <sz val="12"/>
        <rFont val="Arial"/>
        <family val="2"/>
      </rPr>
      <t xml:space="preserve">  kWh/Sm</t>
    </r>
    <r>
      <rPr>
        <b/>
        <vertAlign val="superscript"/>
        <sz val="10"/>
        <rFont val="Arial"/>
        <family val="2"/>
      </rPr>
      <t>3 (*)</t>
    </r>
  </si>
  <si>
    <t>MINISTERO DELLA TRANSIZIONE ECOLOGICA - D.G.I.S.S.E.G.</t>
  </si>
  <si>
    <t>MELENDUGNO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</si>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</sst>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,,,"/>
    <numFmt numFmtId="165" formatCode="0.0%"/>
    <numFmt numFmtId="166" formatCode="#,##0.0"/>
  </numFmts>
  <fonts count="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Verdana"/>
      <family val="2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  <font>
      <sz val="9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/>
    <xf numFmtId="0" fontId="8" fillId="0" borderId="0" xfId="0" applyFont="1"/>
    <xf numFmtId="3" fontId="8" fillId="0" borderId="0" xfId="0" applyNumberFormat="1" applyFont="1"/>
    <xf numFmtId="3" fontId="1" fillId="0" borderId="1" xfId="0" applyNumberFormat="1" applyFont="1" applyBorder="1" applyAlignment="1">
      <alignment vertical="center"/>
    </xf>
    <xf numFmtId="3" fontId="3" fillId="0" borderId="1" xfId="0" applyNumberFormat="1" applyFont="1" applyFill="1" applyBorder="1" applyAlignment="1" applyProtection="1">
      <alignment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3" fontId="4" fillId="0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24"/>
  <sheetViews>
    <sheetView tabSelected="1" workbookViewId="0">
      <selection activeCell="N5" sqref="N5"/>
    </sheetView>
  </sheetViews>
  <sheetFormatPr defaultRowHeight="15" x14ac:dyDescent="0.25"/>
  <cols>
    <col min="1" max="1" width="21.28515625" customWidth="1"/>
    <col min="2" max="2" width="12.28515625" customWidth="1"/>
    <col min="3" max="3" width="14" customWidth="1"/>
    <col min="4" max="5" width="12" customWidth="1"/>
    <col min="6" max="6" width="12.28515625" customWidth="1"/>
    <col min="7" max="7" width="11.5703125" customWidth="1"/>
    <col min="8" max="9" width="11.7109375" customWidth="1"/>
    <col min="10" max="11" width="12.28515625" customWidth="1"/>
    <col min="12" max="12" width="11.85546875" customWidth="1"/>
    <col min="13" max="13" width="11.42578125" customWidth="1"/>
    <col min="14" max="14" width="10.42578125" customWidth="1"/>
    <col min="15" max="15" width="12.28515625" customWidth="1"/>
  </cols>
  <sheetData>
    <row r="3" spans="1:15" ht="15.75" x14ac:dyDescent="0.25">
      <c r="A3" s="12" t="s">
        <v>29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x14ac:dyDescent="0.25">
      <c r="A4" s="9"/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/>
      <c r="O4" s="14"/>
    </row>
    <row r="5" spans="1:15" x14ac:dyDescent="0.25">
      <c r="A5" s="9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9" t="s">
        <v>7</v>
      </c>
      <c r="I5" s="9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9" t="s">
        <v>32</v>
      </c>
      <c r="O5" s="9" t="s">
        <v>13</v>
      </c>
    </row>
    <row r="6" spans="1:15" ht="15.75" x14ac:dyDescent="0.25">
      <c r="A6" s="6" t="s">
        <v>15</v>
      </c>
      <c r="B6" s="5">
        <v>1855.1</v>
      </c>
      <c r="C6" s="5">
        <v>1770.1</v>
      </c>
      <c r="D6" s="5">
        <v>3060.1</v>
      </c>
      <c r="E6" s="5">
        <v>2761.1</v>
      </c>
      <c r="F6" s="5">
        <v>2384.5</v>
      </c>
      <c r="G6" s="5">
        <v>2580.9</v>
      </c>
      <c r="H6" s="5">
        <v>2281.1999999999998</v>
      </c>
      <c r="I6" s="5">
        <v>2457.1999999999998</v>
      </c>
      <c r="J6" s="5">
        <v>2320.6999999999998</v>
      </c>
      <c r="K6" s="5">
        <v>2321.3000000000002</v>
      </c>
      <c r="L6" s="5">
        <v>2057.1999999999998</v>
      </c>
      <c r="M6" s="5">
        <v>2744.2</v>
      </c>
      <c r="N6" s="4">
        <f>SUM(B6:M6)</f>
        <v>28593.600000000002</v>
      </c>
      <c r="O6" s="7">
        <f t="shared" ref="O6:O18" si="0">N6/$N$18</f>
        <v>0.4306770391512636</v>
      </c>
    </row>
    <row r="7" spans="1:15" ht="15.75" x14ac:dyDescent="0.25">
      <c r="A7" s="6" t="s">
        <v>17</v>
      </c>
      <c r="B7" s="5">
        <v>1305.3</v>
      </c>
      <c r="C7" s="5">
        <v>707.4</v>
      </c>
      <c r="D7" s="5">
        <v>228</v>
      </c>
      <c r="E7" s="5">
        <v>486.9</v>
      </c>
      <c r="F7" s="5">
        <v>524.9</v>
      </c>
      <c r="G7" s="5">
        <v>597.6</v>
      </c>
      <c r="H7" s="5">
        <v>895.2</v>
      </c>
      <c r="I7" s="5">
        <v>1080.4000000000001</v>
      </c>
      <c r="J7" s="5">
        <v>1061</v>
      </c>
      <c r="K7" s="5">
        <v>1471.5</v>
      </c>
      <c r="L7" s="5">
        <v>1599.4</v>
      </c>
      <c r="M7" s="5">
        <v>2052.6999999999998</v>
      </c>
      <c r="N7" s="4">
        <f t="shared" ref="N7" si="1">SUM(B7:M7)</f>
        <v>12010.3</v>
      </c>
      <c r="O7" s="7">
        <f t="shared" si="0"/>
        <v>0.18089923770768354</v>
      </c>
    </row>
    <row r="8" spans="1:15" ht="15.75" x14ac:dyDescent="0.25">
      <c r="A8" s="6" t="s">
        <v>16</v>
      </c>
      <c r="B8" s="5">
        <v>1129.9000000000001</v>
      </c>
      <c r="C8" s="5">
        <v>943.8</v>
      </c>
      <c r="D8" s="5">
        <v>938</v>
      </c>
      <c r="E8" s="5">
        <v>1206.5</v>
      </c>
      <c r="F8" s="5">
        <v>1371.8</v>
      </c>
      <c r="G8" s="5">
        <v>967.2</v>
      </c>
      <c r="H8" s="5">
        <v>939.7</v>
      </c>
      <c r="I8" s="5">
        <v>547.9</v>
      </c>
      <c r="J8" s="5">
        <v>408.1</v>
      </c>
      <c r="K8" s="5">
        <v>35.799999999999997</v>
      </c>
      <c r="L8" s="5">
        <v>283.5</v>
      </c>
      <c r="M8" s="5">
        <v>79.400000000000006</v>
      </c>
      <c r="N8" s="4">
        <f t="shared" ref="N8:N17" si="2">SUM(B8:M8)</f>
        <v>8851.5999999999985</v>
      </c>
      <c r="O8" s="7">
        <f t="shared" si="0"/>
        <v>0.13332287224243622</v>
      </c>
    </row>
    <row r="9" spans="1:15" ht="15.75" x14ac:dyDescent="0.25">
      <c r="A9" s="6" t="s">
        <v>18</v>
      </c>
      <c r="B9" s="5">
        <v>529.1</v>
      </c>
      <c r="C9" s="5">
        <v>630</v>
      </c>
      <c r="D9" s="5">
        <v>447.8</v>
      </c>
      <c r="E9" s="5">
        <v>630.29999999999995</v>
      </c>
      <c r="F9" s="5">
        <v>516.70000000000005</v>
      </c>
      <c r="G9" s="5">
        <v>656.8</v>
      </c>
      <c r="H9" s="5">
        <v>757.2</v>
      </c>
      <c r="I9" s="5">
        <v>217.1</v>
      </c>
      <c r="J9" s="5">
        <v>622</v>
      </c>
      <c r="K9" s="5">
        <v>714.1</v>
      </c>
      <c r="L9" s="5">
        <v>616</v>
      </c>
      <c r="M9" s="5">
        <v>445.6</v>
      </c>
      <c r="N9" s="4">
        <f t="shared" si="2"/>
        <v>6782.7000000000007</v>
      </c>
      <c r="O9" s="7">
        <f t="shared" si="0"/>
        <v>0.10216108337009945</v>
      </c>
    </row>
    <row r="10" spans="1:15" ht="15.75" x14ac:dyDescent="0.25">
      <c r="A10" s="6" t="s">
        <v>19</v>
      </c>
      <c r="B10" s="5">
        <v>373</v>
      </c>
      <c r="C10" s="5">
        <v>337.1</v>
      </c>
      <c r="D10" s="5">
        <v>390.6</v>
      </c>
      <c r="E10" s="5">
        <v>539.9</v>
      </c>
      <c r="F10" s="5">
        <v>397</v>
      </c>
      <c r="G10" s="5">
        <v>326</v>
      </c>
      <c r="H10" s="5">
        <v>397.8</v>
      </c>
      <c r="I10" s="5">
        <v>251.1</v>
      </c>
      <c r="J10" s="5">
        <v>384.3</v>
      </c>
      <c r="K10" s="5">
        <v>433.6</v>
      </c>
      <c r="L10" s="5">
        <v>358.3</v>
      </c>
      <c r="M10" s="5">
        <v>271.3</v>
      </c>
      <c r="N10" s="4">
        <f t="shared" si="2"/>
        <v>4460</v>
      </c>
      <c r="O10" s="7">
        <f t="shared" si="0"/>
        <v>6.7176556803432777E-2</v>
      </c>
    </row>
    <row r="11" spans="1:15" ht="15.75" x14ac:dyDescent="0.25">
      <c r="A11" s="6" t="s">
        <v>20</v>
      </c>
      <c r="B11" s="5">
        <v>270.5</v>
      </c>
      <c r="C11" s="5">
        <v>272</v>
      </c>
      <c r="D11" s="5">
        <v>346.8</v>
      </c>
      <c r="E11" s="5">
        <v>287.39999999999998</v>
      </c>
      <c r="F11" s="5">
        <v>172.9</v>
      </c>
      <c r="G11" s="5">
        <v>429</v>
      </c>
      <c r="H11" s="5">
        <v>380</v>
      </c>
      <c r="I11" s="5">
        <v>266.2</v>
      </c>
      <c r="J11" s="5">
        <v>260.7</v>
      </c>
      <c r="K11" s="5">
        <v>159</v>
      </c>
      <c r="L11" s="5">
        <v>252.4</v>
      </c>
      <c r="M11" s="5">
        <v>79.400000000000006</v>
      </c>
      <c r="N11" s="4">
        <f t="shared" si="2"/>
        <v>3176.2999999999997</v>
      </c>
      <c r="O11" s="7">
        <f t="shared" si="0"/>
        <v>4.7841456810480611E-2</v>
      </c>
    </row>
    <row r="12" spans="1:15" ht="15.75" x14ac:dyDescent="0.25">
      <c r="A12" s="6" t="s">
        <v>21</v>
      </c>
      <c r="B12" s="5">
        <v>95.1</v>
      </c>
      <c r="C12" s="5">
        <v>151.80000000000001</v>
      </c>
      <c r="D12" s="5">
        <v>207.9</v>
      </c>
      <c r="E12" s="5">
        <v>246.8</v>
      </c>
      <c r="F12" s="5">
        <v>242.4</v>
      </c>
      <c r="G12" s="5">
        <v>328</v>
      </c>
      <c r="H12" s="5">
        <v>262.7</v>
      </c>
      <c r="I12" s="5">
        <v>313</v>
      </c>
      <c r="J12" s="5">
        <v>244</v>
      </c>
      <c r="K12" s="5">
        <v>124.8</v>
      </c>
      <c r="L12" s="5">
        <v>116.5</v>
      </c>
      <c r="M12" s="5">
        <v>131.5</v>
      </c>
      <c r="N12" s="4">
        <f t="shared" si="2"/>
        <v>2464.5</v>
      </c>
      <c r="O12" s="7">
        <f t="shared" si="0"/>
        <v>3.7120319336784773E-2</v>
      </c>
    </row>
    <row r="13" spans="1:15" ht="15.75" x14ac:dyDescent="0.25">
      <c r="A13" s="6" t="s">
        <v>23</v>
      </c>
      <c r="B13" s="5">
        <v>3.2</v>
      </c>
      <c r="C13" s="5">
        <v>3</v>
      </c>
      <c r="D13" s="5">
        <v>3.1</v>
      </c>
      <c r="E13" s="5">
        <v>3</v>
      </c>
      <c r="F13" s="5">
        <v>3</v>
      </c>
      <c r="G13" s="5">
        <v>2.8</v>
      </c>
      <c r="H13" s="5">
        <v>2.7</v>
      </c>
      <c r="I13" s="5">
        <v>2.5</v>
      </c>
      <c r="J13" s="5">
        <v>2.4</v>
      </c>
      <c r="K13" s="5">
        <v>2.5</v>
      </c>
      <c r="L13" s="5">
        <v>2.2999999999999998</v>
      </c>
      <c r="M13" s="5">
        <v>2.2999999999999998</v>
      </c>
      <c r="N13" s="4">
        <f>SUM(B13:M13)</f>
        <v>32.799999999999997</v>
      </c>
      <c r="O13" s="7">
        <f t="shared" si="0"/>
        <v>4.9403387066201683E-4</v>
      </c>
    </row>
    <row r="14" spans="1:15" ht="15.75" x14ac:dyDescent="0.25">
      <c r="A14" s="6" t="s">
        <v>31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0.7</v>
      </c>
      <c r="M14" s="5">
        <v>10.8</v>
      </c>
      <c r="N14" s="4">
        <f>SUM(B14:M14)</f>
        <v>11.5</v>
      </c>
      <c r="O14" s="7">
        <f t="shared" si="0"/>
        <v>1.732130948967437E-4</v>
      </c>
    </row>
    <row r="15" spans="1:15" ht="15.75" x14ac:dyDescent="0.25">
      <c r="A15" s="6" t="s">
        <v>22</v>
      </c>
      <c r="B15" s="5">
        <v>0.5</v>
      </c>
      <c r="C15" s="5">
        <v>0.9</v>
      </c>
      <c r="D15" s="5">
        <v>0.7</v>
      </c>
      <c r="E15" s="5">
        <v>0.5</v>
      </c>
      <c r="F15" s="5">
        <v>0.4</v>
      </c>
      <c r="G15" s="5">
        <v>0.5</v>
      </c>
      <c r="H15" s="5">
        <v>0.5</v>
      </c>
      <c r="I15" s="5">
        <v>0.4</v>
      </c>
      <c r="J15" s="5">
        <v>0.5</v>
      </c>
      <c r="K15" s="5">
        <v>0.5</v>
      </c>
      <c r="L15" s="5">
        <v>0.5</v>
      </c>
      <c r="M15" s="5">
        <v>0.6</v>
      </c>
      <c r="N15" s="4">
        <f>SUM(B15:M15)</f>
        <v>6.4999999999999991</v>
      </c>
      <c r="O15" s="7">
        <f t="shared" si="0"/>
        <v>9.790305363728991E-5</v>
      </c>
    </row>
    <row r="16" spans="1:15" ht="15.75" x14ac:dyDescent="0.25">
      <c r="A16" s="6" t="s">
        <v>24</v>
      </c>
      <c r="B16" s="5">
        <v>0.4</v>
      </c>
      <c r="C16" s="5">
        <v>0</v>
      </c>
      <c r="D16" s="5">
        <v>0</v>
      </c>
      <c r="E16" s="5">
        <v>0.2</v>
      </c>
      <c r="F16" s="5">
        <v>0.6</v>
      </c>
      <c r="G16" s="5">
        <v>0.4</v>
      </c>
      <c r="H16" s="5">
        <v>0</v>
      </c>
      <c r="I16" s="5">
        <v>0</v>
      </c>
      <c r="J16" s="5">
        <v>0</v>
      </c>
      <c r="K16" s="5">
        <v>0.6</v>
      </c>
      <c r="L16" s="5">
        <v>0</v>
      </c>
      <c r="M16" s="5">
        <v>0</v>
      </c>
      <c r="N16" s="4">
        <f t="shared" si="2"/>
        <v>2.2000000000000002</v>
      </c>
      <c r="O16" s="7">
        <f t="shared" si="0"/>
        <v>3.313641815415967E-5</v>
      </c>
    </row>
    <row r="17" spans="1:15" ht="15.75" x14ac:dyDescent="0.25">
      <c r="A17" s="10" t="s">
        <v>25</v>
      </c>
      <c r="B17" s="5">
        <v>0</v>
      </c>
      <c r="C17" s="5">
        <v>2.9998E-2</v>
      </c>
      <c r="D17" s="5">
        <v>1.1247999999999999E-2</v>
      </c>
      <c r="E17" s="5">
        <v>1.5928000000000001E-2</v>
      </c>
      <c r="F17" s="5">
        <v>1.0468999999999999E-2</v>
      </c>
      <c r="G17" s="5">
        <v>0</v>
      </c>
      <c r="H17" s="5">
        <v>2.4099000000000002E-2</v>
      </c>
      <c r="I17" s="5">
        <v>4.4524000000000001E-2</v>
      </c>
      <c r="J17" s="5">
        <v>1.8880999999999998E-2</v>
      </c>
      <c r="K17" s="5">
        <v>2.129E-2</v>
      </c>
      <c r="L17" s="5">
        <v>2.1644E-2</v>
      </c>
      <c r="M17" s="5">
        <v>1.0931E-2</v>
      </c>
      <c r="N17" s="8">
        <f t="shared" si="2"/>
        <v>0.20901200000000003</v>
      </c>
      <c r="O17" s="7">
        <f t="shared" si="0"/>
        <v>3.1481404687441915E-6</v>
      </c>
    </row>
    <row r="18" spans="1:15" s="1" customFormat="1" ht="15.75" x14ac:dyDescent="0.25">
      <c r="A18" s="6" t="s">
        <v>14</v>
      </c>
      <c r="B18" s="11">
        <f t="shared" ref="B18:M18" si="3">SUM(B6:B17)</f>
        <v>5562.0999999999995</v>
      </c>
      <c r="C18" s="11">
        <f t="shared" si="3"/>
        <v>4816.1299980000003</v>
      </c>
      <c r="D18" s="11">
        <f t="shared" si="3"/>
        <v>5623.0112480000007</v>
      </c>
      <c r="E18" s="11">
        <f t="shared" si="3"/>
        <v>6162.6159279999993</v>
      </c>
      <c r="F18" s="11">
        <f t="shared" si="3"/>
        <v>5614.2104689999987</v>
      </c>
      <c r="G18" s="11">
        <f t="shared" si="3"/>
        <v>5889.2</v>
      </c>
      <c r="H18" s="11">
        <f t="shared" si="3"/>
        <v>5917.0240989999993</v>
      </c>
      <c r="I18" s="11">
        <f t="shared" si="3"/>
        <v>5135.8445240000001</v>
      </c>
      <c r="J18" s="11">
        <f t="shared" si="3"/>
        <v>5303.7188809999989</v>
      </c>
      <c r="K18" s="11">
        <f t="shared" si="3"/>
        <v>5263.7212900000013</v>
      </c>
      <c r="L18" s="11">
        <f t="shared" si="3"/>
        <v>5286.8216440000006</v>
      </c>
      <c r="M18" s="11">
        <f t="shared" si="3"/>
        <v>5817.810931</v>
      </c>
      <c r="N18" s="4">
        <f>SUM(B18:M18)</f>
        <v>66392.209012000007</v>
      </c>
      <c r="O18" s="7">
        <f t="shared" si="0"/>
        <v>1</v>
      </c>
    </row>
    <row r="20" spans="1:15" s="2" customFormat="1" ht="18.75" x14ac:dyDescent="0.3">
      <c r="A20" s="2" t="s">
        <v>26</v>
      </c>
      <c r="B20" s="2" t="s">
        <v>30</v>
      </c>
      <c r="H20" s="2" t="s">
        <v>27</v>
      </c>
      <c r="N20" s="3"/>
    </row>
    <row r="23" spans="1:15" x14ac:dyDescent="0.25">
      <c r="A23" s="15" t="s">
        <v>28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</sheetData>
  <mergeCells count="4">
    <mergeCell ref="A3:O3"/>
    <mergeCell ref="B4:M4"/>
    <mergeCell ref="N4:O4"/>
    <mergeCell ref="A23:O24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Marcotulli</dc:creator>
  <cp:lastModifiedBy>Marco Mastroddi</cp:lastModifiedBy>
  <cp:lastPrinted>2018-08-07T08:10:11Z</cp:lastPrinted>
  <dcterms:created xsi:type="dcterms:W3CDTF">2015-08-03T12:11:17Z</dcterms:created>
  <dcterms:modified xsi:type="dcterms:W3CDTF">2023-01-27T10:36:02Z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105bb57f-34db-48c5-8986-c951e542a0fc</vt:lpwstr>
  </property>
</Properties>
</file>