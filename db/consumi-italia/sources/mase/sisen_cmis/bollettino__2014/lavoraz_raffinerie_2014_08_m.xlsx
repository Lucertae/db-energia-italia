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K27" i="2" s="1"/>
  <c r="C27" i="2"/>
  <c r="D27" i="2"/>
  <c r="E27" i="2"/>
  <c r="F27" i="2"/>
  <c r="G27" i="2"/>
  <c r="H27" i="2"/>
  <c r="I27" i="2"/>
  <c r="J27" i="2"/>
  <c r="L27" i="2"/>
  <c r="M27" i="2"/>
  <c r="O27" i="2"/>
  <c r="P27" i="2"/>
  <c r="Q27" i="2"/>
  <c r="J38" i="2"/>
  <c r="J55" i="2" s="1"/>
  <c r="J39" i="2"/>
  <c r="J52" i="2"/>
  <c r="C55" i="2"/>
  <c r="D55" i="2"/>
  <c r="E55" i="2"/>
  <c r="F55" i="2"/>
  <c r="G55" i="2"/>
  <c r="H55" i="2"/>
  <c r="I55" i="2"/>
  <c r="K55" i="2"/>
  <c r="L55" i="2"/>
  <c r="M55" i="2"/>
  <c r="O55" i="2"/>
  <c r="P55" i="2"/>
  <c r="Q55" i="2"/>
  <c r="J55" i="1" l="1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<sst xmlns="http://schemas.openxmlformats.org/spreadsheetml/2006/main" count="244" uniqueCount="112">
  <si>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</si>
  <si>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</si>
  <si>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</si>
  <si>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</si>
  <si>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</si>
  <si>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</si>
  <si>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</si>
  <si>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</si>
  <si>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</si>
  <si>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</si>
  <si>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</si>
  <si>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</si>
  <si>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</si>
  <si>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</si>
  <si>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</si>
  <si>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</si>
  <si>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</si>
  <si>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</si>
  <si>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</si>
  <si>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</si>
  <si>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</si>
  <si>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</si>
  <si>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</si>
  <si>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</si>
  <si>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</si>
  <si>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</si>
  <si>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</si>
  <si>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</si>
  <si>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</si>
  <si>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</si>
  <si>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</si>
  <si>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</si>
  <si>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</si>
  <si>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</si>
  <si>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</si>
  <si>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</si>
  <si>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</si>
  <si>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</si>
  <si>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</si>
  <si>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</si>
  <si>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</si>
  <si>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</si>
  <si>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</si>
  <si>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</si>
  <si>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</si>
  <si>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</si>
  <si>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</si>
  <si>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</si>
  <si>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</si>
  <si>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</si>
  <si>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</si>
  <si>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</si>
  <si>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</si>
  <si>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</si>
  <si>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</si>
  <si>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</si>
  <si>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</si>
  <si>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</si>
  <si>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</si>
  <si>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</si>
  <si>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</si>
  <si>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</si>
  <si>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</si>
  <si>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</si>
  <si>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</si>
  <si>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</si>
  <si>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</si>
  <si>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</si>
  <si>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</si>
  <si>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</si>
  <si>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</si>
  <si>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</si>
  <si>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</si>
  <si>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</si>
  <si>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</si>
  <si>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</si>
  <si>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</si>
  <si>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</si>
  <si>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</si>
  <si>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</si>
  <si>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</si>
  <si>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</si>
  <si>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</si>
  <si>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</si>
  <si>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</si>
  <si>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</si>
  <si>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</si>
  <si>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</si>
  <si>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</si>
  <si>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</si>
  <si>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</si>
  <si>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</si>
  <si>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</si>
  <si>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</si>
  <si>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</si>
  <si>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</si>
  <si>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</si>
  <si>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</si>
  <si>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</si>
  <si>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</si>
  <si>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</si>
  <si>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</si>
  <si>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</si>
  <si>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</si>
  <si>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</si>
  <si>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</si>
  <si>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</si>
  <si>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</si>
  <si>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</si>
  <si>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</si>
  <si>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</si>
  <si>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agosto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</si>
</sst>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  <family val="2"/>
    </font>
    <font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sz val="9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4"/>
      </right>
      <top/>
      <bottom style="double">
        <color indexed="8"/>
      </bottom>
      <diagonal/>
    </border>
  </borders>
  <cellStyleXfs count="1">
    <xf numFmtId="0" fontId="0" fillId="0" borderId="0" applyFill="0" applyProtection="0"/>
  </cellStyleXfs>
  <cellXfs count="89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2" fontId="3" fillId="3" borderId="0" xfId="0" applyNumberFormat="1" applyFont="1" applyFill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10" fillId="2" borderId="0" xfId="0" applyFont="1" applyFill="1" applyProtection="1"/>
    <xf numFmtId="0" fontId="10" fillId="2" borderId="1" xfId="0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10" fillId="2" borderId="0" xfId="0" applyFont="1" applyFill="1" applyAlignment="1" applyProtection="1">
      <alignment horizontal="center" wrapText="1"/>
    </xf>
    <xf numFmtId="0" fontId="10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6" fillId="2" borderId="2" xfId="0" applyFont="1" applyFill="1" applyBorder="1" applyAlignment="1" applyProtection="1">
      <alignment horizontal="left" vertical="center"/>
    </xf>
    <xf numFmtId="2" fontId="9" fillId="3" borderId="0" xfId="0" applyNumberFormat="1" applyFont="1" applyFill="1" applyBorder="1" applyAlignment="1" applyProtection="1">
      <alignment horizontal="center"/>
    </xf>
    <xf numFmtId="3" fontId="5" fillId="3" borderId="49" xfId="0" applyNumberFormat="1" applyFont="1" applyFill="1" applyBorder="1" applyProtection="1"/>
    <xf numFmtId="3" fontId="5" fillId="0" borderId="48" xfId="0" applyNumberFormat="1" applyFont="1" applyFill="1" applyBorder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5">
        <v>428596.58</v>
      </c>
      <c r="D12" s="25">
        <v>0</v>
      </c>
      <c r="E12" s="26">
        <v>139633</v>
      </c>
      <c r="F12" s="27">
        <v>326723</v>
      </c>
      <c r="G12" s="24">
        <v>0</v>
      </c>
      <c r="H12" s="28">
        <v>441000</v>
      </c>
      <c r="I12" s="29"/>
      <c r="J12" s="30"/>
      <c r="K12" s="25">
        <v>0</v>
      </c>
      <c r="L12" s="28">
        <v>31691</v>
      </c>
      <c r="M12" s="31">
        <v>422260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5">
        <v>2452747.62</v>
      </c>
      <c r="D13" s="25">
        <v>4976336</v>
      </c>
      <c r="E13" s="25">
        <v>0</v>
      </c>
      <c r="F13" s="28">
        <v>0</v>
      </c>
      <c r="G13" s="25">
        <v>0</v>
      </c>
      <c r="H13" s="25">
        <v>5082001</v>
      </c>
      <c r="I13" s="34"/>
      <c r="J13" s="34"/>
      <c r="K13" s="25">
        <v>0</v>
      </c>
      <c r="L13" s="35">
        <v>8064</v>
      </c>
      <c r="M13" s="31">
        <v>2339017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5">
        <v>90892.96</v>
      </c>
      <c r="D14" s="25">
        <v>40682</v>
      </c>
      <c r="E14" s="25">
        <v>40066</v>
      </c>
      <c r="F14" s="25">
        <v>91535</v>
      </c>
      <c r="G14" s="25">
        <v>36463</v>
      </c>
      <c r="H14" s="25">
        <v>140708</v>
      </c>
      <c r="I14" s="34"/>
      <c r="J14" s="34"/>
      <c r="K14" s="25">
        <v>0</v>
      </c>
      <c r="L14" s="35">
        <v>44052</v>
      </c>
      <c r="M14" s="31">
        <v>114878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5">
        <v>88925.11</v>
      </c>
      <c r="D15" s="25">
        <v>144718</v>
      </c>
      <c r="E15" s="25">
        <v>0</v>
      </c>
      <c r="F15" s="25">
        <v>117913</v>
      </c>
      <c r="G15" s="25">
        <v>0</v>
      </c>
      <c r="H15" s="25">
        <v>180448</v>
      </c>
      <c r="I15" s="34"/>
      <c r="J15" s="34"/>
      <c r="K15" s="25">
        <v>0</v>
      </c>
      <c r="L15" s="35">
        <v>0</v>
      </c>
      <c r="M15" s="31">
        <v>171108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5">
        <v>533928.59</v>
      </c>
      <c r="D16" s="25">
        <v>463180</v>
      </c>
      <c r="E16" s="25">
        <v>22729</v>
      </c>
      <c r="F16" s="25">
        <v>85150</v>
      </c>
      <c r="G16" s="25">
        <v>0</v>
      </c>
      <c r="H16" s="25">
        <v>543479</v>
      </c>
      <c r="I16" s="34"/>
      <c r="J16" s="34"/>
      <c r="K16" s="25">
        <v>0</v>
      </c>
      <c r="L16" s="35">
        <v>14000</v>
      </c>
      <c r="M16" s="31">
        <v>547509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5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5">
        <v>3935.73</v>
      </c>
      <c r="D18" s="25">
        <v>465</v>
      </c>
      <c r="E18" s="25">
        <v>4552</v>
      </c>
      <c r="F18" s="25">
        <v>0</v>
      </c>
      <c r="G18" s="25">
        <v>0</v>
      </c>
      <c r="H18" s="25">
        <v>5355</v>
      </c>
      <c r="I18" s="34"/>
      <c r="J18" s="34"/>
      <c r="K18" s="25">
        <v>0</v>
      </c>
      <c r="L18" s="35">
        <v>0</v>
      </c>
      <c r="M18" s="31">
        <v>3598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5">
        <v>17093.669999999998</v>
      </c>
      <c r="D19" s="25">
        <v>9110</v>
      </c>
      <c r="E19" s="25">
        <v>38680</v>
      </c>
      <c r="F19" s="25">
        <v>253</v>
      </c>
      <c r="G19" s="25">
        <v>0</v>
      </c>
      <c r="H19" s="25">
        <v>38265</v>
      </c>
      <c r="I19" s="34"/>
      <c r="J19" s="34"/>
      <c r="K19" s="25">
        <v>0</v>
      </c>
      <c r="L19" s="35">
        <v>0</v>
      </c>
      <c r="M19" s="31">
        <v>26872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5">
        <v>884</v>
      </c>
      <c r="D20" s="25">
        <v>676</v>
      </c>
      <c r="E20" s="25">
        <v>0</v>
      </c>
      <c r="F20" s="25">
        <v>0</v>
      </c>
      <c r="G20" s="25">
        <v>0</v>
      </c>
      <c r="H20" s="25">
        <v>592</v>
      </c>
      <c r="I20" s="34"/>
      <c r="J20" s="34"/>
      <c r="K20" s="25">
        <v>0</v>
      </c>
      <c r="L20" s="35">
        <v>0</v>
      </c>
      <c r="M20" s="31">
        <v>968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5">
        <v>8602.6299999999992</v>
      </c>
      <c r="D21" s="25">
        <v>25431</v>
      </c>
      <c r="E21" s="25">
        <v>10145</v>
      </c>
      <c r="F21" s="25">
        <v>6990</v>
      </c>
      <c r="G21" s="25">
        <v>0</v>
      </c>
      <c r="H21" s="25">
        <v>37689</v>
      </c>
      <c r="I21" s="34"/>
      <c r="J21" s="34"/>
      <c r="K21" s="25">
        <v>0</v>
      </c>
      <c r="L21" s="35">
        <v>0</v>
      </c>
      <c r="M21" s="31">
        <v>13479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5">
        <v>2531.9899999999998</v>
      </c>
      <c r="D22" s="25">
        <v>0</v>
      </c>
      <c r="E22" s="25">
        <v>330</v>
      </c>
      <c r="F22" s="25">
        <v>0</v>
      </c>
      <c r="G22" s="25">
        <v>0</v>
      </c>
      <c r="H22" s="25">
        <v>1609</v>
      </c>
      <c r="I22" s="34"/>
      <c r="J22" s="34"/>
      <c r="K22" s="25">
        <v>0</v>
      </c>
      <c r="L22" s="35">
        <v>2</v>
      </c>
      <c r="M22" s="31">
        <v>1250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5">
        <v>5459.34</v>
      </c>
      <c r="D23" s="25">
        <v>24812</v>
      </c>
      <c r="E23" s="25">
        <v>512</v>
      </c>
      <c r="F23" s="25">
        <v>0</v>
      </c>
      <c r="G23" s="25">
        <v>0</v>
      </c>
      <c r="H23" s="25">
        <v>13922</v>
      </c>
      <c r="I23" s="34"/>
      <c r="J23" s="34"/>
      <c r="K23" s="25">
        <v>0</v>
      </c>
      <c r="L23" s="35">
        <v>0</v>
      </c>
      <c r="M23" s="31">
        <v>16860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5">
        <v>2164.2399999999998</v>
      </c>
      <c r="D24" s="25">
        <v>9148</v>
      </c>
      <c r="E24" s="25">
        <v>1999</v>
      </c>
      <c r="F24" s="25">
        <v>0</v>
      </c>
      <c r="G24" s="25">
        <v>0</v>
      </c>
      <c r="H24" s="25">
        <v>8922</v>
      </c>
      <c r="I24" s="34"/>
      <c r="J24" s="34"/>
      <c r="K24" s="25">
        <v>0</v>
      </c>
      <c r="L24" s="35">
        <v>0</v>
      </c>
      <c r="M24" s="31">
        <v>4389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5">
        <v>1562.03</v>
      </c>
      <c r="D25" s="25">
        <v>1572</v>
      </c>
      <c r="E25" s="25">
        <v>54</v>
      </c>
      <c r="F25" s="25">
        <v>0</v>
      </c>
      <c r="G25" s="25">
        <v>0</v>
      </c>
      <c r="H25" s="25">
        <v>1513</v>
      </c>
      <c r="I25" s="34"/>
      <c r="J25" s="34"/>
      <c r="K25" s="25">
        <v>0</v>
      </c>
      <c r="L25" s="35">
        <v>0</v>
      </c>
      <c r="M25" s="31">
        <v>1676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138148</v>
      </c>
      <c r="F26" s="39">
        <v>3714</v>
      </c>
      <c r="G26" s="39">
        <v>0</v>
      </c>
      <c r="H26" s="39">
        <v>0</v>
      </c>
      <c r="I26" s="40"/>
      <c r="J26" s="40"/>
      <c r="K26" s="39">
        <v>141862</v>
      </c>
      <c r="L26" s="41">
        <v>0</v>
      </c>
      <c r="M26" s="42">
        <v>0</v>
      </c>
      <c r="N26" s="36"/>
      <c r="O26" s="35">
        <v>11699</v>
      </c>
      <c r="P26" s="35">
        <v>36360</v>
      </c>
      <c r="Q26" s="37">
        <v>813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3637324.4899999998</v>
      </c>
      <c r="D27" s="44">
        <f t="shared" si="0"/>
        <v>5696130</v>
      </c>
      <c r="E27" s="44">
        <f t="shared" si="0"/>
        <v>396848</v>
      </c>
      <c r="F27" s="44">
        <f t="shared" si="0"/>
        <v>632278</v>
      </c>
      <c r="G27" s="44">
        <f t="shared" si="0"/>
        <v>36463</v>
      </c>
      <c r="H27" s="44">
        <f t="shared" si="0"/>
        <v>6495503</v>
      </c>
      <c r="I27" s="44">
        <f t="shared" si="0"/>
        <v>0</v>
      </c>
      <c r="J27" s="44">
        <f t="shared" si="0"/>
        <v>0</v>
      </c>
      <c r="K27" s="44">
        <f t="shared" si="0"/>
        <v>141862</v>
      </c>
      <c r="L27" s="44">
        <f t="shared" si="0"/>
        <v>97809</v>
      </c>
      <c r="M27" s="45">
        <f t="shared" si="0"/>
        <v>3663864</v>
      </c>
      <c r="N27" s="46"/>
      <c r="O27" s="47">
        <f>SUM(O12:O26)</f>
        <v>11699</v>
      </c>
      <c r="P27" s="47">
        <f>SUM(P12:P26)</f>
        <v>36360</v>
      </c>
      <c r="Q27" s="48">
        <f>SUM(Q12:Q26)</f>
        <v>813</v>
      </c>
    </row>
    <row r="28" spans="1:17" ht="16.5" customHeight="1" x14ac:dyDescent="0.25">
      <c r="A28" s="16"/>
      <c r="B28" s="77" t="s">
        <v>55</v>
      </c>
      <c r="C28" s="86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85" t="s">
        <v>29</v>
      </c>
      <c r="C29" s="88">
        <v>451032.33</v>
      </c>
      <c r="D29" s="49">
        <v>206</v>
      </c>
      <c r="E29" s="28">
        <v>13344</v>
      </c>
      <c r="F29" s="28">
        <v>0</v>
      </c>
      <c r="G29" s="28">
        <v>0</v>
      </c>
      <c r="H29" s="30"/>
      <c r="I29" s="28">
        <v>127843</v>
      </c>
      <c r="J29" s="28">
        <v>-28977</v>
      </c>
      <c r="K29" s="50">
        <v>0</v>
      </c>
      <c r="L29" s="50">
        <v>91952</v>
      </c>
      <c r="M29" s="51">
        <v>471496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85" t="s">
        <v>31</v>
      </c>
      <c r="C30" s="88">
        <v>830005.11</v>
      </c>
      <c r="D30" s="24">
        <v>0</v>
      </c>
      <c r="E30" s="25">
        <v>17936</v>
      </c>
      <c r="F30" s="25">
        <v>0</v>
      </c>
      <c r="G30" s="25">
        <v>0</v>
      </c>
      <c r="H30" s="29"/>
      <c r="I30" s="25">
        <v>76715</v>
      </c>
      <c r="J30" s="25">
        <v>-82850</v>
      </c>
      <c r="K30" s="56">
        <v>3519</v>
      </c>
      <c r="L30" s="56">
        <v>27236</v>
      </c>
      <c r="M30" s="57">
        <v>811050</v>
      </c>
      <c r="N30" s="52"/>
      <c r="O30" s="58">
        <v>0</v>
      </c>
      <c r="P30" s="35">
        <v>3519</v>
      </c>
      <c r="Q30" s="37">
        <v>0</v>
      </c>
    </row>
    <row r="31" spans="1:17" ht="15" customHeight="1" x14ac:dyDescent="0.25">
      <c r="A31" s="22" t="s">
        <v>32</v>
      </c>
      <c r="B31" s="85" t="s">
        <v>33</v>
      </c>
      <c r="C31" s="88">
        <v>1314702.23</v>
      </c>
      <c r="D31" s="24">
        <v>0</v>
      </c>
      <c r="E31" s="25">
        <v>0</v>
      </c>
      <c r="F31" s="25">
        <v>0</v>
      </c>
      <c r="G31" s="25">
        <v>0</v>
      </c>
      <c r="H31" s="29"/>
      <c r="I31" s="25">
        <v>224271</v>
      </c>
      <c r="J31" s="25">
        <v>-33118</v>
      </c>
      <c r="K31" s="56">
        <v>172600</v>
      </c>
      <c r="L31" s="56">
        <v>59707</v>
      </c>
      <c r="M31" s="57">
        <v>1273546</v>
      </c>
      <c r="N31" s="52"/>
      <c r="O31" s="58">
        <v>1030</v>
      </c>
      <c r="P31" s="35">
        <v>171570</v>
      </c>
      <c r="Q31" s="37">
        <v>0</v>
      </c>
    </row>
    <row r="32" spans="1:17" ht="15" customHeight="1" x14ac:dyDescent="0.25">
      <c r="A32" s="22" t="s">
        <v>56</v>
      </c>
      <c r="B32" s="85" t="s">
        <v>57</v>
      </c>
      <c r="C32" s="88">
        <v>67238.789999999994</v>
      </c>
      <c r="D32" s="24">
        <v>0</v>
      </c>
      <c r="E32" s="25">
        <v>0</v>
      </c>
      <c r="F32" s="25">
        <v>0</v>
      </c>
      <c r="G32" s="25">
        <v>0</v>
      </c>
      <c r="H32" s="29"/>
      <c r="I32" s="25">
        <v>158096</v>
      </c>
      <c r="J32" s="25">
        <v>0</v>
      </c>
      <c r="K32" s="56">
        <v>635</v>
      </c>
      <c r="L32" s="56">
        <v>153827</v>
      </c>
      <c r="M32" s="57">
        <v>70872</v>
      </c>
      <c r="N32" s="52"/>
      <c r="O32" s="58">
        <v>279</v>
      </c>
      <c r="P32" s="35">
        <v>0</v>
      </c>
      <c r="Q32" s="37">
        <v>0</v>
      </c>
    </row>
    <row r="33" spans="1:21" ht="15" customHeight="1" x14ac:dyDescent="0.25">
      <c r="A33" s="22" t="s">
        <v>58</v>
      </c>
      <c r="B33" s="85" t="s">
        <v>59</v>
      </c>
      <c r="C33" s="88">
        <v>0</v>
      </c>
      <c r="D33" s="24">
        <v>1115</v>
      </c>
      <c r="E33" s="25">
        <v>315</v>
      </c>
      <c r="F33" s="25">
        <v>0</v>
      </c>
      <c r="G33" s="25">
        <v>0</v>
      </c>
      <c r="H33" s="29"/>
      <c r="I33" s="25">
        <v>210303</v>
      </c>
      <c r="J33" s="25">
        <v>0</v>
      </c>
      <c r="K33" s="56">
        <v>204387</v>
      </c>
      <c r="L33" s="56">
        <v>7347</v>
      </c>
      <c r="M33" s="57">
        <v>0</v>
      </c>
      <c r="N33" s="52"/>
      <c r="O33" s="58">
        <v>14903</v>
      </c>
      <c r="P33" s="35">
        <v>2299</v>
      </c>
      <c r="Q33" s="37">
        <v>4380</v>
      </c>
    </row>
    <row r="34" spans="1:21" ht="15" customHeight="1" x14ac:dyDescent="0.25">
      <c r="A34" s="22" t="s">
        <v>60</v>
      </c>
      <c r="B34" s="85" t="s">
        <v>61</v>
      </c>
      <c r="C34" s="88">
        <v>234206.6</v>
      </c>
      <c r="D34" s="24">
        <v>0</v>
      </c>
      <c r="E34" s="25">
        <v>0</v>
      </c>
      <c r="F34" s="25">
        <v>0</v>
      </c>
      <c r="G34" s="25">
        <v>0</v>
      </c>
      <c r="H34" s="29"/>
      <c r="I34" s="25">
        <v>326523</v>
      </c>
      <c r="J34" s="25">
        <v>0</v>
      </c>
      <c r="K34" s="56">
        <v>1132</v>
      </c>
      <c r="L34" s="56">
        <v>323984</v>
      </c>
      <c r="M34" s="57">
        <v>235612</v>
      </c>
      <c r="N34" s="52"/>
      <c r="O34" s="58">
        <v>0</v>
      </c>
      <c r="P34" s="35">
        <v>805</v>
      </c>
      <c r="Q34" s="37">
        <v>0</v>
      </c>
    </row>
    <row r="35" spans="1:21" ht="15" customHeight="1" x14ac:dyDescent="0.25">
      <c r="A35" s="22" t="s">
        <v>62</v>
      </c>
      <c r="B35" s="85" t="s">
        <v>63</v>
      </c>
      <c r="C35" s="88">
        <v>732016.09</v>
      </c>
      <c r="D35" s="24">
        <v>0</v>
      </c>
      <c r="E35" s="25">
        <v>0</v>
      </c>
      <c r="F35" s="25">
        <v>0</v>
      </c>
      <c r="G35" s="25">
        <v>0</v>
      </c>
      <c r="H35" s="29"/>
      <c r="I35" s="25">
        <v>1305555</v>
      </c>
      <c r="J35" s="25">
        <v>28977</v>
      </c>
      <c r="K35" s="56">
        <v>0</v>
      </c>
      <c r="L35" s="56">
        <v>1275003</v>
      </c>
      <c r="M35" s="57">
        <v>791545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85" t="s">
        <v>65</v>
      </c>
      <c r="C36" s="88"/>
      <c r="D36" s="24"/>
      <c r="E36" s="25"/>
      <c r="F36" s="25"/>
      <c r="G36" s="25"/>
      <c r="H36" s="29"/>
      <c r="I36" s="25"/>
      <c r="J36" s="25">
        <f>-(C36+D36+E36+F36+G36+I36)+(M36+L36+K36)</f>
        <v>0</v>
      </c>
      <c r="K36" s="56"/>
      <c r="L36" s="56"/>
      <c r="M36" s="57"/>
      <c r="N36" s="52"/>
      <c r="O36" s="58"/>
      <c r="P36" s="35"/>
      <c r="Q36" s="37"/>
    </row>
    <row r="37" spans="1:21" ht="15" customHeight="1" x14ac:dyDescent="0.25">
      <c r="A37" s="22" t="s">
        <v>66</v>
      </c>
      <c r="B37" s="85" t="s">
        <v>67</v>
      </c>
      <c r="C37" s="88">
        <v>3556.24</v>
      </c>
      <c r="D37" s="24">
        <v>0</v>
      </c>
      <c r="E37" s="25">
        <v>0</v>
      </c>
      <c r="F37" s="25">
        <v>0</v>
      </c>
      <c r="G37" s="25">
        <v>0</v>
      </c>
      <c r="H37" s="29"/>
      <c r="I37" s="25">
        <v>280</v>
      </c>
      <c r="J37" s="25">
        <v>0</v>
      </c>
      <c r="K37" s="56">
        <v>0</v>
      </c>
      <c r="L37" s="56">
        <v>0</v>
      </c>
      <c r="M37" s="57">
        <v>3837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85" t="s">
        <v>69</v>
      </c>
      <c r="C38" s="88"/>
      <c r="D38" s="24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85" t="s">
        <v>71</v>
      </c>
      <c r="C39" s="88"/>
      <c r="D39" s="24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85" t="s">
        <v>73</v>
      </c>
      <c r="C40" s="88">
        <v>157470.97</v>
      </c>
      <c r="D40" s="24">
        <v>0</v>
      </c>
      <c r="E40" s="25">
        <v>0</v>
      </c>
      <c r="F40" s="25">
        <v>0</v>
      </c>
      <c r="G40" s="25">
        <v>0</v>
      </c>
      <c r="H40" s="29"/>
      <c r="I40" s="25">
        <v>256121</v>
      </c>
      <c r="J40" s="25">
        <v>-358</v>
      </c>
      <c r="K40" s="56">
        <v>0</v>
      </c>
      <c r="L40" s="56">
        <v>239996</v>
      </c>
      <c r="M40" s="57">
        <v>173236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85" t="s">
        <v>75</v>
      </c>
      <c r="C41" s="88">
        <v>40891.410000000003</v>
      </c>
      <c r="D41" s="24">
        <v>0</v>
      </c>
      <c r="E41" s="25">
        <v>0</v>
      </c>
      <c r="F41" s="25">
        <v>0</v>
      </c>
      <c r="G41" s="25">
        <v>0</v>
      </c>
      <c r="H41" s="29"/>
      <c r="I41" s="25">
        <v>14074</v>
      </c>
      <c r="J41" s="25">
        <v>0</v>
      </c>
      <c r="K41" s="56">
        <v>0</v>
      </c>
      <c r="L41" s="56">
        <v>1228</v>
      </c>
      <c r="M41" s="57">
        <v>53737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85" t="s">
        <v>77</v>
      </c>
      <c r="C42" s="88">
        <v>3250.95</v>
      </c>
      <c r="D42" s="24">
        <v>0</v>
      </c>
      <c r="E42" s="25">
        <v>0</v>
      </c>
      <c r="F42" s="25">
        <v>0</v>
      </c>
      <c r="G42" s="25">
        <v>0</v>
      </c>
      <c r="H42" s="29"/>
      <c r="I42" s="25">
        <v>0</v>
      </c>
      <c r="J42" s="25">
        <v>358</v>
      </c>
      <c r="K42" s="56">
        <v>89</v>
      </c>
      <c r="L42" s="56">
        <v>4</v>
      </c>
      <c r="M42" s="57">
        <v>3515</v>
      </c>
      <c r="N42" s="52"/>
      <c r="O42" s="58">
        <v>86</v>
      </c>
      <c r="P42" s="35">
        <v>0</v>
      </c>
      <c r="Q42" s="37">
        <v>0</v>
      </c>
    </row>
    <row r="43" spans="1:21" ht="15" customHeight="1" x14ac:dyDescent="0.25">
      <c r="A43" s="22" t="s">
        <v>78</v>
      </c>
      <c r="B43" s="85" t="s">
        <v>79</v>
      </c>
      <c r="C43" s="88">
        <v>1161240.29</v>
      </c>
      <c r="D43" s="24">
        <v>39373</v>
      </c>
      <c r="E43" s="25">
        <v>0</v>
      </c>
      <c r="F43" s="25">
        <v>0</v>
      </c>
      <c r="G43" s="25">
        <v>0</v>
      </c>
      <c r="H43" s="29"/>
      <c r="I43" s="25">
        <v>2679910</v>
      </c>
      <c r="J43" s="25">
        <v>86128</v>
      </c>
      <c r="K43" s="56">
        <v>98</v>
      </c>
      <c r="L43" s="56">
        <v>2749532</v>
      </c>
      <c r="M43" s="57">
        <v>1217022</v>
      </c>
      <c r="N43" s="52"/>
      <c r="O43" s="58">
        <v>0</v>
      </c>
      <c r="P43" s="35">
        <v>0</v>
      </c>
      <c r="Q43" s="37">
        <v>0</v>
      </c>
      <c r="U43" s="1"/>
    </row>
    <row r="44" spans="1:21" ht="15" customHeight="1" x14ac:dyDescent="0.25">
      <c r="A44" s="22" t="s">
        <v>80</v>
      </c>
      <c r="B44" s="85" t="s">
        <v>81</v>
      </c>
      <c r="C44" s="88">
        <v>708458.61</v>
      </c>
      <c r="D44" s="24">
        <v>0</v>
      </c>
      <c r="E44" s="25">
        <v>0</v>
      </c>
      <c r="F44" s="25">
        <v>0</v>
      </c>
      <c r="G44" s="25">
        <v>0</v>
      </c>
      <c r="H44" s="29"/>
      <c r="I44" s="25">
        <v>382974</v>
      </c>
      <c r="J44" s="25">
        <v>30136</v>
      </c>
      <c r="K44" s="56">
        <v>2422</v>
      </c>
      <c r="L44" s="56">
        <v>438489</v>
      </c>
      <c r="M44" s="57">
        <v>680657</v>
      </c>
      <c r="N44" s="52"/>
      <c r="O44" s="58">
        <v>520</v>
      </c>
      <c r="P44" s="35">
        <v>14</v>
      </c>
      <c r="Q44" s="37">
        <v>7</v>
      </c>
    </row>
    <row r="45" spans="1:21" ht="15" customHeight="1" x14ac:dyDescent="0.25">
      <c r="A45" s="22" t="s">
        <v>82</v>
      </c>
      <c r="B45" s="85" t="s">
        <v>83</v>
      </c>
      <c r="C45" s="88">
        <v>285330.59000000003</v>
      </c>
      <c r="D45" s="24">
        <v>0</v>
      </c>
      <c r="E45" s="25">
        <v>0</v>
      </c>
      <c r="F45" s="25">
        <v>0</v>
      </c>
      <c r="G45" s="25">
        <v>0</v>
      </c>
      <c r="H45" s="29"/>
      <c r="I45" s="25">
        <v>167375</v>
      </c>
      <c r="J45" s="25">
        <v>-295</v>
      </c>
      <c r="K45" s="56">
        <v>22360</v>
      </c>
      <c r="L45" s="56">
        <v>134902</v>
      </c>
      <c r="M45" s="57">
        <v>295147</v>
      </c>
      <c r="N45" s="52"/>
      <c r="O45" s="58">
        <v>11011</v>
      </c>
      <c r="P45" s="35">
        <v>634</v>
      </c>
      <c r="Q45" s="37">
        <v>244</v>
      </c>
    </row>
    <row r="46" spans="1:21" ht="15" customHeight="1" x14ac:dyDescent="0.25">
      <c r="A46" s="22" t="s">
        <v>84</v>
      </c>
      <c r="B46" s="85" t="s">
        <v>85</v>
      </c>
      <c r="C46" s="88">
        <v>176965.65</v>
      </c>
      <c r="D46" s="24">
        <v>0</v>
      </c>
      <c r="E46" s="25">
        <v>0</v>
      </c>
      <c r="F46" s="25">
        <v>0</v>
      </c>
      <c r="G46" s="25">
        <v>0</v>
      </c>
      <c r="H46" s="29"/>
      <c r="I46" s="25">
        <v>219466</v>
      </c>
      <c r="J46" s="25">
        <v>86</v>
      </c>
      <c r="K46" s="56">
        <v>0</v>
      </c>
      <c r="L46" s="56">
        <v>192770</v>
      </c>
      <c r="M46" s="57">
        <v>203747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85" t="s">
        <v>87</v>
      </c>
      <c r="C47" s="88">
        <v>35093.800000000003</v>
      </c>
      <c r="D47" s="24">
        <v>0</v>
      </c>
      <c r="E47" s="25">
        <v>0</v>
      </c>
      <c r="F47" s="25">
        <v>0</v>
      </c>
      <c r="G47" s="25">
        <v>0</v>
      </c>
      <c r="H47" s="29"/>
      <c r="I47" s="25">
        <v>69685</v>
      </c>
      <c r="J47" s="25">
        <v>0</v>
      </c>
      <c r="K47" s="56">
        <v>77094</v>
      </c>
      <c r="L47" s="56">
        <v>0</v>
      </c>
      <c r="M47" s="57">
        <v>27684</v>
      </c>
      <c r="N47" s="52"/>
      <c r="O47" s="58">
        <v>1871</v>
      </c>
      <c r="P47" s="35">
        <v>50</v>
      </c>
      <c r="Q47" s="37">
        <v>26</v>
      </c>
    </row>
    <row r="48" spans="1:21" ht="15" customHeight="1" x14ac:dyDescent="0.25">
      <c r="A48" s="22" t="s">
        <v>88</v>
      </c>
      <c r="B48" s="85" t="s">
        <v>89</v>
      </c>
      <c r="C48" s="88">
        <v>100766.66</v>
      </c>
      <c r="D48" s="24">
        <v>0</v>
      </c>
      <c r="E48" s="25">
        <v>111</v>
      </c>
      <c r="F48" s="25">
        <v>0</v>
      </c>
      <c r="G48" s="25">
        <v>0</v>
      </c>
      <c r="H48" s="29"/>
      <c r="I48" s="25">
        <v>112293</v>
      </c>
      <c r="J48" s="25">
        <v>-86</v>
      </c>
      <c r="K48" s="56">
        <v>0</v>
      </c>
      <c r="L48" s="56">
        <v>88453</v>
      </c>
      <c r="M48" s="57">
        <v>124631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85" t="s">
        <v>91</v>
      </c>
      <c r="C49" s="88">
        <v>6224.28</v>
      </c>
      <c r="D49" s="24">
        <v>0</v>
      </c>
      <c r="E49" s="25">
        <v>0</v>
      </c>
      <c r="F49" s="25">
        <v>0</v>
      </c>
      <c r="G49" s="25">
        <v>0</v>
      </c>
      <c r="H49" s="29"/>
      <c r="I49" s="25">
        <v>8475</v>
      </c>
      <c r="J49" s="25">
        <v>0</v>
      </c>
      <c r="K49" s="56">
        <v>0</v>
      </c>
      <c r="L49" s="56">
        <v>5539</v>
      </c>
      <c r="M49" s="57">
        <v>9160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85" t="s">
        <v>93</v>
      </c>
      <c r="C50" s="88">
        <v>5496.26</v>
      </c>
      <c r="D50" s="24">
        <v>0</v>
      </c>
      <c r="E50" s="25">
        <v>0</v>
      </c>
      <c r="F50" s="25">
        <v>0</v>
      </c>
      <c r="G50" s="25">
        <v>0</v>
      </c>
      <c r="H50" s="29"/>
      <c r="I50" s="25">
        <v>49439</v>
      </c>
      <c r="J50" s="25">
        <v>0</v>
      </c>
      <c r="K50" s="56">
        <v>0</v>
      </c>
      <c r="L50" s="56">
        <v>47166</v>
      </c>
      <c r="M50" s="57">
        <v>7769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85" t="s">
        <v>95</v>
      </c>
      <c r="C51" s="88">
        <v>28261.84</v>
      </c>
      <c r="D51" s="24">
        <v>0</v>
      </c>
      <c r="E51" s="25">
        <v>0</v>
      </c>
      <c r="F51" s="25">
        <v>0</v>
      </c>
      <c r="G51" s="25">
        <v>0</v>
      </c>
      <c r="H51" s="29"/>
      <c r="I51" s="25">
        <v>22798</v>
      </c>
      <c r="J51" s="25">
        <v>0</v>
      </c>
      <c r="K51" s="56">
        <v>0</v>
      </c>
      <c r="L51" s="56">
        <v>15716</v>
      </c>
      <c r="M51" s="57">
        <v>35344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85" t="s">
        <v>97</v>
      </c>
      <c r="C52" s="88"/>
      <c r="D52" s="24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85" t="s">
        <v>99</v>
      </c>
      <c r="C53" s="88">
        <v>13076.11</v>
      </c>
      <c r="D53" s="59">
        <v>0</v>
      </c>
      <c r="E53" s="60">
        <v>312</v>
      </c>
      <c r="F53" s="60">
        <v>0</v>
      </c>
      <c r="G53" s="60">
        <v>0</v>
      </c>
      <c r="H53" s="61"/>
      <c r="I53" s="60">
        <v>20921</v>
      </c>
      <c r="J53" s="60">
        <v>0</v>
      </c>
      <c r="K53" s="62">
        <v>166</v>
      </c>
      <c r="L53" s="62">
        <v>20783</v>
      </c>
      <c r="M53" s="63">
        <v>13360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87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62383</v>
      </c>
      <c r="J54" s="65">
        <v>0</v>
      </c>
      <c r="K54" s="67">
        <v>62383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6355284.8100000015</v>
      </c>
      <c r="D55" s="70">
        <f t="shared" si="1"/>
        <v>40694</v>
      </c>
      <c r="E55" s="70">
        <f t="shared" si="1"/>
        <v>32018</v>
      </c>
      <c r="F55" s="70">
        <f t="shared" si="1"/>
        <v>0</v>
      </c>
      <c r="G55" s="70">
        <f t="shared" si="1"/>
        <v>0</v>
      </c>
      <c r="H55" s="70">
        <f t="shared" si="1"/>
        <v>0</v>
      </c>
      <c r="I55" s="70">
        <f t="shared" si="1"/>
        <v>6495500</v>
      </c>
      <c r="J55" s="70">
        <f t="shared" si="1"/>
        <v>1</v>
      </c>
      <c r="K55" s="70">
        <f t="shared" si="1"/>
        <v>546885</v>
      </c>
      <c r="L55" s="70">
        <f t="shared" si="1"/>
        <v>5873634</v>
      </c>
      <c r="M55" s="71">
        <f t="shared" si="1"/>
        <v>6502967</v>
      </c>
      <c r="N55" s="72"/>
      <c r="O55" s="73">
        <f>SUM(O29:O54)</f>
        <v>29700</v>
      </c>
      <c r="P55" s="47">
        <f>SUM(P29:P54)</f>
        <v>178891</v>
      </c>
      <c r="Q55" s="48">
        <f>SUM(Q29:Q54)</f>
        <v>4657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0</v>
      </c>
      <c r="F57" s="8"/>
      <c r="G57" s="8" t="s">
        <v>104</v>
      </c>
      <c r="H57" s="8"/>
      <c r="I57" s="8"/>
      <c r="J57" s="8" t="s">
        <v>105</v>
      </c>
      <c r="K57" s="74">
        <v>0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0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0</v>
      </c>
      <c r="F59" s="8"/>
      <c r="G59" s="8" t="s">
        <v>108</v>
      </c>
      <c r="H59" s="8"/>
      <c r="I59" s="8"/>
      <c r="J59" s="8" t="s">
        <v>105</v>
      </c>
      <c r="K59" s="74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4">
        <v>223562</v>
      </c>
      <c r="D12" s="25">
        <v>0</v>
      </c>
      <c r="E12" s="26">
        <v>831320</v>
      </c>
      <c r="F12" s="27">
        <v>2931409</v>
      </c>
      <c r="G12" s="24">
        <v>0</v>
      </c>
      <c r="H12" s="28">
        <v>3414870</v>
      </c>
      <c r="I12" s="29"/>
      <c r="J12" s="30"/>
      <c r="K12" s="25">
        <v>0</v>
      </c>
      <c r="L12" s="28">
        <v>149161</v>
      </c>
      <c r="M12" s="31">
        <v>422260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4">
        <v>2622098</v>
      </c>
      <c r="D13" s="25">
        <v>35829111</v>
      </c>
      <c r="E13" s="25">
        <v>10227</v>
      </c>
      <c r="F13" s="28">
        <v>5</v>
      </c>
      <c r="G13" s="25">
        <v>0</v>
      </c>
      <c r="H13" s="25">
        <v>35887235</v>
      </c>
      <c r="I13" s="34"/>
      <c r="J13" s="34"/>
      <c r="K13" s="25">
        <v>340</v>
      </c>
      <c r="L13" s="35">
        <v>234849</v>
      </c>
      <c r="M13" s="31">
        <v>2339017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4">
        <v>92644</v>
      </c>
      <c r="D14" s="25">
        <v>202060</v>
      </c>
      <c r="E14" s="25">
        <v>284890</v>
      </c>
      <c r="F14" s="25">
        <v>538564</v>
      </c>
      <c r="G14" s="25">
        <v>438200</v>
      </c>
      <c r="H14" s="25">
        <v>1108666</v>
      </c>
      <c r="I14" s="34"/>
      <c r="J14" s="34"/>
      <c r="K14" s="25">
        <v>0</v>
      </c>
      <c r="L14" s="35">
        <v>332815</v>
      </c>
      <c r="M14" s="31">
        <v>114878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4">
        <v>11165</v>
      </c>
      <c r="D15" s="25">
        <v>499877</v>
      </c>
      <c r="E15" s="25">
        <v>32867</v>
      </c>
      <c r="F15" s="25">
        <v>748317</v>
      </c>
      <c r="G15" s="25">
        <v>0</v>
      </c>
      <c r="H15" s="25">
        <v>1121120</v>
      </c>
      <c r="I15" s="34"/>
      <c r="J15" s="34"/>
      <c r="K15" s="25">
        <v>0</v>
      </c>
      <c r="L15" s="35">
        <v>0</v>
      </c>
      <c r="M15" s="31">
        <v>171108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4">
        <v>584021</v>
      </c>
      <c r="D16" s="25">
        <v>4041565</v>
      </c>
      <c r="E16" s="25">
        <v>164411</v>
      </c>
      <c r="F16" s="25">
        <v>728832</v>
      </c>
      <c r="G16" s="25">
        <v>0</v>
      </c>
      <c r="H16" s="25">
        <v>4957321</v>
      </c>
      <c r="I16" s="34"/>
      <c r="J16" s="34"/>
      <c r="K16" s="25">
        <v>0</v>
      </c>
      <c r="L16" s="35">
        <v>14000</v>
      </c>
      <c r="M16" s="31">
        <v>547509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4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4">
        <v>3141</v>
      </c>
      <c r="D18" s="25">
        <v>8426</v>
      </c>
      <c r="E18" s="25">
        <v>27206</v>
      </c>
      <c r="F18" s="25">
        <v>0</v>
      </c>
      <c r="G18" s="25">
        <v>0</v>
      </c>
      <c r="H18" s="25">
        <v>35176</v>
      </c>
      <c r="I18" s="34"/>
      <c r="J18" s="34"/>
      <c r="K18" s="25">
        <v>0</v>
      </c>
      <c r="L18" s="35">
        <v>0</v>
      </c>
      <c r="M18" s="31">
        <v>3598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4">
        <v>33004</v>
      </c>
      <c r="D19" s="25">
        <v>120242</v>
      </c>
      <c r="E19" s="25">
        <v>201941</v>
      </c>
      <c r="F19" s="25">
        <v>253</v>
      </c>
      <c r="G19" s="25">
        <v>0</v>
      </c>
      <c r="H19" s="25">
        <v>328569</v>
      </c>
      <c r="I19" s="34"/>
      <c r="J19" s="34"/>
      <c r="K19" s="25">
        <v>0</v>
      </c>
      <c r="L19" s="35">
        <v>0</v>
      </c>
      <c r="M19" s="31">
        <v>26872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4">
        <v>8833</v>
      </c>
      <c r="D20" s="25">
        <v>11611</v>
      </c>
      <c r="E20" s="25">
        <v>0</v>
      </c>
      <c r="F20" s="25">
        <v>0</v>
      </c>
      <c r="G20" s="25">
        <v>0</v>
      </c>
      <c r="H20" s="25">
        <v>19476</v>
      </c>
      <c r="I20" s="34"/>
      <c r="J20" s="34"/>
      <c r="K20" s="25">
        <v>0</v>
      </c>
      <c r="L20" s="35">
        <v>0</v>
      </c>
      <c r="M20" s="31">
        <v>968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4">
        <v>3531</v>
      </c>
      <c r="D21" s="25">
        <v>76320</v>
      </c>
      <c r="E21" s="25">
        <v>72216</v>
      </c>
      <c r="F21" s="25">
        <v>17177</v>
      </c>
      <c r="G21" s="25">
        <v>0</v>
      </c>
      <c r="H21" s="25">
        <v>155766</v>
      </c>
      <c r="I21" s="34"/>
      <c r="J21" s="34"/>
      <c r="K21" s="25">
        <v>0</v>
      </c>
      <c r="L21" s="35">
        <v>0</v>
      </c>
      <c r="M21" s="31">
        <v>13479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4">
        <v>2939</v>
      </c>
      <c r="D22" s="25">
        <v>9400</v>
      </c>
      <c r="E22" s="25">
        <v>2960</v>
      </c>
      <c r="F22" s="25">
        <v>0</v>
      </c>
      <c r="G22" s="25">
        <v>0</v>
      </c>
      <c r="H22" s="25">
        <v>13799</v>
      </c>
      <c r="I22" s="34"/>
      <c r="J22" s="34"/>
      <c r="K22" s="25">
        <v>0</v>
      </c>
      <c r="L22" s="35">
        <v>252</v>
      </c>
      <c r="M22" s="31">
        <v>1250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4">
        <v>1045</v>
      </c>
      <c r="D23" s="25">
        <v>68974</v>
      </c>
      <c r="E23" s="25">
        <v>4833</v>
      </c>
      <c r="F23" s="25">
        <v>0</v>
      </c>
      <c r="G23" s="25">
        <v>0</v>
      </c>
      <c r="H23" s="25">
        <v>57991</v>
      </c>
      <c r="I23" s="34"/>
      <c r="J23" s="34"/>
      <c r="K23" s="25">
        <v>0</v>
      </c>
      <c r="L23" s="35">
        <v>0</v>
      </c>
      <c r="M23" s="31">
        <v>16860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4">
        <v>2448</v>
      </c>
      <c r="D24" s="25">
        <v>79498</v>
      </c>
      <c r="E24" s="25">
        <v>1999</v>
      </c>
      <c r="F24" s="25">
        <v>0</v>
      </c>
      <c r="G24" s="25">
        <v>0</v>
      </c>
      <c r="H24" s="25">
        <v>79556</v>
      </c>
      <c r="I24" s="34"/>
      <c r="J24" s="34"/>
      <c r="K24" s="25">
        <v>0</v>
      </c>
      <c r="L24" s="35">
        <v>0</v>
      </c>
      <c r="M24" s="31">
        <v>4389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4">
        <v>1486</v>
      </c>
      <c r="D25" s="25">
        <v>29014</v>
      </c>
      <c r="E25" s="25">
        <v>54</v>
      </c>
      <c r="F25" s="25">
        <v>0</v>
      </c>
      <c r="G25" s="25">
        <v>0</v>
      </c>
      <c r="H25" s="25">
        <v>28879</v>
      </c>
      <c r="I25" s="34"/>
      <c r="J25" s="34"/>
      <c r="K25" s="25">
        <v>0</v>
      </c>
      <c r="L25" s="35">
        <v>0</v>
      </c>
      <c r="M25" s="31">
        <v>1676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1021237</v>
      </c>
      <c r="F26" s="39">
        <v>14072</v>
      </c>
      <c r="G26" s="39">
        <v>0</v>
      </c>
      <c r="H26" s="39">
        <v>0</v>
      </c>
      <c r="I26" s="40"/>
      <c r="J26" s="40"/>
      <c r="K26" s="39">
        <v>1035310</v>
      </c>
      <c r="L26" s="41">
        <v>0</v>
      </c>
      <c r="M26" s="42">
        <v>0</v>
      </c>
      <c r="N26" s="36"/>
      <c r="O26" s="35">
        <v>73778</v>
      </c>
      <c r="P26" s="35">
        <v>225184</v>
      </c>
      <c r="Q26" s="37">
        <v>14730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3589917</v>
      </c>
      <c r="D27" s="44">
        <f t="shared" si="0"/>
        <v>40976098</v>
      </c>
      <c r="E27" s="44">
        <f t="shared" si="0"/>
        <v>2656161</v>
      </c>
      <c r="F27" s="44">
        <f t="shared" si="0"/>
        <v>4978629</v>
      </c>
      <c r="G27" s="44">
        <f t="shared" si="0"/>
        <v>438200</v>
      </c>
      <c r="H27" s="44">
        <f t="shared" si="0"/>
        <v>47208424</v>
      </c>
      <c r="I27" s="44">
        <f t="shared" si="0"/>
        <v>0</v>
      </c>
      <c r="J27" s="44">
        <f t="shared" si="0"/>
        <v>0</v>
      </c>
      <c r="K27" s="44">
        <f t="shared" si="0"/>
        <v>1035650</v>
      </c>
      <c r="L27" s="44">
        <f t="shared" si="0"/>
        <v>731077</v>
      </c>
      <c r="M27" s="45">
        <f t="shared" si="0"/>
        <v>3663864</v>
      </c>
      <c r="N27" s="46"/>
      <c r="O27" s="47">
        <f>SUM(O12:O26)</f>
        <v>73778</v>
      </c>
      <c r="P27" s="47">
        <f>SUM(P12:P26)</f>
        <v>225184</v>
      </c>
      <c r="Q27" s="48">
        <f>SUM(Q12:Q26)</f>
        <v>14730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49">
        <v>472080</v>
      </c>
      <c r="D29" s="28">
        <v>1943</v>
      </c>
      <c r="E29" s="28">
        <v>185963</v>
      </c>
      <c r="F29" s="28">
        <v>0</v>
      </c>
      <c r="G29" s="28">
        <v>0</v>
      </c>
      <c r="H29" s="30"/>
      <c r="I29" s="28">
        <v>839123</v>
      </c>
      <c r="J29" s="28">
        <v>-231092</v>
      </c>
      <c r="K29" s="50">
        <v>0</v>
      </c>
      <c r="L29" s="50">
        <v>796521</v>
      </c>
      <c r="M29" s="51">
        <v>471496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4">
        <v>837494</v>
      </c>
      <c r="D30" s="25">
        <v>0</v>
      </c>
      <c r="E30" s="25">
        <v>22926</v>
      </c>
      <c r="F30" s="25">
        <v>0</v>
      </c>
      <c r="G30" s="25">
        <v>0</v>
      </c>
      <c r="H30" s="29"/>
      <c r="I30" s="25">
        <v>734531</v>
      </c>
      <c r="J30" s="25">
        <v>-487608</v>
      </c>
      <c r="K30" s="56">
        <v>33632</v>
      </c>
      <c r="L30" s="56">
        <v>262661</v>
      </c>
      <c r="M30" s="57">
        <v>811050</v>
      </c>
      <c r="N30" s="52"/>
      <c r="O30" s="58">
        <v>64</v>
      </c>
      <c r="P30" s="35">
        <v>33567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4">
        <v>1332683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2578307</v>
      </c>
      <c r="J31" s="25">
        <v>-172952</v>
      </c>
      <c r="K31" s="56">
        <v>1316719</v>
      </c>
      <c r="L31" s="56">
        <v>1147772</v>
      </c>
      <c r="M31" s="57">
        <v>1273546</v>
      </c>
      <c r="N31" s="52"/>
      <c r="O31" s="58">
        <v>8471</v>
      </c>
      <c r="P31" s="35">
        <v>1308247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4">
        <v>66530</v>
      </c>
      <c r="D32" s="25">
        <v>0</v>
      </c>
      <c r="E32" s="25">
        <v>0</v>
      </c>
      <c r="F32" s="25">
        <v>0</v>
      </c>
      <c r="G32" s="25">
        <v>0</v>
      </c>
      <c r="H32" s="29"/>
      <c r="I32" s="25">
        <v>1153273</v>
      </c>
      <c r="J32" s="25">
        <v>-170</v>
      </c>
      <c r="K32" s="56">
        <v>6191</v>
      </c>
      <c r="L32" s="56">
        <v>1142569</v>
      </c>
      <c r="M32" s="57">
        <v>70872</v>
      </c>
      <c r="N32" s="52"/>
      <c r="O32" s="58">
        <v>2825</v>
      </c>
      <c r="P32" s="35">
        <v>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4">
        <v>0</v>
      </c>
      <c r="D33" s="25">
        <v>10018</v>
      </c>
      <c r="E33" s="25">
        <v>8543</v>
      </c>
      <c r="F33" s="25">
        <v>0</v>
      </c>
      <c r="G33" s="25">
        <v>1356</v>
      </c>
      <c r="H33" s="29"/>
      <c r="I33" s="25">
        <v>1412221</v>
      </c>
      <c r="J33" s="25">
        <v>0</v>
      </c>
      <c r="K33" s="56">
        <v>1370681</v>
      </c>
      <c r="L33" s="56">
        <v>61457</v>
      </c>
      <c r="M33" s="57">
        <v>0</v>
      </c>
      <c r="N33" s="52"/>
      <c r="O33" s="58">
        <v>117649</v>
      </c>
      <c r="P33" s="35">
        <v>10781</v>
      </c>
      <c r="Q33" s="37">
        <v>26229</v>
      </c>
    </row>
    <row r="34" spans="1:21" ht="15" customHeight="1" x14ac:dyDescent="0.25">
      <c r="A34" s="22" t="s">
        <v>60</v>
      </c>
      <c r="B34" s="21" t="s">
        <v>61</v>
      </c>
      <c r="C34" s="24">
        <v>228019</v>
      </c>
      <c r="D34" s="25">
        <v>524</v>
      </c>
      <c r="E34" s="25">
        <v>21839</v>
      </c>
      <c r="F34" s="25">
        <v>0</v>
      </c>
      <c r="G34" s="25">
        <v>0</v>
      </c>
      <c r="H34" s="29"/>
      <c r="I34" s="25">
        <v>2240315</v>
      </c>
      <c r="J34" s="25">
        <v>20204</v>
      </c>
      <c r="K34" s="56">
        <v>13510</v>
      </c>
      <c r="L34" s="56">
        <v>2261779</v>
      </c>
      <c r="M34" s="57">
        <v>235612</v>
      </c>
      <c r="N34" s="52"/>
      <c r="O34" s="58">
        <v>61</v>
      </c>
      <c r="P34" s="35">
        <v>10182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4">
        <v>573720</v>
      </c>
      <c r="D35" s="25">
        <v>66698</v>
      </c>
      <c r="E35" s="25">
        <v>5</v>
      </c>
      <c r="F35" s="25">
        <v>0</v>
      </c>
      <c r="G35" s="25">
        <v>0</v>
      </c>
      <c r="H35" s="29"/>
      <c r="I35" s="25">
        <v>9161400</v>
      </c>
      <c r="J35" s="25">
        <v>354337</v>
      </c>
      <c r="K35" s="56">
        <v>0</v>
      </c>
      <c r="L35" s="56">
        <v>9364616</v>
      </c>
      <c r="M35" s="57">
        <v>791545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4">
        <v>105343</v>
      </c>
      <c r="D36" s="25">
        <v>0</v>
      </c>
      <c r="E36" s="25">
        <v>0</v>
      </c>
      <c r="F36" s="25">
        <v>0</v>
      </c>
      <c r="G36" s="25">
        <v>0</v>
      </c>
      <c r="H36" s="29"/>
      <c r="I36" s="25">
        <v>0</v>
      </c>
      <c r="J36" s="25">
        <v>-105343</v>
      </c>
      <c r="K36" s="56">
        <v>0</v>
      </c>
      <c r="L36" s="56">
        <v>0</v>
      </c>
      <c r="M36" s="57">
        <v>0</v>
      </c>
      <c r="N36" s="52"/>
      <c r="O36" s="58">
        <v>0</v>
      </c>
      <c r="P36" s="35">
        <v>0</v>
      </c>
      <c r="Q36" s="37">
        <v>0</v>
      </c>
    </row>
    <row r="37" spans="1:21" ht="15" customHeight="1" x14ac:dyDescent="0.25">
      <c r="A37" s="22" t="s">
        <v>66</v>
      </c>
      <c r="B37" s="21" t="s">
        <v>67</v>
      </c>
      <c r="C37" s="24">
        <v>13186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5764</v>
      </c>
      <c r="J37" s="25">
        <v>-15114</v>
      </c>
      <c r="K37" s="56">
        <v>0</v>
      </c>
      <c r="L37" s="56">
        <v>0</v>
      </c>
      <c r="M37" s="57">
        <v>3837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4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4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4">
        <v>139952</v>
      </c>
      <c r="D40" s="25">
        <v>7981</v>
      </c>
      <c r="E40" s="25">
        <v>0</v>
      </c>
      <c r="F40" s="25">
        <v>0</v>
      </c>
      <c r="G40" s="25">
        <v>0</v>
      </c>
      <c r="H40" s="29"/>
      <c r="I40" s="25">
        <v>1528667</v>
      </c>
      <c r="J40" s="25">
        <v>16798</v>
      </c>
      <c r="K40" s="56">
        <v>0</v>
      </c>
      <c r="L40" s="56">
        <v>1520163</v>
      </c>
      <c r="M40" s="57">
        <v>173236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4">
        <v>33869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78913</v>
      </c>
      <c r="J41" s="25">
        <v>-39877</v>
      </c>
      <c r="K41" s="56">
        <v>0</v>
      </c>
      <c r="L41" s="56">
        <v>19167</v>
      </c>
      <c r="M41" s="57">
        <v>53737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4">
        <v>1767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3056</v>
      </c>
      <c r="J42" s="25">
        <v>-964</v>
      </c>
      <c r="K42" s="56">
        <v>287</v>
      </c>
      <c r="L42" s="56">
        <v>55</v>
      </c>
      <c r="M42" s="57">
        <v>3515</v>
      </c>
      <c r="N42" s="52"/>
      <c r="O42" s="58">
        <v>226</v>
      </c>
      <c r="P42" s="35">
        <v>12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4">
        <v>1173879</v>
      </c>
      <c r="D43" s="25">
        <v>232911</v>
      </c>
      <c r="E43" s="25">
        <v>82</v>
      </c>
      <c r="F43" s="25">
        <v>0</v>
      </c>
      <c r="G43" s="25">
        <v>0</v>
      </c>
      <c r="H43" s="29"/>
      <c r="I43" s="25">
        <v>19400541</v>
      </c>
      <c r="J43" s="25">
        <v>674468</v>
      </c>
      <c r="K43" s="56">
        <v>9297</v>
      </c>
      <c r="L43" s="56">
        <v>20255563</v>
      </c>
      <c r="M43" s="57">
        <v>1217022</v>
      </c>
      <c r="N43" s="52"/>
      <c r="O43" s="58">
        <v>313</v>
      </c>
      <c r="P43" s="35">
        <v>0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4">
        <v>590819</v>
      </c>
      <c r="D44" s="25">
        <v>74865</v>
      </c>
      <c r="E44" s="25">
        <v>0</v>
      </c>
      <c r="F44" s="25">
        <v>0</v>
      </c>
      <c r="G44" s="25">
        <v>0</v>
      </c>
      <c r="H44" s="29"/>
      <c r="I44" s="25">
        <v>2568587</v>
      </c>
      <c r="J44" s="25">
        <v>72157</v>
      </c>
      <c r="K44" s="56">
        <v>26449</v>
      </c>
      <c r="L44" s="56">
        <v>2599322</v>
      </c>
      <c r="M44" s="57">
        <v>680657</v>
      </c>
      <c r="N44" s="52"/>
      <c r="O44" s="58">
        <v>8356</v>
      </c>
      <c r="P44" s="35">
        <v>226</v>
      </c>
      <c r="Q44" s="37">
        <v>77</v>
      </c>
    </row>
    <row r="45" spans="1:21" ht="15" customHeight="1" x14ac:dyDescent="0.25">
      <c r="A45" s="22" t="s">
        <v>82</v>
      </c>
      <c r="B45" s="21" t="s">
        <v>83</v>
      </c>
      <c r="C45" s="24">
        <v>265024</v>
      </c>
      <c r="D45" s="25">
        <v>31860</v>
      </c>
      <c r="E45" s="25">
        <v>85</v>
      </c>
      <c r="F45" s="25">
        <v>0</v>
      </c>
      <c r="G45" s="25">
        <v>0</v>
      </c>
      <c r="H45" s="29"/>
      <c r="I45" s="25">
        <v>1322611</v>
      </c>
      <c r="J45" s="25">
        <v>-56573</v>
      </c>
      <c r="K45" s="56">
        <v>230932</v>
      </c>
      <c r="L45" s="56">
        <v>1036928</v>
      </c>
      <c r="M45" s="57">
        <v>295147</v>
      </c>
      <c r="N45" s="52"/>
      <c r="O45" s="58">
        <v>94139</v>
      </c>
      <c r="P45" s="35">
        <v>634</v>
      </c>
      <c r="Q45" s="37">
        <v>2078</v>
      </c>
    </row>
    <row r="46" spans="1:21" ht="15" customHeight="1" x14ac:dyDescent="0.25">
      <c r="A46" s="22" t="s">
        <v>84</v>
      </c>
      <c r="B46" s="21" t="s">
        <v>85</v>
      </c>
      <c r="C46" s="24">
        <v>234918</v>
      </c>
      <c r="D46" s="25">
        <v>0</v>
      </c>
      <c r="E46" s="25">
        <v>0</v>
      </c>
      <c r="F46" s="25">
        <v>0</v>
      </c>
      <c r="G46" s="25">
        <v>0</v>
      </c>
      <c r="H46" s="29"/>
      <c r="I46" s="25">
        <v>1646571</v>
      </c>
      <c r="J46" s="25">
        <v>12214</v>
      </c>
      <c r="K46" s="56">
        <v>0</v>
      </c>
      <c r="L46" s="56">
        <v>1689956</v>
      </c>
      <c r="M46" s="57">
        <v>203747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4">
        <v>93699</v>
      </c>
      <c r="D47" s="25">
        <v>9956</v>
      </c>
      <c r="E47" s="25">
        <v>0</v>
      </c>
      <c r="F47" s="25">
        <v>0</v>
      </c>
      <c r="G47" s="25">
        <v>0</v>
      </c>
      <c r="H47" s="29"/>
      <c r="I47" s="25">
        <v>548207</v>
      </c>
      <c r="J47" s="25">
        <v>-9956</v>
      </c>
      <c r="K47" s="56">
        <v>584241</v>
      </c>
      <c r="L47" s="56">
        <v>29980</v>
      </c>
      <c r="M47" s="57">
        <v>27684</v>
      </c>
      <c r="N47" s="52"/>
      <c r="O47" s="58">
        <v>32569</v>
      </c>
      <c r="P47" s="35">
        <v>880</v>
      </c>
      <c r="Q47" s="37">
        <v>301</v>
      </c>
    </row>
    <row r="48" spans="1:21" ht="15" customHeight="1" x14ac:dyDescent="0.25">
      <c r="A48" s="22" t="s">
        <v>88</v>
      </c>
      <c r="B48" s="21" t="s">
        <v>89</v>
      </c>
      <c r="C48" s="24">
        <v>118827</v>
      </c>
      <c r="D48" s="25">
        <v>3898</v>
      </c>
      <c r="E48" s="25">
        <v>1345</v>
      </c>
      <c r="F48" s="25">
        <v>0</v>
      </c>
      <c r="G48" s="25">
        <v>0</v>
      </c>
      <c r="H48" s="29"/>
      <c r="I48" s="25">
        <v>811249</v>
      </c>
      <c r="J48" s="25">
        <v>-1442</v>
      </c>
      <c r="K48" s="56">
        <v>0</v>
      </c>
      <c r="L48" s="56">
        <v>809247</v>
      </c>
      <c r="M48" s="57">
        <v>124631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4">
        <v>6292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59603</v>
      </c>
      <c r="J49" s="25">
        <v>0</v>
      </c>
      <c r="K49" s="56">
        <v>0</v>
      </c>
      <c r="L49" s="56">
        <v>56736</v>
      </c>
      <c r="M49" s="57">
        <v>9160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4">
        <v>8757</v>
      </c>
      <c r="D50" s="25">
        <v>0</v>
      </c>
      <c r="E50" s="25">
        <v>561</v>
      </c>
      <c r="F50" s="25">
        <v>0</v>
      </c>
      <c r="G50" s="25">
        <v>0</v>
      </c>
      <c r="H50" s="29"/>
      <c r="I50" s="25">
        <v>355148</v>
      </c>
      <c r="J50" s="25">
        <v>1945</v>
      </c>
      <c r="K50" s="56">
        <v>0</v>
      </c>
      <c r="L50" s="56">
        <v>358644</v>
      </c>
      <c r="M50" s="57">
        <v>7769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4">
        <v>40120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170617</v>
      </c>
      <c r="J51" s="25">
        <v>-30776</v>
      </c>
      <c r="K51" s="56">
        <v>0</v>
      </c>
      <c r="L51" s="56">
        <v>144617</v>
      </c>
      <c r="M51" s="57">
        <v>35344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4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59">
        <v>6051</v>
      </c>
      <c r="D53" s="60">
        <v>0</v>
      </c>
      <c r="E53" s="60">
        <v>5847</v>
      </c>
      <c r="F53" s="60">
        <v>0</v>
      </c>
      <c r="G53" s="60">
        <v>0</v>
      </c>
      <c r="H53" s="61"/>
      <c r="I53" s="60">
        <v>180901</v>
      </c>
      <c r="J53" s="60">
        <v>-252</v>
      </c>
      <c r="K53" s="62">
        <v>926</v>
      </c>
      <c r="L53" s="62">
        <v>178261</v>
      </c>
      <c r="M53" s="63">
        <v>13360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408816</v>
      </c>
      <c r="J54" s="65">
        <v>0</v>
      </c>
      <c r="K54" s="67">
        <v>408816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6343029</v>
      </c>
      <c r="D55" s="70">
        <f t="shared" si="1"/>
        <v>440654</v>
      </c>
      <c r="E55" s="70">
        <f t="shared" si="1"/>
        <v>247196</v>
      </c>
      <c r="F55" s="70">
        <f t="shared" si="1"/>
        <v>0</v>
      </c>
      <c r="G55" s="70">
        <f t="shared" si="1"/>
        <v>1356</v>
      </c>
      <c r="H55" s="70">
        <f t="shared" si="1"/>
        <v>0</v>
      </c>
      <c r="I55" s="70">
        <f t="shared" si="1"/>
        <v>47208421</v>
      </c>
      <c r="J55" s="70">
        <f t="shared" si="1"/>
        <v>4</v>
      </c>
      <c r="K55" s="70">
        <f t="shared" si="1"/>
        <v>4001681</v>
      </c>
      <c r="L55" s="70">
        <f t="shared" si="1"/>
        <v>43736014</v>
      </c>
      <c r="M55" s="71">
        <f t="shared" si="1"/>
        <v>6502967</v>
      </c>
      <c r="N55" s="72"/>
      <c r="O55" s="73">
        <f>SUM(O29:O54)</f>
        <v>264673</v>
      </c>
      <c r="P55" s="47">
        <f>SUM(P29:P54)</f>
        <v>1364529</v>
      </c>
      <c r="Q55" s="48">
        <f>SUM(Q29:Q54)</f>
        <v>28685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1484934</v>
      </c>
      <c r="F57" s="8"/>
      <c r="G57" s="8" t="s">
        <v>104</v>
      </c>
      <c r="H57" s="8"/>
      <c r="I57" s="8"/>
      <c r="J57" s="8" t="s">
        <v>105</v>
      </c>
      <c r="K57" s="74">
        <v>32533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860912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441560</v>
      </c>
      <c r="F59" s="8"/>
      <c r="G59" s="8" t="s">
        <v>108</v>
      </c>
      <c r="H59" s="8"/>
      <c r="I59" s="8"/>
      <c r="J59" s="8" t="s">
        <v>105</v>
      </c>
      <c r="K59" s="74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2015-02-15T11:02:49Z</cp:lastPrinted>
  <dcterms:created xsi:type="dcterms:W3CDTF">2014-06-24T13:01:17Z</dcterms:created>
  <dcterms:modified xsi:type="dcterms:W3CDTF">2015-02-17T09:04:09Z</dcterms:modified>
</cp:coreProperties>
</file>