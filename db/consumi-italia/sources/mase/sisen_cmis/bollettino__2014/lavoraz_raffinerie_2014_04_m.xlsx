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C27" i="1"/>
  <c r="D27" i="1"/>
  <c r="E27" i="1"/>
  <c r="F27" i="1"/>
  <c r="G27" i="1"/>
  <c r="H27" i="1"/>
  <c r="I27" i="1"/>
  <c r="J27" i="1"/>
  <c r="K27" i="1"/>
  <c r="L27" i="1"/>
  <c r="M27" i="1"/>
  <c r="O27" i="1"/>
  <c r="P27" i="1"/>
  <c r="Q27" i="1"/>
  <c r="J36" i="1"/>
  <c r="J38" i="1"/>
  <c r="J55" i="1" s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K27" i="2" s="1"/>
  <c r="C27" i="2"/>
  <c r="D27" i="2"/>
  <c r="E27" i="2"/>
  <c r="F27" i="2"/>
  <c r="G27" i="2"/>
  <c r="H27" i="2"/>
  <c r="I27" i="2"/>
  <c r="J27" i="2"/>
  <c r="L27" i="2"/>
  <c r="M27" i="2"/>
  <c r="O27" i="2"/>
  <c r="P27" i="2"/>
  <c r="Q27" i="2"/>
  <c r="J38" i="2"/>
  <c r="J55" i="2" s="1"/>
  <c r="J39" i="2"/>
  <c r="J52" i="2"/>
  <c r="C55" i="2"/>
  <c r="D55" i="2"/>
  <c r="E55" i="2"/>
  <c r="F55" i="2"/>
  <c r="G55" i="2"/>
  <c r="H55" i="2"/>
  <c r="I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<sst xmlns="http://schemas.openxmlformats.org/spreadsheetml/2006/main" count="244" uniqueCount="112">
  <si>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</si>
  <si>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</si>
  <si>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</si>
  <si>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</si>
  <si>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</si>
  <si>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</si>
  <si>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</si>
  <si>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</si>
  <si>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</si>
  <si>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</si>
  <si>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</si>
  <si>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</si>
  <si>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</si>
  <si>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</si>
  <si>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</si>
  <si>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</si>
  <si>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</si>
  <si>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</si>
  <si>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</si>
  <si>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</si>
  <si>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</si>
  <si>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</si>
  <si>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</si>
  <si>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</si>
  <si>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</si>
  <si>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</si>
  <si>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</si>
  <si>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</si>
  <si>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</si>
  <si>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</si>
  <si>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</si>
  <si>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</si>
  <si>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</si>
  <si>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</si>
  <si>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</si>
  <si>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</si>
  <si>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</si>
  <si>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</si>
  <si>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</si>
  <si>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</si>
  <si>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</si>
  <si>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</si>
  <si>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</si>
  <si>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</si>
  <si>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</si>
  <si>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</si>
  <si>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</si>
  <si>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</si>
  <si>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</si>
  <si>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</si>
  <si>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</si>
  <si>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</si>
  <si>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</si>
  <si>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</si>
  <si>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</si>
  <si>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</si>
  <si>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</si>
  <si>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</si>
  <si>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</si>
  <si>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</si>
  <si>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</si>
  <si>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</si>
  <si>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</si>
  <si>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</si>
  <si>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</si>
  <si>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</si>
  <si>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</si>
  <si>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</si>
  <si>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</si>
  <si>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</si>
  <si>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</si>
  <si>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</si>
  <si>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</si>
  <si>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</si>
  <si>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</si>
  <si>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</si>
  <si>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</si>
  <si>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</si>
  <si>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</si>
  <si>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</si>
  <si>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</si>
  <si>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</si>
  <si>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</si>
  <si>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</si>
  <si>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</si>
  <si>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</si>
  <si>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</si>
  <si>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</si>
  <si>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</si>
  <si>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</si>
  <si>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</si>
  <si>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</si>
  <si>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</si>
  <si>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</si>
  <si>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</si>
  <si>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</si>
  <si>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</si>
  <si>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</si>
  <si>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</si>
  <si>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</si>
  <si>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</si>
  <si>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</si>
  <si>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</si>
  <si>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</si>
  <si>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</si>
  <si>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</si>
  <si>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</si>
  <si>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</si>
  <si>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</si>
  <si>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</si>
  <si>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</si>
  <si>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aprile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</si>
</sst>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4"/>
      </right>
      <top/>
      <bottom style="double">
        <color indexed="8"/>
      </bottom>
      <diagonal/>
    </border>
  </borders>
  <cellStyleXfs count="1">
    <xf numFmtId="0" fontId="0" fillId="0" borderId="0" applyFill="0" applyProtection="0"/>
  </cellStyleXfs>
  <cellXfs count="90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  <xf numFmtId="2" fontId="9" fillId="3" borderId="1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6" fillId="2" borderId="2" xfId="0" applyFont="1" applyFill="1" applyBorder="1" applyAlignment="1" applyProtection="1">
      <alignment horizontal="left" vertical="center"/>
    </xf>
    <xf numFmtId="2" fontId="9" fillId="3" borderId="0" xfId="0" applyNumberFormat="1" applyFont="1" applyFill="1" applyBorder="1" applyAlignment="1" applyProtection="1">
      <alignment horizontal="center"/>
    </xf>
    <xf numFmtId="3" fontId="5" fillId="3" borderId="49" xfId="0" applyNumberFormat="1" applyFont="1" applyFill="1" applyBorder="1" applyProtection="1"/>
    <xf numFmtId="3" fontId="5" fillId="0" borderId="48" xfId="0" applyNumberFormat="1" applyFont="1" applyFill="1" applyBorder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79" t="s">
        <v>0</v>
      </c>
      <c r="C1" s="79"/>
      <c r="D1" s="79"/>
      <c r="E1" s="79" t="s">
        <v>1</v>
      </c>
      <c r="F1" s="79"/>
      <c r="G1" s="79"/>
      <c r="H1" s="79"/>
      <c r="I1" s="79"/>
      <c r="J1" s="79"/>
      <c r="K1" s="79"/>
      <c r="L1" s="3"/>
      <c r="M1" s="3"/>
      <c r="N1" s="3"/>
      <c r="O1" s="8"/>
      <c r="P1" s="79" t="s">
        <v>2</v>
      </c>
      <c r="Q1" s="79"/>
    </row>
    <row r="2" spans="1:17" ht="15" customHeight="1" x14ac:dyDescent="0.25">
      <c r="A2" s="3"/>
      <c r="B2" s="80" t="s">
        <v>109</v>
      </c>
      <c r="C2" s="79"/>
      <c r="D2" s="79"/>
      <c r="E2" s="80" t="s">
        <v>110</v>
      </c>
      <c r="F2" s="81"/>
      <c r="G2" s="81"/>
      <c r="H2" s="81"/>
      <c r="I2" s="81"/>
      <c r="J2" s="81"/>
      <c r="K2" s="81"/>
      <c r="L2" s="3"/>
      <c r="M2" s="3"/>
      <c r="N2" s="3"/>
      <c r="O2" s="3"/>
      <c r="P2" s="3"/>
      <c r="Q2" s="3"/>
    </row>
    <row r="3" spans="1:17" ht="15" customHeight="1" x14ac:dyDescent="0.25">
      <c r="A3" s="3"/>
      <c r="B3" s="77"/>
      <c r="C3" s="77"/>
      <c r="D3" s="77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79" t="s">
        <v>3</v>
      </c>
      <c r="F4" s="79"/>
      <c r="G4" s="79"/>
      <c r="H4" s="79"/>
      <c r="I4" s="79"/>
      <c r="J4" s="79"/>
      <c r="K4" s="79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5" t="s">
        <v>4</v>
      </c>
      <c r="C5" s="85"/>
      <c r="D5" s="85"/>
      <c r="E5" s="79" t="s">
        <v>5</v>
      </c>
      <c r="F5" s="79"/>
      <c r="G5" s="79"/>
      <c r="H5" s="79"/>
      <c r="I5" s="79"/>
      <c r="J5" s="79"/>
      <c r="K5" s="79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3" t="s">
        <v>6</v>
      </c>
      <c r="M6" s="83"/>
      <c r="N6" s="83"/>
      <c r="O6" s="83"/>
      <c r="P6" s="83"/>
      <c r="Q6" s="83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3" t="s">
        <v>111</v>
      </c>
      <c r="M7" s="83"/>
      <c r="N7" s="83"/>
      <c r="O7" s="83"/>
      <c r="P7" s="83"/>
      <c r="Q7" s="83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3"/>
      <c r="M8" s="83"/>
      <c r="N8" s="83"/>
      <c r="O8" s="83"/>
      <c r="P8" s="83"/>
      <c r="Q8" s="83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84"/>
      <c r="M9" s="84"/>
      <c r="N9" s="84"/>
      <c r="O9" s="84"/>
      <c r="P9" s="84"/>
      <c r="Q9" s="84"/>
    </row>
    <row r="10" spans="1:17" ht="15" customHeight="1" x14ac:dyDescent="0.25">
      <c r="A10" s="6"/>
      <c r="B10" s="78" t="s">
        <v>7</v>
      </c>
      <c r="C10" s="78"/>
      <c r="D10" s="7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7">
        <v>364347.79</v>
      </c>
      <c r="D12" s="27">
        <v>0</v>
      </c>
      <c r="E12" s="28">
        <v>99778</v>
      </c>
      <c r="F12" s="29">
        <v>348948</v>
      </c>
      <c r="G12" s="26">
        <v>0</v>
      </c>
      <c r="H12" s="30">
        <v>295884</v>
      </c>
      <c r="I12" s="31"/>
      <c r="J12" s="32"/>
      <c r="K12" s="27">
        <v>0</v>
      </c>
      <c r="L12" s="30">
        <v>50741</v>
      </c>
      <c r="M12" s="33">
        <v>466448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7">
        <v>2511190.9300000002</v>
      </c>
      <c r="D13" s="27">
        <v>4167741</v>
      </c>
      <c r="E13" s="27">
        <v>0</v>
      </c>
      <c r="F13" s="30">
        <v>5</v>
      </c>
      <c r="G13" s="27">
        <v>0</v>
      </c>
      <c r="H13" s="27">
        <v>4100385</v>
      </c>
      <c r="I13" s="36"/>
      <c r="J13" s="36"/>
      <c r="K13" s="27">
        <v>0</v>
      </c>
      <c r="L13" s="37">
        <v>5024</v>
      </c>
      <c r="M13" s="33">
        <v>2573526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7">
        <v>114046.25</v>
      </c>
      <c r="D14" s="27">
        <v>0</v>
      </c>
      <c r="E14" s="27">
        <v>37130</v>
      </c>
      <c r="F14" s="27">
        <v>43434</v>
      </c>
      <c r="G14" s="27">
        <v>81469</v>
      </c>
      <c r="H14" s="27">
        <v>136426</v>
      </c>
      <c r="I14" s="36"/>
      <c r="J14" s="36"/>
      <c r="K14" s="27">
        <v>0</v>
      </c>
      <c r="L14" s="37">
        <v>37275</v>
      </c>
      <c r="M14" s="33">
        <v>102378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7">
        <v>22368.11</v>
      </c>
      <c r="D15" s="27">
        <v>84865</v>
      </c>
      <c r="E15" s="27">
        <v>0</v>
      </c>
      <c r="F15" s="27">
        <v>84849</v>
      </c>
      <c r="G15" s="27">
        <v>0</v>
      </c>
      <c r="H15" s="27">
        <v>127424</v>
      </c>
      <c r="I15" s="36"/>
      <c r="J15" s="36"/>
      <c r="K15" s="27">
        <v>0</v>
      </c>
      <c r="L15" s="37">
        <v>0</v>
      </c>
      <c r="M15" s="33">
        <v>64658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7">
        <v>472904.47</v>
      </c>
      <c r="D16" s="27">
        <v>576877</v>
      </c>
      <c r="E16" s="27">
        <v>21223</v>
      </c>
      <c r="F16" s="27">
        <v>69552</v>
      </c>
      <c r="G16" s="27">
        <v>0</v>
      </c>
      <c r="H16" s="27">
        <v>609666</v>
      </c>
      <c r="I16" s="36"/>
      <c r="J16" s="36"/>
      <c r="K16" s="27">
        <v>0</v>
      </c>
      <c r="L16" s="37">
        <v>0</v>
      </c>
      <c r="M16" s="33">
        <v>530890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7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7">
        <v>4004.39</v>
      </c>
      <c r="D18" s="27">
        <v>731</v>
      </c>
      <c r="E18" s="27">
        <v>3589</v>
      </c>
      <c r="F18" s="27">
        <v>0</v>
      </c>
      <c r="G18" s="27">
        <v>0</v>
      </c>
      <c r="H18" s="27">
        <v>5134</v>
      </c>
      <c r="I18" s="36"/>
      <c r="J18" s="36"/>
      <c r="K18" s="27">
        <v>0</v>
      </c>
      <c r="L18" s="37">
        <v>0</v>
      </c>
      <c r="M18" s="33">
        <v>3190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7">
        <v>33690.21</v>
      </c>
      <c r="D19" s="27">
        <v>12173</v>
      </c>
      <c r="E19" s="27">
        <v>32005</v>
      </c>
      <c r="F19" s="27">
        <v>0</v>
      </c>
      <c r="G19" s="27">
        <v>0</v>
      </c>
      <c r="H19" s="27">
        <v>44031</v>
      </c>
      <c r="I19" s="36"/>
      <c r="J19" s="36"/>
      <c r="K19" s="27">
        <v>0</v>
      </c>
      <c r="L19" s="37">
        <v>0</v>
      </c>
      <c r="M19" s="33">
        <v>33837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7">
        <v>4362.5200000000004</v>
      </c>
      <c r="D20" s="27">
        <v>0</v>
      </c>
      <c r="E20" s="27">
        <v>0</v>
      </c>
      <c r="F20" s="27">
        <v>0</v>
      </c>
      <c r="G20" s="27">
        <v>0</v>
      </c>
      <c r="H20" s="27">
        <v>1054</v>
      </c>
      <c r="I20" s="36"/>
      <c r="J20" s="36"/>
      <c r="K20" s="27">
        <v>0</v>
      </c>
      <c r="L20" s="37">
        <v>0</v>
      </c>
      <c r="M20" s="33">
        <v>3308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7">
        <v>8160.72</v>
      </c>
      <c r="D21" s="27">
        <v>7983</v>
      </c>
      <c r="E21" s="27">
        <v>13011</v>
      </c>
      <c r="F21" s="27">
        <v>0</v>
      </c>
      <c r="G21" s="27">
        <v>0</v>
      </c>
      <c r="H21" s="27">
        <v>16844</v>
      </c>
      <c r="I21" s="36"/>
      <c r="J21" s="36"/>
      <c r="K21" s="27">
        <v>0</v>
      </c>
      <c r="L21" s="37">
        <v>0</v>
      </c>
      <c r="M21" s="33">
        <v>12310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7">
        <v>4216.5200000000004</v>
      </c>
      <c r="D22" s="27">
        <v>0</v>
      </c>
      <c r="E22" s="27">
        <v>191</v>
      </c>
      <c r="F22" s="27">
        <v>0</v>
      </c>
      <c r="G22" s="27">
        <v>0</v>
      </c>
      <c r="H22" s="27">
        <v>1797</v>
      </c>
      <c r="I22" s="36"/>
      <c r="J22" s="36"/>
      <c r="K22" s="27">
        <v>0</v>
      </c>
      <c r="L22" s="37">
        <v>0</v>
      </c>
      <c r="M22" s="33">
        <v>2609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7">
        <v>23053.4</v>
      </c>
      <c r="D23" s="27">
        <v>0</v>
      </c>
      <c r="E23" s="27">
        <v>712</v>
      </c>
      <c r="F23" s="27">
        <v>0</v>
      </c>
      <c r="G23" s="27">
        <v>0</v>
      </c>
      <c r="H23" s="27">
        <v>818</v>
      </c>
      <c r="I23" s="36"/>
      <c r="J23" s="36"/>
      <c r="K23" s="27">
        <v>0</v>
      </c>
      <c r="L23" s="37">
        <v>0</v>
      </c>
      <c r="M23" s="33">
        <v>22947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7">
        <v>6101.02</v>
      </c>
      <c r="D24" s="27">
        <v>11020</v>
      </c>
      <c r="E24" s="27">
        <v>0</v>
      </c>
      <c r="F24" s="27">
        <v>0</v>
      </c>
      <c r="G24" s="27">
        <v>0</v>
      </c>
      <c r="H24" s="27">
        <v>11051</v>
      </c>
      <c r="I24" s="36"/>
      <c r="J24" s="36"/>
      <c r="K24" s="27">
        <v>0</v>
      </c>
      <c r="L24" s="37">
        <v>0</v>
      </c>
      <c r="M24" s="33">
        <v>6069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7">
        <v>1003.66</v>
      </c>
      <c r="D25" s="27">
        <v>7525</v>
      </c>
      <c r="E25" s="27">
        <v>0</v>
      </c>
      <c r="F25" s="27">
        <v>0</v>
      </c>
      <c r="G25" s="27">
        <v>0</v>
      </c>
      <c r="H25" s="27">
        <v>7612</v>
      </c>
      <c r="I25" s="36"/>
      <c r="J25" s="36"/>
      <c r="K25" s="27">
        <v>0</v>
      </c>
      <c r="L25" s="37">
        <v>0</v>
      </c>
      <c r="M25" s="33">
        <v>917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108881</v>
      </c>
      <c r="F26" s="41">
        <v>450</v>
      </c>
      <c r="G26" s="41">
        <v>0</v>
      </c>
      <c r="H26" s="41">
        <v>0</v>
      </c>
      <c r="I26" s="42"/>
      <c r="J26" s="42"/>
      <c r="K26" s="41">
        <v>109331</v>
      </c>
      <c r="L26" s="43">
        <v>0</v>
      </c>
      <c r="M26" s="44">
        <v>0</v>
      </c>
      <c r="N26" s="38"/>
      <c r="O26" s="37">
        <v>8742</v>
      </c>
      <c r="P26" s="37">
        <v>24459</v>
      </c>
      <c r="Q26" s="39">
        <v>1594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3569449.99</v>
      </c>
      <c r="D27" s="46">
        <f t="shared" si="0"/>
        <v>4868915</v>
      </c>
      <c r="E27" s="46">
        <f t="shared" si="0"/>
        <v>316520</v>
      </c>
      <c r="F27" s="46">
        <f t="shared" si="0"/>
        <v>547238</v>
      </c>
      <c r="G27" s="46">
        <f t="shared" si="0"/>
        <v>81469</v>
      </c>
      <c r="H27" s="46">
        <f t="shared" si="0"/>
        <v>5358126</v>
      </c>
      <c r="I27" s="46">
        <f t="shared" si="0"/>
        <v>0</v>
      </c>
      <c r="J27" s="46">
        <f t="shared" si="0"/>
        <v>0</v>
      </c>
      <c r="K27" s="46">
        <f t="shared" si="0"/>
        <v>109331</v>
      </c>
      <c r="L27" s="46">
        <f t="shared" si="0"/>
        <v>93040</v>
      </c>
      <c r="M27" s="47">
        <f t="shared" si="0"/>
        <v>3823087</v>
      </c>
      <c r="N27" s="48"/>
      <c r="O27" s="49">
        <f>SUM(O12:O26)</f>
        <v>8742</v>
      </c>
      <c r="P27" s="49">
        <f>SUM(P12:P26)</f>
        <v>24459</v>
      </c>
      <c r="Q27" s="50">
        <f>SUM(Q12:Q26)</f>
        <v>1594</v>
      </c>
    </row>
    <row r="28" spans="1:17" ht="16.5" customHeight="1" x14ac:dyDescent="0.25">
      <c r="A28" s="18"/>
      <c r="B28" s="82" t="s">
        <v>55</v>
      </c>
      <c r="C28" s="87"/>
      <c r="D28" s="82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86" t="s">
        <v>29</v>
      </c>
      <c r="C29" s="89">
        <v>440767.74</v>
      </c>
      <c r="D29" s="51">
        <v>174</v>
      </c>
      <c r="E29" s="30">
        <v>29723</v>
      </c>
      <c r="F29" s="30">
        <v>0</v>
      </c>
      <c r="G29" s="30">
        <v>0</v>
      </c>
      <c r="H29" s="32"/>
      <c r="I29" s="30">
        <v>67569</v>
      </c>
      <c r="J29" s="30">
        <v>-27431</v>
      </c>
      <c r="K29" s="52">
        <v>0</v>
      </c>
      <c r="L29" s="52">
        <v>98032</v>
      </c>
      <c r="M29" s="53">
        <v>412771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86" t="s">
        <v>31</v>
      </c>
      <c r="C30" s="89">
        <v>812483.98</v>
      </c>
      <c r="D30" s="26">
        <v>0</v>
      </c>
      <c r="E30" s="27">
        <v>0</v>
      </c>
      <c r="F30" s="27">
        <v>0</v>
      </c>
      <c r="G30" s="27">
        <v>0</v>
      </c>
      <c r="H30" s="31"/>
      <c r="I30" s="27">
        <v>159263</v>
      </c>
      <c r="J30" s="27">
        <v>-5160</v>
      </c>
      <c r="K30" s="58">
        <v>4167</v>
      </c>
      <c r="L30" s="58">
        <v>30135</v>
      </c>
      <c r="M30" s="59">
        <v>932284</v>
      </c>
      <c r="N30" s="54"/>
      <c r="O30" s="60">
        <v>7</v>
      </c>
      <c r="P30" s="37">
        <v>4159</v>
      </c>
      <c r="Q30" s="39">
        <v>0</v>
      </c>
    </row>
    <row r="31" spans="1:17" ht="15" customHeight="1" x14ac:dyDescent="0.25">
      <c r="A31" s="24" t="s">
        <v>32</v>
      </c>
      <c r="B31" s="86" t="s">
        <v>33</v>
      </c>
      <c r="C31" s="89">
        <v>1431111.38</v>
      </c>
      <c r="D31" s="26">
        <v>0</v>
      </c>
      <c r="E31" s="27">
        <v>0</v>
      </c>
      <c r="F31" s="27">
        <v>0</v>
      </c>
      <c r="G31" s="27">
        <v>0</v>
      </c>
      <c r="H31" s="31"/>
      <c r="I31" s="27">
        <v>314914</v>
      </c>
      <c r="J31" s="27">
        <v>-50465</v>
      </c>
      <c r="K31" s="58">
        <v>175719</v>
      </c>
      <c r="L31" s="58">
        <v>190898</v>
      </c>
      <c r="M31" s="59">
        <v>1328941</v>
      </c>
      <c r="N31" s="54"/>
      <c r="O31" s="60">
        <v>1098</v>
      </c>
      <c r="P31" s="37">
        <v>174621</v>
      </c>
      <c r="Q31" s="39">
        <v>0</v>
      </c>
    </row>
    <row r="32" spans="1:17" ht="15" customHeight="1" x14ac:dyDescent="0.25">
      <c r="A32" s="24" t="s">
        <v>56</v>
      </c>
      <c r="B32" s="86" t="s">
        <v>57</v>
      </c>
      <c r="C32" s="89">
        <v>62099.95</v>
      </c>
      <c r="D32" s="26">
        <v>0</v>
      </c>
      <c r="E32" s="27">
        <v>0</v>
      </c>
      <c r="F32" s="27">
        <v>0</v>
      </c>
      <c r="G32" s="27">
        <v>0</v>
      </c>
      <c r="H32" s="31"/>
      <c r="I32" s="27">
        <v>131594</v>
      </c>
      <c r="J32" s="27">
        <v>-1</v>
      </c>
      <c r="K32" s="58">
        <v>1139</v>
      </c>
      <c r="L32" s="58">
        <v>136233</v>
      </c>
      <c r="M32" s="59">
        <v>56320</v>
      </c>
      <c r="N32" s="54"/>
      <c r="O32" s="60">
        <v>378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86" t="s">
        <v>59</v>
      </c>
      <c r="C33" s="89">
        <v>0</v>
      </c>
      <c r="D33" s="26">
        <v>1363</v>
      </c>
      <c r="E33" s="27">
        <v>1456</v>
      </c>
      <c r="F33" s="27">
        <v>0</v>
      </c>
      <c r="G33" s="27">
        <v>105</v>
      </c>
      <c r="H33" s="31"/>
      <c r="I33" s="27">
        <v>158380</v>
      </c>
      <c r="J33" s="27">
        <v>0</v>
      </c>
      <c r="K33" s="58">
        <v>153236</v>
      </c>
      <c r="L33" s="58">
        <v>8068</v>
      </c>
      <c r="M33" s="59">
        <v>0</v>
      </c>
      <c r="N33" s="54"/>
      <c r="O33" s="60">
        <v>15109</v>
      </c>
      <c r="P33" s="37">
        <v>387</v>
      </c>
      <c r="Q33" s="39">
        <v>2770</v>
      </c>
    </row>
    <row r="34" spans="1:21" ht="15" customHeight="1" x14ac:dyDescent="0.25">
      <c r="A34" s="24" t="s">
        <v>60</v>
      </c>
      <c r="B34" s="86" t="s">
        <v>61</v>
      </c>
      <c r="C34" s="89">
        <v>209061.69</v>
      </c>
      <c r="D34" s="26">
        <v>0</v>
      </c>
      <c r="E34" s="27">
        <v>0</v>
      </c>
      <c r="F34" s="27">
        <v>0</v>
      </c>
      <c r="G34" s="27">
        <v>0</v>
      </c>
      <c r="H34" s="31"/>
      <c r="I34" s="27">
        <v>302822</v>
      </c>
      <c r="J34" s="27">
        <v>0</v>
      </c>
      <c r="K34" s="58">
        <v>1854</v>
      </c>
      <c r="L34" s="58">
        <v>275344</v>
      </c>
      <c r="M34" s="59">
        <v>234684</v>
      </c>
      <c r="N34" s="54"/>
      <c r="O34" s="60">
        <v>9</v>
      </c>
      <c r="P34" s="37">
        <v>1511</v>
      </c>
      <c r="Q34" s="39">
        <v>0</v>
      </c>
    </row>
    <row r="35" spans="1:21" ht="15" customHeight="1" x14ac:dyDescent="0.25">
      <c r="A35" s="24" t="s">
        <v>62</v>
      </c>
      <c r="B35" s="86" t="s">
        <v>63</v>
      </c>
      <c r="C35" s="89">
        <v>798552.04</v>
      </c>
      <c r="D35" s="26">
        <v>16435</v>
      </c>
      <c r="E35" s="27">
        <v>0</v>
      </c>
      <c r="F35" s="27">
        <v>0</v>
      </c>
      <c r="G35" s="27">
        <v>0</v>
      </c>
      <c r="H35" s="31"/>
      <c r="I35" s="27">
        <v>947402</v>
      </c>
      <c r="J35" s="27">
        <v>16991</v>
      </c>
      <c r="K35" s="58">
        <v>0</v>
      </c>
      <c r="L35" s="58">
        <v>1035190</v>
      </c>
      <c r="M35" s="59">
        <v>744190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86" t="s">
        <v>65</v>
      </c>
      <c r="C36" s="89"/>
      <c r="D36" s="26"/>
      <c r="E36" s="27"/>
      <c r="F36" s="27"/>
      <c r="G36" s="27"/>
      <c r="H36" s="31"/>
      <c r="I36" s="27"/>
      <c r="J36" s="27">
        <f>-(C36+D36+E36+F36+G36+I36)+(M36+L36+K36)</f>
        <v>0</v>
      </c>
      <c r="K36" s="58"/>
      <c r="L36" s="58"/>
      <c r="M36" s="59"/>
      <c r="N36" s="54"/>
      <c r="O36" s="60"/>
      <c r="P36" s="37"/>
      <c r="Q36" s="39"/>
    </row>
    <row r="37" spans="1:21" ht="15" customHeight="1" x14ac:dyDescent="0.25">
      <c r="A37" s="24" t="s">
        <v>66</v>
      </c>
      <c r="B37" s="86" t="s">
        <v>67</v>
      </c>
      <c r="C37" s="89">
        <v>3088.93</v>
      </c>
      <c r="D37" s="26">
        <v>0</v>
      </c>
      <c r="E37" s="27">
        <v>0</v>
      </c>
      <c r="F37" s="27">
        <v>0</v>
      </c>
      <c r="G37" s="27">
        <v>0</v>
      </c>
      <c r="H37" s="31"/>
      <c r="I37" s="27">
        <v>1186</v>
      </c>
      <c r="J37" s="27">
        <v>0</v>
      </c>
      <c r="K37" s="58">
        <v>0</v>
      </c>
      <c r="L37" s="58">
        <v>0</v>
      </c>
      <c r="M37" s="59">
        <v>4274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86" t="s">
        <v>69</v>
      </c>
      <c r="C38" s="89"/>
      <c r="D38" s="26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86" t="s">
        <v>71</v>
      </c>
      <c r="C39" s="89"/>
      <c r="D39" s="26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86" t="s">
        <v>73</v>
      </c>
      <c r="C40" s="89">
        <v>151958.85</v>
      </c>
      <c r="D40" s="26">
        <v>7981</v>
      </c>
      <c r="E40" s="27">
        <v>0</v>
      </c>
      <c r="F40" s="27">
        <v>0</v>
      </c>
      <c r="G40" s="27">
        <v>0</v>
      </c>
      <c r="H40" s="31"/>
      <c r="I40" s="27">
        <v>160472</v>
      </c>
      <c r="J40" s="27">
        <v>801</v>
      </c>
      <c r="K40" s="58">
        <v>0</v>
      </c>
      <c r="L40" s="58">
        <v>172961</v>
      </c>
      <c r="M40" s="59">
        <v>148252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86" t="s">
        <v>75</v>
      </c>
      <c r="C41" s="89">
        <v>38100.199999999997</v>
      </c>
      <c r="D41" s="26">
        <v>0</v>
      </c>
      <c r="E41" s="27">
        <v>0</v>
      </c>
      <c r="F41" s="27">
        <v>0</v>
      </c>
      <c r="G41" s="27">
        <v>0</v>
      </c>
      <c r="H41" s="31"/>
      <c r="I41" s="27">
        <v>13567</v>
      </c>
      <c r="J41" s="27">
        <v>-10221</v>
      </c>
      <c r="K41" s="58">
        <v>0</v>
      </c>
      <c r="L41" s="58">
        <v>2246</v>
      </c>
      <c r="M41" s="59">
        <v>39200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86" t="s">
        <v>77</v>
      </c>
      <c r="C42" s="89">
        <v>2294.9299999999998</v>
      </c>
      <c r="D42" s="26">
        <v>0</v>
      </c>
      <c r="E42" s="27">
        <v>0</v>
      </c>
      <c r="F42" s="27">
        <v>0</v>
      </c>
      <c r="G42" s="27">
        <v>0</v>
      </c>
      <c r="H42" s="31"/>
      <c r="I42" s="27">
        <v>175</v>
      </c>
      <c r="J42" s="27">
        <v>0</v>
      </c>
      <c r="K42" s="58">
        <v>138</v>
      </c>
      <c r="L42" s="58">
        <v>10</v>
      </c>
      <c r="M42" s="59">
        <v>2321</v>
      </c>
      <c r="N42" s="54"/>
      <c r="O42" s="60">
        <v>124</v>
      </c>
      <c r="P42" s="37">
        <v>8</v>
      </c>
      <c r="Q42" s="39">
        <v>0</v>
      </c>
    </row>
    <row r="43" spans="1:21" ht="15" customHeight="1" x14ac:dyDescent="0.25">
      <c r="A43" s="24" t="s">
        <v>78</v>
      </c>
      <c r="B43" s="86" t="s">
        <v>79</v>
      </c>
      <c r="C43" s="89">
        <v>1133255.02</v>
      </c>
      <c r="D43" s="26">
        <v>53834</v>
      </c>
      <c r="E43" s="27">
        <v>0</v>
      </c>
      <c r="F43" s="27">
        <v>0</v>
      </c>
      <c r="G43" s="27">
        <v>0</v>
      </c>
      <c r="H43" s="31"/>
      <c r="I43" s="27">
        <v>2153046</v>
      </c>
      <c r="J43" s="27">
        <v>50393</v>
      </c>
      <c r="K43" s="58">
        <v>534</v>
      </c>
      <c r="L43" s="58">
        <v>2361873</v>
      </c>
      <c r="M43" s="59">
        <v>1028122</v>
      </c>
      <c r="N43" s="54"/>
      <c r="O43" s="60">
        <v>0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86" t="s">
        <v>81</v>
      </c>
      <c r="C44" s="89">
        <v>538777.4</v>
      </c>
      <c r="D44" s="26">
        <v>0</v>
      </c>
      <c r="E44" s="27">
        <v>0</v>
      </c>
      <c r="F44" s="27">
        <v>0</v>
      </c>
      <c r="G44" s="27">
        <v>0</v>
      </c>
      <c r="H44" s="31"/>
      <c r="I44" s="27">
        <v>383189</v>
      </c>
      <c r="J44" s="27">
        <v>39136</v>
      </c>
      <c r="K44" s="58">
        <v>2929</v>
      </c>
      <c r="L44" s="58">
        <v>321006</v>
      </c>
      <c r="M44" s="59">
        <v>637167</v>
      </c>
      <c r="N44" s="54"/>
      <c r="O44" s="60">
        <v>907</v>
      </c>
      <c r="P44" s="37">
        <v>24</v>
      </c>
      <c r="Q44" s="39">
        <v>11</v>
      </c>
    </row>
    <row r="45" spans="1:21" ht="15" customHeight="1" x14ac:dyDescent="0.25">
      <c r="A45" s="24" t="s">
        <v>82</v>
      </c>
      <c r="B45" s="86" t="s">
        <v>83</v>
      </c>
      <c r="C45" s="89">
        <v>285758.58</v>
      </c>
      <c r="D45" s="26">
        <v>0</v>
      </c>
      <c r="E45" s="27">
        <v>0</v>
      </c>
      <c r="F45" s="27">
        <v>0</v>
      </c>
      <c r="G45" s="27">
        <v>0</v>
      </c>
      <c r="H45" s="31"/>
      <c r="I45" s="27">
        <v>148040</v>
      </c>
      <c r="J45" s="27">
        <v>-14043</v>
      </c>
      <c r="K45" s="58">
        <v>30925</v>
      </c>
      <c r="L45" s="58">
        <v>124740</v>
      </c>
      <c r="M45" s="59">
        <v>264089</v>
      </c>
      <c r="N45" s="54"/>
      <c r="O45" s="60">
        <v>10182</v>
      </c>
      <c r="P45" s="37">
        <v>0</v>
      </c>
      <c r="Q45" s="39">
        <v>216</v>
      </c>
    </row>
    <row r="46" spans="1:21" ht="15" customHeight="1" x14ac:dyDescent="0.25">
      <c r="A46" s="24" t="s">
        <v>84</v>
      </c>
      <c r="B46" s="86" t="s">
        <v>85</v>
      </c>
      <c r="C46" s="89">
        <v>203158.25</v>
      </c>
      <c r="D46" s="26">
        <v>0</v>
      </c>
      <c r="E46" s="27">
        <v>0</v>
      </c>
      <c r="F46" s="27">
        <v>0</v>
      </c>
      <c r="G46" s="27">
        <v>0</v>
      </c>
      <c r="H46" s="31"/>
      <c r="I46" s="27">
        <v>171535</v>
      </c>
      <c r="J46" s="27">
        <v>194</v>
      </c>
      <c r="K46" s="58">
        <v>0</v>
      </c>
      <c r="L46" s="58">
        <v>211419</v>
      </c>
      <c r="M46" s="59">
        <v>163468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86" t="s">
        <v>87</v>
      </c>
      <c r="C47" s="89">
        <v>69844.09</v>
      </c>
      <c r="D47" s="26">
        <v>0</v>
      </c>
      <c r="E47" s="27">
        <v>0</v>
      </c>
      <c r="F47" s="27">
        <v>0</v>
      </c>
      <c r="G47" s="27">
        <v>0</v>
      </c>
      <c r="H47" s="31"/>
      <c r="I47" s="27">
        <v>47325</v>
      </c>
      <c r="J47" s="27">
        <v>0</v>
      </c>
      <c r="K47" s="58">
        <v>58840</v>
      </c>
      <c r="L47" s="58">
        <v>0</v>
      </c>
      <c r="M47" s="59">
        <v>58329</v>
      </c>
      <c r="N47" s="54"/>
      <c r="O47" s="60">
        <v>3564</v>
      </c>
      <c r="P47" s="37">
        <v>96</v>
      </c>
      <c r="Q47" s="39">
        <v>47</v>
      </c>
    </row>
    <row r="48" spans="1:21" ht="15" customHeight="1" x14ac:dyDescent="0.25">
      <c r="A48" s="24" t="s">
        <v>88</v>
      </c>
      <c r="B48" s="86" t="s">
        <v>89</v>
      </c>
      <c r="C48" s="89">
        <v>116817.94</v>
      </c>
      <c r="D48" s="26">
        <v>3898</v>
      </c>
      <c r="E48" s="27">
        <v>112</v>
      </c>
      <c r="F48" s="27">
        <v>0</v>
      </c>
      <c r="G48" s="27">
        <v>0</v>
      </c>
      <c r="H48" s="31"/>
      <c r="I48" s="27">
        <v>73369</v>
      </c>
      <c r="J48" s="27">
        <v>-194</v>
      </c>
      <c r="K48" s="58">
        <v>0</v>
      </c>
      <c r="L48" s="58">
        <v>98696</v>
      </c>
      <c r="M48" s="59">
        <v>95306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86" t="s">
        <v>91</v>
      </c>
      <c r="C49" s="89">
        <v>6182.73</v>
      </c>
      <c r="D49" s="26">
        <v>0</v>
      </c>
      <c r="E49" s="27">
        <v>0</v>
      </c>
      <c r="F49" s="27">
        <v>0</v>
      </c>
      <c r="G49" s="27">
        <v>0</v>
      </c>
      <c r="H49" s="31"/>
      <c r="I49" s="27">
        <v>5021</v>
      </c>
      <c r="J49" s="27">
        <v>0</v>
      </c>
      <c r="K49" s="58">
        <v>0</v>
      </c>
      <c r="L49" s="58">
        <v>4790</v>
      </c>
      <c r="M49" s="59">
        <v>6414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86" t="s">
        <v>93</v>
      </c>
      <c r="C50" s="89">
        <v>4373.5600000000004</v>
      </c>
      <c r="D50" s="26">
        <v>0</v>
      </c>
      <c r="E50" s="27">
        <v>0</v>
      </c>
      <c r="F50" s="27">
        <v>0</v>
      </c>
      <c r="G50" s="27">
        <v>0</v>
      </c>
      <c r="H50" s="31"/>
      <c r="I50" s="27">
        <v>39288</v>
      </c>
      <c r="J50" s="27">
        <v>0</v>
      </c>
      <c r="K50" s="58">
        <v>0</v>
      </c>
      <c r="L50" s="58">
        <v>38100</v>
      </c>
      <c r="M50" s="59">
        <v>5561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86" t="s">
        <v>95</v>
      </c>
      <c r="C51" s="89">
        <v>37865.620000000003</v>
      </c>
      <c r="D51" s="26">
        <v>0</v>
      </c>
      <c r="E51" s="27">
        <v>0</v>
      </c>
      <c r="F51" s="27">
        <v>0</v>
      </c>
      <c r="G51" s="27">
        <v>0</v>
      </c>
      <c r="H51" s="31"/>
      <c r="I51" s="27">
        <v>19290</v>
      </c>
      <c r="J51" s="27">
        <v>0</v>
      </c>
      <c r="K51" s="58">
        <v>0</v>
      </c>
      <c r="L51" s="58">
        <v>16684</v>
      </c>
      <c r="M51" s="59">
        <v>40472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86" t="s">
        <v>97</v>
      </c>
      <c r="C52" s="89"/>
      <c r="D52" s="26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86" t="s">
        <v>99</v>
      </c>
      <c r="C53" s="89">
        <v>10017.200000000001</v>
      </c>
      <c r="D53" s="61">
        <v>0</v>
      </c>
      <c r="E53" s="62">
        <v>0</v>
      </c>
      <c r="F53" s="62">
        <v>0</v>
      </c>
      <c r="G53" s="62">
        <v>0</v>
      </c>
      <c r="H53" s="63"/>
      <c r="I53" s="62">
        <v>23722</v>
      </c>
      <c r="J53" s="62">
        <v>0</v>
      </c>
      <c r="K53" s="64">
        <v>141</v>
      </c>
      <c r="L53" s="64">
        <v>22084</v>
      </c>
      <c r="M53" s="65">
        <v>11513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88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36955</v>
      </c>
      <c r="J54" s="67">
        <v>0</v>
      </c>
      <c r="K54" s="69">
        <v>36955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6355570.0800000019</v>
      </c>
      <c r="D55" s="72">
        <f t="shared" si="1"/>
        <v>83685</v>
      </c>
      <c r="E55" s="72">
        <f t="shared" si="1"/>
        <v>31291</v>
      </c>
      <c r="F55" s="72">
        <f t="shared" si="1"/>
        <v>0</v>
      </c>
      <c r="G55" s="72">
        <f t="shared" si="1"/>
        <v>105</v>
      </c>
      <c r="H55" s="72">
        <f t="shared" si="1"/>
        <v>0</v>
      </c>
      <c r="I55" s="72">
        <f t="shared" si="1"/>
        <v>5358124</v>
      </c>
      <c r="J55" s="72">
        <f t="shared" si="1"/>
        <v>0</v>
      </c>
      <c r="K55" s="72">
        <f t="shared" si="1"/>
        <v>466577</v>
      </c>
      <c r="L55" s="72">
        <f t="shared" si="1"/>
        <v>5148509</v>
      </c>
      <c r="M55" s="73">
        <f t="shared" si="1"/>
        <v>6213678</v>
      </c>
      <c r="N55" s="74"/>
      <c r="O55" s="75">
        <f>SUM(O29:O54)</f>
        <v>31378</v>
      </c>
      <c r="P55" s="49">
        <f>SUM(P29:P54)</f>
        <v>180806</v>
      </c>
      <c r="Q55" s="50">
        <f>SUM(Q29:Q54)</f>
        <v>3044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28:D28"/>
    <mergeCell ref="L7:Q7"/>
    <mergeCell ref="L8:Q8"/>
    <mergeCell ref="L9:Q9"/>
    <mergeCell ref="B5:D5"/>
    <mergeCell ref="L6:Q6"/>
    <mergeCell ref="B3:D3"/>
    <mergeCell ref="B10:D10"/>
    <mergeCell ref="B1:D1"/>
    <mergeCell ref="P1:Q1"/>
    <mergeCell ref="E4:K4"/>
    <mergeCell ref="E5:K5"/>
    <mergeCell ref="E1:K1"/>
    <mergeCell ref="B2:D2"/>
    <mergeCell ref="E2:K2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79" t="s">
        <v>0</v>
      </c>
      <c r="C1" s="79"/>
      <c r="D1" s="79"/>
      <c r="E1" s="79" t="s">
        <v>1</v>
      </c>
      <c r="F1" s="79"/>
      <c r="G1" s="79"/>
      <c r="H1" s="79"/>
      <c r="I1" s="79"/>
      <c r="J1" s="79"/>
      <c r="K1" s="79"/>
      <c r="L1" s="3"/>
      <c r="M1" s="3"/>
      <c r="N1" s="3"/>
      <c r="O1" s="8"/>
      <c r="P1" s="79" t="s">
        <v>2</v>
      </c>
      <c r="Q1" s="79"/>
    </row>
    <row r="2" spans="1:17" ht="15" customHeight="1" x14ac:dyDescent="0.25">
      <c r="A2" s="3"/>
      <c r="B2" s="80" t="s">
        <v>109</v>
      </c>
      <c r="C2" s="79"/>
      <c r="D2" s="79"/>
      <c r="E2" s="80" t="s">
        <v>110</v>
      </c>
      <c r="F2" s="81"/>
      <c r="G2" s="81"/>
      <c r="H2" s="81"/>
      <c r="I2" s="81"/>
      <c r="J2" s="81"/>
      <c r="K2" s="81"/>
      <c r="L2" s="3"/>
      <c r="M2" s="3"/>
      <c r="N2" s="3"/>
      <c r="O2" s="3"/>
      <c r="P2" s="3"/>
      <c r="Q2" s="3"/>
    </row>
    <row r="3" spans="1:17" ht="15" customHeight="1" x14ac:dyDescent="0.25">
      <c r="A3" s="3"/>
      <c r="B3" s="77"/>
      <c r="C3" s="77"/>
      <c r="D3" s="77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79" t="s">
        <v>3</v>
      </c>
      <c r="F4" s="79"/>
      <c r="G4" s="79"/>
      <c r="H4" s="79"/>
      <c r="I4" s="79"/>
      <c r="J4" s="79"/>
      <c r="K4" s="79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85" t="s">
        <v>4</v>
      </c>
      <c r="C5" s="85"/>
      <c r="D5" s="85"/>
      <c r="E5" s="79" t="s">
        <v>5</v>
      </c>
      <c r="F5" s="79"/>
      <c r="G5" s="79"/>
      <c r="H5" s="79"/>
      <c r="I5" s="79"/>
      <c r="J5" s="79"/>
      <c r="K5" s="79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3" t="s">
        <v>6</v>
      </c>
      <c r="M6" s="83"/>
      <c r="N6" s="83"/>
      <c r="O6" s="83"/>
      <c r="P6" s="83"/>
      <c r="Q6" s="83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3" t="s">
        <v>111</v>
      </c>
      <c r="M7" s="83"/>
      <c r="N7" s="83"/>
      <c r="O7" s="83"/>
      <c r="P7" s="83"/>
      <c r="Q7" s="83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3"/>
      <c r="M8" s="83"/>
      <c r="N8" s="83"/>
      <c r="O8" s="83"/>
      <c r="P8" s="83"/>
      <c r="Q8" s="83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84"/>
      <c r="M9" s="84"/>
      <c r="N9" s="84"/>
      <c r="O9" s="84"/>
      <c r="P9" s="84"/>
      <c r="Q9" s="84"/>
    </row>
    <row r="10" spans="1:17" ht="15" customHeight="1" x14ac:dyDescent="0.25">
      <c r="A10" s="6"/>
      <c r="B10" s="78" t="s">
        <v>7</v>
      </c>
      <c r="C10" s="78"/>
      <c r="D10" s="78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6">
        <v>223562</v>
      </c>
      <c r="D12" s="27">
        <v>0</v>
      </c>
      <c r="E12" s="28">
        <v>314995</v>
      </c>
      <c r="F12" s="29">
        <v>1585110</v>
      </c>
      <c r="G12" s="26">
        <v>0</v>
      </c>
      <c r="H12" s="30">
        <v>1606478</v>
      </c>
      <c r="I12" s="31"/>
      <c r="J12" s="32"/>
      <c r="K12" s="27">
        <v>0</v>
      </c>
      <c r="L12" s="30">
        <v>50741</v>
      </c>
      <c r="M12" s="33">
        <v>466448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6">
        <v>2622098</v>
      </c>
      <c r="D13" s="27">
        <v>17094394</v>
      </c>
      <c r="E13" s="27">
        <v>0</v>
      </c>
      <c r="F13" s="30">
        <v>5</v>
      </c>
      <c r="G13" s="27">
        <v>0</v>
      </c>
      <c r="H13" s="27">
        <v>17138017</v>
      </c>
      <c r="I13" s="36"/>
      <c r="J13" s="36"/>
      <c r="K13" s="27">
        <v>0</v>
      </c>
      <c r="L13" s="37">
        <v>4953</v>
      </c>
      <c r="M13" s="33">
        <v>2573526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6">
        <v>92644</v>
      </c>
      <c r="D14" s="27">
        <v>698</v>
      </c>
      <c r="E14" s="27">
        <v>151214</v>
      </c>
      <c r="F14" s="27">
        <v>198274</v>
      </c>
      <c r="G14" s="27">
        <v>315489</v>
      </c>
      <c r="H14" s="27">
        <v>520921</v>
      </c>
      <c r="I14" s="36"/>
      <c r="J14" s="36"/>
      <c r="K14" s="27">
        <v>0</v>
      </c>
      <c r="L14" s="37">
        <v>135021</v>
      </c>
      <c r="M14" s="33">
        <v>102378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6">
        <v>11165</v>
      </c>
      <c r="D15" s="27">
        <v>182039</v>
      </c>
      <c r="E15" s="27">
        <v>0</v>
      </c>
      <c r="F15" s="27">
        <v>343255</v>
      </c>
      <c r="G15" s="27">
        <v>0</v>
      </c>
      <c r="H15" s="27">
        <v>471802</v>
      </c>
      <c r="I15" s="36"/>
      <c r="J15" s="36"/>
      <c r="K15" s="27">
        <v>0</v>
      </c>
      <c r="L15" s="37">
        <v>0</v>
      </c>
      <c r="M15" s="33">
        <v>64658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6">
        <v>584021</v>
      </c>
      <c r="D16" s="27">
        <v>2098242</v>
      </c>
      <c r="E16" s="27">
        <v>72345</v>
      </c>
      <c r="F16" s="27">
        <v>397671</v>
      </c>
      <c r="G16" s="27">
        <v>0</v>
      </c>
      <c r="H16" s="27">
        <v>2621389</v>
      </c>
      <c r="I16" s="36"/>
      <c r="J16" s="36"/>
      <c r="K16" s="27">
        <v>0</v>
      </c>
      <c r="L16" s="37">
        <v>0</v>
      </c>
      <c r="M16" s="33">
        <v>530890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6">
        <v>3141</v>
      </c>
      <c r="D18" s="27">
        <v>5801</v>
      </c>
      <c r="E18" s="27">
        <v>9877</v>
      </c>
      <c r="F18" s="27">
        <v>0</v>
      </c>
      <c r="G18" s="27">
        <v>0</v>
      </c>
      <c r="H18" s="27">
        <v>15629</v>
      </c>
      <c r="I18" s="36"/>
      <c r="J18" s="36"/>
      <c r="K18" s="27">
        <v>0</v>
      </c>
      <c r="L18" s="37">
        <v>0</v>
      </c>
      <c r="M18" s="33">
        <v>3190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6">
        <v>33004</v>
      </c>
      <c r="D19" s="27">
        <v>67332</v>
      </c>
      <c r="E19" s="27">
        <v>83305</v>
      </c>
      <c r="F19" s="27">
        <v>0</v>
      </c>
      <c r="G19" s="27">
        <v>0</v>
      </c>
      <c r="H19" s="27">
        <v>149804</v>
      </c>
      <c r="I19" s="36"/>
      <c r="J19" s="36"/>
      <c r="K19" s="27">
        <v>0</v>
      </c>
      <c r="L19" s="37">
        <v>0</v>
      </c>
      <c r="M19" s="33">
        <v>33837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6">
        <v>8833</v>
      </c>
      <c r="D20" s="27">
        <v>10267</v>
      </c>
      <c r="E20" s="27">
        <v>0</v>
      </c>
      <c r="F20" s="27">
        <v>0</v>
      </c>
      <c r="G20" s="27">
        <v>0</v>
      </c>
      <c r="H20" s="27">
        <v>15792</v>
      </c>
      <c r="I20" s="36"/>
      <c r="J20" s="36"/>
      <c r="K20" s="27">
        <v>0</v>
      </c>
      <c r="L20" s="37">
        <v>0</v>
      </c>
      <c r="M20" s="33">
        <v>3308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6">
        <v>3531</v>
      </c>
      <c r="D21" s="27">
        <v>17223</v>
      </c>
      <c r="E21" s="27">
        <v>41239</v>
      </c>
      <c r="F21" s="27">
        <v>0</v>
      </c>
      <c r="G21" s="27">
        <v>0</v>
      </c>
      <c r="H21" s="27">
        <v>49684</v>
      </c>
      <c r="I21" s="36"/>
      <c r="J21" s="36"/>
      <c r="K21" s="27">
        <v>0</v>
      </c>
      <c r="L21" s="37">
        <v>0</v>
      </c>
      <c r="M21" s="33">
        <v>12310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6">
        <v>2939</v>
      </c>
      <c r="D22" s="27">
        <v>7056</v>
      </c>
      <c r="E22" s="27">
        <v>542</v>
      </c>
      <c r="F22" s="27">
        <v>0</v>
      </c>
      <c r="G22" s="27">
        <v>0</v>
      </c>
      <c r="H22" s="27">
        <v>7928</v>
      </c>
      <c r="I22" s="36"/>
      <c r="J22" s="36"/>
      <c r="K22" s="27">
        <v>0</v>
      </c>
      <c r="L22" s="37">
        <v>0</v>
      </c>
      <c r="M22" s="33">
        <v>2609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6">
        <v>1045</v>
      </c>
      <c r="D23" s="27">
        <v>21837</v>
      </c>
      <c r="E23" s="27">
        <v>3181</v>
      </c>
      <c r="F23" s="27">
        <v>0</v>
      </c>
      <c r="G23" s="27">
        <v>0</v>
      </c>
      <c r="H23" s="27">
        <v>3116</v>
      </c>
      <c r="I23" s="36"/>
      <c r="J23" s="36"/>
      <c r="K23" s="27">
        <v>0</v>
      </c>
      <c r="L23" s="37">
        <v>0</v>
      </c>
      <c r="M23" s="33">
        <v>22947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6">
        <v>2448</v>
      </c>
      <c r="D24" s="27">
        <v>41828</v>
      </c>
      <c r="E24" s="27">
        <v>0</v>
      </c>
      <c r="F24" s="27">
        <v>0</v>
      </c>
      <c r="G24" s="27">
        <v>0</v>
      </c>
      <c r="H24" s="27">
        <v>38206</v>
      </c>
      <c r="I24" s="36"/>
      <c r="J24" s="36"/>
      <c r="K24" s="27">
        <v>0</v>
      </c>
      <c r="L24" s="37">
        <v>0</v>
      </c>
      <c r="M24" s="33">
        <v>6069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6">
        <v>1486</v>
      </c>
      <c r="D25" s="27">
        <v>11489</v>
      </c>
      <c r="E25" s="27">
        <v>0</v>
      </c>
      <c r="F25" s="27">
        <v>0</v>
      </c>
      <c r="G25" s="27">
        <v>0</v>
      </c>
      <c r="H25" s="27">
        <v>12059</v>
      </c>
      <c r="I25" s="36"/>
      <c r="J25" s="36"/>
      <c r="K25" s="27">
        <v>0</v>
      </c>
      <c r="L25" s="37">
        <v>0</v>
      </c>
      <c r="M25" s="33">
        <v>917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499837</v>
      </c>
      <c r="F26" s="41">
        <v>1717</v>
      </c>
      <c r="G26" s="41">
        <v>0</v>
      </c>
      <c r="H26" s="41">
        <v>0</v>
      </c>
      <c r="I26" s="42"/>
      <c r="J26" s="42"/>
      <c r="K26" s="41">
        <v>501554</v>
      </c>
      <c r="L26" s="43">
        <v>0</v>
      </c>
      <c r="M26" s="44">
        <v>0</v>
      </c>
      <c r="N26" s="38"/>
      <c r="O26" s="37">
        <v>35855</v>
      </c>
      <c r="P26" s="37">
        <v>104992</v>
      </c>
      <c r="Q26" s="39">
        <v>10996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3589917</v>
      </c>
      <c r="D27" s="46">
        <f t="shared" si="0"/>
        <v>19558206</v>
      </c>
      <c r="E27" s="46">
        <f t="shared" si="0"/>
        <v>1176535</v>
      </c>
      <c r="F27" s="46">
        <f t="shared" si="0"/>
        <v>2526032</v>
      </c>
      <c r="G27" s="46">
        <f t="shared" si="0"/>
        <v>315489</v>
      </c>
      <c r="H27" s="46">
        <f t="shared" si="0"/>
        <v>22650825</v>
      </c>
      <c r="I27" s="46">
        <f t="shared" si="0"/>
        <v>0</v>
      </c>
      <c r="J27" s="46">
        <f t="shared" si="0"/>
        <v>0</v>
      </c>
      <c r="K27" s="46">
        <f t="shared" si="0"/>
        <v>501554</v>
      </c>
      <c r="L27" s="46">
        <f t="shared" si="0"/>
        <v>190715</v>
      </c>
      <c r="M27" s="47">
        <f t="shared" si="0"/>
        <v>3823087</v>
      </c>
      <c r="N27" s="48"/>
      <c r="O27" s="49">
        <f>SUM(O12:O26)</f>
        <v>35855</v>
      </c>
      <c r="P27" s="49">
        <f>SUM(P12:P26)</f>
        <v>104992</v>
      </c>
      <c r="Q27" s="50">
        <f>SUM(Q12:Q26)</f>
        <v>10996</v>
      </c>
    </row>
    <row r="28" spans="1:17" ht="16.5" customHeight="1" x14ac:dyDescent="0.25">
      <c r="A28" s="18"/>
      <c r="B28" s="82" t="s">
        <v>55</v>
      </c>
      <c r="C28" s="82"/>
      <c r="D28" s="82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51">
        <v>472080</v>
      </c>
      <c r="D29" s="30">
        <v>764</v>
      </c>
      <c r="E29" s="30">
        <v>81363</v>
      </c>
      <c r="F29" s="30">
        <v>0</v>
      </c>
      <c r="G29" s="30">
        <v>0</v>
      </c>
      <c r="H29" s="32"/>
      <c r="I29" s="30">
        <v>408790</v>
      </c>
      <c r="J29" s="30">
        <v>-121912</v>
      </c>
      <c r="K29" s="52">
        <v>0</v>
      </c>
      <c r="L29" s="52">
        <v>428315</v>
      </c>
      <c r="M29" s="53">
        <v>412771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6">
        <v>837494</v>
      </c>
      <c r="D30" s="27">
        <v>0</v>
      </c>
      <c r="E30" s="27">
        <v>0</v>
      </c>
      <c r="F30" s="27">
        <v>0</v>
      </c>
      <c r="G30" s="27">
        <v>0</v>
      </c>
      <c r="H30" s="31"/>
      <c r="I30" s="27">
        <v>475291</v>
      </c>
      <c r="J30" s="27">
        <v>-228926</v>
      </c>
      <c r="K30" s="58">
        <v>16562</v>
      </c>
      <c r="L30" s="58">
        <v>135012</v>
      </c>
      <c r="M30" s="59">
        <v>932284</v>
      </c>
      <c r="N30" s="54"/>
      <c r="O30" s="60">
        <v>38</v>
      </c>
      <c r="P30" s="37">
        <v>16524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1430203</v>
      </c>
      <c r="J31" s="27">
        <v>-101554</v>
      </c>
      <c r="K31" s="58">
        <v>689215</v>
      </c>
      <c r="L31" s="58">
        <v>643175</v>
      </c>
      <c r="M31" s="59">
        <v>1328941</v>
      </c>
      <c r="N31" s="54"/>
      <c r="O31" s="60">
        <v>4510</v>
      </c>
      <c r="P31" s="37">
        <v>684705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540972</v>
      </c>
      <c r="J32" s="27">
        <v>-170</v>
      </c>
      <c r="K32" s="58">
        <v>3599</v>
      </c>
      <c r="L32" s="58">
        <v>547412</v>
      </c>
      <c r="M32" s="59">
        <v>56320</v>
      </c>
      <c r="N32" s="54"/>
      <c r="O32" s="60">
        <v>1524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6">
        <v>0</v>
      </c>
      <c r="D33" s="27">
        <v>5186</v>
      </c>
      <c r="E33" s="27">
        <v>5407</v>
      </c>
      <c r="F33" s="27">
        <v>0</v>
      </c>
      <c r="G33" s="27">
        <v>294</v>
      </c>
      <c r="H33" s="31"/>
      <c r="I33" s="27">
        <v>665900</v>
      </c>
      <c r="J33" s="27">
        <v>0</v>
      </c>
      <c r="K33" s="58">
        <v>651754</v>
      </c>
      <c r="L33" s="58">
        <v>25034</v>
      </c>
      <c r="M33" s="59">
        <v>0</v>
      </c>
      <c r="N33" s="54"/>
      <c r="O33" s="60">
        <v>67237</v>
      </c>
      <c r="P33" s="37">
        <v>1933</v>
      </c>
      <c r="Q33" s="39">
        <v>10307</v>
      </c>
    </row>
    <row r="34" spans="1:21" ht="15" customHeight="1" x14ac:dyDescent="0.25">
      <c r="A34" s="24" t="s">
        <v>60</v>
      </c>
      <c r="B34" s="23" t="s">
        <v>61</v>
      </c>
      <c r="C34" s="26">
        <v>228019</v>
      </c>
      <c r="D34" s="27">
        <v>524</v>
      </c>
      <c r="E34" s="27">
        <v>21839</v>
      </c>
      <c r="F34" s="27">
        <v>0</v>
      </c>
      <c r="G34" s="27">
        <v>0</v>
      </c>
      <c r="H34" s="31"/>
      <c r="I34" s="27">
        <v>1109781</v>
      </c>
      <c r="J34" s="27">
        <v>20204</v>
      </c>
      <c r="K34" s="58">
        <v>6698</v>
      </c>
      <c r="L34" s="58">
        <v>1138985</v>
      </c>
      <c r="M34" s="59">
        <v>234684</v>
      </c>
      <c r="N34" s="54"/>
      <c r="O34" s="60">
        <v>36</v>
      </c>
      <c r="P34" s="37">
        <v>5387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6">
        <v>573720</v>
      </c>
      <c r="D35" s="27">
        <v>44806</v>
      </c>
      <c r="E35" s="27">
        <v>0</v>
      </c>
      <c r="F35" s="27">
        <v>0</v>
      </c>
      <c r="G35" s="27">
        <v>0</v>
      </c>
      <c r="H35" s="31"/>
      <c r="I35" s="27">
        <v>4300182</v>
      </c>
      <c r="J35" s="27">
        <v>245633</v>
      </c>
      <c r="K35" s="58">
        <v>0</v>
      </c>
      <c r="L35" s="58">
        <v>4420152</v>
      </c>
      <c r="M35" s="59">
        <v>744190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66</v>
      </c>
      <c r="B37" s="23" t="s">
        <v>67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5058</v>
      </c>
      <c r="J37" s="27">
        <v>-13969</v>
      </c>
      <c r="K37" s="58">
        <v>0</v>
      </c>
      <c r="L37" s="58">
        <v>0</v>
      </c>
      <c r="M37" s="59">
        <v>4274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6">
        <v>139952</v>
      </c>
      <c r="D40" s="27">
        <v>7981</v>
      </c>
      <c r="E40" s="27">
        <v>0</v>
      </c>
      <c r="F40" s="27">
        <v>0</v>
      </c>
      <c r="G40" s="27">
        <v>0</v>
      </c>
      <c r="H40" s="31"/>
      <c r="I40" s="27">
        <v>624166</v>
      </c>
      <c r="J40" s="27">
        <v>8571</v>
      </c>
      <c r="K40" s="58">
        <v>0</v>
      </c>
      <c r="L40" s="58">
        <v>632419</v>
      </c>
      <c r="M40" s="59">
        <v>148252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36554</v>
      </c>
      <c r="J41" s="27">
        <v>-20448</v>
      </c>
      <c r="K41" s="58">
        <v>0</v>
      </c>
      <c r="L41" s="58">
        <v>10775</v>
      </c>
      <c r="M41" s="59">
        <v>39200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1942</v>
      </c>
      <c r="J42" s="27">
        <v>-1199</v>
      </c>
      <c r="K42" s="58">
        <v>150</v>
      </c>
      <c r="L42" s="58">
        <v>39</v>
      </c>
      <c r="M42" s="59">
        <v>2321</v>
      </c>
      <c r="N42" s="54"/>
      <c r="O42" s="60">
        <v>128</v>
      </c>
      <c r="P42" s="37">
        <v>8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6">
        <v>1173879</v>
      </c>
      <c r="D43" s="27">
        <v>127805</v>
      </c>
      <c r="E43" s="27">
        <v>13</v>
      </c>
      <c r="F43" s="27">
        <v>0</v>
      </c>
      <c r="G43" s="27">
        <v>0</v>
      </c>
      <c r="H43" s="31"/>
      <c r="I43" s="27">
        <v>9311837</v>
      </c>
      <c r="J43" s="27">
        <v>309100</v>
      </c>
      <c r="K43" s="58">
        <v>4557</v>
      </c>
      <c r="L43" s="58">
        <v>9889957</v>
      </c>
      <c r="M43" s="59">
        <v>1028122</v>
      </c>
      <c r="N43" s="54"/>
      <c r="O43" s="60">
        <v>313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6">
        <v>590819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1164744</v>
      </c>
      <c r="J44" s="27">
        <v>74267</v>
      </c>
      <c r="K44" s="58">
        <v>17844</v>
      </c>
      <c r="L44" s="58">
        <v>1174819</v>
      </c>
      <c r="M44" s="59">
        <v>637167</v>
      </c>
      <c r="N44" s="54"/>
      <c r="O44" s="60">
        <v>5761</v>
      </c>
      <c r="P44" s="37">
        <v>155</v>
      </c>
      <c r="Q44" s="39">
        <v>39</v>
      </c>
    </row>
    <row r="45" spans="1:21" ht="15" customHeight="1" x14ac:dyDescent="0.25">
      <c r="A45" s="24" t="s">
        <v>82</v>
      </c>
      <c r="B45" s="23" t="s">
        <v>83</v>
      </c>
      <c r="C45" s="26">
        <v>265024</v>
      </c>
      <c r="D45" s="27">
        <v>11922</v>
      </c>
      <c r="E45" s="27">
        <v>85</v>
      </c>
      <c r="F45" s="27">
        <v>0</v>
      </c>
      <c r="G45" s="27">
        <v>0</v>
      </c>
      <c r="H45" s="31"/>
      <c r="I45" s="27">
        <v>709628</v>
      </c>
      <c r="J45" s="27">
        <v>-50917</v>
      </c>
      <c r="K45" s="58">
        <v>128092</v>
      </c>
      <c r="L45" s="58">
        <v>543561</v>
      </c>
      <c r="M45" s="59">
        <v>264089</v>
      </c>
      <c r="N45" s="54"/>
      <c r="O45" s="60">
        <v>47973</v>
      </c>
      <c r="P45" s="37">
        <v>0</v>
      </c>
      <c r="Q45" s="39">
        <v>1206</v>
      </c>
    </row>
    <row r="46" spans="1:21" ht="15" customHeight="1" x14ac:dyDescent="0.25">
      <c r="A46" s="24" t="s">
        <v>84</v>
      </c>
      <c r="B46" s="23" t="s">
        <v>85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637124</v>
      </c>
      <c r="J46" s="27">
        <v>11358</v>
      </c>
      <c r="K46" s="58">
        <v>0</v>
      </c>
      <c r="L46" s="58">
        <v>719932</v>
      </c>
      <c r="M46" s="59">
        <v>163468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6">
        <v>93699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300205</v>
      </c>
      <c r="J47" s="27">
        <v>-9956</v>
      </c>
      <c r="K47" s="58">
        <v>305595</v>
      </c>
      <c r="L47" s="58">
        <v>29980</v>
      </c>
      <c r="M47" s="59">
        <v>58329</v>
      </c>
      <c r="N47" s="54"/>
      <c r="O47" s="60">
        <v>23247</v>
      </c>
      <c r="P47" s="37">
        <v>628</v>
      </c>
      <c r="Q47" s="39">
        <v>161</v>
      </c>
    </row>
    <row r="48" spans="1:21" ht="15" customHeight="1" x14ac:dyDescent="0.25">
      <c r="A48" s="24" t="s">
        <v>88</v>
      </c>
      <c r="B48" s="23" t="s">
        <v>89</v>
      </c>
      <c r="C48" s="26">
        <v>118827</v>
      </c>
      <c r="D48" s="27">
        <v>3898</v>
      </c>
      <c r="E48" s="27">
        <v>503</v>
      </c>
      <c r="F48" s="27">
        <v>0</v>
      </c>
      <c r="G48" s="27">
        <v>0</v>
      </c>
      <c r="H48" s="31"/>
      <c r="I48" s="27">
        <v>362483</v>
      </c>
      <c r="J48" s="27">
        <v>-586</v>
      </c>
      <c r="K48" s="58">
        <v>0</v>
      </c>
      <c r="L48" s="58">
        <v>389819</v>
      </c>
      <c r="M48" s="59">
        <v>95306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25057</v>
      </c>
      <c r="J49" s="27">
        <v>0</v>
      </c>
      <c r="K49" s="58">
        <v>0</v>
      </c>
      <c r="L49" s="58">
        <v>24936</v>
      </c>
      <c r="M49" s="59">
        <v>6414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168741</v>
      </c>
      <c r="J50" s="27">
        <v>0</v>
      </c>
      <c r="K50" s="58">
        <v>0</v>
      </c>
      <c r="L50" s="58">
        <v>171937</v>
      </c>
      <c r="M50" s="59">
        <v>5561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91500</v>
      </c>
      <c r="J51" s="27">
        <v>-13899</v>
      </c>
      <c r="K51" s="58">
        <v>0</v>
      </c>
      <c r="L51" s="58">
        <v>77249</v>
      </c>
      <c r="M51" s="59">
        <v>40472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61">
        <v>6051</v>
      </c>
      <c r="D53" s="62">
        <v>0</v>
      </c>
      <c r="E53" s="62">
        <v>2530</v>
      </c>
      <c r="F53" s="62">
        <v>0</v>
      </c>
      <c r="G53" s="62">
        <v>0</v>
      </c>
      <c r="H53" s="63"/>
      <c r="I53" s="62">
        <v>85606</v>
      </c>
      <c r="J53" s="62">
        <v>-252</v>
      </c>
      <c r="K53" s="64">
        <v>457</v>
      </c>
      <c r="L53" s="64">
        <v>81964</v>
      </c>
      <c r="M53" s="65">
        <v>11513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195057</v>
      </c>
      <c r="J54" s="67">
        <v>0</v>
      </c>
      <c r="K54" s="69">
        <v>195057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6343029</v>
      </c>
      <c r="D55" s="72">
        <f t="shared" si="1"/>
        <v>212842</v>
      </c>
      <c r="E55" s="72">
        <f t="shared" si="1"/>
        <v>111740</v>
      </c>
      <c r="F55" s="72">
        <f t="shared" si="1"/>
        <v>0</v>
      </c>
      <c r="G55" s="72">
        <f t="shared" si="1"/>
        <v>294</v>
      </c>
      <c r="H55" s="72">
        <f t="shared" si="1"/>
        <v>0</v>
      </c>
      <c r="I55" s="72">
        <f t="shared" si="1"/>
        <v>22650821</v>
      </c>
      <c r="J55" s="72">
        <f t="shared" si="1"/>
        <v>2</v>
      </c>
      <c r="K55" s="72">
        <f t="shared" si="1"/>
        <v>2019580</v>
      </c>
      <c r="L55" s="72">
        <f t="shared" si="1"/>
        <v>21085472</v>
      </c>
      <c r="M55" s="73">
        <f t="shared" si="1"/>
        <v>6213678</v>
      </c>
      <c r="N55" s="74"/>
      <c r="O55" s="75">
        <f>SUM(O29:O54)</f>
        <v>150767</v>
      </c>
      <c r="P55" s="49">
        <f>SUM(P29:P54)</f>
        <v>709340</v>
      </c>
      <c r="Q55" s="50">
        <f>SUM(Q29:Q54)</f>
        <v>11713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B10:D10"/>
    <mergeCell ref="B28:D28"/>
    <mergeCell ref="B5:D5"/>
    <mergeCell ref="E5:K5"/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2015-02-15T11:01:42Z</cp:lastPrinted>
  <dcterms:created xsi:type="dcterms:W3CDTF">2014-06-24T13:01:17Z</dcterms:created>
  <dcterms:modified xsi:type="dcterms:W3CDTF">2015-02-17T08:57:24Z</dcterms:modified>
</cp:coreProperties>
</file>