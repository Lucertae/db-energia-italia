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 activeTab="1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N10" i="2"/>
  <c r="N11" i="2"/>
  <c r="N12" i="2"/>
  <c r="N13" i="2"/>
  <c r="N25" i="2" s="1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<sst xmlns="http://schemas.openxmlformats.org/spreadsheetml/2006/main" count="75" uniqueCount="38">
  <si>
    <t>Ministero dello Sviluppo Economico</t>
  </si>
  <si>
    <t>BOLLETTINO CARBONE</t>
  </si>
  <si>
    <t>Mod 14C</t>
  </si>
  <si>
    <t>Periodo: gennaio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</si>
  <si>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</si>
  <si>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</si>
  <si>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</si>
  <si>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</si>
  <si>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</si>
  <si>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</si>
  <si>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</si>
  <si>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</si>
  <si>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</si>
  <si>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</si>
  <si>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</si>
  <si>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</si>
  <si>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</si>
  <si>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</si>
  <si>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</si>
  <si>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</si>
  <si>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</si>
  <si>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</si>
  <si>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</si>
  <si>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</si>
  <si>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</si>
  <si>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</si>
  <si>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</si>
  <si>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</si>
  <si>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</si>
  <si>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</si>
  <si>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</si>
  <si>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</si>
  <si>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</si>
  <si>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</si>
  <si>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la materia è espressa in TONNELLATE intere</t>
  </si>
  <si>
    <t>DGSAIE DIV.6</t>
  </si>
  <si>
    <t>Tav. 14 - immissioni al mercato interno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</si>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</sst>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</font>
    <font>
      <b/>
      <sz val="10"/>
      <color indexed="8"/>
      <name val="Calibri"/>
      <family val="2"/>
    </font>
    <font>
      <b/>
      <sz val="10"/>
      <color indexed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39">
    <xf numFmtId="0" fontId="0" fillId="0" borderId="0" xfId="0" applyFill="1" applyProtection="1"/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0" xfId="0" applyNumberFormat="1" applyFont="1" applyFill="1" applyAlignment="1" applyProtection="1">
      <alignment horizontal="centerContinuous" vertical="top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3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3" fillId="4" borderId="0" xfId="0" applyNumberFormat="1" applyFont="1" applyFill="1" applyAlignment="1" applyProtection="1">
      <alignment horizontal="center" vertical="top" wrapText="1"/>
    </xf>
    <xf numFmtId="3" fontId="6" fillId="2" borderId="0" xfId="0" applyNumberFormat="1" applyFont="1" applyFill="1" applyAlignment="1" applyProtection="1">
      <alignment horizontal="center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activeCell="J5" sqref="J5:N5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2"/>
  </cols>
  <sheetData>
    <row r="1" spans="1:14" ht="12.75" customHeight="1" x14ac:dyDescent="0.25">
      <c r="A1" s="32" t="s">
        <v>0</v>
      </c>
      <c r="B1" s="32"/>
      <c r="C1" s="32"/>
      <c r="D1" s="32"/>
      <c r="E1" s="1"/>
      <c r="F1" s="31" t="s">
        <v>1</v>
      </c>
      <c r="G1" s="31"/>
      <c r="H1" s="31"/>
      <c r="I1" s="31"/>
      <c r="J1" s="1"/>
      <c r="K1" s="1"/>
      <c r="L1" s="1"/>
      <c r="M1" s="1"/>
      <c r="N1" s="1" t="s">
        <v>2</v>
      </c>
    </row>
    <row r="2" spans="1:14" ht="12.75" customHeight="1" x14ac:dyDescent="0.25">
      <c r="A2" s="33" t="s">
        <v>35</v>
      </c>
      <c r="B2" s="34"/>
      <c r="C2" s="34"/>
      <c r="D2" s="34"/>
      <c r="E2" s="1"/>
      <c r="F2" s="37" t="s">
        <v>36</v>
      </c>
      <c r="G2" s="38"/>
      <c r="H2" s="38"/>
      <c r="I2" s="38"/>
      <c r="J2" s="1"/>
      <c r="K2" s="1"/>
      <c r="L2" s="1"/>
      <c r="M2" s="1"/>
      <c r="N2" s="1"/>
    </row>
    <row r="3" spans="1:14" ht="15" customHeight="1" x14ac:dyDescent="0.25">
      <c r="A3" s="35" t="s">
        <v>34</v>
      </c>
      <c r="B3" s="36"/>
      <c r="C3" s="36"/>
      <c r="D3" s="36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2.75" customHeight="1" x14ac:dyDescent="0.25">
      <c r="A4" s="1"/>
      <c r="B4" s="1"/>
      <c r="C4" s="1"/>
      <c r="D4" s="3"/>
      <c r="E4" s="1"/>
      <c r="F4" s="1"/>
      <c r="G4" s="1"/>
      <c r="H4" s="3"/>
      <c r="I4" s="3"/>
      <c r="J4" s="31" t="s">
        <v>37</v>
      </c>
      <c r="K4" s="31"/>
      <c r="L4" s="31"/>
      <c r="M4" s="31"/>
      <c r="N4" s="31"/>
    </row>
    <row r="5" spans="1:14" ht="12.75" customHeight="1" x14ac:dyDescent="0.25">
      <c r="A5" s="1"/>
      <c r="B5" s="4"/>
      <c r="C5" s="4"/>
      <c r="D5" s="3"/>
      <c r="E5" s="1"/>
      <c r="F5" s="1"/>
      <c r="G5" s="1"/>
      <c r="H5" s="3"/>
      <c r="I5" s="3"/>
      <c r="J5" s="31" t="s">
        <v>3</v>
      </c>
      <c r="K5" s="31"/>
      <c r="L5" s="31"/>
      <c r="M5" s="31"/>
      <c r="N5" s="31"/>
    </row>
    <row r="6" spans="1:14" ht="12.75" customHeight="1" x14ac:dyDescent="0.25">
      <c r="A6" s="1"/>
      <c r="B6" s="4"/>
      <c r="C6" s="4"/>
      <c r="D6" s="3"/>
      <c r="E6" s="1"/>
      <c r="F6" s="1"/>
      <c r="G6" s="1"/>
      <c r="H6" s="3"/>
      <c r="I6" s="3"/>
      <c r="J6" s="31"/>
      <c r="K6" s="31"/>
      <c r="L6" s="31"/>
      <c r="M6" s="31"/>
      <c r="N6" s="31"/>
    </row>
    <row r="7" spans="1:14" ht="13.5" customHeight="1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" customHeight="1" thickTop="1" x14ac:dyDescent="0.25">
      <c r="A8" s="5" t="s">
        <v>4</v>
      </c>
      <c r="B8" s="6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9" t="s">
        <v>17</v>
      </c>
    </row>
    <row r="9" spans="1:14" ht="13.5" customHeight="1" thickBot="1" x14ac:dyDescent="0.3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thickTop="1" x14ac:dyDescent="0.25">
      <c r="A10" s="14">
        <v>10</v>
      </c>
      <c r="B10" s="15" t="s">
        <v>18</v>
      </c>
      <c r="C10" s="16">
        <v>0</v>
      </c>
      <c r="D10" s="16">
        <v>2794.76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1164.26</v>
      </c>
      <c r="N10" s="17">
        <f t="shared" ref="N10:N24" si="0">SUM(C10:M10)</f>
        <v>3959.0200000000004</v>
      </c>
    </row>
    <row r="11" spans="1:14" ht="12.75" customHeight="1" x14ac:dyDescent="0.25">
      <c r="A11" s="18">
        <v>11</v>
      </c>
      <c r="B11" s="19" t="s">
        <v>19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1.4</v>
      </c>
      <c r="N11" s="21">
        <f t="shared" si="0"/>
        <v>1.4</v>
      </c>
    </row>
    <row r="12" spans="1:14" ht="12.75" customHeight="1" x14ac:dyDescent="0.25">
      <c r="A12" s="18">
        <v>20</v>
      </c>
      <c r="B12" s="19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21</v>
      </c>
      <c r="C13" s="20">
        <v>31.26</v>
      </c>
      <c r="D13" s="20">
        <v>1657</v>
      </c>
      <c r="E13" s="20">
        <v>0</v>
      </c>
      <c r="F13" s="20">
        <v>0</v>
      </c>
      <c r="G13" s="20">
        <v>232.42</v>
      </c>
      <c r="H13" s="20">
        <v>15737.76</v>
      </c>
      <c r="I13" s="20">
        <v>187.22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17845.66</v>
      </c>
    </row>
    <row r="14" spans="1:14" ht="12.75" customHeight="1" x14ac:dyDescent="0.25">
      <c r="A14" s="18">
        <v>40</v>
      </c>
      <c r="B14" s="19" t="s">
        <v>22</v>
      </c>
      <c r="C14" s="20">
        <v>45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261.17</v>
      </c>
      <c r="N14" s="21">
        <f t="shared" si="0"/>
        <v>306.17</v>
      </c>
    </row>
    <row r="15" spans="1:14" ht="12.75" customHeight="1" x14ac:dyDescent="0.25">
      <c r="A15" s="18">
        <v>60</v>
      </c>
      <c r="B15" s="19" t="s">
        <v>23</v>
      </c>
      <c r="C15" s="20">
        <v>15</v>
      </c>
      <c r="D15" s="20">
        <v>2998</v>
      </c>
      <c r="E15" s="20">
        <v>2808</v>
      </c>
      <c r="F15" s="20">
        <v>0</v>
      </c>
      <c r="G15" s="20">
        <v>5619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41.27</v>
      </c>
      <c r="N15" s="21">
        <f t="shared" si="0"/>
        <v>11481.27</v>
      </c>
    </row>
    <row r="16" spans="1:14" ht="12.75" customHeight="1" x14ac:dyDescent="0.25">
      <c r="A16" s="18">
        <v>61</v>
      </c>
      <c r="B16" s="19" t="s">
        <v>24</v>
      </c>
      <c r="C16" s="20">
        <v>0</v>
      </c>
      <c r="D16" s="20">
        <v>2987</v>
      </c>
      <c r="E16" s="20">
        <v>0</v>
      </c>
      <c r="F16" s="20">
        <v>0</v>
      </c>
      <c r="G16" s="20">
        <v>0</v>
      </c>
      <c r="H16" s="20">
        <v>0</v>
      </c>
      <c r="I16" s="20">
        <v>14873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17860</v>
      </c>
    </row>
    <row r="17" spans="1:14" ht="12.75" customHeight="1" x14ac:dyDescent="0.25">
      <c r="A17" s="18">
        <v>65</v>
      </c>
      <c r="B17" s="19" t="s">
        <v>25</v>
      </c>
      <c r="C17" s="20">
        <v>0</v>
      </c>
      <c r="D17" s="20">
        <v>5561</v>
      </c>
      <c r="E17" s="20">
        <v>0</v>
      </c>
      <c r="F17" s="20">
        <v>0</v>
      </c>
      <c r="G17" s="20">
        <v>0</v>
      </c>
      <c r="H17" s="20">
        <v>0</v>
      </c>
      <c r="I17" s="20">
        <v>24663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30224</v>
      </c>
    </row>
    <row r="18" spans="1:14" ht="12.75" customHeight="1" x14ac:dyDescent="0.25">
      <c r="A18" s="18">
        <v>69</v>
      </c>
      <c r="B18" s="19" t="s">
        <v>26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0</v>
      </c>
    </row>
    <row r="20" spans="1:14" ht="12.75" customHeight="1" x14ac:dyDescent="0.25">
      <c r="A20" s="18">
        <v>82</v>
      </c>
      <c r="B20" s="19" t="s">
        <v>28</v>
      </c>
      <c r="C20" s="20">
        <v>0</v>
      </c>
      <c r="D20" s="20">
        <v>0</v>
      </c>
      <c r="E20" s="20">
        <v>142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1615</v>
      </c>
      <c r="N20" s="21">
        <f t="shared" si="0"/>
        <v>1757</v>
      </c>
    </row>
    <row r="21" spans="1:14" ht="12.75" customHeight="1" x14ac:dyDescent="0.25">
      <c r="A21" s="18">
        <v>83</v>
      </c>
      <c r="B21" s="19" t="s">
        <v>29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30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31</v>
      </c>
      <c r="C23" s="20">
        <v>531</v>
      </c>
      <c r="D23" s="20">
        <v>58.18</v>
      </c>
      <c r="E23" s="20">
        <v>2389.08</v>
      </c>
      <c r="F23" s="20">
        <v>1796.5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3250.52</v>
      </c>
      <c r="N23" s="21">
        <f t="shared" si="0"/>
        <v>8025.2800000000007</v>
      </c>
    </row>
    <row r="24" spans="1:14" ht="13.5" customHeight="1" thickBot="1" x14ac:dyDescent="0.3">
      <c r="A24" s="22">
        <v>99</v>
      </c>
      <c r="B24" s="23" t="s">
        <v>32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thickTop="1" thickBot="1" x14ac:dyDescent="0.3">
      <c r="A25" s="26"/>
      <c r="B25" s="27" t="s">
        <v>33</v>
      </c>
      <c r="C25" s="27">
        <f t="shared" ref="C25:N25" si="1">SUM(C10:C24)</f>
        <v>622.26</v>
      </c>
      <c r="D25" s="27">
        <f t="shared" si="1"/>
        <v>16055.94</v>
      </c>
      <c r="E25" s="27">
        <f t="shared" si="1"/>
        <v>5339.08</v>
      </c>
      <c r="F25" s="27">
        <f t="shared" si="1"/>
        <v>1796.5</v>
      </c>
      <c r="G25" s="27">
        <f t="shared" si="1"/>
        <v>5851.42</v>
      </c>
      <c r="H25" s="27">
        <f t="shared" si="1"/>
        <v>15737.76</v>
      </c>
      <c r="I25" s="27">
        <f t="shared" si="1"/>
        <v>39723.22</v>
      </c>
      <c r="J25" s="27">
        <f t="shared" si="1"/>
        <v>0</v>
      </c>
      <c r="K25" s="27">
        <f t="shared" si="1"/>
        <v>0</v>
      </c>
      <c r="L25" s="27">
        <f t="shared" si="1"/>
        <v>0</v>
      </c>
      <c r="M25" s="27">
        <f t="shared" si="1"/>
        <v>6333.6200000000008</v>
      </c>
      <c r="N25" s="28">
        <f t="shared" si="1"/>
        <v>91459.8</v>
      </c>
    </row>
    <row r="26" spans="1:14" ht="13.5" customHeight="1" thickTop="1" x14ac:dyDescent="0.25"/>
    <row r="28" spans="1:14" ht="12.75" customHeight="1" x14ac:dyDescent="0.25">
      <c r="B28" s="30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activeCell="J5" sqref="J5:N5"/>
    </sheetView>
  </sheetViews>
  <sheetFormatPr defaultRowHeight="12.75" customHeight="1" x14ac:dyDescent="0.25"/>
  <cols>
    <col min="1" max="1" width="4.42578125" style="29" customWidth="1"/>
    <col min="2" max="2" width="25.7109375" style="29" customWidth="1"/>
    <col min="3" max="14" width="10.7109375" style="29" customWidth="1"/>
    <col min="15" max="16384" width="9.140625" style="2"/>
  </cols>
  <sheetData>
    <row r="1" spans="1:14" ht="12.75" customHeight="1" x14ac:dyDescent="0.25">
      <c r="A1" s="32" t="s">
        <v>0</v>
      </c>
      <c r="B1" s="32"/>
      <c r="C1" s="32"/>
      <c r="D1" s="32"/>
      <c r="E1" s="1"/>
      <c r="F1" s="31" t="s">
        <v>1</v>
      </c>
      <c r="G1" s="31"/>
      <c r="H1" s="31"/>
      <c r="I1" s="31"/>
      <c r="J1" s="1"/>
      <c r="K1" s="1"/>
      <c r="L1" s="1"/>
      <c r="M1" s="1"/>
      <c r="N1" s="1" t="s">
        <v>2</v>
      </c>
    </row>
    <row r="2" spans="1:14" ht="12.75" customHeight="1" x14ac:dyDescent="0.25">
      <c r="A2" s="34" t="s">
        <v>35</v>
      </c>
      <c r="B2" s="34"/>
      <c r="C2" s="34"/>
      <c r="D2" s="34"/>
      <c r="E2" s="1"/>
      <c r="F2" s="37" t="s">
        <v>36</v>
      </c>
      <c r="G2" s="38"/>
      <c r="H2" s="38"/>
      <c r="I2" s="38"/>
      <c r="J2" s="1"/>
      <c r="K2" s="1"/>
      <c r="L2" s="1"/>
      <c r="M2" s="1"/>
      <c r="N2" s="1"/>
    </row>
    <row r="3" spans="1:14" ht="15" customHeight="1" x14ac:dyDescent="0.25">
      <c r="A3" s="36" t="s">
        <v>34</v>
      </c>
      <c r="B3" s="36"/>
      <c r="C3" s="36"/>
      <c r="D3" s="36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2.75" customHeight="1" x14ac:dyDescent="0.25">
      <c r="A4" s="1"/>
      <c r="B4" s="1"/>
      <c r="C4" s="1"/>
      <c r="D4" s="3"/>
      <c r="E4" s="1"/>
      <c r="F4" s="1"/>
      <c r="G4" s="1"/>
      <c r="H4" s="3"/>
      <c r="I4" s="3"/>
      <c r="J4" s="31"/>
      <c r="K4" s="31"/>
      <c r="L4" s="31"/>
      <c r="M4" s="31"/>
      <c r="N4" s="31"/>
    </row>
    <row r="5" spans="1:14" ht="12.75" customHeight="1" x14ac:dyDescent="0.25">
      <c r="A5" s="1"/>
      <c r="B5" s="4"/>
      <c r="C5" s="4"/>
      <c r="D5" s="3"/>
      <c r="E5" s="1"/>
      <c r="F5" s="1"/>
      <c r="G5" s="1"/>
      <c r="H5" s="3"/>
      <c r="I5" s="3"/>
      <c r="J5" s="31" t="s">
        <v>3</v>
      </c>
      <c r="K5" s="31"/>
      <c r="L5" s="31"/>
      <c r="M5" s="31"/>
      <c r="N5" s="31"/>
    </row>
    <row r="6" spans="1:14" ht="12.75" customHeight="1" x14ac:dyDescent="0.25">
      <c r="A6" s="1"/>
      <c r="B6" s="4"/>
      <c r="C6" s="4"/>
      <c r="D6" s="3"/>
      <c r="E6" s="1"/>
      <c r="F6" s="1"/>
      <c r="G6" s="1"/>
      <c r="H6" s="3"/>
      <c r="I6" s="3"/>
      <c r="J6" s="31"/>
      <c r="K6" s="31"/>
      <c r="L6" s="31"/>
      <c r="M6" s="31"/>
      <c r="N6" s="31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9" customHeight="1" x14ac:dyDescent="0.25">
      <c r="A8" s="5" t="s">
        <v>4</v>
      </c>
      <c r="B8" s="6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9" t="s">
        <v>17</v>
      </c>
    </row>
    <row r="9" spans="1:14" ht="13.5" customHeight="1" x14ac:dyDescent="0.25">
      <c r="A9" s="10">
        <v>1</v>
      </c>
      <c r="B9" s="11">
        <v>2</v>
      </c>
      <c r="C9" s="12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2">
        <v>11</v>
      </c>
      <c r="L9" s="12">
        <v>12</v>
      </c>
      <c r="M9" s="12">
        <v>13</v>
      </c>
      <c r="N9" s="13">
        <v>14</v>
      </c>
    </row>
    <row r="10" spans="1:14" ht="13.5" customHeight="1" x14ac:dyDescent="0.25">
      <c r="A10" s="14">
        <v>10</v>
      </c>
      <c r="B10" s="15" t="s">
        <v>18</v>
      </c>
      <c r="C10" s="16">
        <v>0</v>
      </c>
      <c r="D10" s="16">
        <v>2794.76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1164.26</v>
      </c>
      <c r="N10" s="17">
        <f t="shared" ref="N10:N24" si="0">SUM(C10:M10)</f>
        <v>3959.0200000000004</v>
      </c>
    </row>
    <row r="11" spans="1:14" ht="12.75" customHeight="1" x14ac:dyDescent="0.25">
      <c r="A11" s="18">
        <v>11</v>
      </c>
      <c r="B11" s="19" t="s">
        <v>19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1.4</v>
      </c>
      <c r="N11" s="21">
        <f t="shared" si="0"/>
        <v>1.4</v>
      </c>
    </row>
    <row r="12" spans="1:14" ht="12.75" customHeight="1" x14ac:dyDescent="0.25">
      <c r="A12" s="18">
        <v>20</v>
      </c>
      <c r="B12" s="19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0</v>
      </c>
    </row>
    <row r="13" spans="1:14" ht="12.75" customHeight="1" x14ac:dyDescent="0.25">
      <c r="A13" s="18">
        <v>30</v>
      </c>
      <c r="B13" s="19" t="s">
        <v>21</v>
      </c>
      <c r="C13" s="20">
        <v>31.26</v>
      </c>
      <c r="D13" s="20">
        <v>1657</v>
      </c>
      <c r="E13" s="20">
        <v>0</v>
      </c>
      <c r="F13" s="20">
        <v>0</v>
      </c>
      <c r="G13" s="20">
        <v>232.42</v>
      </c>
      <c r="H13" s="20">
        <v>15737.76</v>
      </c>
      <c r="I13" s="20">
        <v>187.22</v>
      </c>
      <c r="J13" s="20">
        <v>0</v>
      </c>
      <c r="K13" s="20">
        <v>0</v>
      </c>
      <c r="L13" s="20">
        <v>0</v>
      </c>
      <c r="M13" s="20">
        <v>0</v>
      </c>
      <c r="N13" s="21">
        <f t="shared" si="0"/>
        <v>17845.66</v>
      </c>
    </row>
    <row r="14" spans="1:14" ht="12.75" customHeight="1" x14ac:dyDescent="0.25">
      <c r="A14" s="18">
        <v>40</v>
      </c>
      <c r="B14" s="19" t="s">
        <v>22</v>
      </c>
      <c r="C14" s="20">
        <v>45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261.17</v>
      </c>
      <c r="N14" s="21">
        <f t="shared" si="0"/>
        <v>306.17</v>
      </c>
    </row>
    <row r="15" spans="1:14" ht="12.75" customHeight="1" x14ac:dyDescent="0.25">
      <c r="A15" s="18">
        <v>60</v>
      </c>
      <c r="B15" s="19" t="s">
        <v>23</v>
      </c>
      <c r="C15" s="20">
        <v>15</v>
      </c>
      <c r="D15" s="20">
        <v>2998</v>
      </c>
      <c r="E15" s="20">
        <v>2808</v>
      </c>
      <c r="F15" s="20">
        <v>0</v>
      </c>
      <c r="G15" s="20">
        <v>5619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41.27</v>
      </c>
      <c r="N15" s="21">
        <f t="shared" si="0"/>
        <v>11481.27</v>
      </c>
    </row>
    <row r="16" spans="1:14" ht="12.75" customHeight="1" x14ac:dyDescent="0.25">
      <c r="A16" s="18">
        <v>61</v>
      </c>
      <c r="B16" s="19" t="s">
        <v>24</v>
      </c>
      <c r="C16" s="20">
        <v>0</v>
      </c>
      <c r="D16" s="20">
        <v>2987</v>
      </c>
      <c r="E16" s="20">
        <v>0</v>
      </c>
      <c r="F16" s="20">
        <v>0</v>
      </c>
      <c r="G16" s="20">
        <v>0</v>
      </c>
      <c r="H16" s="20">
        <v>0</v>
      </c>
      <c r="I16" s="20">
        <v>14873</v>
      </c>
      <c r="J16" s="20">
        <v>0</v>
      </c>
      <c r="K16" s="20">
        <v>0</v>
      </c>
      <c r="L16" s="20">
        <v>0</v>
      </c>
      <c r="M16" s="20">
        <v>0</v>
      </c>
      <c r="N16" s="21">
        <f t="shared" si="0"/>
        <v>17860</v>
      </c>
    </row>
    <row r="17" spans="1:14" ht="12.75" customHeight="1" x14ac:dyDescent="0.25">
      <c r="A17" s="18">
        <v>65</v>
      </c>
      <c r="B17" s="19" t="s">
        <v>25</v>
      </c>
      <c r="C17" s="20">
        <v>0</v>
      </c>
      <c r="D17" s="20">
        <v>5561</v>
      </c>
      <c r="E17" s="20">
        <v>0</v>
      </c>
      <c r="F17" s="20">
        <v>0</v>
      </c>
      <c r="G17" s="20">
        <v>0</v>
      </c>
      <c r="H17" s="20">
        <v>0</v>
      </c>
      <c r="I17" s="20">
        <v>24663</v>
      </c>
      <c r="J17" s="20">
        <v>0</v>
      </c>
      <c r="K17" s="20">
        <v>0</v>
      </c>
      <c r="L17" s="20">
        <v>0</v>
      </c>
      <c r="M17" s="20">
        <v>0</v>
      </c>
      <c r="N17" s="21">
        <f t="shared" si="0"/>
        <v>30224</v>
      </c>
    </row>
    <row r="18" spans="1:14" ht="12.75" customHeight="1" x14ac:dyDescent="0.25">
      <c r="A18" s="18">
        <v>69</v>
      </c>
      <c r="B18" s="19" t="s">
        <v>26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0</v>
      </c>
    </row>
    <row r="19" spans="1:14" ht="12.75" customHeight="1" x14ac:dyDescent="0.25">
      <c r="A19" s="18">
        <v>81</v>
      </c>
      <c r="B19" s="19" t="s">
        <v>27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0</v>
      </c>
    </row>
    <row r="20" spans="1:14" ht="12.75" customHeight="1" x14ac:dyDescent="0.25">
      <c r="A20" s="18">
        <v>82</v>
      </c>
      <c r="B20" s="19" t="s">
        <v>28</v>
      </c>
      <c r="C20" s="20">
        <v>0</v>
      </c>
      <c r="D20" s="20">
        <v>0</v>
      </c>
      <c r="E20" s="20">
        <v>142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1615</v>
      </c>
      <c r="N20" s="21">
        <f t="shared" si="0"/>
        <v>1757</v>
      </c>
    </row>
    <row r="21" spans="1:14" ht="12.75" customHeight="1" x14ac:dyDescent="0.25">
      <c r="A21" s="18">
        <v>83</v>
      </c>
      <c r="B21" s="19" t="s">
        <v>29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0</v>
      </c>
    </row>
    <row r="22" spans="1:14" ht="12.75" customHeight="1" x14ac:dyDescent="0.25">
      <c r="A22" s="18">
        <v>84</v>
      </c>
      <c r="B22" s="19" t="s">
        <v>30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0</v>
      </c>
    </row>
    <row r="23" spans="1:14" ht="12.75" customHeight="1" x14ac:dyDescent="0.25">
      <c r="A23" s="18">
        <v>90</v>
      </c>
      <c r="B23" s="19" t="s">
        <v>31</v>
      </c>
      <c r="C23" s="20">
        <v>531</v>
      </c>
      <c r="D23" s="20">
        <v>58.18</v>
      </c>
      <c r="E23" s="20">
        <v>2389.08</v>
      </c>
      <c r="F23" s="20">
        <v>1796.5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3250.52</v>
      </c>
      <c r="N23" s="21">
        <f t="shared" si="0"/>
        <v>8025.2800000000007</v>
      </c>
    </row>
    <row r="24" spans="1:14" ht="13.5" customHeight="1" x14ac:dyDescent="0.25">
      <c r="A24" s="22">
        <v>99</v>
      </c>
      <c r="B24" s="23" t="s">
        <v>32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>
        <f t="shared" si="0"/>
        <v>0</v>
      </c>
    </row>
    <row r="25" spans="1:14" ht="14.25" customHeight="1" x14ac:dyDescent="0.25">
      <c r="A25" s="26"/>
      <c r="B25" s="27" t="s">
        <v>33</v>
      </c>
      <c r="C25" s="27">
        <f t="shared" ref="C25:N25" si="1">SUM(C10:C24)</f>
        <v>622.26</v>
      </c>
      <c r="D25" s="27">
        <f t="shared" si="1"/>
        <v>16055.94</v>
      </c>
      <c r="E25" s="27">
        <f t="shared" si="1"/>
        <v>5339.08</v>
      </c>
      <c r="F25" s="27">
        <f t="shared" si="1"/>
        <v>1796.5</v>
      </c>
      <c r="G25" s="27">
        <f t="shared" si="1"/>
        <v>5851.42</v>
      </c>
      <c r="H25" s="27">
        <f t="shared" si="1"/>
        <v>15737.76</v>
      </c>
      <c r="I25" s="27">
        <f t="shared" si="1"/>
        <v>39723.22</v>
      </c>
      <c r="J25" s="27">
        <f t="shared" si="1"/>
        <v>0</v>
      </c>
      <c r="K25" s="27">
        <f t="shared" si="1"/>
        <v>0</v>
      </c>
      <c r="L25" s="27">
        <f t="shared" si="1"/>
        <v>0</v>
      </c>
      <c r="M25" s="27">
        <f t="shared" si="1"/>
        <v>6333.6200000000008</v>
      </c>
      <c r="N25" s="28">
        <f t="shared" si="1"/>
        <v>91459.8</v>
      </c>
    </row>
    <row r="26" spans="1:14" ht="13.5" customHeight="1" x14ac:dyDescent="0.25"/>
    <row r="28" spans="1:14" ht="12.75" customHeight="1" x14ac:dyDescent="0.25">
      <c r="B28" s="30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ALESSANDRO SERRA </cp:lastModifiedBy>
  <cp:lastPrinted>2015-02-15T10:55:56Z</cp:lastPrinted>
  <dcterms:created xsi:type="dcterms:W3CDTF">2011-08-25T15:29:14Z</dcterms:created>
  <dcterms:modified xsi:type="dcterms:W3CDTF">2015-12-30T13:56:57Z</dcterms:modified>
</cp:coreProperties>
</file>