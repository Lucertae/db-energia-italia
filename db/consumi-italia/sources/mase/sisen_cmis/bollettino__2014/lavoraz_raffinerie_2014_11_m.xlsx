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55" i="1" s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C27" i="2"/>
  <c r="D27" i="2"/>
  <c r="E27" i="2"/>
  <c r="F27" i="2"/>
  <c r="G27" i="2"/>
  <c r="H27" i="2"/>
  <c r="I27" i="2"/>
  <c r="J27" i="2"/>
  <c r="K27" i="2"/>
  <c r="L27" i="2"/>
  <c r="M27" i="2"/>
  <c r="O27" i="2"/>
  <c r="P27" i="2"/>
  <c r="Q27" i="2"/>
  <c r="J38" i="2"/>
  <c r="J39" i="2"/>
  <c r="J52" i="2"/>
  <c r="J55" i="2" s="1"/>
  <c r="C55" i="2"/>
  <c r="D55" i="2"/>
  <c r="E55" i="2"/>
  <c r="F55" i="2"/>
  <c r="G55" i="2"/>
  <c r="H55" i="2"/>
  <c r="I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<sst xmlns="http://schemas.openxmlformats.org/spreadsheetml/2006/main" count="244" uniqueCount="112">
  <si>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</si>
  <si>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</si>
  <si>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</si>
  <si>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</si>
  <si>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</si>
  <si>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</si>
  <si>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</si>
  <si>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</si>
  <si>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</si>
  <si>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</si>
  <si>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</si>
  <si>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</si>
  <si>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</si>
  <si>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</si>
  <si>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</si>
  <si>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</si>
  <si>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</si>
  <si>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</si>
  <si>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</si>
  <si>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</si>
  <si>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</si>
  <si>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</si>
  <si>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</si>
  <si>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</si>
  <si>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</si>
  <si>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</si>
  <si>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</si>
  <si>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</si>
  <si>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</si>
  <si>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</si>
  <si>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</si>
  <si>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</si>
  <si>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</si>
  <si>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</si>
  <si>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</si>
  <si>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</si>
  <si>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</si>
  <si>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</si>
  <si>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</si>
  <si>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</si>
  <si>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</si>
  <si>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</si>
  <si>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</si>
  <si>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</si>
  <si>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</si>
  <si>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</si>
  <si>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</si>
  <si>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</si>
  <si>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</si>
  <si>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</si>
  <si>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</si>
  <si>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</si>
  <si>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</si>
  <si>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</si>
  <si>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</si>
  <si>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</si>
  <si>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</si>
  <si>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</si>
  <si>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</si>
  <si>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</si>
  <si>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</si>
  <si>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</si>
  <si>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</si>
  <si>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</si>
  <si>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</si>
  <si>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</si>
  <si>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</si>
  <si>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</si>
  <si>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</si>
  <si>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</si>
  <si>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</si>
  <si>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</si>
  <si>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</si>
  <si>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</si>
  <si>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</si>
  <si>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</si>
  <si>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</si>
  <si>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</si>
  <si>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</si>
  <si>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</si>
  <si>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</si>
  <si>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</si>
  <si>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</si>
  <si>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</si>
  <si>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</si>
  <si>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</si>
  <si>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</si>
  <si>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</si>
  <si>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</si>
  <si>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</si>
  <si>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</si>
  <si>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</si>
  <si>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</si>
  <si>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</si>
  <si>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</si>
  <si>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</si>
  <si>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</si>
  <si>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</si>
  <si>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</si>
  <si>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</si>
  <si>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</si>
  <si>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</si>
  <si>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</si>
  <si>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</si>
  <si>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</si>
  <si>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</si>
  <si>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</si>
  <si>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</si>
  <si>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</si>
  <si>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</si>
  <si>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</si>
  <si>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novembre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</si>
</sst>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  <family val="2"/>
    </font>
    <font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sz val="9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Fill="0" applyProtection="0"/>
  </cellStyleXfs>
  <cellXfs count="85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2" fontId="3" fillId="3" borderId="0" xfId="0" applyNumberFormat="1" applyFont="1" applyFill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10" fillId="2" borderId="0" xfId="0" applyFont="1" applyFill="1" applyProtection="1"/>
    <xf numFmtId="0" fontId="10" fillId="2" borderId="1" xfId="0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10" fillId="2" borderId="0" xfId="0" applyFont="1" applyFill="1" applyAlignment="1" applyProtection="1">
      <alignment horizontal="center" wrapText="1"/>
    </xf>
    <xf numFmtId="0" fontId="10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5">
        <v>394418.24</v>
      </c>
      <c r="D12" s="25">
        <v>0</v>
      </c>
      <c r="E12" s="26">
        <v>95409</v>
      </c>
      <c r="F12" s="27">
        <v>559698</v>
      </c>
      <c r="G12" s="24">
        <v>0</v>
      </c>
      <c r="H12" s="28">
        <v>479704</v>
      </c>
      <c r="I12" s="29"/>
      <c r="J12" s="30"/>
      <c r="K12" s="25">
        <v>0</v>
      </c>
      <c r="L12" s="28">
        <v>152983</v>
      </c>
      <c r="M12" s="31">
        <v>416838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5">
        <v>2651175.94</v>
      </c>
      <c r="D13" s="25">
        <v>4431418</v>
      </c>
      <c r="E13" s="25">
        <v>0</v>
      </c>
      <c r="F13" s="28">
        <v>0</v>
      </c>
      <c r="G13" s="25">
        <v>0</v>
      </c>
      <c r="H13" s="25">
        <v>4709760</v>
      </c>
      <c r="I13" s="34"/>
      <c r="J13" s="34"/>
      <c r="K13" s="25">
        <v>0</v>
      </c>
      <c r="L13" s="35">
        <v>306</v>
      </c>
      <c r="M13" s="31">
        <v>2372526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5">
        <v>100898.86</v>
      </c>
      <c r="D14" s="25">
        <v>37447</v>
      </c>
      <c r="E14" s="25">
        <v>29343</v>
      </c>
      <c r="F14" s="25">
        <v>92885</v>
      </c>
      <c r="G14" s="25">
        <v>72119</v>
      </c>
      <c r="H14" s="25">
        <v>186868</v>
      </c>
      <c r="I14" s="34"/>
      <c r="J14" s="34"/>
      <c r="K14" s="25">
        <v>0</v>
      </c>
      <c r="L14" s="35">
        <v>64290</v>
      </c>
      <c r="M14" s="31">
        <v>81536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5">
        <v>169390.24</v>
      </c>
      <c r="D15" s="25">
        <v>97763</v>
      </c>
      <c r="E15" s="25">
        <v>0</v>
      </c>
      <c r="F15" s="25">
        <v>157141</v>
      </c>
      <c r="G15" s="25">
        <v>0</v>
      </c>
      <c r="H15" s="25">
        <v>232152</v>
      </c>
      <c r="I15" s="34"/>
      <c r="J15" s="34"/>
      <c r="K15" s="25">
        <v>0</v>
      </c>
      <c r="L15" s="35">
        <v>0</v>
      </c>
      <c r="M15" s="31">
        <v>192142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5">
        <v>523475.79</v>
      </c>
      <c r="D16" s="25">
        <v>295636</v>
      </c>
      <c r="E16" s="25">
        <v>29940</v>
      </c>
      <c r="F16" s="25">
        <v>58400</v>
      </c>
      <c r="G16" s="25">
        <v>0</v>
      </c>
      <c r="H16" s="25">
        <v>410312</v>
      </c>
      <c r="I16" s="34"/>
      <c r="J16" s="34"/>
      <c r="K16" s="25">
        <v>0</v>
      </c>
      <c r="L16" s="35">
        <v>0</v>
      </c>
      <c r="M16" s="31">
        <v>497141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5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5">
        <v>3430.26</v>
      </c>
      <c r="D18" s="25">
        <v>453</v>
      </c>
      <c r="E18" s="25">
        <v>4600</v>
      </c>
      <c r="F18" s="25">
        <v>0</v>
      </c>
      <c r="G18" s="25">
        <v>0</v>
      </c>
      <c r="H18" s="25">
        <v>5407</v>
      </c>
      <c r="I18" s="34"/>
      <c r="J18" s="34"/>
      <c r="K18" s="25">
        <v>0</v>
      </c>
      <c r="L18" s="35">
        <v>0</v>
      </c>
      <c r="M18" s="31">
        <v>3077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5">
        <v>23879.95</v>
      </c>
      <c r="D19" s="25">
        <v>17117</v>
      </c>
      <c r="E19" s="25">
        <v>33360</v>
      </c>
      <c r="F19" s="25">
        <v>365</v>
      </c>
      <c r="G19" s="25">
        <v>0</v>
      </c>
      <c r="H19" s="25">
        <v>38735</v>
      </c>
      <c r="I19" s="34"/>
      <c r="J19" s="34"/>
      <c r="K19" s="25">
        <v>0</v>
      </c>
      <c r="L19" s="35">
        <v>0</v>
      </c>
      <c r="M19" s="31">
        <v>35987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5">
        <v>3861.19</v>
      </c>
      <c r="D20" s="25">
        <v>0</v>
      </c>
      <c r="E20" s="25">
        <v>0</v>
      </c>
      <c r="F20" s="25">
        <v>0</v>
      </c>
      <c r="G20" s="25">
        <v>0</v>
      </c>
      <c r="H20" s="25">
        <v>1062</v>
      </c>
      <c r="I20" s="34"/>
      <c r="J20" s="34"/>
      <c r="K20" s="25">
        <v>0</v>
      </c>
      <c r="L20" s="35">
        <v>0</v>
      </c>
      <c r="M20" s="31">
        <v>2799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5">
        <v>13092.44</v>
      </c>
      <c r="D21" s="25">
        <v>8962</v>
      </c>
      <c r="E21" s="25">
        <v>8660</v>
      </c>
      <c r="F21" s="25">
        <v>8564</v>
      </c>
      <c r="G21" s="25">
        <v>0</v>
      </c>
      <c r="H21" s="25">
        <v>25209</v>
      </c>
      <c r="I21" s="34"/>
      <c r="J21" s="34"/>
      <c r="K21" s="25">
        <v>0</v>
      </c>
      <c r="L21" s="35">
        <v>10</v>
      </c>
      <c r="M21" s="31">
        <v>14059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5">
        <v>1266</v>
      </c>
      <c r="D22" s="25">
        <v>0</v>
      </c>
      <c r="E22" s="25">
        <v>0</v>
      </c>
      <c r="F22" s="25">
        <v>0</v>
      </c>
      <c r="G22" s="25">
        <v>0</v>
      </c>
      <c r="H22" s="25">
        <v>123</v>
      </c>
      <c r="I22" s="34"/>
      <c r="J22" s="34"/>
      <c r="K22" s="25">
        <v>0</v>
      </c>
      <c r="L22" s="35">
        <v>0</v>
      </c>
      <c r="M22" s="31">
        <v>1143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5">
        <v>37413.32</v>
      </c>
      <c r="D23" s="25">
        <v>24873</v>
      </c>
      <c r="E23" s="25">
        <v>432</v>
      </c>
      <c r="F23" s="25">
        <v>0</v>
      </c>
      <c r="G23" s="25">
        <v>0</v>
      </c>
      <c r="H23" s="25">
        <v>23179</v>
      </c>
      <c r="I23" s="34"/>
      <c r="J23" s="34"/>
      <c r="K23" s="25">
        <v>0</v>
      </c>
      <c r="L23" s="35">
        <v>0</v>
      </c>
      <c r="M23" s="31">
        <v>39539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5">
        <v>3036.43</v>
      </c>
      <c r="D24" s="25">
        <v>6989</v>
      </c>
      <c r="E24" s="25">
        <v>1994</v>
      </c>
      <c r="F24" s="25">
        <v>0</v>
      </c>
      <c r="G24" s="25">
        <v>0</v>
      </c>
      <c r="H24" s="25">
        <v>5012</v>
      </c>
      <c r="I24" s="34"/>
      <c r="J24" s="34"/>
      <c r="K24" s="25">
        <v>0</v>
      </c>
      <c r="L24" s="35">
        <v>0</v>
      </c>
      <c r="M24" s="31">
        <v>7008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5">
        <v>1779.37</v>
      </c>
      <c r="D25" s="25">
        <v>692</v>
      </c>
      <c r="E25" s="25">
        <v>0</v>
      </c>
      <c r="F25" s="25">
        <v>0</v>
      </c>
      <c r="G25" s="25">
        <v>0</v>
      </c>
      <c r="H25" s="25">
        <v>424</v>
      </c>
      <c r="I25" s="34"/>
      <c r="J25" s="34"/>
      <c r="K25" s="25">
        <v>0</v>
      </c>
      <c r="L25" s="35">
        <v>0</v>
      </c>
      <c r="M25" s="31">
        <v>2047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145126</v>
      </c>
      <c r="F26" s="39">
        <v>3133</v>
      </c>
      <c r="G26" s="39">
        <v>0</v>
      </c>
      <c r="H26" s="39">
        <v>0</v>
      </c>
      <c r="I26" s="40"/>
      <c r="J26" s="40"/>
      <c r="K26" s="39">
        <v>148259</v>
      </c>
      <c r="L26" s="41">
        <v>0</v>
      </c>
      <c r="M26" s="42">
        <v>0</v>
      </c>
      <c r="N26" s="36"/>
      <c r="O26" s="35">
        <v>10190</v>
      </c>
      <c r="P26" s="35">
        <v>31574</v>
      </c>
      <c r="Q26" s="37">
        <v>1000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3927118.0299999993</v>
      </c>
      <c r="D27" s="44">
        <f t="shared" si="0"/>
        <v>4921350</v>
      </c>
      <c r="E27" s="44">
        <f t="shared" si="0"/>
        <v>348864</v>
      </c>
      <c r="F27" s="44">
        <f t="shared" si="0"/>
        <v>880186</v>
      </c>
      <c r="G27" s="44">
        <f t="shared" si="0"/>
        <v>72119</v>
      </c>
      <c r="H27" s="44">
        <f t="shared" si="0"/>
        <v>6117947</v>
      </c>
      <c r="I27" s="44">
        <f t="shared" si="0"/>
        <v>0</v>
      </c>
      <c r="J27" s="44">
        <f t="shared" si="0"/>
        <v>0</v>
      </c>
      <c r="K27" s="44">
        <f t="shared" si="0"/>
        <v>148259</v>
      </c>
      <c r="L27" s="44">
        <f t="shared" si="0"/>
        <v>217589</v>
      </c>
      <c r="M27" s="45">
        <f t="shared" si="0"/>
        <v>3665842</v>
      </c>
      <c r="N27" s="46"/>
      <c r="O27" s="47">
        <f>SUM(O12:O26)</f>
        <v>10190</v>
      </c>
      <c r="P27" s="47">
        <f>SUM(P12:P26)</f>
        <v>31574</v>
      </c>
      <c r="Q27" s="48">
        <f>SUM(Q12:Q26)</f>
        <v>1000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25">
        <v>450613.24</v>
      </c>
      <c r="D29" s="28">
        <v>6944</v>
      </c>
      <c r="E29" s="28">
        <v>18650</v>
      </c>
      <c r="F29" s="28">
        <v>0</v>
      </c>
      <c r="G29" s="28">
        <v>0</v>
      </c>
      <c r="H29" s="30"/>
      <c r="I29" s="28">
        <v>172084</v>
      </c>
      <c r="J29" s="28">
        <v>-25068</v>
      </c>
      <c r="K29" s="50">
        <v>0</v>
      </c>
      <c r="L29" s="50">
        <v>111162</v>
      </c>
      <c r="M29" s="51">
        <v>512061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5">
        <v>722022.43</v>
      </c>
      <c r="D30" s="25">
        <v>82012</v>
      </c>
      <c r="E30" s="25">
        <v>0</v>
      </c>
      <c r="F30" s="25">
        <v>0</v>
      </c>
      <c r="G30" s="25">
        <v>0</v>
      </c>
      <c r="H30" s="29"/>
      <c r="I30" s="25">
        <v>109118</v>
      </c>
      <c r="J30" s="25">
        <v>-93582</v>
      </c>
      <c r="K30" s="56">
        <v>2773</v>
      </c>
      <c r="L30" s="56">
        <v>48029</v>
      </c>
      <c r="M30" s="57">
        <v>768767</v>
      </c>
      <c r="N30" s="52"/>
      <c r="O30" s="58">
        <v>0</v>
      </c>
      <c r="P30" s="35">
        <v>2773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5">
        <v>1333360.3799999999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245861</v>
      </c>
      <c r="J31" s="25">
        <v>-13771</v>
      </c>
      <c r="K31" s="56">
        <v>140323</v>
      </c>
      <c r="L31" s="56">
        <v>84884</v>
      </c>
      <c r="M31" s="57">
        <v>1340241</v>
      </c>
      <c r="N31" s="52"/>
      <c r="O31" s="58">
        <v>531</v>
      </c>
      <c r="P31" s="35">
        <v>139792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5">
        <v>60133.43</v>
      </c>
      <c r="D32" s="25">
        <v>1573</v>
      </c>
      <c r="E32" s="25">
        <v>0</v>
      </c>
      <c r="F32" s="25">
        <v>0</v>
      </c>
      <c r="G32" s="25">
        <v>0</v>
      </c>
      <c r="H32" s="29"/>
      <c r="I32" s="25">
        <v>111614</v>
      </c>
      <c r="J32" s="25">
        <v>0</v>
      </c>
      <c r="K32" s="56">
        <v>1981</v>
      </c>
      <c r="L32" s="56">
        <v>109579</v>
      </c>
      <c r="M32" s="57">
        <v>61758</v>
      </c>
      <c r="N32" s="52"/>
      <c r="O32" s="58">
        <v>258</v>
      </c>
      <c r="P32" s="35">
        <v>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5">
        <v>0</v>
      </c>
      <c r="D33" s="25">
        <v>965</v>
      </c>
      <c r="E33" s="25">
        <v>533</v>
      </c>
      <c r="F33" s="25">
        <v>0</v>
      </c>
      <c r="G33" s="25">
        <v>0</v>
      </c>
      <c r="H33" s="29"/>
      <c r="I33" s="25">
        <v>161974</v>
      </c>
      <c r="J33" s="25">
        <v>0</v>
      </c>
      <c r="K33" s="56">
        <v>157569</v>
      </c>
      <c r="L33" s="56">
        <v>5904</v>
      </c>
      <c r="M33" s="57">
        <v>0</v>
      </c>
      <c r="N33" s="52"/>
      <c r="O33" s="58">
        <v>15169</v>
      </c>
      <c r="P33" s="35">
        <v>1951</v>
      </c>
      <c r="Q33" s="37">
        <v>3804</v>
      </c>
    </row>
    <row r="34" spans="1:21" ht="15" customHeight="1" x14ac:dyDescent="0.25">
      <c r="A34" s="22" t="s">
        <v>60</v>
      </c>
      <c r="B34" s="21" t="s">
        <v>61</v>
      </c>
      <c r="C34" s="25">
        <v>207575.64</v>
      </c>
      <c r="D34" s="25">
        <v>0</v>
      </c>
      <c r="E34" s="25">
        <v>0</v>
      </c>
      <c r="F34" s="25">
        <v>0</v>
      </c>
      <c r="G34" s="25">
        <v>0</v>
      </c>
      <c r="H34" s="29"/>
      <c r="I34" s="25">
        <v>300107</v>
      </c>
      <c r="J34" s="25">
        <v>0</v>
      </c>
      <c r="K34" s="56">
        <v>1767</v>
      </c>
      <c r="L34" s="56">
        <v>300576</v>
      </c>
      <c r="M34" s="57">
        <v>205338</v>
      </c>
      <c r="N34" s="52"/>
      <c r="O34" s="58">
        <v>0</v>
      </c>
      <c r="P34" s="35">
        <v>1071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5">
        <v>664530.73</v>
      </c>
      <c r="D35" s="25">
        <v>0</v>
      </c>
      <c r="E35" s="25">
        <v>5</v>
      </c>
      <c r="F35" s="25">
        <v>0</v>
      </c>
      <c r="G35" s="25">
        <v>0</v>
      </c>
      <c r="H35" s="29"/>
      <c r="I35" s="25">
        <v>1177610</v>
      </c>
      <c r="J35" s="25">
        <v>14095</v>
      </c>
      <c r="K35" s="56">
        <v>0</v>
      </c>
      <c r="L35" s="56">
        <v>1120323</v>
      </c>
      <c r="M35" s="57">
        <v>735918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5"/>
      <c r="D36" s="25"/>
      <c r="E36" s="25"/>
      <c r="F36" s="25"/>
      <c r="G36" s="25"/>
      <c r="H36" s="29"/>
      <c r="I36" s="25"/>
      <c r="J36" s="25">
        <f>-(C36+D36+E36+F36+G36+I36)+(M36+L36+K36)</f>
        <v>0</v>
      </c>
      <c r="K36" s="56"/>
      <c r="L36" s="56"/>
      <c r="M36" s="57"/>
      <c r="N36" s="52"/>
      <c r="O36" s="58"/>
      <c r="P36" s="35"/>
      <c r="Q36" s="37"/>
    </row>
    <row r="37" spans="1:21" ht="15" customHeight="1" x14ac:dyDescent="0.25">
      <c r="A37" s="22" t="s">
        <v>66</v>
      </c>
      <c r="B37" s="21" t="s">
        <v>67</v>
      </c>
      <c r="C37" s="25">
        <v>4558.04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0</v>
      </c>
      <c r="J37" s="25">
        <v>-674</v>
      </c>
      <c r="K37" s="56">
        <v>0</v>
      </c>
      <c r="L37" s="56">
        <v>0</v>
      </c>
      <c r="M37" s="57">
        <v>3883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5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5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5">
        <v>158750.17000000001</v>
      </c>
      <c r="D40" s="25">
        <v>2966</v>
      </c>
      <c r="E40" s="25">
        <v>0</v>
      </c>
      <c r="F40" s="25">
        <v>0</v>
      </c>
      <c r="G40" s="25">
        <v>0</v>
      </c>
      <c r="H40" s="29"/>
      <c r="I40" s="25">
        <v>134694</v>
      </c>
      <c r="J40" s="25">
        <v>-4508</v>
      </c>
      <c r="K40" s="56">
        <v>0</v>
      </c>
      <c r="L40" s="56">
        <v>156354</v>
      </c>
      <c r="M40" s="57">
        <v>135548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5">
        <v>35153.730000000003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8276</v>
      </c>
      <c r="J41" s="25">
        <v>-248</v>
      </c>
      <c r="K41" s="56">
        <v>0</v>
      </c>
      <c r="L41" s="56">
        <v>2272</v>
      </c>
      <c r="M41" s="57">
        <v>40909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5">
        <v>2238.27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0</v>
      </c>
      <c r="J42" s="25">
        <v>3793</v>
      </c>
      <c r="K42" s="56">
        <v>4252</v>
      </c>
      <c r="L42" s="56">
        <v>21</v>
      </c>
      <c r="M42" s="57">
        <v>1758</v>
      </c>
      <c r="N42" s="52"/>
      <c r="O42" s="58">
        <v>2254</v>
      </c>
      <c r="P42" s="35">
        <v>213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5">
        <v>1041978.12</v>
      </c>
      <c r="D43" s="25">
        <v>15687</v>
      </c>
      <c r="E43" s="25">
        <v>1</v>
      </c>
      <c r="F43" s="25">
        <v>0</v>
      </c>
      <c r="G43" s="25">
        <v>0</v>
      </c>
      <c r="H43" s="29"/>
      <c r="I43" s="25">
        <v>2558182</v>
      </c>
      <c r="J43" s="25">
        <v>98688</v>
      </c>
      <c r="K43" s="56">
        <v>1373</v>
      </c>
      <c r="L43" s="56">
        <v>2546081</v>
      </c>
      <c r="M43" s="57">
        <v>1167082</v>
      </c>
      <c r="N43" s="52"/>
      <c r="O43" s="58">
        <v>19</v>
      </c>
      <c r="P43" s="35">
        <v>1354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5">
        <v>719349</v>
      </c>
      <c r="D44" s="25">
        <v>0</v>
      </c>
      <c r="E44" s="25">
        <v>0</v>
      </c>
      <c r="F44" s="25">
        <v>0</v>
      </c>
      <c r="G44" s="25">
        <v>0</v>
      </c>
      <c r="H44" s="29"/>
      <c r="I44" s="25">
        <v>450135</v>
      </c>
      <c r="J44" s="25">
        <v>31766</v>
      </c>
      <c r="K44" s="56">
        <v>1915</v>
      </c>
      <c r="L44" s="56">
        <v>518560</v>
      </c>
      <c r="M44" s="57">
        <v>680775</v>
      </c>
      <c r="N44" s="52"/>
      <c r="O44" s="58">
        <v>510</v>
      </c>
      <c r="P44" s="35">
        <v>13</v>
      </c>
      <c r="Q44" s="37">
        <v>4</v>
      </c>
    </row>
    <row r="45" spans="1:21" ht="15" customHeight="1" x14ac:dyDescent="0.25">
      <c r="A45" s="22" t="s">
        <v>82</v>
      </c>
      <c r="B45" s="21" t="s">
        <v>83</v>
      </c>
      <c r="C45" s="25">
        <v>280308.86</v>
      </c>
      <c r="D45" s="25">
        <v>0</v>
      </c>
      <c r="E45" s="25">
        <v>0</v>
      </c>
      <c r="F45" s="25">
        <v>0</v>
      </c>
      <c r="G45" s="25">
        <v>0</v>
      </c>
      <c r="H45" s="29"/>
      <c r="I45" s="25">
        <v>153449</v>
      </c>
      <c r="J45" s="25">
        <v>-8494</v>
      </c>
      <c r="K45" s="56">
        <v>23481</v>
      </c>
      <c r="L45" s="56">
        <v>108799</v>
      </c>
      <c r="M45" s="57">
        <v>292982</v>
      </c>
      <c r="N45" s="52"/>
      <c r="O45" s="58">
        <v>9378</v>
      </c>
      <c r="P45" s="35">
        <v>0</v>
      </c>
      <c r="Q45" s="37">
        <v>293</v>
      </c>
    </row>
    <row r="46" spans="1:21" ht="15" customHeight="1" x14ac:dyDescent="0.25">
      <c r="A46" s="22" t="s">
        <v>84</v>
      </c>
      <c r="B46" s="21" t="s">
        <v>85</v>
      </c>
      <c r="C46" s="25">
        <v>140585.92000000001</v>
      </c>
      <c r="D46" s="25">
        <v>0</v>
      </c>
      <c r="E46" s="25">
        <v>140</v>
      </c>
      <c r="F46" s="25">
        <v>0</v>
      </c>
      <c r="G46" s="25">
        <v>0</v>
      </c>
      <c r="H46" s="29"/>
      <c r="I46" s="25">
        <v>240840</v>
      </c>
      <c r="J46" s="25">
        <v>147</v>
      </c>
      <c r="K46" s="56">
        <v>0</v>
      </c>
      <c r="L46" s="56">
        <v>240476</v>
      </c>
      <c r="M46" s="57">
        <v>141237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5">
        <v>5658.94</v>
      </c>
      <c r="D47" s="25">
        <v>0</v>
      </c>
      <c r="E47" s="25">
        <v>0</v>
      </c>
      <c r="F47" s="25">
        <v>0</v>
      </c>
      <c r="G47" s="25">
        <v>0</v>
      </c>
      <c r="H47" s="29"/>
      <c r="I47" s="25">
        <v>42073</v>
      </c>
      <c r="J47" s="25">
        <v>0</v>
      </c>
      <c r="K47" s="56">
        <v>47732</v>
      </c>
      <c r="L47" s="56">
        <v>0</v>
      </c>
      <c r="M47" s="57">
        <v>0</v>
      </c>
      <c r="N47" s="52"/>
      <c r="O47" s="58">
        <v>1984</v>
      </c>
      <c r="P47" s="35">
        <v>53</v>
      </c>
      <c r="Q47" s="37">
        <v>16</v>
      </c>
    </row>
    <row r="48" spans="1:21" ht="15" customHeight="1" x14ac:dyDescent="0.25">
      <c r="A48" s="22" t="s">
        <v>88</v>
      </c>
      <c r="B48" s="21" t="s">
        <v>89</v>
      </c>
      <c r="C48" s="25">
        <v>120367.24</v>
      </c>
      <c r="D48" s="25">
        <v>0</v>
      </c>
      <c r="E48" s="25">
        <v>139</v>
      </c>
      <c r="F48" s="25">
        <v>0</v>
      </c>
      <c r="G48" s="25">
        <v>0</v>
      </c>
      <c r="H48" s="29"/>
      <c r="I48" s="25">
        <v>95293</v>
      </c>
      <c r="J48" s="25">
        <v>-147</v>
      </c>
      <c r="K48" s="56">
        <v>0</v>
      </c>
      <c r="L48" s="56">
        <v>96517</v>
      </c>
      <c r="M48" s="57">
        <v>119135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5">
        <v>9494.91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7273</v>
      </c>
      <c r="J49" s="25">
        <v>0</v>
      </c>
      <c r="K49" s="56">
        <v>0</v>
      </c>
      <c r="L49" s="56">
        <v>7059</v>
      </c>
      <c r="M49" s="57">
        <v>9709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5">
        <v>4364.01</v>
      </c>
      <c r="D50" s="25">
        <v>0</v>
      </c>
      <c r="E50" s="25">
        <v>0</v>
      </c>
      <c r="F50" s="25">
        <v>0</v>
      </c>
      <c r="G50" s="25">
        <v>0</v>
      </c>
      <c r="H50" s="29"/>
      <c r="I50" s="25">
        <v>47687</v>
      </c>
      <c r="J50" s="25">
        <v>0</v>
      </c>
      <c r="K50" s="56">
        <v>0</v>
      </c>
      <c r="L50" s="56">
        <v>45734</v>
      </c>
      <c r="M50" s="57">
        <v>6316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5">
        <v>26645.9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12788</v>
      </c>
      <c r="J51" s="25">
        <v>-1995</v>
      </c>
      <c r="K51" s="56">
        <v>0</v>
      </c>
      <c r="L51" s="56">
        <v>3232</v>
      </c>
      <c r="M51" s="57">
        <v>34207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5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25">
        <v>14131.38</v>
      </c>
      <c r="D53" s="60">
        <v>0</v>
      </c>
      <c r="E53" s="60">
        <v>223</v>
      </c>
      <c r="F53" s="60">
        <v>0</v>
      </c>
      <c r="G53" s="60">
        <v>0</v>
      </c>
      <c r="H53" s="61"/>
      <c r="I53" s="60">
        <v>27378</v>
      </c>
      <c r="J53" s="60">
        <v>0</v>
      </c>
      <c r="K53" s="62">
        <v>105</v>
      </c>
      <c r="L53" s="62">
        <v>31374</v>
      </c>
      <c r="M53" s="63">
        <v>10254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61506</v>
      </c>
      <c r="J54" s="65">
        <v>0</v>
      </c>
      <c r="K54" s="67">
        <v>61506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6001820.3400000008</v>
      </c>
      <c r="D55" s="70">
        <f t="shared" si="1"/>
        <v>110147</v>
      </c>
      <c r="E55" s="70">
        <f t="shared" si="1"/>
        <v>19691</v>
      </c>
      <c r="F55" s="70">
        <f t="shared" si="1"/>
        <v>0</v>
      </c>
      <c r="G55" s="70">
        <f t="shared" si="1"/>
        <v>0</v>
      </c>
      <c r="H55" s="70">
        <f t="shared" si="1"/>
        <v>0</v>
      </c>
      <c r="I55" s="70">
        <f t="shared" si="1"/>
        <v>6117942</v>
      </c>
      <c r="J55" s="70">
        <f t="shared" si="1"/>
        <v>2</v>
      </c>
      <c r="K55" s="70">
        <f t="shared" si="1"/>
        <v>444777</v>
      </c>
      <c r="L55" s="70">
        <f t="shared" si="1"/>
        <v>5536936</v>
      </c>
      <c r="M55" s="71">
        <f t="shared" si="1"/>
        <v>6267878</v>
      </c>
      <c r="N55" s="72"/>
      <c r="O55" s="73">
        <f>SUM(O29:O54)</f>
        <v>30103</v>
      </c>
      <c r="P55" s="47">
        <f>SUM(P29:P54)</f>
        <v>147220</v>
      </c>
      <c r="Q55" s="48">
        <f>SUM(Q29:Q54)</f>
        <v>4117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0</v>
      </c>
      <c r="F57" s="8"/>
      <c r="G57" s="8" t="s">
        <v>104</v>
      </c>
      <c r="H57" s="8"/>
      <c r="I57" s="8"/>
      <c r="J57" s="8" t="s">
        <v>105</v>
      </c>
      <c r="K57" s="74">
        <v>0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0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0</v>
      </c>
      <c r="F59" s="8"/>
      <c r="G59" s="8" t="s">
        <v>108</v>
      </c>
      <c r="H59" s="8"/>
      <c r="I59" s="8"/>
      <c r="J59" s="8" t="s">
        <v>105</v>
      </c>
      <c r="K59" s="74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4">
        <v>223562</v>
      </c>
      <c r="D12" s="25">
        <v>28563</v>
      </c>
      <c r="E12" s="26">
        <v>1003023</v>
      </c>
      <c r="F12" s="27">
        <v>4454828</v>
      </c>
      <c r="G12" s="24">
        <v>0</v>
      </c>
      <c r="H12" s="28">
        <v>4798823</v>
      </c>
      <c r="I12" s="29"/>
      <c r="J12" s="30"/>
      <c r="K12" s="25">
        <v>0</v>
      </c>
      <c r="L12" s="28">
        <v>494316</v>
      </c>
      <c r="M12" s="31">
        <v>416838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4">
        <v>2622098</v>
      </c>
      <c r="D13" s="25">
        <v>49429584</v>
      </c>
      <c r="E13" s="25">
        <v>10227</v>
      </c>
      <c r="F13" s="28">
        <v>5</v>
      </c>
      <c r="G13" s="25">
        <v>0</v>
      </c>
      <c r="H13" s="25">
        <v>49450762</v>
      </c>
      <c r="I13" s="34"/>
      <c r="J13" s="34"/>
      <c r="K13" s="25">
        <v>340</v>
      </c>
      <c r="L13" s="35">
        <v>238286</v>
      </c>
      <c r="M13" s="31">
        <v>2372526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4">
        <v>92644</v>
      </c>
      <c r="D14" s="25">
        <v>315897</v>
      </c>
      <c r="E14" s="25">
        <v>401895</v>
      </c>
      <c r="F14" s="25">
        <v>780917</v>
      </c>
      <c r="G14" s="25">
        <v>593057</v>
      </c>
      <c r="H14" s="25">
        <v>1589423</v>
      </c>
      <c r="I14" s="34"/>
      <c r="J14" s="34"/>
      <c r="K14" s="25">
        <v>0</v>
      </c>
      <c r="L14" s="35">
        <v>513453</v>
      </c>
      <c r="M14" s="31">
        <v>81536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4">
        <v>11165</v>
      </c>
      <c r="D15" s="25">
        <v>839749</v>
      </c>
      <c r="E15" s="25">
        <v>32867</v>
      </c>
      <c r="F15" s="25">
        <v>1087986</v>
      </c>
      <c r="G15" s="25">
        <v>0</v>
      </c>
      <c r="H15" s="25">
        <v>1779627</v>
      </c>
      <c r="I15" s="34"/>
      <c r="J15" s="34"/>
      <c r="K15" s="25">
        <v>0</v>
      </c>
      <c r="L15" s="35">
        <v>0</v>
      </c>
      <c r="M15" s="31">
        <v>192142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4">
        <v>584021</v>
      </c>
      <c r="D16" s="25">
        <v>5059575</v>
      </c>
      <c r="E16" s="25">
        <v>238738</v>
      </c>
      <c r="F16" s="25">
        <v>978778</v>
      </c>
      <c r="G16" s="25">
        <v>0</v>
      </c>
      <c r="H16" s="25">
        <v>6349971</v>
      </c>
      <c r="I16" s="34"/>
      <c r="J16" s="34"/>
      <c r="K16" s="25">
        <v>0</v>
      </c>
      <c r="L16" s="35">
        <v>14000</v>
      </c>
      <c r="M16" s="31">
        <v>497141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4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4">
        <v>3141</v>
      </c>
      <c r="D18" s="25">
        <v>10031</v>
      </c>
      <c r="E18" s="25">
        <v>41853</v>
      </c>
      <c r="F18" s="25">
        <v>0</v>
      </c>
      <c r="G18" s="25">
        <v>0</v>
      </c>
      <c r="H18" s="25">
        <v>51943</v>
      </c>
      <c r="I18" s="34"/>
      <c r="J18" s="34"/>
      <c r="K18" s="25">
        <v>0</v>
      </c>
      <c r="L18" s="35">
        <v>6</v>
      </c>
      <c r="M18" s="31">
        <v>3077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4">
        <v>33004</v>
      </c>
      <c r="D19" s="25">
        <v>154282</v>
      </c>
      <c r="E19" s="25">
        <v>305128</v>
      </c>
      <c r="F19" s="25">
        <v>909</v>
      </c>
      <c r="G19" s="25">
        <v>0</v>
      </c>
      <c r="H19" s="25">
        <v>457337</v>
      </c>
      <c r="I19" s="34"/>
      <c r="J19" s="34"/>
      <c r="K19" s="25">
        <v>0</v>
      </c>
      <c r="L19" s="35">
        <v>0</v>
      </c>
      <c r="M19" s="31">
        <v>35987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4">
        <v>8833</v>
      </c>
      <c r="D20" s="25">
        <v>14858</v>
      </c>
      <c r="E20" s="25">
        <v>0</v>
      </c>
      <c r="F20" s="25">
        <v>0</v>
      </c>
      <c r="G20" s="25">
        <v>0</v>
      </c>
      <c r="H20" s="25">
        <v>20892</v>
      </c>
      <c r="I20" s="34"/>
      <c r="J20" s="34"/>
      <c r="K20" s="25">
        <v>0</v>
      </c>
      <c r="L20" s="35">
        <v>0</v>
      </c>
      <c r="M20" s="31">
        <v>2799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4">
        <v>3531</v>
      </c>
      <c r="D21" s="25">
        <v>110767</v>
      </c>
      <c r="E21" s="25">
        <v>96449</v>
      </c>
      <c r="F21" s="25">
        <v>36925</v>
      </c>
      <c r="G21" s="25">
        <v>0</v>
      </c>
      <c r="H21" s="25">
        <v>233604</v>
      </c>
      <c r="I21" s="34"/>
      <c r="J21" s="34"/>
      <c r="K21" s="25">
        <v>0</v>
      </c>
      <c r="L21" s="35">
        <v>10</v>
      </c>
      <c r="M21" s="31">
        <v>14059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4">
        <v>2939</v>
      </c>
      <c r="D22" s="25">
        <v>9400</v>
      </c>
      <c r="E22" s="25">
        <v>3199</v>
      </c>
      <c r="F22" s="25">
        <v>0</v>
      </c>
      <c r="G22" s="25">
        <v>0</v>
      </c>
      <c r="H22" s="25">
        <v>14145</v>
      </c>
      <c r="I22" s="34"/>
      <c r="J22" s="34"/>
      <c r="K22" s="25">
        <v>0</v>
      </c>
      <c r="L22" s="35">
        <v>252</v>
      </c>
      <c r="M22" s="31">
        <v>1143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4">
        <v>1045</v>
      </c>
      <c r="D23" s="25">
        <v>142542</v>
      </c>
      <c r="E23" s="25">
        <v>6641</v>
      </c>
      <c r="F23" s="25">
        <v>0</v>
      </c>
      <c r="G23" s="25">
        <v>0</v>
      </c>
      <c r="H23" s="25">
        <v>110688</v>
      </c>
      <c r="I23" s="34"/>
      <c r="J23" s="34"/>
      <c r="K23" s="25">
        <v>0</v>
      </c>
      <c r="L23" s="35">
        <v>0</v>
      </c>
      <c r="M23" s="31">
        <v>39539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4">
        <v>2448</v>
      </c>
      <c r="D24" s="25">
        <v>107727</v>
      </c>
      <c r="E24" s="25">
        <v>3993</v>
      </c>
      <c r="F24" s="25">
        <v>0</v>
      </c>
      <c r="G24" s="25">
        <v>0</v>
      </c>
      <c r="H24" s="25">
        <v>107160</v>
      </c>
      <c r="I24" s="34"/>
      <c r="J24" s="34"/>
      <c r="K24" s="25">
        <v>0</v>
      </c>
      <c r="L24" s="35">
        <v>0</v>
      </c>
      <c r="M24" s="31">
        <v>7008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4">
        <v>1486</v>
      </c>
      <c r="D25" s="25">
        <v>46451</v>
      </c>
      <c r="E25" s="25">
        <v>110</v>
      </c>
      <c r="F25" s="25">
        <v>0</v>
      </c>
      <c r="G25" s="25">
        <v>0</v>
      </c>
      <c r="H25" s="25">
        <v>46001</v>
      </c>
      <c r="I25" s="34"/>
      <c r="J25" s="34"/>
      <c r="K25" s="25">
        <v>0</v>
      </c>
      <c r="L25" s="35">
        <v>0</v>
      </c>
      <c r="M25" s="31">
        <v>2047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1445243</v>
      </c>
      <c r="F26" s="39">
        <v>21735</v>
      </c>
      <c r="G26" s="39">
        <v>0</v>
      </c>
      <c r="H26" s="39">
        <v>0</v>
      </c>
      <c r="I26" s="40"/>
      <c r="J26" s="40"/>
      <c r="K26" s="39">
        <v>1466979</v>
      </c>
      <c r="L26" s="41">
        <v>0</v>
      </c>
      <c r="M26" s="42">
        <v>0</v>
      </c>
      <c r="N26" s="36"/>
      <c r="O26" s="35">
        <v>106176</v>
      </c>
      <c r="P26" s="35">
        <v>316130</v>
      </c>
      <c r="Q26" s="37">
        <v>17959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3589917</v>
      </c>
      <c r="D27" s="44">
        <f t="shared" si="0"/>
        <v>56269426</v>
      </c>
      <c r="E27" s="44">
        <f t="shared" si="0"/>
        <v>3589366</v>
      </c>
      <c r="F27" s="44">
        <f t="shared" si="0"/>
        <v>7362083</v>
      </c>
      <c r="G27" s="44">
        <f t="shared" si="0"/>
        <v>593057</v>
      </c>
      <c r="H27" s="44">
        <f t="shared" si="0"/>
        <v>65010376</v>
      </c>
      <c r="I27" s="44">
        <f t="shared" si="0"/>
        <v>0</v>
      </c>
      <c r="J27" s="44">
        <f t="shared" si="0"/>
        <v>0</v>
      </c>
      <c r="K27" s="44">
        <f t="shared" si="0"/>
        <v>1467319</v>
      </c>
      <c r="L27" s="44">
        <f t="shared" si="0"/>
        <v>1260323</v>
      </c>
      <c r="M27" s="45">
        <f t="shared" si="0"/>
        <v>3665842</v>
      </c>
      <c r="N27" s="46"/>
      <c r="O27" s="47">
        <f>SUM(O12:O26)</f>
        <v>106176</v>
      </c>
      <c r="P27" s="47">
        <f>SUM(P12:P26)</f>
        <v>316130</v>
      </c>
      <c r="Q27" s="48">
        <f>SUM(Q12:Q26)</f>
        <v>17959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49">
        <v>472080</v>
      </c>
      <c r="D29" s="28">
        <v>9357</v>
      </c>
      <c r="E29" s="28">
        <v>235955</v>
      </c>
      <c r="F29" s="28">
        <v>0</v>
      </c>
      <c r="G29" s="28">
        <v>0</v>
      </c>
      <c r="H29" s="30"/>
      <c r="I29" s="28">
        <v>1311204</v>
      </c>
      <c r="J29" s="28">
        <v>-324540</v>
      </c>
      <c r="K29" s="50">
        <v>0</v>
      </c>
      <c r="L29" s="50">
        <v>1191995</v>
      </c>
      <c r="M29" s="51">
        <v>512061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4">
        <v>837494</v>
      </c>
      <c r="D30" s="25">
        <v>119586</v>
      </c>
      <c r="E30" s="25">
        <v>22926</v>
      </c>
      <c r="F30" s="25">
        <v>0</v>
      </c>
      <c r="G30" s="25">
        <v>0</v>
      </c>
      <c r="H30" s="29"/>
      <c r="I30" s="25">
        <v>965109</v>
      </c>
      <c r="J30" s="25">
        <v>-789258</v>
      </c>
      <c r="K30" s="56">
        <v>43517</v>
      </c>
      <c r="L30" s="56">
        <v>343572</v>
      </c>
      <c r="M30" s="57">
        <v>768767</v>
      </c>
      <c r="N30" s="52"/>
      <c r="O30" s="58">
        <v>64</v>
      </c>
      <c r="P30" s="35">
        <v>43453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4">
        <v>1332683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3490609</v>
      </c>
      <c r="J31" s="25">
        <v>-173889</v>
      </c>
      <c r="K31" s="56">
        <v>1765546</v>
      </c>
      <c r="L31" s="56">
        <v>1543615</v>
      </c>
      <c r="M31" s="57">
        <v>1340241</v>
      </c>
      <c r="N31" s="52"/>
      <c r="O31" s="58">
        <v>10820</v>
      </c>
      <c r="P31" s="35">
        <v>1754725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4">
        <v>66530</v>
      </c>
      <c r="D32" s="25">
        <v>9499</v>
      </c>
      <c r="E32" s="25">
        <v>0</v>
      </c>
      <c r="F32" s="25">
        <v>0</v>
      </c>
      <c r="G32" s="25">
        <v>0</v>
      </c>
      <c r="H32" s="29"/>
      <c r="I32" s="25">
        <v>1486964</v>
      </c>
      <c r="J32" s="25">
        <v>-1513</v>
      </c>
      <c r="K32" s="56">
        <v>13617</v>
      </c>
      <c r="L32" s="56">
        <v>1486104</v>
      </c>
      <c r="M32" s="57">
        <v>61758</v>
      </c>
      <c r="N32" s="52"/>
      <c r="O32" s="58">
        <v>3619</v>
      </c>
      <c r="P32" s="35">
        <v>970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4">
        <v>0</v>
      </c>
      <c r="D33" s="25">
        <v>12873</v>
      </c>
      <c r="E33" s="25">
        <v>9660</v>
      </c>
      <c r="F33" s="25">
        <v>0</v>
      </c>
      <c r="G33" s="25">
        <v>1356</v>
      </c>
      <c r="H33" s="29"/>
      <c r="I33" s="25">
        <v>1927407</v>
      </c>
      <c r="J33" s="25">
        <v>630</v>
      </c>
      <c r="K33" s="56">
        <v>1872867</v>
      </c>
      <c r="L33" s="56">
        <v>79060</v>
      </c>
      <c r="M33" s="57">
        <v>0</v>
      </c>
      <c r="N33" s="52"/>
      <c r="O33" s="58">
        <v>165726</v>
      </c>
      <c r="P33" s="35">
        <v>17890</v>
      </c>
      <c r="Q33" s="37">
        <v>39283</v>
      </c>
    </row>
    <row r="34" spans="1:21" ht="15" customHeight="1" x14ac:dyDescent="0.25">
      <c r="A34" s="22" t="s">
        <v>60</v>
      </c>
      <c r="B34" s="21" t="s">
        <v>61</v>
      </c>
      <c r="C34" s="24">
        <v>228019</v>
      </c>
      <c r="D34" s="25">
        <v>524</v>
      </c>
      <c r="E34" s="25">
        <v>21839</v>
      </c>
      <c r="F34" s="25">
        <v>0</v>
      </c>
      <c r="G34" s="25">
        <v>0</v>
      </c>
      <c r="H34" s="29"/>
      <c r="I34" s="25">
        <v>3031857</v>
      </c>
      <c r="J34" s="25">
        <v>20204</v>
      </c>
      <c r="K34" s="56">
        <v>18316</v>
      </c>
      <c r="L34" s="56">
        <v>3078789</v>
      </c>
      <c r="M34" s="57">
        <v>205338</v>
      </c>
      <c r="N34" s="52"/>
      <c r="O34" s="58">
        <v>61</v>
      </c>
      <c r="P34" s="35">
        <v>12886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4">
        <v>573720</v>
      </c>
      <c r="D35" s="25">
        <v>66698</v>
      </c>
      <c r="E35" s="25">
        <v>10</v>
      </c>
      <c r="F35" s="25">
        <v>0</v>
      </c>
      <c r="G35" s="25">
        <v>0</v>
      </c>
      <c r="H35" s="29"/>
      <c r="I35" s="25">
        <v>12567314</v>
      </c>
      <c r="J35" s="25">
        <v>438333</v>
      </c>
      <c r="K35" s="56">
        <v>0</v>
      </c>
      <c r="L35" s="56">
        <v>12910158</v>
      </c>
      <c r="M35" s="57">
        <v>735918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4">
        <v>105343</v>
      </c>
      <c r="D36" s="25">
        <v>0</v>
      </c>
      <c r="E36" s="25">
        <v>0</v>
      </c>
      <c r="F36" s="25">
        <v>0</v>
      </c>
      <c r="G36" s="25">
        <v>0</v>
      </c>
      <c r="H36" s="29"/>
      <c r="I36" s="25">
        <v>0</v>
      </c>
      <c r="J36" s="25">
        <v>-105343</v>
      </c>
      <c r="K36" s="56">
        <v>0</v>
      </c>
      <c r="L36" s="56">
        <v>0</v>
      </c>
      <c r="M36" s="57">
        <v>0</v>
      </c>
      <c r="N36" s="52"/>
      <c r="O36" s="58">
        <v>0</v>
      </c>
      <c r="P36" s="35">
        <v>0</v>
      </c>
      <c r="Q36" s="37">
        <v>0</v>
      </c>
    </row>
    <row r="37" spans="1:21" ht="15" customHeight="1" x14ac:dyDescent="0.25">
      <c r="A37" s="22" t="s">
        <v>66</v>
      </c>
      <c r="B37" s="21" t="s">
        <v>67</v>
      </c>
      <c r="C37" s="24">
        <v>13186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6485</v>
      </c>
      <c r="J37" s="25">
        <v>-15789</v>
      </c>
      <c r="K37" s="56">
        <v>0</v>
      </c>
      <c r="L37" s="56">
        <v>0</v>
      </c>
      <c r="M37" s="57">
        <v>3883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4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4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4">
        <v>139952</v>
      </c>
      <c r="D40" s="25">
        <v>10948</v>
      </c>
      <c r="E40" s="25">
        <v>0</v>
      </c>
      <c r="F40" s="25">
        <v>0</v>
      </c>
      <c r="G40" s="25">
        <v>0</v>
      </c>
      <c r="H40" s="29"/>
      <c r="I40" s="25">
        <v>2064841</v>
      </c>
      <c r="J40" s="25">
        <v>3328</v>
      </c>
      <c r="K40" s="56">
        <v>0</v>
      </c>
      <c r="L40" s="56">
        <v>2083522</v>
      </c>
      <c r="M40" s="57">
        <v>135548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4">
        <v>33869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92588</v>
      </c>
      <c r="J41" s="25">
        <v>-62066</v>
      </c>
      <c r="K41" s="56">
        <v>0</v>
      </c>
      <c r="L41" s="56">
        <v>23481</v>
      </c>
      <c r="M41" s="57">
        <v>40909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4">
        <v>1767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3056</v>
      </c>
      <c r="J42" s="25">
        <v>4932</v>
      </c>
      <c r="K42" s="56">
        <v>7911</v>
      </c>
      <c r="L42" s="56">
        <v>87</v>
      </c>
      <c r="M42" s="57">
        <v>1758</v>
      </c>
      <c r="N42" s="52"/>
      <c r="O42" s="58">
        <v>2946</v>
      </c>
      <c r="P42" s="35">
        <v>635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4">
        <v>1173879</v>
      </c>
      <c r="D43" s="25">
        <v>268951</v>
      </c>
      <c r="E43" s="25">
        <v>85</v>
      </c>
      <c r="F43" s="25">
        <v>0</v>
      </c>
      <c r="G43" s="25">
        <v>0</v>
      </c>
      <c r="H43" s="29"/>
      <c r="I43" s="25">
        <v>26670140</v>
      </c>
      <c r="J43" s="25">
        <v>1013297</v>
      </c>
      <c r="K43" s="56">
        <v>16508</v>
      </c>
      <c r="L43" s="56">
        <v>27942763</v>
      </c>
      <c r="M43" s="57">
        <v>1167082</v>
      </c>
      <c r="N43" s="52"/>
      <c r="O43" s="58">
        <v>422</v>
      </c>
      <c r="P43" s="35">
        <v>7102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4">
        <v>590819</v>
      </c>
      <c r="D44" s="25">
        <v>74865</v>
      </c>
      <c r="E44" s="25">
        <v>1515</v>
      </c>
      <c r="F44" s="25">
        <v>0</v>
      </c>
      <c r="G44" s="25">
        <v>0</v>
      </c>
      <c r="H44" s="29"/>
      <c r="I44" s="25">
        <v>3815460</v>
      </c>
      <c r="J44" s="25">
        <v>81807</v>
      </c>
      <c r="K44" s="56">
        <v>32968</v>
      </c>
      <c r="L44" s="56">
        <v>3850723</v>
      </c>
      <c r="M44" s="57">
        <v>680775</v>
      </c>
      <c r="N44" s="52"/>
      <c r="O44" s="58">
        <v>10340</v>
      </c>
      <c r="P44" s="35">
        <v>279</v>
      </c>
      <c r="Q44" s="37">
        <v>91</v>
      </c>
    </row>
    <row r="45" spans="1:21" ht="15" customHeight="1" x14ac:dyDescent="0.25">
      <c r="A45" s="22" t="s">
        <v>82</v>
      </c>
      <c r="B45" s="21" t="s">
        <v>83</v>
      </c>
      <c r="C45" s="24">
        <v>265024</v>
      </c>
      <c r="D45" s="25">
        <v>68314</v>
      </c>
      <c r="E45" s="25">
        <v>85</v>
      </c>
      <c r="F45" s="25">
        <v>0</v>
      </c>
      <c r="G45" s="25">
        <v>0</v>
      </c>
      <c r="H45" s="29"/>
      <c r="I45" s="25">
        <v>1723558</v>
      </c>
      <c r="J45" s="25">
        <v>-60001</v>
      </c>
      <c r="K45" s="56">
        <v>293722</v>
      </c>
      <c r="L45" s="56">
        <v>1410277</v>
      </c>
      <c r="M45" s="57">
        <v>292982</v>
      </c>
      <c r="N45" s="52"/>
      <c r="O45" s="58">
        <v>118193</v>
      </c>
      <c r="P45" s="35">
        <v>3041</v>
      </c>
      <c r="Q45" s="37">
        <v>3063</v>
      </c>
    </row>
    <row r="46" spans="1:21" ht="15" customHeight="1" x14ac:dyDescent="0.25">
      <c r="A46" s="22" t="s">
        <v>84</v>
      </c>
      <c r="B46" s="21" t="s">
        <v>85</v>
      </c>
      <c r="C46" s="24">
        <v>234918</v>
      </c>
      <c r="D46" s="25">
        <v>0</v>
      </c>
      <c r="E46" s="25">
        <v>140</v>
      </c>
      <c r="F46" s="25">
        <v>0</v>
      </c>
      <c r="G46" s="25">
        <v>0</v>
      </c>
      <c r="H46" s="29"/>
      <c r="I46" s="25">
        <v>2414100</v>
      </c>
      <c r="J46" s="25">
        <v>13026</v>
      </c>
      <c r="K46" s="56">
        <v>0</v>
      </c>
      <c r="L46" s="56">
        <v>2520947</v>
      </c>
      <c r="M46" s="57">
        <v>141237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4">
        <v>93699</v>
      </c>
      <c r="D47" s="25">
        <v>9956</v>
      </c>
      <c r="E47" s="25">
        <v>0</v>
      </c>
      <c r="F47" s="25">
        <v>0</v>
      </c>
      <c r="G47" s="25">
        <v>0</v>
      </c>
      <c r="H47" s="29"/>
      <c r="I47" s="25">
        <v>692103</v>
      </c>
      <c r="J47" s="25">
        <v>-9956</v>
      </c>
      <c r="K47" s="56">
        <v>755822</v>
      </c>
      <c r="L47" s="56">
        <v>29980</v>
      </c>
      <c r="M47" s="57">
        <v>0</v>
      </c>
      <c r="N47" s="52"/>
      <c r="O47" s="58">
        <v>41609</v>
      </c>
      <c r="P47" s="35">
        <v>1125</v>
      </c>
      <c r="Q47" s="37">
        <v>366</v>
      </c>
    </row>
    <row r="48" spans="1:21" ht="15" customHeight="1" x14ac:dyDescent="0.25">
      <c r="A48" s="22" t="s">
        <v>88</v>
      </c>
      <c r="B48" s="21" t="s">
        <v>89</v>
      </c>
      <c r="C48" s="24">
        <v>118827</v>
      </c>
      <c r="D48" s="25">
        <v>3898</v>
      </c>
      <c r="E48" s="25">
        <v>2228</v>
      </c>
      <c r="F48" s="25">
        <v>0</v>
      </c>
      <c r="G48" s="25">
        <v>0</v>
      </c>
      <c r="H48" s="29"/>
      <c r="I48" s="25">
        <v>1116977</v>
      </c>
      <c r="J48" s="25">
        <v>-2256</v>
      </c>
      <c r="K48" s="56">
        <v>0</v>
      </c>
      <c r="L48" s="56">
        <v>1120538</v>
      </c>
      <c r="M48" s="57">
        <v>119135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4">
        <v>6292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83463</v>
      </c>
      <c r="J49" s="25">
        <v>0</v>
      </c>
      <c r="K49" s="56">
        <v>0</v>
      </c>
      <c r="L49" s="56">
        <v>80046</v>
      </c>
      <c r="M49" s="57">
        <v>9709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4">
        <v>8757</v>
      </c>
      <c r="D50" s="25">
        <v>0</v>
      </c>
      <c r="E50" s="25">
        <v>561</v>
      </c>
      <c r="F50" s="25">
        <v>0</v>
      </c>
      <c r="G50" s="25">
        <v>0</v>
      </c>
      <c r="H50" s="29"/>
      <c r="I50" s="25">
        <v>501953</v>
      </c>
      <c r="J50" s="25">
        <v>2102</v>
      </c>
      <c r="K50" s="56">
        <v>0</v>
      </c>
      <c r="L50" s="56">
        <v>507058</v>
      </c>
      <c r="M50" s="57">
        <v>6316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4">
        <v>40120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207912</v>
      </c>
      <c r="J51" s="25">
        <v>-32794</v>
      </c>
      <c r="K51" s="56">
        <v>0</v>
      </c>
      <c r="L51" s="56">
        <v>181031</v>
      </c>
      <c r="M51" s="57">
        <v>34207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4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59">
        <v>6051</v>
      </c>
      <c r="D53" s="60">
        <v>0</v>
      </c>
      <c r="E53" s="60">
        <v>6782</v>
      </c>
      <c r="F53" s="60">
        <v>0</v>
      </c>
      <c r="G53" s="60">
        <v>0</v>
      </c>
      <c r="H53" s="61"/>
      <c r="I53" s="60">
        <v>253224</v>
      </c>
      <c r="J53" s="60">
        <v>-252</v>
      </c>
      <c r="K53" s="62">
        <v>1334</v>
      </c>
      <c r="L53" s="62">
        <v>254217</v>
      </c>
      <c r="M53" s="63">
        <v>10254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584049</v>
      </c>
      <c r="J54" s="65">
        <v>0</v>
      </c>
      <c r="K54" s="67">
        <v>584049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6343029</v>
      </c>
      <c r="D55" s="70">
        <f t="shared" si="1"/>
        <v>655469</v>
      </c>
      <c r="E55" s="70">
        <f t="shared" si="1"/>
        <v>301786</v>
      </c>
      <c r="F55" s="70">
        <f t="shared" si="1"/>
        <v>0</v>
      </c>
      <c r="G55" s="70">
        <f t="shared" si="1"/>
        <v>1356</v>
      </c>
      <c r="H55" s="70">
        <f t="shared" si="1"/>
        <v>0</v>
      </c>
      <c r="I55" s="70">
        <f t="shared" si="1"/>
        <v>65010373</v>
      </c>
      <c r="J55" s="70">
        <f t="shared" si="1"/>
        <v>2</v>
      </c>
      <c r="K55" s="70">
        <f t="shared" si="1"/>
        <v>5406177</v>
      </c>
      <c r="L55" s="70">
        <f t="shared" si="1"/>
        <v>60637963</v>
      </c>
      <c r="M55" s="71">
        <f t="shared" si="1"/>
        <v>6267878</v>
      </c>
      <c r="N55" s="72"/>
      <c r="O55" s="73">
        <f>SUM(O29:O54)</f>
        <v>353800</v>
      </c>
      <c r="P55" s="47">
        <f>SUM(P29:P54)</f>
        <v>1842106</v>
      </c>
      <c r="Q55" s="48">
        <f>SUM(Q29:Q54)</f>
        <v>42803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1484934</v>
      </c>
      <c r="F57" s="8"/>
      <c r="G57" s="8" t="s">
        <v>104</v>
      </c>
      <c r="H57" s="8"/>
      <c r="I57" s="8"/>
      <c r="J57" s="8" t="s">
        <v>105</v>
      </c>
      <c r="K57" s="74">
        <v>32533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860912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441560</v>
      </c>
      <c r="F59" s="8"/>
      <c r="G59" s="8" t="s">
        <v>108</v>
      </c>
      <c r="H59" s="8"/>
      <c r="I59" s="8"/>
      <c r="J59" s="8" t="s">
        <v>105</v>
      </c>
      <c r="K59" s="74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2015-02-15T11:03:38Z</cp:lastPrinted>
  <dcterms:created xsi:type="dcterms:W3CDTF">2014-06-24T13:01:17Z</dcterms:created>
  <dcterms:modified xsi:type="dcterms:W3CDTF">2015-02-17T09:08:50Z</dcterms:modified>
</cp:coreProperties>
</file>