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C27" i="1" l="1"/>
  <c r="K17" i="1" l="1"/>
  <c r="K27" i="1" s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39" i="2"/>
  <c r="J52" i="2"/>
  <c r="C55" i="2"/>
  <c r="D55" i="2"/>
  <c r="E55" i="2"/>
  <c r="F55" i="2"/>
  <c r="G55" i="2"/>
  <c r="H55" i="2"/>
  <c r="I55" i="2"/>
  <c r="J55" i="2"/>
  <c r="K55" i="2"/>
  <c r="L55" i="2"/>
  <c r="M55" i="2"/>
  <c r="O55" i="2"/>
  <c r="P55" i="2"/>
  <c r="Q55" i="2"/>
  <c r="J55" i="1" l="1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<sst xmlns="http://schemas.openxmlformats.org/spreadsheetml/2006/main" count="244" uniqueCount="112">
  <si>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</si>
  <si>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</si>
  <si>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</si>
  <si>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</si>
  <si>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</si>
  <si>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</si>
  <si>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</si>
  <si>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</si>
  <si>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</si>
  <si>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</si>
  <si>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</si>
  <si>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</si>
  <si>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</si>
  <si>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</si>
  <si>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</si>
  <si>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</si>
  <si>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</si>
  <si>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</si>
  <si>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</si>
  <si>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</si>
  <si>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</si>
  <si>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</si>
  <si>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</si>
  <si>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</si>
  <si>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</si>
  <si>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</si>
  <si>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</si>
  <si>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</si>
  <si>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</si>
  <si>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</si>
  <si>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</si>
  <si>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</si>
  <si>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</si>
  <si>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</si>
  <si>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</si>
  <si>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</si>
  <si>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</si>
  <si>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</si>
  <si>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</si>
  <si>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</si>
  <si>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</si>
  <si>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</si>
  <si>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</si>
  <si>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</si>
  <si>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</si>
  <si>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</si>
  <si>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</si>
  <si>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</si>
  <si>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</si>
  <si>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</si>
  <si>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</si>
  <si>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</si>
  <si>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</si>
  <si>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</si>
  <si>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</si>
  <si>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</si>
  <si>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</si>
  <si>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</si>
  <si>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</si>
  <si>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</si>
  <si>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</si>
  <si>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</si>
  <si>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</si>
  <si>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</si>
  <si>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</si>
  <si>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</si>
  <si>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</si>
  <si>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</si>
  <si>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</si>
  <si>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</si>
  <si>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</si>
  <si>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</si>
  <si>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</si>
  <si>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</si>
  <si>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</si>
  <si>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</si>
  <si>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</si>
  <si>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</si>
  <si>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</si>
  <si>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</si>
  <si>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</si>
  <si>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</si>
  <si>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</si>
  <si>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</si>
  <si>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</si>
  <si>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</si>
  <si>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</si>
  <si>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</si>
  <si>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</si>
  <si>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</si>
  <si>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</si>
  <si>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</si>
  <si>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</si>
  <si>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</si>
  <si>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</si>
  <si>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</si>
  <si>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</si>
  <si>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</si>
  <si>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</si>
  <si>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</si>
  <si>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</si>
  <si>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</si>
  <si>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</si>
  <si>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</si>
  <si>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</si>
  <si>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</si>
  <si>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</si>
  <si>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</si>
  <si>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</si>
  <si>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</si>
  <si>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</si>
  <si>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febbraio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</si>
</sst>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2"/>
      </right>
      <top/>
      <bottom style="double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89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3" fontId="5" fillId="0" borderId="49" xfId="0" applyNumberFormat="1" applyFont="1" applyFill="1" applyBorder="1" applyProtection="1"/>
    <xf numFmtId="3" fontId="5" fillId="0" borderId="48" xfId="0" applyNumberFormat="1" applyFont="1" applyFill="1" applyBorder="1" applyProtection="1"/>
    <xf numFmtId="3" fontId="7" fillId="0" borderId="48" xfId="0" applyNumberFormat="1" applyFont="1" applyFill="1" applyBorder="1" applyProtection="1"/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2" t="s">
        <v>0</v>
      </c>
      <c r="C1" s="82"/>
      <c r="D1" s="82"/>
      <c r="E1" s="82" t="s">
        <v>1</v>
      </c>
      <c r="F1" s="82"/>
      <c r="G1" s="82"/>
      <c r="H1" s="82"/>
      <c r="I1" s="82"/>
      <c r="J1" s="82"/>
      <c r="K1" s="82"/>
      <c r="L1" s="3"/>
      <c r="M1" s="3"/>
      <c r="N1" s="3"/>
      <c r="O1" s="8"/>
      <c r="P1" s="82" t="s">
        <v>2</v>
      </c>
      <c r="Q1" s="82"/>
    </row>
    <row r="2" spans="1:17" ht="15" customHeight="1" x14ac:dyDescent="0.25">
      <c r="A2" s="3"/>
      <c r="B2" s="83" t="s">
        <v>109</v>
      </c>
      <c r="C2" s="82"/>
      <c r="D2" s="82"/>
      <c r="E2" s="83" t="s">
        <v>110</v>
      </c>
      <c r="F2" s="84"/>
      <c r="G2" s="84"/>
      <c r="H2" s="84"/>
      <c r="I2" s="84"/>
      <c r="J2" s="84"/>
      <c r="K2" s="84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0"/>
      <c r="C3" s="80"/>
      <c r="D3" s="80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2" t="s">
        <v>3</v>
      </c>
      <c r="F4" s="82"/>
      <c r="G4" s="82"/>
      <c r="H4" s="82"/>
      <c r="I4" s="82"/>
      <c r="J4" s="82"/>
      <c r="K4" s="82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8" t="s">
        <v>4</v>
      </c>
      <c r="C5" s="88"/>
      <c r="D5" s="88"/>
      <c r="E5" s="82" t="s">
        <v>5</v>
      </c>
      <c r="F5" s="82"/>
      <c r="G5" s="82"/>
      <c r="H5" s="82"/>
      <c r="I5" s="82"/>
      <c r="J5" s="82"/>
      <c r="K5" s="82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6" t="s">
        <v>6</v>
      </c>
      <c r="M6" s="86"/>
      <c r="N6" s="86"/>
      <c r="O6" s="86"/>
      <c r="P6" s="86"/>
      <c r="Q6" s="86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6" t="s">
        <v>111</v>
      </c>
      <c r="M7" s="86"/>
      <c r="N7" s="86"/>
      <c r="O7" s="86"/>
      <c r="P7" s="86"/>
      <c r="Q7" s="86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6"/>
      <c r="M8" s="86"/>
      <c r="N8" s="86"/>
      <c r="O8" s="86"/>
      <c r="P8" s="86"/>
      <c r="Q8" s="86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7"/>
      <c r="M9" s="87"/>
      <c r="N9" s="87"/>
      <c r="O9" s="87"/>
      <c r="P9" s="87"/>
      <c r="Q9" s="87"/>
    </row>
    <row r="10" spans="1:17" ht="15" customHeight="1" x14ac:dyDescent="0.25">
      <c r="A10" s="6"/>
      <c r="B10" s="81" t="s">
        <v>7</v>
      </c>
      <c r="C10" s="81"/>
      <c r="D10" s="8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7">
        <v>171377.79</v>
      </c>
      <c r="D12" s="27">
        <v>0</v>
      </c>
      <c r="E12" s="28">
        <v>92511</v>
      </c>
      <c r="F12" s="29">
        <v>479843</v>
      </c>
      <c r="G12" s="26">
        <v>0</v>
      </c>
      <c r="H12" s="30">
        <v>405773</v>
      </c>
      <c r="I12" s="31"/>
      <c r="J12" s="32"/>
      <c r="K12" s="27">
        <v>0</v>
      </c>
      <c r="L12" s="30">
        <v>0</v>
      </c>
      <c r="M12" s="33">
        <v>337959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7">
        <v>2543722.21</v>
      </c>
      <c r="D13" s="27">
        <v>4110384</v>
      </c>
      <c r="E13" s="27">
        <v>0</v>
      </c>
      <c r="F13" s="30">
        <v>0</v>
      </c>
      <c r="G13" s="27">
        <v>0</v>
      </c>
      <c r="H13" s="27">
        <v>4061478</v>
      </c>
      <c r="I13" s="36"/>
      <c r="J13" s="36"/>
      <c r="K13" s="27">
        <v>0</v>
      </c>
      <c r="L13" s="37">
        <v>0</v>
      </c>
      <c r="M13" s="33">
        <v>2592627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7">
        <v>82507.69</v>
      </c>
      <c r="D14" s="27">
        <v>0</v>
      </c>
      <c r="E14" s="27">
        <v>47533</v>
      </c>
      <c r="F14" s="27">
        <v>41674</v>
      </c>
      <c r="G14" s="27">
        <v>71086</v>
      </c>
      <c r="H14" s="27">
        <v>118575</v>
      </c>
      <c r="I14" s="36"/>
      <c r="J14" s="36"/>
      <c r="K14" s="27">
        <v>0</v>
      </c>
      <c r="L14" s="37">
        <v>26989</v>
      </c>
      <c r="M14" s="33">
        <v>97236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7">
        <v>39633.980000000003</v>
      </c>
      <c r="D15" s="27">
        <v>9691</v>
      </c>
      <c r="E15" s="27">
        <v>0</v>
      </c>
      <c r="F15" s="27">
        <v>70268</v>
      </c>
      <c r="G15" s="27">
        <v>0</v>
      </c>
      <c r="H15" s="27">
        <v>109191</v>
      </c>
      <c r="I15" s="36"/>
      <c r="J15" s="36"/>
      <c r="K15" s="27">
        <v>0</v>
      </c>
      <c r="L15" s="37">
        <v>0</v>
      </c>
      <c r="M15" s="33">
        <v>10401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7">
        <v>554804.26</v>
      </c>
      <c r="D16" s="27">
        <v>460202</v>
      </c>
      <c r="E16" s="27">
        <v>15114</v>
      </c>
      <c r="F16" s="27">
        <v>72073</v>
      </c>
      <c r="G16" s="27">
        <v>0</v>
      </c>
      <c r="H16" s="27">
        <v>592867</v>
      </c>
      <c r="I16" s="36"/>
      <c r="J16" s="36"/>
      <c r="K16" s="27">
        <v>0</v>
      </c>
      <c r="L16" s="37">
        <v>0</v>
      </c>
      <c r="M16" s="33">
        <v>509326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7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7">
        <v>2969.54</v>
      </c>
      <c r="D18" s="27">
        <v>605</v>
      </c>
      <c r="E18" s="27">
        <v>2043</v>
      </c>
      <c r="F18" s="27">
        <v>0</v>
      </c>
      <c r="G18" s="27">
        <v>0</v>
      </c>
      <c r="H18" s="27">
        <v>2787</v>
      </c>
      <c r="I18" s="36"/>
      <c r="J18" s="36"/>
      <c r="K18" s="27">
        <v>0</v>
      </c>
      <c r="L18" s="37">
        <v>0</v>
      </c>
      <c r="M18" s="33">
        <v>2830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7">
        <v>32332.48</v>
      </c>
      <c r="D19" s="27">
        <v>19500</v>
      </c>
      <c r="E19" s="27">
        <v>5541</v>
      </c>
      <c r="F19" s="27">
        <v>0</v>
      </c>
      <c r="G19" s="27">
        <v>0</v>
      </c>
      <c r="H19" s="27">
        <v>34521</v>
      </c>
      <c r="I19" s="36"/>
      <c r="J19" s="36"/>
      <c r="K19" s="27">
        <v>0</v>
      </c>
      <c r="L19" s="37">
        <v>0</v>
      </c>
      <c r="M19" s="33">
        <v>22852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7">
        <v>8344.19</v>
      </c>
      <c r="D20" s="27">
        <v>3449</v>
      </c>
      <c r="E20" s="27">
        <v>0</v>
      </c>
      <c r="F20" s="27">
        <v>0</v>
      </c>
      <c r="G20" s="27">
        <v>0</v>
      </c>
      <c r="H20" s="27">
        <v>5762</v>
      </c>
      <c r="I20" s="36"/>
      <c r="J20" s="36"/>
      <c r="K20" s="27">
        <v>0</v>
      </c>
      <c r="L20" s="37">
        <v>0</v>
      </c>
      <c r="M20" s="33">
        <v>6030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7">
        <v>8075.45</v>
      </c>
      <c r="D21" s="27">
        <v>2698</v>
      </c>
      <c r="E21" s="27">
        <v>9453</v>
      </c>
      <c r="F21" s="27">
        <v>0</v>
      </c>
      <c r="G21" s="27">
        <v>0</v>
      </c>
      <c r="H21" s="27">
        <v>10978</v>
      </c>
      <c r="I21" s="36"/>
      <c r="J21" s="36"/>
      <c r="K21" s="27">
        <v>0</v>
      </c>
      <c r="L21" s="37">
        <v>0</v>
      </c>
      <c r="M21" s="33">
        <v>9248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7">
        <v>2284.4899999999998</v>
      </c>
      <c r="D22" s="27">
        <v>2474</v>
      </c>
      <c r="E22" s="27">
        <v>109</v>
      </c>
      <c r="F22" s="27">
        <v>0</v>
      </c>
      <c r="G22" s="27">
        <v>0</v>
      </c>
      <c r="H22" s="27">
        <v>1632</v>
      </c>
      <c r="I22" s="36"/>
      <c r="J22" s="36"/>
      <c r="K22" s="27">
        <v>0</v>
      </c>
      <c r="L22" s="37">
        <v>0</v>
      </c>
      <c r="M22" s="33">
        <v>3235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7">
        <v>876</v>
      </c>
      <c r="D23" s="27">
        <v>21837</v>
      </c>
      <c r="E23" s="27">
        <v>1034</v>
      </c>
      <c r="F23" s="27">
        <v>0</v>
      </c>
      <c r="G23" s="27">
        <v>0</v>
      </c>
      <c r="H23" s="27">
        <v>716</v>
      </c>
      <c r="I23" s="36"/>
      <c r="J23" s="36"/>
      <c r="K23" s="27">
        <v>0</v>
      </c>
      <c r="L23" s="37">
        <v>0</v>
      </c>
      <c r="M23" s="33">
        <v>23031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7">
        <v>8534.16</v>
      </c>
      <c r="D24" s="27">
        <v>7505</v>
      </c>
      <c r="E24" s="27">
        <v>0</v>
      </c>
      <c r="F24" s="27">
        <v>0</v>
      </c>
      <c r="G24" s="27">
        <v>0</v>
      </c>
      <c r="H24" s="27">
        <v>8195</v>
      </c>
      <c r="I24" s="36"/>
      <c r="J24" s="36"/>
      <c r="K24" s="27">
        <v>0</v>
      </c>
      <c r="L24" s="37">
        <v>0</v>
      </c>
      <c r="M24" s="33">
        <v>7844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77">
        <v>1448.19</v>
      </c>
      <c r="D25" s="27">
        <v>1637</v>
      </c>
      <c r="E25" s="27">
        <v>0</v>
      </c>
      <c r="F25" s="27">
        <v>0</v>
      </c>
      <c r="G25" s="27">
        <v>0</v>
      </c>
      <c r="H25" s="27">
        <v>988</v>
      </c>
      <c r="I25" s="36"/>
      <c r="J25" s="36"/>
      <c r="K25" s="27">
        <v>0</v>
      </c>
      <c r="L25" s="37">
        <v>0</v>
      </c>
      <c r="M25" s="33">
        <v>2096</v>
      </c>
      <c r="N25" s="38"/>
      <c r="O25" s="37">
        <v>0</v>
      </c>
      <c r="P25" s="37">
        <v>0</v>
      </c>
      <c r="Q25" s="39">
        <v>0</v>
      </c>
    </row>
    <row r="26" spans="1:17" ht="15.75" customHeight="1" thickBot="1" x14ac:dyDescent="0.3">
      <c r="A26" s="25" t="s">
        <v>52</v>
      </c>
      <c r="B26" s="23" t="s">
        <v>53</v>
      </c>
      <c r="C26" s="78">
        <v>0</v>
      </c>
      <c r="D26" s="41">
        <v>0</v>
      </c>
      <c r="E26" s="41">
        <v>119643</v>
      </c>
      <c r="F26" s="41">
        <v>312</v>
      </c>
      <c r="G26" s="41">
        <v>0</v>
      </c>
      <c r="H26" s="41">
        <v>0</v>
      </c>
      <c r="I26" s="42"/>
      <c r="J26" s="42"/>
      <c r="K26" s="41">
        <v>119955</v>
      </c>
      <c r="L26" s="43">
        <v>0</v>
      </c>
      <c r="M26" s="44">
        <v>0</v>
      </c>
      <c r="N26" s="38"/>
      <c r="O26" s="37">
        <v>4787</v>
      </c>
      <c r="P26" s="37">
        <v>20104</v>
      </c>
      <c r="Q26" s="39">
        <v>1000</v>
      </c>
    </row>
    <row r="27" spans="1:17" ht="16.5" customHeight="1" thickTop="1" thickBot="1" x14ac:dyDescent="0.3">
      <c r="A27" s="19"/>
      <c r="B27" s="20" t="s">
        <v>54</v>
      </c>
      <c r="C27" s="79">
        <f t="shared" ref="C27" si="0">SUM(C12:C26)</f>
        <v>3456910.43</v>
      </c>
      <c r="D27" s="46">
        <f t="shared" ref="D27:M27" si="1">SUM(D12:D26)</f>
        <v>4639982</v>
      </c>
      <c r="E27" s="46">
        <f t="shared" si="1"/>
        <v>292981</v>
      </c>
      <c r="F27" s="46">
        <f t="shared" si="1"/>
        <v>664170</v>
      </c>
      <c r="G27" s="46">
        <f t="shared" si="1"/>
        <v>71086</v>
      </c>
      <c r="H27" s="46">
        <f t="shared" si="1"/>
        <v>5353463</v>
      </c>
      <c r="I27" s="46">
        <f t="shared" si="1"/>
        <v>0</v>
      </c>
      <c r="J27" s="46">
        <f t="shared" si="1"/>
        <v>0</v>
      </c>
      <c r="K27" s="46">
        <f t="shared" si="1"/>
        <v>119955</v>
      </c>
      <c r="L27" s="46">
        <f t="shared" si="1"/>
        <v>26989</v>
      </c>
      <c r="M27" s="47">
        <f t="shared" si="1"/>
        <v>3624715</v>
      </c>
      <c r="N27" s="48"/>
      <c r="O27" s="49">
        <f>SUM(O12:O26)</f>
        <v>4787</v>
      </c>
      <c r="P27" s="49">
        <f>SUM(P12:P26)</f>
        <v>20104</v>
      </c>
      <c r="Q27" s="50">
        <f>SUM(Q12:Q26)</f>
        <v>1000</v>
      </c>
    </row>
    <row r="28" spans="1:17" ht="16.5" customHeight="1" thickTop="1" thickBot="1" x14ac:dyDescent="0.3">
      <c r="A28" s="18"/>
      <c r="B28" s="85" t="s">
        <v>55</v>
      </c>
      <c r="C28" s="85"/>
      <c r="D28" s="85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thickTop="1" x14ac:dyDescent="0.25">
      <c r="A29" s="24" t="s">
        <v>28</v>
      </c>
      <c r="B29" s="23" t="s">
        <v>29</v>
      </c>
      <c r="C29" s="27">
        <v>464618.64</v>
      </c>
      <c r="D29" s="30">
        <v>181</v>
      </c>
      <c r="E29" s="30">
        <v>17325</v>
      </c>
      <c r="F29" s="30">
        <v>0</v>
      </c>
      <c r="G29" s="30">
        <v>0</v>
      </c>
      <c r="H29" s="32"/>
      <c r="I29" s="30">
        <v>139728</v>
      </c>
      <c r="J29" s="30">
        <v>-13141</v>
      </c>
      <c r="K29" s="52">
        <v>0</v>
      </c>
      <c r="L29" s="52">
        <v>111665</v>
      </c>
      <c r="M29" s="53">
        <v>497047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7">
        <v>880545.97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91321</v>
      </c>
      <c r="J30" s="27">
        <v>-46008</v>
      </c>
      <c r="K30" s="58">
        <v>4084</v>
      </c>
      <c r="L30" s="58">
        <v>40350</v>
      </c>
      <c r="M30" s="59">
        <v>881423</v>
      </c>
      <c r="N30" s="54"/>
      <c r="O30" s="60">
        <v>9</v>
      </c>
      <c r="P30" s="37">
        <v>4075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7">
        <v>1427406.57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244007</v>
      </c>
      <c r="J31" s="27">
        <v>-25765</v>
      </c>
      <c r="K31" s="58">
        <v>160743</v>
      </c>
      <c r="L31" s="58">
        <v>83158</v>
      </c>
      <c r="M31" s="59">
        <v>1401746</v>
      </c>
      <c r="N31" s="54"/>
      <c r="O31" s="60">
        <v>967</v>
      </c>
      <c r="P31" s="37">
        <v>159776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7">
        <v>64143.6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132005</v>
      </c>
      <c r="J32" s="27">
        <v>0</v>
      </c>
      <c r="K32" s="58">
        <v>979</v>
      </c>
      <c r="L32" s="58">
        <v>133047</v>
      </c>
      <c r="M32" s="59">
        <v>62122</v>
      </c>
      <c r="N32" s="54"/>
      <c r="O32" s="60">
        <v>358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7">
        <v>0</v>
      </c>
      <c r="D33" s="27">
        <v>1134</v>
      </c>
      <c r="E33" s="27">
        <v>862</v>
      </c>
      <c r="F33" s="27">
        <v>0</v>
      </c>
      <c r="G33" s="27">
        <v>44</v>
      </c>
      <c r="H33" s="31"/>
      <c r="I33" s="27">
        <v>158783</v>
      </c>
      <c r="J33" s="27">
        <v>0</v>
      </c>
      <c r="K33" s="58">
        <v>156663</v>
      </c>
      <c r="L33" s="58">
        <v>4160</v>
      </c>
      <c r="M33" s="59">
        <v>0</v>
      </c>
      <c r="N33" s="54"/>
      <c r="O33" s="60">
        <v>18661</v>
      </c>
      <c r="P33" s="37">
        <v>514</v>
      </c>
      <c r="Q33" s="39">
        <v>2983</v>
      </c>
    </row>
    <row r="34" spans="1:21" ht="15" customHeight="1" x14ac:dyDescent="0.25">
      <c r="A34" s="24" t="s">
        <v>60</v>
      </c>
      <c r="B34" s="23" t="s">
        <v>61</v>
      </c>
      <c r="C34" s="27">
        <v>232200.34</v>
      </c>
      <c r="D34" s="27">
        <v>0</v>
      </c>
      <c r="E34" s="27">
        <v>21839</v>
      </c>
      <c r="F34" s="27">
        <v>0</v>
      </c>
      <c r="G34" s="27">
        <v>0</v>
      </c>
      <c r="H34" s="31"/>
      <c r="I34" s="27">
        <v>221789</v>
      </c>
      <c r="J34" s="27">
        <v>20580</v>
      </c>
      <c r="K34" s="58">
        <v>1515</v>
      </c>
      <c r="L34" s="58">
        <v>269139</v>
      </c>
      <c r="M34" s="59">
        <v>225755</v>
      </c>
      <c r="N34" s="54"/>
      <c r="O34" s="60">
        <v>7</v>
      </c>
      <c r="P34" s="37">
        <v>1155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7">
        <v>840267.21</v>
      </c>
      <c r="D35" s="27">
        <v>0</v>
      </c>
      <c r="E35" s="27">
        <v>0</v>
      </c>
      <c r="F35" s="27">
        <v>0</v>
      </c>
      <c r="G35" s="27">
        <v>0</v>
      </c>
      <c r="H35" s="31"/>
      <c r="I35" s="27">
        <v>1112106</v>
      </c>
      <c r="J35" s="27">
        <v>13393</v>
      </c>
      <c r="K35" s="58">
        <v>0</v>
      </c>
      <c r="L35" s="58">
        <v>1142667</v>
      </c>
      <c r="M35" s="59">
        <v>823100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7"/>
      <c r="D36" s="27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23" t="s">
        <v>67</v>
      </c>
      <c r="C37" s="27">
        <v>6836.32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3872</v>
      </c>
      <c r="J37" s="27">
        <v>0</v>
      </c>
      <c r="K37" s="58">
        <v>0</v>
      </c>
      <c r="L37" s="58">
        <v>0</v>
      </c>
      <c r="M37" s="59">
        <v>10708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7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7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7">
        <v>123629.18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145304</v>
      </c>
      <c r="J40" s="27">
        <v>6817</v>
      </c>
      <c r="K40" s="58">
        <v>0</v>
      </c>
      <c r="L40" s="58">
        <v>130094</v>
      </c>
      <c r="M40" s="59">
        <v>145656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7">
        <v>33287.980000000003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8859</v>
      </c>
      <c r="J41" s="27">
        <v>-7228</v>
      </c>
      <c r="K41" s="58">
        <v>0</v>
      </c>
      <c r="L41" s="58">
        <v>2292</v>
      </c>
      <c r="M41" s="59">
        <v>32627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7">
        <v>1781.49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1736</v>
      </c>
      <c r="J42" s="27">
        <v>3</v>
      </c>
      <c r="K42" s="58">
        <v>0</v>
      </c>
      <c r="L42" s="58">
        <v>8</v>
      </c>
      <c r="M42" s="59">
        <v>3513</v>
      </c>
      <c r="N42" s="54"/>
      <c r="O42" s="60">
        <v>0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7">
        <v>1329609.45</v>
      </c>
      <c r="D43" s="27">
        <v>6610</v>
      </c>
      <c r="E43" s="27">
        <v>3</v>
      </c>
      <c r="F43" s="27">
        <v>0</v>
      </c>
      <c r="G43" s="27">
        <v>0</v>
      </c>
      <c r="H43" s="31"/>
      <c r="I43" s="27">
        <v>2252579</v>
      </c>
      <c r="J43" s="27">
        <v>59811</v>
      </c>
      <c r="K43" s="58">
        <v>2782</v>
      </c>
      <c r="L43" s="58">
        <v>2399354</v>
      </c>
      <c r="M43" s="59">
        <v>1246478</v>
      </c>
      <c r="N43" s="54"/>
      <c r="O43" s="60">
        <v>139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7">
        <v>619324.12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252660</v>
      </c>
      <c r="J44" s="27">
        <v>44024</v>
      </c>
      <c r="K44" s="58">
        <v>4580</v>
      </c>
      <c r="L44" s="58">
        <v>306236</v>
      </c>
      <c r="M44" s="59">
        <v>605192</v>
      </c>
      <c r="N44" s="54"/>
      <c r="O44" s="60">
        <v>1450</v>
      </c>
      <c r="P44" s="37">
        <v>39</v>
      </c>
      <c r="Q44" s="39">
        <v>6</v>
      </c>
    </row>
    <row r="45" spans="1:21" ht="15" customHeight="1" x14ac:dyDescent="0.25">
      <c r="A45" s="24" t="s">
        <v>82</v>
      </c>
      <c r="B45" s="23" t="s">
        <v>83</v>
      </c>
      <c r="C45" s="27">
        <v>361641.08</v>
      </c>
      <c r="D45" s="27">
        <v>0</v>
      </c>
      <c r="E45" s="27">
        <v>0</v>
      </c>
      <c r="F45" s="27">
        <v>0</v>
      </c>
      <c r="G45" s="27">
        <v>0</v>
      </c>
      <c r="H45" s="31"/>
      <c r="I45" s="27">
        <v>142463</v>
      </c>
      <c r="J45" s="27">
        <v>-34096</v>
      </c>
      <c r="K45" s="58">
        <v>29897</v>
      </c>
      <c r="L45" s="58">
        <v>177541</v>
      </c>
      <c r="M45" s="59">
        <v>262568</v>
      </c>
      <c r="N45" s="54"/>
      <c r="O45" s="60">
        <v>10568</v>
      </c>
      <c r="P45" s="37">
        <v>0</v>
      </c>
      <c r="Q45" s="39">
        <v>365</v>
      </c>
    </row>
    <row r="46" spans="1:21" ht="15" customHeight="1" x14ac:dyDescent="0.25">
      <c r="A46" s="24" t="s">
        <v>84</v>
      </c>
      <c r="B46" s="23" t="s">
        <v>85</v>
      </c>
      <c r="C46" s="27">
        <v>274918.59000000003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137616</v>
      </c>
      <c r="J46" s="27">
        <v>581</v>
      </c>
      <c r="K46" s="58">
        <v>0</v>
      </c>
      <c r="L46" s="58">
        <v>160331</v>
      </c>
      <c r="M46" s="59">
        <v>252784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7">
        <v>92689.65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89504</v>
      </c>
      <c r="J47" s="27">
        <v>-9956</v>
      </c>
      <c r="K47" s="58">
        <v>83958</v>
      </c>
      <c r="L47" s="58">
        <v>15501</v>
      </c>
      <c r="M47" s="59">
        <v>82733</v>
      </c>
      <c r="N47" s="54"/>
      <c r="O47" s="60">
        <v>7045</v>
      </c>
      <c r="P47" s="37">
        <v>190</v>
      </c>
      <c r="Q47" s="39">
        <v>36</v>
      </c>
    </row>
    <row r="48" spans="1:21" ht="15" customHeight="1" x14ac:dyDescent="0.25">
      <c r="A48" s="24" t="s">
        <v>88</v>
      </c>
      <c r="B48" s="23" t="s">
        <v>89</v>
      </c>
      <c r="C48" s="27">
        <v>142752.26999999999</v>
      </c>
      <c r="D48" s="27">
        <v>0</v>
      </c>
      <c r="E48" s="27">
        <v>168</v>
      </c>
      <c r="F48" s="27">
        <v>0</v>
      </c>
      <c r="G48" s="27">
        <v>0</v>
      </c>
      <c r="H48" s="31"/>
      <c r="I48" s="27">
        <v>83170</v>
      </c>
      <c r="J48" s="27">
        <v>-115</v>
      </c>
      <c r="K48" s="58">
        <v>0</v>
      </c>
      <c r="L48" s="58">
        <v>108682</v>
      </c>
      <c r="M48" s="59">
        <v>117293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7">
        <v>7724.12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4811</v>
      </c>
      <c r="J49" s="27">
        <v>0</v>
      </c>
      <c r="K49" s="58">
        <v>0</v>
      </c>
      <c r="L49" s="58">
        <v>5533</v>
      </c>
      <c r="M49" s="59">
        <v>7002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7">
        <v>4211.2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41279</v>
      </c>
      <c r="J50" s="27">
        <v>0</v>
      </c>
      <c r="K50" s="58">
        <v>0</v>
      </c>
      <c r="L50" s="58">
        <v>42279</v>
      </c>
      <c r="M50" s="59">
        <v>3211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7">
        <v>51422.95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20400</v>
      </c>
      <c r="J51" s="27">
        <v>-8649</v>
      </c>
      <c r="K51" s="58">
        <v>0</v>
      </c>
      <c r="L51" s="58">
        <v>21462</v>
      </c>
      <c r="M51" s="59">
        <v>41712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7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27">
        <v>7717.76</v>
      </c>
      <c r="D53" s="62">
        <v>0</v>
      </c>
      <c r="E53" s="62">
        <v>471</v>
      </c>
      <c r="F53" s="62">
        <v>0</v>
      </c>
      <c r="G53" s="62">
        <v>0</v>
      </c>
      <c r="H53" s="63"/>
      <c r="I53" s="62">
        <v>20047</v>
      </c>
      <c r="J53" s="62">
        <v>-252</v>
      </c>
      <c r="K53" s="64">
        <v>95</v>
      </c>
      <c r="L53" s="64">
        <v>21833</v>
      </c>
      <c r="M53" s="65">
        <v>6055</v>
      </c>
      <c r="N53" s="54"/>
      <c r="O53" s="60">
        <v>0</v>
      </c>
      <c r="P53" s="37">
        <v>0</v>
      </c>
      <c r="Q53" s="39">
        <v>0</v>
      </c>
    </row>
    <row r="54" spans="1:17" ht="15.75" customHeight="1" thickBot="1" x14ac:dyDescent="0.3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49421</v>
      </c>
      <c r="J54" s="67">
        <v>0</v>
      </c>
      <c r="K54" s="69">
        <v>49421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2">SUM(C29:C54)</f>
        <v>6966728.4900000002</v>
      </c>
      <c r="D55" s="72">
        <f t="shared" si="2"/>
        <v>17881</v>
      </c>
      <c r="E55" s="72">
        <f t="shared" si="2"/>
        <v>40668</v>
      </c>
      <c r="F55" s="72">
        <f t="shared" si="2"/>
        <v>0</v>
      </c>
      <c r="G55" s="72">
        <f t="shared" si="2"/>
        <v>44</v>
      </c>
      <c r="H55" s="72">
        <f t="shared" si="2"/>
        <v>0</v>
      </c>
      <c r="I55" s="72">
        <f t="shared" si="2"/>
        <v>5353460</v>
      </c>
      <c r="J55" s="72">
        <f t="shared" si="2"/>
        <v>-1</v>
      </c>
      <c r="K55" s="72">
        <f t="shared" si="2"/>
        <v>494717</v>
      </c>
      <c r="L55" s="72">
        <f t="shared" si="2"/>
        <v>5175332</v>
      </c>
      <c r="M55" s="73">
        <f t="shared" si="2"/>
        <v>6708725</v>
      </c>
      <c r="N55" s="74"/>
      <c r="O55" s="75">
        <f>SUM(O29:O54)</f>
        <v>39204</v>
      </c>
      <c r="P55" s="49">
        <f>SUM(P29:P54)</f>
        <v>165749</v>
      </c>
      <c r="Q55" s="50">
        <f>SUM(Q29:Q54)</f>
        <v>3390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28:D28"/>
    <mergeCell ref="L7:Q7"/>
    <mergeCell ref="L8:Q8"/>
    <mergeCell ref="L9:Q9"/>
    <mergeCell ref="B5:D5"/>
    <mergeCell ref="L6:Q6"/>
    <mergeCell ref="B3:D3"/>
    <mergeCell ref="B10:D10"/>
    <mergeCell ref="B1:D1"/>
    <mergeCell ref="P1:Q1"/>
    <mergeCell ref="E4:K4"/>
    <mergeCell ref="E5:K5"/>
    <mergeCell ref="E1:K1"/>
    <mergeCell ref="B2:D2"/>
    <mergeCell ref="E2:K2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2" t="s">
        <v>0</v>
      </c>
      <c r="C1" s="82"/>
      <c r="D1" s="82"/>
      <c r="E1" s="82" t="s">
        <v>1</v>
      </c>
      <c r="F1" s="82"/>
      <c r="G1" s="82"/>
      <c r="H1" s="82"/>
      <c r="I1" s="82"/>
      <c r="J1" s="82"/>
      <c r="K1" s="82"/>
      <c r="L1" s="3"/>
      <c r="M1" s="3"/>
      <c r="N1" s="3"/>
      <c r="O1" s="8"/>
      <c r="P1" s="82" t="s">
        <v>2</v>
      </c>
      <c r="Q1" s="82"/>
    </row>
    <row r="2" spans="1:17" ht="15" customHeight="1" x14ac:dyDescent="0.25">
      <c r="A2" s="3"/>
      <c r="B2" s="83" t="s">
        <v>109</v>
      </c>
      <c r="C2" s="82"/>
      <c r="D2" s="82"/>
      <c r="E2" s="83" t="s">
        <v>110</v>
      </c>
      <c r="F2" s="84"/>
      <c r="G2" s="84"/>
      <c r="H2" s="84"/>
      <c r="I2" s="84"/>
      <c r="J2" s="84"/>
      <c r="K2" s="84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0"/>
      <c r="C3" s="80"/>
      <c r="D3" s="80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2" t="s">
        <v>3</v>
      </c>
      <c r="F4" s="82"/>
      <c r="G4" s="82"/>
      <c r="H4" s="82"/>
      <c r="I4" s="82"/>
      <c r="J4" s="82"/>
      <c r="K4" s="82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8" t="s">
        <v>4</v>
      </c>
      <c r="C5" s="88"/>
      <c r="D5" s="88"/>
      <c r="E5" s="82" t="s">
        <v>5</v>
      </c>
      <c r="F5" s="82"/>
      <c r="G5" s="82"/>
      <c r="H5" s="82"/>
      <c r="I5" s="82"/>
      <c r="J5" s="82"/>
      <c r="K5" s="82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6" t="s">
        <v>6</v>
      </c>
      <c r="M6" s="86"/>
      <c r="N6" s="86"/>
      <c r="O6" s="86"/>
      <c r="P6" s="86"/>
      <c r="Q6" s="86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6" t="s">
        <v>111</v>
      </c>
      <c r="M7" s="86"/>
      <c r="N7" s="86"/>
      <c r="O7" s="86"/>
      <c r="P7" s="86"/>
      <c r="Q7" s="86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6"/>
      <c r="M8" s="86"/>
      <c r="N8" s="86"/>
      <c r="O8" s="86"/>
      <c r="P8" s="86"/>
      <c r="Q8" s="86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7"/>
      <c r="M9" s="87"/>
      <c r="N9" s="87"/>
      <c r="O9" s="87"/>
      <c r="P9" s="87"/>
      <c r="Q9" s="87"/>
    </row>
    <row r="10" spans="1:17" ht="15" customHeight="1" x14ac:dyDescent="0.25">
      <c r="A10" s="6"/>
      <c r="B10" s="81" t="s">
        <v>7</v>
      </c>
      <c r="C10" s="81"/>
      <c r="D10" s="8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125026</v>
      </c>
      <c r="F12" s="29">
        <v>878916</v>
      </c>
      <c r="G12" s="26">
        <v>0</v>
      </c>
      <c r="H12" s="30">
        <v>889546</v>
      </c>
      <c r="I12" s="31"/>
      <c r="J12" s="32"/>
      <c r="K12" s="27">
        <v>0</v>
      </c>
      <c r="L12" s="30">
        <v>0</v>
      </c>
      <c r="M12" s="33">
        <v>337959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8995609</v>
      </c>
      <c r="E13" s="27">
        <v>0</v>
      </c>
      <c r="F13" s="30">
        <v>0</v>
      </c>
      <c r="G13" s="27">
        <v>0</v>
      </c>
      <c r="H13" s="27">
        <v>9025171</v>
      </c>
      <c r="I13" s="36"/>
      <c r="J13" s="36"/>
      <c r="K13" s="27">
        <v>0</v>
      </c>
      <c r="L13" s="37">
        <v>-91</v>
      </c>
      <c r="M13" s="33">
        <v>2592627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698</v>
      </c>
      <c r="E14" s="27">
        <v>80435</v>
      </c>
      <c r="F14" s="27">
        <v>92310</v>
      </c>
      <c r="G14" s="27">
        <v>147173</v>
      </c>
      <c r="H14" s="27">
        <v>253569</v>
      </c>
      <c r="I14" s="36"/>
      <c r="J14" s="36"/>
      <c r="K14" s="27">
        <v>0</v>
      </c>
      <c r="L14" s="37">
        <v>62456</v>
      </c>
      <c r="M14" s="33">
        <v>97236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49679</v>
      </c>
      <c r="E15" s="27">
        <v>0</v>
      </c>
      <c r="F15" s="27">
        <v>148936</v>
      </c>
      <c r="G15" s="27">
        <v>0</v>
      </c>
      <c r="H15" s="27">
        <v>199380</v>
      </c>
      <c r="I15" s="36"/>
      <c r="J15" s="36"/>
      <c r="K15" s="27">
        <v>0</v>
      </c>
      <c r="L15" s="37">
        <v>0</v>
      </c>
      <c r="M15" s="33">
        <v>10401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1059414</v>
      </c>
      <c r="E16" s="27">
        <v>37964</v>
      </c>
      <c r="F16" s="27">
        <v>193241</v>
      </c>
      <c r="G16" s="27">
        <v>0</v>
      </c>
      <c r="H16" s="27">
        <v>1365315</v>
      </c>
      <c r="I16" s="36"/>
      <c r="J16" s="36"/>
      <c r="K16" s="27">
        <v>0</v>
      </c>
      <c r="L16" s="37">
        <v>0</v>
      </c>
      <c r="M16" s="33">
        <v>509326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2479</v>
      </c>
      <c r="E18" s="27">
        <v>4137</v>
      </c>
      <c r="F18" s="27">
        <v>0</v>
      </c>
      <c r="G18" s="27">
        <v>0</v>
      </c>
      <c r="H18" s="27">
        <v>6927</v>
      </c>
      <c r="I18" s="36"/>
      <c r="J18" s="36"/>
      <c r="K18" s="27">
        <v>0</v>
      </c>
      <c r="L18" s="37">
        <v>0</v>
      </c>
      <c r="M18" s="33">
        <v>2830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37526</v>
      </c>
      <c r="E19" s="27">
        <v>29658</v>
      </c>
      <c r="F19" s="27">
        <v>0</v>
      </c>
      <c r="G19" s="27">
        <v>0</v>
      </c>
      <c r="H19" s="27">
        <v>77337</v>
      </c>
      <c r="I19" s="36"/>
      <c r="J19" s="36"/>
      <c r="K19" s="27">
        <v>0</v>
      </c>
      <c r="L19" s="37">
        <v>0</v>
      </c>
      <c r="M19" s="33">
        <v>22852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6897</v>
      </c>
      <c r="E20" s="27">
        <v>0</v>
      </c>
      <c r="F20" s="27">
        <v>0</v>
      </c>
      <c r="G20" s="27">
        <v>0</v>
      </c>
      <c r="H20" s="27">
        <v>9699</v>
      </c>
      <c r="I20" s="36"/>
      <c r="J20" s="36"/>
      <c r="K20" s="27">
        <v>0</v>
      </c>
      <c r="L20" s="37">
        <v>0</v>
      </c>
      <c r="M20" s="33">
        <v>6030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5695</v>
      </c>
      <c r="E21" s="27">
        <v>21170</v>
      </c>
      <c r="F21" s="27">
        <v>0</v>
      </c>
      <c r="G21" s="27">
        <v>0</v>
      </c>
      <c r="H21" s="27">
        <v>21148</v>
      </c>
      <c r="I21" s="36"/>
      <c r="J21" s="36"/>
      <c r="K21" s="27">
        <v>0</v>
      </c>
      <c r="L21" s="37">
        <v>0</v>
      </c>
      <c r="M21" s="33">
        <v>9248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4571</v>
      </c>
      <c r="E22" s="27">
        <v>216</v>
      </c>
      <c r="F22" s="27">
        <v>0</v>
      </c>
      <c r="G22" s="27">
        <v>0</v>
      </c>
      <c r="H22" s="27">
        <v>4492</v>
      </c>
      <c r="I22" s="36"/>
      <c r="J22" s="36"/>
      <c r="K22" s="27">
        <v>0</v>
      </c>
      <c r="L22" s="37">
        <v>0</v>
      </c>
      <c r="M22" s="33">
        <v>3235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21837</v>
      </c>
      <c r="E23" s="27">
        <v>1573</v>
      </c>
      <c r="F23" s="27">
        <v>0</v>
      </c>
      <c r="G23" s="27">
        <v>0</v>
      </c>
      <c r="H23" s="27">
        <v>1424</v>
      </c>
      <c r="I23" s="36"/>
      <c r="J23" s="36"/>
      <c r="K23" s="27">
        <v>0</v>
      </c>
      <c r="L23" s="37">
        <v>0</v>
      </c>
      <c r="M23" s="33">
        <v>23031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24008</v>
      </c>
      <c r="E24" s="27">
        <v>0</v>
      </c>
      <c r="F24" s="27">
        <v>0</v>
      </c>
      <c r="G24" s="27">
        <v>0</v>
      </c>
      <c r="H24" s="27">
        <v>18612</v>
      </c>
      <c r="I24" s="36"/>
      <c r="J24" s="36"/>
      <c r="K24" s="27">
        <v>0</v>
      </c>
      <c r="L24" s="37">
        <v>0</v>
      </c>
      <c r="M24" s="33">
        <v>7844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3588</v>
      </c>
      <c r="E25" s="27">
        <v>0</v>
      </c>
      <c r="F25" s="27">
        <v>0</v>
      </c>
      <c r="G25" s="27">
        <v>0</v>
      </c>
      <c r="H25" s="27">
        <v>2978</v>
      </c>
      <c r="I25" s="36"/>
      <c r="J25" s="36"/>
      <c r="K25" s="27">
        <v>0</v>
      </c>
      <c r="L25" s="37">
        <v>0</v>
      </c>
      <c r="M25" s="33">
        <v>2096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261031</v>
      </c>
      <c r="F26" s="41">
        <v>636</v>
      </c>
      <c r="G26" s="41">
        <v>0</v>
      </c>
      <c r="H26" s="41">
        <v>0</v>
      </c>
      <c r="I26" s="42"/>
      <c r="J26" s="42"/>
      <c r="K26" s="41">
        <v>261668</v>
      </c>
      <c r="L26" s="43">
        <v>0</v>
      </c>
      <c r="M26" s="44">
        <v>0</v>
      </c>
      <c r="N26" s="38"/>
      <c r="O26" s="37">
        <v>18230</v>
      </c>
      <c r="P26" s="37">
        <v>52118</v>
      </c>
      <c r="Q26" s="39">
        <v>7078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10212001</v>
      </c>
      <c r="E27" s="46">
        <f t="shared" si="0"/>
        <v>561210</v>
      </c>
      <c r="F27" s="46">
        <f t="shared" si="0"/>
        <v>1314039</v>
      </c>
      <c r="G27" s="46">
        <f t="shared" si="0"/>
        <v>147173</v>
      </c>
      <c r="H27" s="46">
        <f t="shared" si="0"/>
        <v>11875598</v>
      </c>
      <c r="I27" s="46">
        <f t="shared" si="0"/>
        <v>0</v>
      </c>
      <c r="J27" s="46">
        <f t="shared" si="0"/>
        <v>0</v>
      </c>
      <c r="K27" s="46">
        <f t="shared" si="0"/>
        <v>261668</v>
      </c>
      <c r="L27" s="46">
        <f t="shared" si="0"/>
        <v>62365</v>
      </c>
      <c r="M27" s="47">
        <f t="shared" si="0"/>
        <v>3624715</v>
      </c>
      <c r="N27" s="48"/>
      <c r="O27" s="49">
        <f>SUM(O12:O26)</f>
        <v>18230</v>
      </c>
      <c r="P27" s="49">
        <f>SUM(P12:P26)</f>
        <v>52118</v>
      </c>
      <c r="Q27" s="50">
        <f>SUM(Q12:Q26)</f>
        <v>7078</v>
      </c>
    </row>
    <row r="28" spans="1:17" ht="16.5" customHeight="1" x14ac:dyDescent="0.25">
      <c r="A28" s="18"/>
      <c r="B28" s="85" t="s">
        <v>55</v>
      </c>
      <c r="C28" s="85"/>
      <c r="D28" s="85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419</v>
      </c>
      <c r="E29" s="30">
        <v>35230</v>
      </c>
      <c r="F29" s="30">
        <v>0</v>
      </c>
      <c r="G29" s="30">
        <v>0</v>
      </c>
      <c r="H29" s="32"/>
      <c r="I29" s="30">
        <v>257928</v>
      </c>
      <c r="J29" s="30">
        <v>-38666</v>
      </c>
      <c r="K29" s="52">
        <v>0</v>
      </c>
      <c r="L29" s="52">
        <v>229944</v>
      </c>
      <c r="M29" s="53">
        <v>497047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236492</v>
      </c>
      <c r="J30" s="27">
        <v>-105829</v>
      </c>
      <c r="K30" s="58">
        <v>7877</v>
      </c>
      <c r="L30" s="58">
        <v>78856</v>
      </c>
      <c r="M30" s="59">
        <v>881423</v>
      </c>
      <c r="N30" s="54"/>
      <c r="O30" s="60">
        <v>19</v>
      </c>
      <c r="P30" s="37">
        <v>7857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655757</v>
      </c>
      <c r="J31" s="27">
        <v>-45474</v>
      </c>
      <c r="K31" s="58">
        <v>321985</v>
      </c>
      <c r="L31" s="58">
        <v>219234</v>
      </c>
      <c r="M31" s="59">
        <v>1401746</v>
      </c>
      <c r="N31" s="54"/>
      <c r="O31" s="60">
        <v>2173</v>
      </c>
      <c r="P31" s="37">
        <v>319811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274896</v>
      </c>
      <c r="J32" s="27">
        <v>-101</v>
      </c>
      <c r="K32" s="58">
        <v>1734</v>
      </c>
      <c r="L32" s="58">
        <v>277468</v>
      </c>
      <c r="M32" s="59">
        <v>62122</v>
      </c>
      <c r="N32" s="54"/>
      <c r="O32" s="60">
        <v>754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2460</v>
      </c>
      <c r="E33" s="27">
        <v>2190</v>
      </c>
      <c r="F33" s="27">
        <v>0</v>
      </c>
      <c r="G33" s="27">
        <v>44</v>
      </c>
      <c r="H33" s="31"/>
      <c r="I33" s="27">
        <v>326706</v>
      </c>
      <c r="J33" s="27">
        <v>0</v>
      </c>
      <c r="K33" s="58">
        <v>319055</v>
      </c>
      <c r="L33" s="58">
        <v>12345</v>
      </c>
      <c r="M33" s="59">
        <v>0</v>
      </c>
      <c r="N33" s="54"/>
      <c r="O33" s="60">
        <v>33588</v>
      </c>
      <c r="P33" s="37">
        <v>1106</v>
      </c>
      <c r="Q33" s="39">
        <v>3508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0</v>
      </c>
      <c r="E34" s="27">
        <v>21839</v>
      </c>
      <c r="F34" s="27">
        <v>0</v>
      </c>
      <c r="G34" s="27">
        <v>0</v>
      </c>
      <c r="H34" s="31"/>
      <c r="I34" s="27">
        <v>510267</v>
      </c>
      <c r="J34" s="27">
        <v>20580</v>
      </c>
      <c r="K34" s="58">
        <v>3017</v>
      </c>
      <c r="L34" s="58">
        <v>551933</v>
      </c>
      <c r="M34" s="59">
        <v>225755</v>
      </c>
      <c r="N34" s="54"/>
      <c r="O34" s="60">
        <v>17</v>
      </c>
      <c r="P34" s="37">
        <v>2488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0</v>
      </c>
      <c r="E35" s="27">
        <v>0</v>
      </c>
      <c r="F35" s="27">
        <v>0</v>
      </c>
      <c r="G35" s="27">
        <v>0</v>
      </c>
      <c r="H35" s="31"/>
      <c r="I35" s="27">
        <v>2410117</v>
      </c>
      <c r="J35" s="27">
        <v>144364</v>
      </c>
      <c r="K35" s="58">
        <v>0</v>
      </c>
      <c r="L35" s="58">
        <v>2305102</v>
      </c>
      <c r="M35" s="59">
        <v>823100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3872</v>
      </c>
      <c r="J37" s="27">
        <v>-6350</v>
      </c>
      <c r="K37" s="58">
        <v>0</v>
      </c>
      <c r="L37" s="58">
        <v>0</v>
      </c>
      <c r="M37" s="59">
        <v>10708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0</v>
      </c>
      <c r="E40" s="27">
        <v>0</v>
      </c>
      <c r="F40" s="27">
        <v>0</v>
      </c>
      <c r="G40" s="27">
        <v>0</v>
      </c>
      <c r="H40" s="31"/>
      <c r="I40" s="27">
        <v>293638</v>
      </c>
      <c r="J40" s="27">
        <v>7770</v>
      </c>
      <c r="K40" s="58">
        <v>0</v>
      </c>
      <c r="L40" s="58">
        <v>295704</v>
      </c>
      <c r="M40" s="59">
        <v>145656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14240</v>
      </c>
      <c r="J41" s="27">
        <v>-10227</v>
      </c>
      <c r="K41" s="58">
        <v>0</v>
      </c>
      <c r="L41" s="58">
        <v>5255</v>
      </c>
      <c r="M41" s="59">
        <v>32627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1767</v>
      </c>
      <c r="J42" s="27">
        <v>3</v>
      </c>
      <c r="K42" s="58">
        <v>4</v>
      </c>
      <c r="L42" s="58">
        <v>21</v>
      </c>
      <c r="M42" s="59">
        <v>3513</v>
      </c>
      <c r="N42" s="54"/>
      <c r="O42" s="60">
        <v>3</v>
      </c>
      <c r="P42" s="37">
        <v>0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16527</v>
      </c>
      <c r="E43" s="27">
        <v>8</v>
      </c>
      <c r="F43" s="27">
        <v>0</v>
      </c>
      <c r="G43" s="27">
        <v>0</v>
      </c>
      <c r="H43" s="31"/>
      <c r="I43" s="27">
        <v>4940804</v>
      </c>
      <c r="J43" s="27">
        <v>126157</v>
      </c>
      <c r="K43" s="58">
        <v>4019</v>
      </c>
      <c r="L43" s="58">
        <v>5006879</v>
      </c>
      <c r="M43" s="59">
        <v>1246478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571543</v>
      </c>
      <c r="J44" s="27">
        <v>53440</v>
      </c>
      <c r="K44" s="58">
        <v>8329</v>
      </c>
      <c r="L44" s="58">
        <v>602281</v>
      </c>
      <c r="M44" s="59">
        <v>605192</v>
      </c>
      <c r="N44" s="54"/>
      <c r="O44" s="60">
        <v>2482</v>
      </c>
      <c r="P44" s="37">
        <v>67</v>
      </c>
      <c r="Q44" s="39">
        <v>13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0</v>
      </c>
      <c r="E45" s="27">
        <v>85</v>
      </c>
      <c r="F45" s="27">
        <v>0</v>
      </c>
      <c r="G45" s="27">
        <v>0</v>
      </c>
      <c r="H45" s="31"/>
      <c r="I45" s="27">
        <v>381920</v>
      </c>
      <c r="J45" s="27">
        <v>-27328</v>
      </c>
      <c r="K45" s="58">
        <v>65499</v>
      </c>
      <c r="L45" s="58">
        <v>291634</v>
      </c>
      <c r="M45" s="59">
        <v>262568</v>
      </c>
      <c r="N45" s="54"/>
      <c r="O45" s="60">
        <v>24884</v>
      </c>
      <c r="P45" s="37">
        <v>0</v>
      </c>
      <c r="Q45" s="39">
        <v>661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314638</v>
      </c>
      <c r="J46" s="27">
        <v>6081</v>
      </c>
      <c r="K46" s="58">
        <v>0</v>
      </c>
      <c r="L46" s="58">
        <v>302853</v>
      </c>
      <c r="M46" s="59">
        <v>252784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183556</v>
      </c>
      <c r="J47" s="27">
        <v>-9956</v>
      </c>
      <c r="K47" s="58">
        <v>169943</v>
      </c>
      <c r="L47" s="58">
        <v>24578</v>
      </c>
      <c r="M47" s="59">
        <v>82733</v>
      </c>
      <c r="N47" s="54"/>
      <c r="O47" s="60">
        <v>11991</v>
      </c>
      <c r="P47" s="37">
        <v>324</v>
      </c>
      <c r="Q47" s="39">
        <v>66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0</v>
      </c>
      <c r="E48" s="27">
        <v>196</v>
      </c>
      <c r="F48" s="27">
        <v>0</v>
      </c>
      <c r="G48" s="27">
        <v>0</v>
      </c>
      <c r="H48" s="31"/>
      <c r="I48" s="27">
        <v>191835</v>
      </c>
      <c r="J48" s="27">
        <v>-218</v>
      </c>
      <c r="K48" s="58">
        <v>0</v>
      </c>
      <c r="L48" s="58">
        <v>193346</v>
      </c>
      <c r="M48" s="59">
        <v>117293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12670</v>
      </c>
      <c r="J49" s="27">
        <v>0</v>
      </c>
      <c r="K49" s="58">
        <v>0</v>
      </c>
      <c r="L49" s="58">
        <v>11960</v>
      </c>
      <c r="M49" s="59">
        <v>7002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91841</v>
      </c>
      <c r="J50" s="27">
        <v>0</v>
      </c>
      <c r="K50" s="58">
        <v>0</v>
      </c>
      <c r="L50" s="58">
        <v>97388</v>
      </c>
      <c r="M50" s="59">
        <v>3211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52265</v>
      </c>
      <c r="J51" s="27">
        <v>-8649</v>
      </c>
      <c r="K51" s="58">
        <v>0</v>
      </c>
      <c r="L51" s="58">
        <v>42025</v>
      </c>
      <c r="M51" s="59">
        <v>41712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471</v>
      </c>
      <c r="F53" s="62">
        <v>0</v>
      </c>
      <c r="G53" s="62">
        <v>0</v>
      </c>
      <c r="H53" s="63"/>
      <c r="I53" s="62">
        <v>42773</v>
      </c>
      <c r="J53" s="62">
        <v>-252</v>
      </c>
      <c r="K53" s="64">
        <v>174</v>
      </c>
      <c r="L53" s="64">
        <v>42813</v>
      </c>
      <c r="M53" s="65">
        <v>6055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106071</v>
      </c>
      <c r="J54" s="67">
        <v>0</v>
      </c>
      <c r="K54" s="69">
        <v>106071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29362</v>
      </c>
      <c r="E55" s="72">
        <f t="shared" si="1"/>
        <v>60019</v>
      </c>
      <c r="F55" s="72">
        <f t="shared" si="1"/>
        <v>0</v>
      </c>
      <c r="G55" s="72">
        <f t="shared" si="1"/>
        <v>44</v>
      </c>
      <c r="H55" s="72">
        <f t="shared" si="1"/>
        <v>0</v>
      </c>
      <c r="I55" s="72">
        <f t="shared" si="1"/>
        <v>11875596</v>
      </c>
      <c r="J55" s="72">
        <f t="shared" si="1"/>
        <v>2</v>
      </c>
      <c r="K55" s="72">
        <f t="shared" si="1"/>
        <v>1007707</v>
      </c>
      <c r="L55" s="72">
        <f t="shared" si="1"/>
        <v>10591619</v>
      </c>
      <c r="M55" s="73">
        <f t="shared" si="1"/>
        <v>6708725</v>
      </c>
      <c r="N55" s="74"/>
      <c r="O55" s="75">
        <f>SUM(O29:O54)</f>
        <v>76224</v>
      </c>
      <c r="P55" s="49">
        <f>SUM(P29:P54)</f>
        <v>331653</v>
      </c>
      <c r="Q55" s="50">
        <f>SUM(Q29:Q54)</f>
        <v>4248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B10:D10"/>
    <mergeCell ref="B28:D28"/>
    <mergeCell ref="B5:D5"/>
    <mergeCell ref="E5:K5"/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2015-02-15T11:00:50Z</cp:lastPrinted>
  <dcterms:created xsi:type="dcterms:W3CDTF">2014-06-24T13:01:17Z</dcterms:created>
  <dcterms:modified xsi:type="dcterms:W3CDTF">2015-02-17T08:49:01Z</dcterms:modified>
</cp:coreProperties>
</file>