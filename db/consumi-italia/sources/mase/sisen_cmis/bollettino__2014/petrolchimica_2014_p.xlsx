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semilavorati" sheetId="1" r:id="rId1"/>
    <sheet name="monomeri" sheetId="2" r:id="rId2"/>
    <sheet name="consumi" sheetId="3" r:id="rId3"/>
    <sheet name="import" sheetId="4" r:id="rId4"/>
    <sheet name="export" sheetId="5" r:id="rId5"/>
  </sheets>
  <calcPr calcId="145621"/>
</workbook>
</file>

<file path=xl/calcChain.xml><?xml version="1.0" encoding="utf-8"?>
<calcChain xmlns="http://schemas.openxmlformats.org/spreadsheetml/2006/main">
  <c r="C110" i="5" l="1"/>
  <c r="C80" i="4"/>
  <c r="S19" i="2" l="1"/>
  <c r="R19" i="2"/>
  <c r="Q19" i="2"/>
  <c r="P19" i="2"/>
  <c r="O19" i="2"/>
  <c r="N19" i="2"/>
  <c r="M19" i="2"/>
  <c r="L19" i="2"/>
  <c r="J19" i="2"/>
  <c r="I19" i="2"/>
  <c r="G19" i="2"/>
  <c r="F19" i="2"/>
  <c r="E19" i="2"/>
  <c r="D19" i="2"/>
  <c r="C19" i="2"/>
  <c r="T18" i="2"/>
  <c r="H18" i="2"/>
  <c r="K18" i="2" s="1"/>
  <c r="T17" i="2"/>
  <c r="H17" i="2"/>
  <c r="K17" i="2" s="1"/>
  <c r="T16" i="2"/>
  <c r="H16" i="2"/>
  <c r="K16" i="2" s="1"/>
  <c r="T15" i="2"/>
  <c r="K15" i="2"/>
  <c r="H15" i="2"/>
  <c r="T14" i="2"/>
  <c r="H14" i="2"/>
  <c r="K14" i="2" s="1"/>
  <c r="T13" i="2"/>
  <c r="K13" i="2"/>
  <c r="H13" i="2"/>
  <c r="T12" i="2"/>
  <c r="H12" i="2"/>
  <c r="K12" i="2" s="1"/>
  <c r="T11" i="2"/>
  <c r="K11" i="2"/>
  <c r="H11" i="2"/>
  <c r="T10" i="2"/>
  <c r="T19" i="2" s="1"/>
  <c r="H10" i="2"/>
  <c r="H19" i="2" s="1"/>
  <c r="S28" i="1"/>
  <c r="R28" i="1"/>
  <c r="Q28" i="1"/>
  <c r="P28" i="1"/>
  <c r="O28" i="1"/>
  <c r="N28" i="1"/>
  <c r="M28" i="1"/>
  <c r="L28" i="1"/>
  <c r="J28" i="1"/>
  <c r="G28" i="1"/>
  <c r="F28" i="1"/>
  <c r="E28" i="1"/>
  <c r="D28" i="1"/>
  <c r="C28" i="1"/>
  <c r="B28" i="1"/>
  <c r="T27" i="1"/>
  <c r="H27" i="1"/>
  <c r="K27" i="1" s="1"/>
  <c r="T26" i="1"/>
  <c r="T28" i="1" s="1"/>
  <c r="H26" i="1"/>
  <c r="K26" i="1" s="1"/>
  <c r="T25" i="1"/>
  <c r="S25" i="1"/>
  <c r="R25" i="1"/>
  <c r="Q25" i="1"/>
  <c r="P25" i="1"/>
  <c r="O25" i="1"/>
  <c r="N25" i="1"/>
  <c r="M25" i="1"/>
  <c r="L25" i="1"/>
  <c r="J25" i="1"/>
  <c r="I25" i="1"/>
  <c r="G25" i="1"/>
  <c r="F25" i="1"/>
  <c r="E25" i="1"/>
  <c r="D25" i="1"/>
  <c r="C25" i="1"/>
  <c r="B25" i="1"/>
  <c r="T24" i="1"/>
  <c r="K24" i="1"/>
  <c r="H24" i="1"/>
  <c r="T23" i="1"/>
  <c r="H23" i="1"/>
  <c r="K23" i="1" s="1"/>
  <c r="T22" i="1"/>
  <c r="H22" i="1"/>
  <c r="K22" i="1" s="1"/>
  <c r="S21" i="1"/>
  <c r="S29" i="1" s="1"/>
  <c r="R21" i="1"/>
  <c r="R29" i="1" s="1"/>
  <c r="Q21" i="1"/>
  <c r="Q29" i="1" s="1"/>
  <c r="P21" i="1"/>
  <c r="P29" i="1" s="1"/>
  <c r="O21" i="1"/>
  <c r="O29" i="1" s="1"/>
  <c r="N21" i="1"/>
  <c r="N29" i="1" s="1"/>
  <c r="M21" i="1"/>
  <c r="M29" i="1" s="1"/>
  <c r="L21" i="1"/>
  <c r="L29" i="1" s="1"/>
  <c r="J21" i="1"/>
  <c r="J29" i="1" s="1"/>
  <c r="I21" i="1"/>
  <c r="G21" i="1"/>
  <c r="G29" i="1" s="1"/>
  <c r="F21" i="1"/>
  <c r="F29" i="1" s="1"/>
  <c r="E21" i="1"/>
  <c r="E29" i="1" s="1"/>
  <c r="D21" i="1"/>
  <c r="D29" i="1" s="1"/>
  <c r="C21" i="1"/>
  <c r="C29" i="1" s="1"/>
  <c r="B21" i="1"/>
  <c r="T20" i="1"/>
  <c r="K20" i="1"/>
  <c r="H20" i="1"/>
  <c r="T19" i="1"/>
  <c r="H19" i="1"/>
  <c r="K19" i="1" s="1"/>
  <c r="T18" i="1"/>
  <c r="H18" i="1"/>
  <c r="K18" i="1" s="1"/>
  <c r="T17" i="1"/>
  <c r="K17" i="1"/>
  <c r="H17" i="1"/>
  <c r="T16" i="1"/>
  <c r="K16" i="1"/>
  <c r="H16" i="1"/>
  <c r="T15" i="1"/>
  <c r="H15" i="1"/>
  <c r="K15" i="1" s="1"/>
  <c r="T14" i="1"/>
  <c r="H14" i="1"/>
  <c r="K14" i="1" s="1"/>
  <c r="T13" i="1"/>
  <c r="T21" i="1" s="1"/>
  <c r="T29" i="1" s="1"/>
  <c r="K13" i="1"/>
  <c r="H13" i="1"/>
  <c r="T12" i="1"/>
  <c r="K12" i="1"/>
  <c r="H12" i="1"/>
  <c r="T11" i="1"/>
  <c r="H11" i="1"/>
  <c r="K11" i="1" s="1"/>
  <c r="T10" i="1"/>
  <c r="H10" i="1"/>
  <c r="K10" i="1" s="1"/>
  <c r="K10" i="2" l="1"/>
  <c r="K19" i="2" s="1"/>
  <c r="I28" i="1"/>
  <c r="I29" i="1" s="1"/>
  <c r="K28" i="1"/>
  <c r="H25" i="1"/>
  <c r="K25" i="1" s="1"/>
  <c r="H28" i="1"/>
  <c r="H21" i="1"/>
  <c r="H29" i="1" s="1"/>
  <c r="B29" i="1"/>
  <c r="K21" i="1" l="1"/>
  <c r="K29" i="1" s="1"/>
  <c r="B19" i="2" l="1"/>
  <c r="I23" i="2" l="1"/>
</calcChain>
</file>

<file path=xl/sharedStrings.xml><?xml version="1.0" encoding="utf-8"?>
<sst xmlns="http://schemas.openxmlformats.org/spreadsheetml/2006/main" count="443" uniqueCount="130">
  <si>
    <t>DISPONIBILITA'</t>
  </si>
  <si>
    <t>UTILIZZO</t>
  </si>
  <si>
    <t>Report costruito su dati provvisori</t>
  </si>
  <si>
    <t>Arrivi da Raffinerie</t>
  </si>
  <si>
    <t>Arrivi da altro Petrolchimico</t>
  </si>
  <si>
    <t>Arrivi da altro Impianto</t>
  </si>
  <si>
    <t>Importazione</t>
  </si>
  <si>
    <t>Stoccaggio Inizio Mese</t>
  </si>
  <si>
    <t>Stoccaggio Fine Mese</t>
  </si>
  <si>
    <t>Delta Stock</t>
  </si>
  <si>
    <t>Passato in lavorazione</t>
  </si>
  <si>
    <t>Prodotti ottenuti</t>
  </si>
  <si>
    <t>Disponibile</t>
  </si>
  <si>
    <t>Ritorni al settore petrolifero</t>
  </si>
  <si>
    <t>Invii a Centrale Termoelettr.</t>
  </si>
  <si>
    <t>Consegne ad altro petrolchimico</t>
  </si>
  <si>
    <t xml:space="preserve">Vendite ad altro denunciante </t>
  </si>
  <si>
    <t xml:space="preserve">Vendite al mercato Interno </t>
  </si>
  <si>
    <t>Vendite al mercato Estero</t>
  </si>
  <si>
    <t>Consumi Diretti Energetici</t>
  </si>
  <si>
    <t xml:space="preserve">Consumi NON Energetici </t>
  </si>
  <si>
    <t>Totale Utilizzato</t>
  </si>
  <si>
    <t>GAS ALLO STATO GASSOSO</t>
  </si>
  <si>
    <t xml:space="preserve">GAS ALLO STATO LIQUIDO  </t>
  </si>
  <si>
    <t>VIRGIN NAFTA</t>
  </si>
  <si>
    <t>BENZINA</t>
  </si>
  <si>
    <t>PETROLI</t>
  </si>
  <si>
    <t>GASOLI DEP+PENT+TPIO</t>
  </si>
  <si>
    <t xml:space="preserve">OLI COMBUSTIBILI ATZ </t>
  </si>
  <si>
    <t>OLI COMBUSTIBILI BTZ / FOK</t>
  </si>
  <si>
    <t>SEMILAVORATI</t>
  </si>
  <si>
    <t>OSSIGENATI</t>
  </si>
  <si>
    <t>ALTRI PETROLIFERI</t>
  </si>
  <si>
    <t>TOTALE CICLO PRIMARIO</t>
  </si>
  <si>
    <t>GPL (FRAZ C4-RAFF 1)</t>
  </si>
  <si>
    <t>BENZINE SEMILAVORATE</t>
  </si>
  <si>
    <t>PARAFFINA / OLEFINE</t>
  </si>
  <si>
    <t>TOTALE CICLO SECONDARIO</t>
  </si>
  <si>
    <t>METANO</t>
  </si>
  <si>
    <t>METANOLO-ETANOLO</t>
  </si>
  <si>
    <t>TOTALE ALTRI SETTORI</t>
  </si>
  <si>
    <t>TOTALE</t>
  </si>
  <si>
    <t>ETILENE</t>
  </si>
  <si>
    <t>PROPILENE</t>
  </si>
  <si>
    <t>BUTADIENE</t>
  </si>
  <si>
    <t>BENZENE</t>
  </si>
  <si>
    <t>TOLUENE</t>
  </si>
  <si>
    <t>ISOMERI + ETILBENZENE</t>
  </si>
  <si>
    <t>CUMENE</t>
  </si>
  <si>
    <t>PARAFFINE</t>
  </si>
  <si>
    <t xml:space="preserve">ALTRI CHIMICI </t>
  </si>
  <si>
    <t xml:space="preserve">TOTALE </t>
  </si>
  <si>
    <t>PERDITA LAVORAZIONE</t>
  </si>
  <si>
    <t>Tutte le società</t>
  </si>
  <si>
    <t>MINISTERO DELLO SVILUPPO ECONOMICO</t>
  </si>
  <si>
    <t>DGSAIE - DIV.6</t>
  </si>
  <si>
    <t>Tav. 17 - industria petrolchimica</t>
  </si>
  <si>
    <t>MOD 109/BIS</t>
  </si>
  <si>
    <t>A) SEMILAVORATI</t>
  </si>
  <si>
    <t>B) MONOMERI</t>
  </si>
  <si>
    <t>Periodo: anno 2014</t>
  </si>
  <si>
    <t>Tav. 17/bis - industria petrolchimica</t>
  </si>
  <si>
    <t>ENERGIA ELETTICA CONSUMATA</t>
  </si>
  <si>
    <t>MWh</t>
  </si>
  <si>
    <t>VAPORE NETTO CONSUMATO (escluso autoprodotto)</t>
  </si>
  <si>
    <t>TEP</t>
  </si>
  <si>
    <t>Ministero dello Sviluppo Economico</t>
  </si>
  <si>
    <t>TIPO DI PRODOTTO</t>
  </si>
  <si>
    <t>PAESE DI PROVENIENZA</t>
  </si>
  <si>
    <t>QUANTITA'</t>
  </si>
  <si>
    <t>U.S.A.</t>
  </si>
  <si>
    <t>DANIMARCA</t>
  </si>
  <si>
    <t>SPAGNA</t>
  </si>
  <si>
    <t>BELGIO</t>
  </si>
  <si>
    <t>GERMANIA</t>
  </si>
  <si>
    <t>OLI COMBUSTIBILI ATZ</t>
  </si>
  <si>
    <t>FRANCIA</t>
  </si>
  <si>
    <t>TURCHIA</t>
  </si>
  <si>
    <t>PORTOGALLO</t>
  </si>
  <si>
    <t>NORTH COREA</t>
  </si>
  <si>
    <t>COREA DEL NORD</t>
  </si>
  <si>
    <t>COREA DEL SUD</t>
  </si>
  <si>
    <t>BRASILE</t>
  </si>
  <si>
    <t>ALTRI CHIMICI</t>
  </si>
  <si>
    <t>EGITTO</t>
  </si>
  <si>
    <t>RUSSIA</t>
  </si>
  <si>
    <t>ISRAELE</t>
  </si>
  <si>
    <t>INDIA</t>
  </si>
  <si>
    <t>ALGERIA</t>
  </si>
  <si>
    <t>ABUDHABI</t>
  </si>
  <si>
    <t>ARABIA SAUDITA</t>
  </si>
  <si>
    <t>KUWAIT</t>
  </si>
  <si>
    <t>LIBIA</t>
  </si>
  <si>
    <t>UCRAINA</t>
  </si>
  <si>
    <t>QATAR</t>
  </si>
  <si>
    <t>TUNISIA</t>
  </si>
  <si>
    <t>ROMANIA</t>
  </si>
  <si>
    <t>OLANDA</t>
  </si>
  <si>
    <t>SENEGAL</t>
  </si>
  <si>
    <t>REGNO UNITO</t>
  </si>
  <si>
    <t>GAS ALLO STATO LIQUIDO</t>
  </si>
  <si>
    <t>ARGENTINA</t>
  </si>
  <si>
    <t>SLOVENIA</t>
  </si>
  <si>
    <t>PAESE DI DESTINAZIONE</t>
  </si>
  <si>
    <t>SVIZZERA</t>
  </si>
  <si>
    <t>UNGHERIA</t>
  </si>
  <si>
    <t>AUSTRIA</t>
  </si>
  <si>
    <t>REPUBBLICA CECA</t>
  </si>
  <si>
    <t>POLONIA</t>
  </si>
  <si>
    <t>GRECIA</t>
  </si>
  <si>
    <t>MALAYSIA</t>
  </si>
  <si>
    <t>SLOVACCHIA</t>
  </si>
  <si>
    <t>SUD-AFRICA</t>
  </si>
  <si>
    <t>CINA</t>
  </si>
  <si>
    <t>MAROCCO</t>
  </si>
  <si>
    <t>GIBILTERRA</t>
  </si>
  <si>
    <t>LIBANO</t>
  </si>
  <si>
    <t>MESSICO</t>
  </si>
  <si>
    <t>CROAZIA</t>
  </si>
  <si>
    <t>MALTA</t>
  </si>
  <si>
    <t>SVEZIA</t>
  </si>
  <si>
    <t>CANADA</t>
  </si>
  <si>
    <t>SEMILAVORATI (xileni-ompx-metax)</t>
  </si>
  <si>
    <t>PAKISTAN</t>
  </si>
  <si>
    <t>Dipartimento dell'Energia DGSAIE DIV.6</t>
  </si>
  <si>
    <t>la materia è espressa in TONNELLATE intere</t>
  </si>
  <si>
    <t xml:space="preserve">la materia è espressa in TONNELLATE </t>
  </si>
  <si>
    <t>IMPORTAZIONE PRODOTTI FINITI E SEMILAVORATI (Anno 2014)</t>
  </si>
  <si>
    <t>ESPORTAZIONE PRODOTTI FINITI E SEMILAVORATI (Anno 2014)</t>
  </si>
  <si>
    <t>la materia è espressa in TONNELLATE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</si>
</sst>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\-#,##0\ "/>
    <numFmt numFmtId="165" formatCode="0.0"/>
  </numFmts>
  <fonts count="21" x14ac:knownFonts="1">
    <font>
      <sz val="11"/>
      <color indexed="8"/>
      <name val="Calibri"/>
    </font>
    <font>
      <sz val="11"/>
      <color indexed="11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23"/>
      <name val="Calibri"/>
      <family val="2"/>
    </font>
    <font>
      <sz val="16"/>
      <color indexed="8"/>
      <name val="Calibri"/>
      <family val="2"/>
    </font>
    <font>
      <b/>
      <sz val="12"/>
      <color indexed="24"/>
      <name val="Calibri"/>
      <family val="2"/>
    </font>
    <font>
      <b/>
      <sz val="16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</font>
    <font>
      <sz val="10"/>
      <color indexed="8"/>
      <name val="Arial"/>
    </font>
    <font>
      <sz val="12"/>
      <color indexed="8"/>
      <name val="Calibri"/>
      <family val="2"/>
    </font>
    <font>
      <b/>
      <sz val="11"/>
      <color indexed="2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13"/>
        <bgColor indexed="14"/>
      </patternFill>
    </fill>
    <fill>
      <patternFill patternType="solid">
        <fgColor indexed="13"/>
        <bgColor indexed="11"/>
      </patternFill>
    </fill>
    <fill>
      <patternFill patternType="solid">
        <fgColor indexed="11"/>
        <bgColor indexed="15"/>
      </patternFill>
    </fill>
    <fill>
      <patternFill patternType="solid">
        <fgColor indexed="16"/>
        <bgColor indexed="17"/>
      </patternFill>
    </fill>
    <fill>
      <patternFill patternType="solid">
        <fgColor indexed="11"/>
        <bgColor indexed="19"/>
      </patternFill>
    </fill>
    <fill>
      <patternFill patternType="solid">
        <fgColor indexed="13"/>
        <bgColor indexed="19"/>
      </patternFill>
    </fill>
    <fill>
      <patternFill patternType="solid">
        <fgColor indexed="13"/>
        <bgColor indexed="17"/>
      </patternFill>
    </fill>
    <fill>
      <patternFill patternType="solid">
        <fgColor indexed="13"/>
        <bgColor indexed="22"/>
      </patternFill>
    </fill>
    <fill>
      <patternFill patternType="solid">
        <fgColor indexed="25"/>
        <bgColor indexed="8"/>
      </patternFill>
    </fill>
    <fill>
      <patternFill patternType="solid">
        <fgColor indexed="26"/>
        <bgColor indexed="19"/>
      </patternFill>
    </fill>
    <fill>
      <patternFill patternType="solid">
        <fgColor indexed="27"/>
        <bgColor indexed="26"/>
      </patternFill>
    </fill>
    <fill>
      <patternFill patternType="solid">
        <fgColor indexed="13"/>
        <bgColor indexed="20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6"/>
      </right>
      <top style="thin">
        <color indexed="9"/>
      </top>
      <bottom style="medium">
        <color indexed="1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12"/>
      </left>
      <right/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9"/>
      </top>
      <bottom style="medium">
        <color indexed="18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hair">
        <color indexed="12"/>
      </bottom>
      <diagonal/>
    </border>
    <border>
      <left style="thin">
        <color indexed="9"/>
      </left>
      <right style="thin">
        <color indexed="10"/>
      </right>
      <top style="thin">
        <color indexed="12"/>
      </top>
      <bottom style="thin">
        <color indexed="20"/>
      </bottom>
      <diagonal/>
    </border>
    <border>
      <left style="thin">
        <color indexed="10"/>
      </left>
      <right style="thin">
        <color indexed="9"/>
      </right>
      <top style="thin">
        <color indexed="12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12"/>
      </left>
      <right style="thin">
        <color indexed="12"/>
      </right>
      <top style="thin">
        <color indexed="9"/>
      </top>
      <bottom style="thin">
        <color indexed="12"/>
      </bottom>
      <diagonal/>
    </border>
    <border>
      <left style="thin">
        <color indexed="12"/>
      </left>
      <right/>
      <top style="thin">
        <color indexed="9"/>
      </top>
      <bottom style="thin">
        <color indexed="12"/>
      </bottom>
      <diagonal/>
    </border>
    <border>
      <left/>
      <right/>
      <top style="thin">
        <color indexed="9"/>
      </top>
      <bottom style="thin">
        <color indexed="12"/>
      </bottom>
      <diagonal/>
    </border>
    <border>
      <left/>
      <right style="thin">
        <color indexed="12"/>
      </right>
      <top style="thin">
        <color indexed="9"/>
      </top>
      <bottom style="thin">
        <color indexed="12"/>
      </bottom>
      <diagonal/>
    </border>
    <border>
      <left style="thin">
        <color indexed="9"/>
      </left>
      <right style="thin">
        <color indexed="10"/>
      </right>
      <top style="thin">
        <color indexed="12"/>
      </top>
      <bottom/>
      <diagonal/>
    </border>
    <border>
      <left style="thin">
        <color indexed="9"/>
      </left>
      <right style="thin">
        <color indexed="10"/>
      </right>
      <top/>
      <bottom/>
      <diagonal/>
    </border>
    <border>
      <left style="thin">
        <color indexed="9"/>
      </left>
      <right style="thin">
        <color indexed="10"/>
      </right>
      <top/>
      <bottom style="thin">
        <color indexed="20"/>
      </bottom>
      <diagonal/>
    </border>
    <border>
      <left style="thin">
        <color indexed="10"/>
      </left>
      <right style="thin">
        <color indexed="9"/>
      </right>
      <top style="thin">
        <color indexed="12"/>
      </top>
      <bottom/>
      <diagonal/>
    </border>
    <border>
      <left style="thin">
        <color indexed="10"/>
      </left>
      <right style="thin">
        <color indexed="9"/>
      </right>
      <top/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92">
    <xf numFmtId="0" fontId="0" fillId="0" borderId="0" xfId="0" applyFill="1" applyProtection="1"/>
    <xf numFmtId="3" fontId="0" fillId="0" borderId="0" xfId="0" applyNumberFormat="1" applyFill="1" applyProtection="1"/>
    <xf numFmtId="3" fontId="2" fillId="9" borderId="9" xfId="0" applyNumberFormat="1" applyFont="1" applyFill="1" applyBorder="1" applyProtection="1"/>
    <xf numFmtId="3" fontId="3" fillId="11" borderId="11" xfId="0" applyNumberFormat="1" applyFont="1" applyFill="1" applyBorder="1" applyAlignment="1" applyProtection="1">
      <alignment horizontal="center"/>
    </xf>
    <xf numFmtId="3" fontId="3" fillId="2" borderId="4" xfId="0" applyNumberFormat="1" applyFont="1" applyFill="1" applyBorder="1" applyAlignment="1" applyProtection="1">
      <alignment horizontal="center"/>
      <protection locked="0"/>
    </xf>
    <xf numFmtId="3" fontId="3" fillId="0" borderId="0" xfId="0" applyNumberFormat="1" applyFont="1" applyFill="1" applyAlignment="1" applyProtection="1">
      <alignment horizontal="center" wrapText="1"/>
    </xf>
    <xf numFmtId="3" fontId="3" fillId="0" borderId="0" xfId="0" applyNumberFormat="1" applyFont="1" applyFill="1" applyAlignment="1" applyProtection="1">
      <alignment horizontal="center"/>
    </xf>
    <xf numFmtId="3" fontId="5" fillId="0" borderId="0" xfId="0" applyNumberFormat="1" applyFont="1" applyFill="1" applyAlignment="1" applyProtection="1">
      <alignment horizontal="center"/>
    </xf>
    <xf numFmtId="3" fontId="0" fillId="2" borderId="8" xfId="0" applyNumberFormat="1" applyFill="1" applyBorder="1" applyAlignment="1" applyProtection="1">
      <alignment horizontal="left"/>
    </xf>
    <xf numFmtId="3" fontId="4" fillId="2" borderId="8" xfId="0" applyNumberFormat="1" applyFont="1" applyFill="1" applyBorder="1" applyAlignment="1" applyProtection="1">
      <alignment horizontal="left"/>
    </xf>
    <xf numFmtId="3" fontId="3" fillId="7" borderId="8" xfId="0" applyNumberFormat="1" applyFont="1" applyFill="1" applyBorder="1" applyAlignment="1" applyProtection="1">
      <alignment horizontal="left"/>
    </xf>
    <xf numFmtId="3" fontId="3" fillId="8" borderId="8" xfId="0" applyNumberFormat="1" applyFont="1" applyFill="1" applyBorder="1" applyAlignment="1" applyProtection="1">
      <alignment horizontal="left"/>
    </xf>
    <xf numFmtId="3" fontId="11" fillId="3" borderId="10" xfId="0" applyNumberFormat="1" applyFont="1" applyFill="1" applyBorder="1" applyAlignment="1" applyProtection="1">
      <alignment horizontal="center" wrapText="1"/>
    </xf>
    <xf numFmtId="3" fontId="11" fillId="3" borderId="0" xfId="0" applyNumberFormat="1" applyFont="1" applyFill="1" applyAlignment="1" applyProtection="1">
      <alignment horizontal="center" wrapText="1"/>
    </xf>
    <xf numFmtId="3" fontId="11" fillId="3" borderId="0" xfId="0" applyNumberFormat="1" applyFont="1" applyFill="1" applyAlignment="1" applyProtection="1">
      <alignment horizontal="center" vertical="center" wrapText="1"/>
    </xf>
    <xf numFmtId="3" fontId="2" fillId="6" borderId="3" xfId="0" applyNumberFormat="1" applyFont="1" applyFill="1" applyBorder="1" applyProtection="1"/>
    <xf numFmtId="3" fontId="4" fillId="0" borderId="0" xfId="0" applyNumberFormat="1" applyFont="1" applyFill="1" applyAlignment="1" applyProtection="1">
      <alignment horizontal="center"/>
    </xf>
    <xf numFmtId="3" fontId="4" fillId="0" borderId="0" xfId="0" applyNumberFormat="1" applyFont="1" applyFill="1" applyAlignment="1" applyProtection="1">
      <alignment horizontal="center" wrapText="1"/>
    </xf>
    <xf numFmtId="3" fontId="0" fillId="2" borderId="2" xfId="0" applyNumberFormat="1" applyFill="1" applyBorder="1" applyAlignment="1" applyProtection="1">
      <alignment horizontal="left"/>
    </xf>
    <xf numFmtId="3" fontId="1" fillId="5" borderId="1" xfId="0" applyNumberFormat="1" applyFont="1" applyFill="1" applyBorder="1" applyAlignment="1" applyProtection="1">
      <alignment horizontal="right"/>
      <protection locked="0"/>
    </xf>
    <xf numFmtId="3" fontId="0" fillId="0" borderId="1" xfId="0" applyNumberFormat="1" applyFill="1" applyBorder="1" applyAlignment="1" applyProtection="1">
      <alignment horizontal="right"/>
      <protection locked="0"/>
    </xf>
    <xf numFmtId="3" fontId="0" fillId="0" borderId="1" xfId="0" applyNumberFormat="1" applyFill="1" applyBorder="1" applyAlignment="1" applyProtection="1">
      <alignment horizontal="right"/>
    </xf>
    <xf numFmtId="3" fontId="0" fillId="3" borderId="1" xfId="0" applyNumberFormat="1" applyFill="1" applyBorder="1" applyAlignment="1" applyProtection="1">
      <alignment horizontal="right"/>
    </xf>
    <xf numFmtId="3" fontId="0" fillId="5" borderId="1" xfId="0" applyNumberFormat="1" applyFill="1" applyBorder="1" applyAlignment="1" applyProtection="1">
      <alignment horizontal="right"/>
      <protection locked="0"/>
    </xf>
    <xf numFmtId="3" fontId="3" fillId="4" borderId="2" xfId="0" applyNumberFormat="1" applyFont="1" applyFill="1" applyBorder="1" applyAlignment="1" applyProtection="1">
      <alignment horizontal="left"/>
    </xf>
    <xf numFmtId="3" fontId="9" fillId="10" borderId="0" xfId="0" applyNumberFormat="1" applyFont="1" applyFill="1" applyAlignment="1" applyProtection="1">
      <alignment horizontal="center"/>
    </xf>
    <xf numFmtId="3" fontId="15" fillId="10" borderId="0" xfId="0" applyNumberFormat="1" applyFont="1" applyFill="1" applyAlignment="1" applyProtection="1">
      <alignment horizontal="center"/>
    </xf>
    <xf numFmtId="3" fontId="10" fillId="10" borderId="14" xfId="0" applyNumberFormat="1" applyFont="1" applyFill="1" applyBorder="1" applyAlignment="1" applyProtection="1">
      <alignment horizontal="center"/>
    </xf>
    <xf numFmtId="3" fontId="16" fillId="2" borderId="4" xfId="0" applyNumberFormat="1" applyFont="1" applyFill="1" applyBorder="1" applyAlignment="1" applyProtection="1">
      <alignment horizontal="right"/>
      <protection locked="0"/>
    </xf>
    <xf numFmtId="3" fontId="16" fillId="3" borderId="4" xfId="0" applyNumberFormat="1" applyFont="1" applyFill="1" applyBorder="1" applyAlignment="1" applyProtection="1">
      <alignment horizontal="right"/>
    </xf>
    <xf numFmtId="3" fontId="16" fillId="0" borderId="5" xfId="0" applyNumberFormat="1" applyFont="1" applyFill="1" applyBorder="1" applyProtection="1"/>
    <xf numFmtId="3" fontId="16" fillId="3" borderId="4" xfId="0" applyNumberFormat="1" applyFont="1" applyFill="1" applyBorder="1" applyAlignment="1" applyProtection="1">
      <alignment horizontal="right"/>
      <protection locked="0"/>
    </xf>
    <xf numFmtId="3" fontId="16" fillId="0" borderId="4" xfId="0" applyNumberFormat="1" applyFont="1" applyFill="1" applyBorder="1" applyAlignment="1" applyProtection="1">
      <alignment horizontal="right"/>
    </xf>
    <xf numFmtId="3" fontId="16" fillId="2" borderId="6" xfId="0" applyNumberFormat="1" applyFont="1" applyFill="1" applyBorder="1" applyAlignment="1" applyProtection="1">
      <alignment horizontal="right"/>
      <protection locked="0"/>
    </xf>
    <xf numFmtId="3" fontId="16" fillId="3" borderId="7" xfId="0" applyNumberFormat="1" applyFont="1" applyFill="1" applyBorder="1" applyAlignment="1" applyProtection="1">
      <alignment horizontal="right"/>
    </xf>
    <xf numFmtId="3" fontId="13" fillId="4" borderId="1" xfId="0" applyNumberFormat="1" applyFont="1" applyFill="1" applyBorder="1" applyAlignment="1" applyProtection="1">
      <alignment horizontal="right"/>
    </xf>
    <xf numFmtId="3" fontId="12" fillId="10" borderId="0" xfId="0" applyNumberFormat="1" applyFont="1" applyFill="1" applyAlignment="1" applyProtection="1">
      <alignment horizontal="center"/>
    </xf>
    <xf numFmtId="3" fontId="8" fillId="10" borderId="0" xfId="0" applyNumberFormat="1" applyFont="1" applyFill="1" applyAlignment="1" applyProtection="1">
      <alignment horizontal="center"/>
    </xf>
    <xf numFmtId="3" fontId="7" fillId="7" borderId="4" xfId="0" applyNumberFormat="1" applyFont="1" applyFill="1" applyBorder="1" applyAlignment="1" applyProtection="1">
      <alignment horizontal="right"/>
    </xf>
    <xf numFmtId="3" fontId="7" fillId="7" borderId="4" xfId="0" applyNumberFormat="1" applyFont="1" applyFill="1" applyBorder="1" applyAlignment="1" applyProtection="1">
      <alignment horizontal="right"/>
      <protection locked="0"/>
    </xf>
    <xf numFmtId="3" fontId="7" fillId="7" borderId="7" xfId="0" applyNumberFormat="1" applyFont="1" applyFill="1" applyBorder="1" applyAlignment="1" applyProtection="1">
      <alignment horizontal="right"/>
    </xf>
    <xf numFmtId="3" fontId="7" fillId="7" borderId="5" xfId="0" applyNumberFormat="1" applyFont="1" applyFill="1" applyBorder="1" applyAlignment="1" applyProtection="1">
      <alignment horizontal="right"/>
    </xf>
    <xf numFmtId="3" fontId="3" fillId="4" borderId="1" xfId="0" applyNumberFormat="1" applyFont="1" applyFill="1" applyBorder="1" applyAlignment="1" applyProtection="1">
      <alignment horizontal="right"/>
    </xf>
    <xf numFmtId="3" fontId="7" fillId="4" borderId="1" xfId="0" applyNumberFormat="1" applyFont="1" applyFill="1" applyBorder="1" applyAlignment="1" applyProtection="1">
      <alignment horizontal="right"/>
    </xf>
    <xf numFmtId="3" fontId="7" fillId="4" borderId="1" xfId="0" applyNumberFormat="1" applyFont="1" applyFill="1" applyBorder="1" applyAlignment="1" applyProtection="1">
      <alignment horizontal="right"/>
      <protection locked="0"/>
    </xf>
    <xf numFmtId="3" fontId="7" fillId="8" borderId="4" xfId="0" applyNumberFormat="1" applyFont="1" applyFill="1" applyBorder="1" applyAlignment="1" applyProtection="1">
      <alignment horizontal="right"/>
    </xf>
    <xf numFmtId="3" fontId="7" fillId="8" borderId="7" xfId="0" applyNumberFormat="1" applyFont="1" applyFill="1" applyBorder="1" applyAlignment="1" applyProtection="1">
      <alignment horizontal="right"/>
    </xf>
    <xf numFmtId="0" fontId="0" fillId="0" borderId="0" xfId="0" applyFill="1" applyAlignment="1" applyProtection="1">
      <alignment horizontal="center"/>
    </xf>
    <xf numFmtId="164" fontId="18" fillId="2" borderId="25" xfId="0" applyNumberFormat="1" applyFont="1" applyFill="1" applyBorder="1" applyAlignment="1" applyProtection="1">
      <alignment horizontal="center"/>
      <protection locked="0"/>
    </xf>
    <xf numFmtId="0" fontId="17" fillId="0" borderId="0" xfId="0" applyFont="1" applyFill="1" applyAlignment="1" applyProtection="1">
      <alignment horizontal="center"/>
    </xf>
    <xf numFmtId="165" fontId="6" fillId="14" borderId="0" xfId="0" applyNumberFormat="1" applyFont="1" applyFill="1" applyAlignment="1" applyProtection="1">
      <alignment horizontal="center"/>
    </xf>
    <xf numFmtId="165" fontId="19" fillId="14" borderId="0" xfId="0" applyNumberFormat="1" applyFont="1" applyFill="1" applyAlignment="1" applyProtection="1">
      <alignment horizontal="center"/>
    </xf>
    <xf numFmtId="165" fontId="19" fillId="14" borderId="0" xfId="0" applyNumberFormat="1" applyFont="1" applyFill="1" applyAlignment="1" applyProtection="1">
      <alignment horizontal="center" wrapText="1"/>
    </xf>
    <xf numFmtId="165" fontId="6" fillId="0" borderId="0" xfId="0" applyNumberFormat="1" applyFont="1" applyFill="1" applyAlignment="1" applyProtection="1">
      <alignment horizontal="center"/>
    </xf>
    <xf numFmtId="0" fontId="20" fillId="4" borderId="0" xfId="0" applyFont="1" applyFill="1" applyAlignment="1" applyProtection="1">
      <alignment horizontal="center"/>
    </xf>
    <xf numFmtId="165" fontId="19" fillId="0" borderId="0" xfId="0" applyNumberFormat="1" applyFont="1" applyFill="1" applyAlignment="1" applyProtection="1">
      <alignment horizontal="center"/>
    </xf>
    <xf numFmtId="165" fontId="6" fillId="14" borderId="26" xfId="0" applyNumberFormat="1" applyFont="1" applyFill="1" applyBorder="1" applyAlignment="1" applyProtection="1">
      <alignment horizontal="center"/>
    </xf>
    <xf numFmtId="165" fontId="19" fillId="0" borderId="0" xfId="0" applyNumberFormat="1" applyFont="1" applyFill="1" applyAlignment="1" applyProtection="1">
      <alignment horizontal="center" wrapText="1"/>
    </xf>
    <xf numFmtId="0" fontId="0" fillId="0" borderId="27" xfId="0" applyFill="1" applyBorder="1" applyAlignment="1" applyProtection="1">
      <alignment horizontal="left"/>
    </xf>
    <xf numFmtId="0" fontId="16" fillId="0" borderId="27" xfId="0" applyFont="1" applyFill="1" applyBorder="1" applyAlignment="1" applyProtection="1">
      <alignment horizontal="center"/>
    </xf>
    <xf numFmtId="3" fontId="0" fillId="0" borderId="27" xfId="0" applyNumberFormat="1" applyFill="1" applyBorder="1" applyAlignment="1" applyProtection="1">
      <alignment horizontal="right"/>
    </xf>
    <xf numFmtId="0" fontId="7" fillId="0" borderId="27" xfId="0" applyFont="1" applyFill="1" applyBorder="1" applyAlignment="1" applyProtection="1">
      <alignment horizontal="left"/>
    </xf>
    <xf numFmtId="3" fontId="7" fillId="0" borderId="27" xfId="0" applyNumberFormat="1" applyFont="1" applyFill="1" applyBorder="1" applyAlignment="1" applyProtection="1">
      <alignment horizontal="right"/>
    </xf>
    <xf numFmtId="0" fontId="16" fillId="0" borderId="27" xfId="0" applyFont="1" applyFill="1" applyBorder="1" applyAlignment="1" applyProtection="1">
      <alignment horizontal="left"/>
    </xf>
    <xf numFmtId="3" fontId="16" fillId="0" borderId="27" xfId="0" applyNumberFormat="1" applyFont="1" applyFill="1" applyBorder="1" applyAlignment="1" applyProtection="1">
      <alignment horizontal="right"/>
    </xf>
    <xf numFmtId="0" fontId="20" fillId="14" borderId="0" xfId="0" applyFont="1" applyFill="1" applyAlignment="1" applyProtection="1">
      <alignment horizontal="center"/>
    </xf>
    <xf numFmtId="3" fontId="9" fillId="10" borderId="14" xfId="0" applyNumberFormat="1" applyFont="1" applyFill="1" applyBorder="1" applyAlignment="1" applyProtection="1">
      <alignment horizontal="center"/>
    </xf>
    <xf numFmtId="3" fontId="6" fillId="12" borderId="16" xfId="0" applyNumberFormat="1" applyFont="1" applyFill="1" applyBorder="1" applyAlignment="1" applyProtection="1">
      <alignment horizontal="center"/>
    </xf>
    <xf numFmtId="3" fontId="6" fillId="12" borderId="17" xfId="0" applyNumberFormat="1" applyFont="1" applyFill="1" applyBorder="1" applyAlignment="1" applyProtection="1">
      <alignment horizontal="center"/>
    </xf>
    <xf numFmtId="3" fontId="6" fillId="12" borderId="18" xfId="0" applyNumberFormat="1" applyFont="1" applyFill="1" applyBorder="1" applyAlignment="1" applyProtection="1">
      <alignment horizontal="center"/>
    </xf>
    <xf numFmtId="3" fontId="6" fillId="13" borderId="16" xfId="0" applyNumberFormat="1" applyFont="1" applyFill="1" applyBorder="1" applyAlignment="1" applyProtection="1">
      <alignment horizontal="center"/>
    </xf>
    <xf numFmtId="3" fontId="6" fillId="13" borderId="17" xfId="0" applyNumberFormat="1" applyFont="1" applyFill="1" applyBorder="1" applyAlignment="1" applyProtection="1">
      <alignment horizontal="center"/>
    </xf>
    <xf numFmtId="3" fontId="6" fillId="13" borderId="18" xfId="0" applyNumberFormat="1" applyFont="1" applyFill="1" applyBorder="1" applyAlignment="1" applyProtection="1">
      <alignment horizontal="center"/>
    </xf>
    <xf numFmtId="3" fontId="14" fillId="10" borderId="0" xfId="0" applyNumberFormat="1" applyFont="1" applyFill="1" applyAlignment="1" applyProtection="1">
      <alignment horizontal="right"/>
    </xf>
    <xf numFmtId="3" fontId="12" fillId="10" borderId="0" xfId="0" applyNumberFormat="1" applyFont="1" applyFill="1" applyAlignment="1" applyProtection="1">
      <alignment horizontal="center"/>
    </xf>
    <xf numFmtId="3" fontId="8" fillId="10" borderId="0" xfId="0" applyNumberFormat="1" applyFont="1" applyFill="1" applyAlignment="1" applyProtection="1">
      <alignment horizontal="center"/>
    </xf>
    <xf numFmtId="3" fontId="6" fillId="3" borderId="22" xfId="0" applyNumberFormat="1" applyFont="1" applyFill="1" applyBorder="1" applyAlignment="1" applyProtection="1">
      <alignment horizontal="center" textRotation="90" wrapText="1"/>
    </xf>
    <xf numFmtId="3" fontId="6" fillId="3" borderId="23" xfId="0" applyNumberFormat="1" applyFont="1" applyFill="1" applyBorder="1" applyAlignment="1" applyProtection="1">
      <alignment horizontal="center" textRotation="90" wrapText="1"/>
    </xf>
    <xf numFmtId="3" fontId="6" fillId="3" borderId="24" xfId="0" applyNumberFormat="1" applyFont="1" applyFill="1" applyBorder="1" applyAlignment="1" applyProtection="1">
      <alignment horizontal="center" textRotation="90" wrapText="1"/>
    </xf>
    <xf numFmtId="3" fontId="6" fillId="3" borderId="19" xfId="0" applyNumberFormat="1" applyFont="1" applyFill="1" applyBorder="1" applyAlignment="1" applyProtection="1">
      <alignment horizontal="center" textRotation="90" wrapText="1"/>
    </xf>
    <xf numFmtId="3" fontId="6" fillId="3" borderId="20" xfId="0" applyNumberFormat="1" applyFont="1" applyFill="1" applyBorder="1" applyAlignment="1" applyProtection="1">
      <alignment horizontal="center" textRotation="90" wrapText="1"/>
    </xf>
    <xf numFmtId="3" fontId="6" fillId="3" borderId="21" xfId="0" applyNumberFormat="1" applyFont="1" applyFill="1" applyBorder="1" applyAlignment="1" applyProtection="1">
      <alignment horizontal="center" textRotation="90" wrapText="1"/>
    </xf>
    <xf numFmtId="3" fontId="6" fillId="12" borderId="15" xfId="0" applyNumberFormat="1" applyFont="1" applyFill="1" applyBorder="1" applyAlignment="1" applyProtection="1">
      <alignment horizontal="center"/>
    </xf>
    <xf numFmtId="3" fontId="6" fillId="13" borderId="15" xfId="0" applyNumberFormat="1" applyFont="1" applyFill="1" applyBorder="1" applyAlignment="1" applyProtection="1">
      <alignment horizontal="center"/>
    </xf>
    <xf numFmtId="3" fontId="0" fillId="0" borderId="0" xfId="0" applyNumberFormat="1" applyFill="1" applyAlignment="1" applyProtection="1"/>
    <xf numFmtId="3" fontId="0" fillId="0" borderId="0" xfId="0" applyNumberFormat="1" applyFill="1" applyAlignment="1" applyProtection="1">
      <alignment horizontal="right"/>
    </xf>
    <xf numFmtId="3" fontId="0" fillId="0" borderId="0" xfId="0" applyNumberFormat="1" applyFill="1" applyAlignment="1" applyProtection="1">
      <alignment horizontal="center"/>
    </xf>
    <xf numFmtId="3" fontId="0" fillId="0" borderId="14" xfId="0" applyNumberFormat="1" applyFill="1" applyBorder="1" applyAlignment="1" applyProtection="1">
      <alignment horizontal="center"/>
    </xf>
    <xf numFmtId="3" fontId="6" fillId="3" borderId="12" xfId="0" applyNumberFormat="1" applyFont="1" applyFill="1" applyBorder="1" applyAlignment="1" applyProtection="1">
      <alignment horizontal="center" textRotation="90" wrapText="1"/>
    </xf>
    <xf numFmtId="3" fontId="6" fillId="3" borderId="13" xfId="0" applyNumberFormat="1" applyFont="1" applyFill="1" applyBorder="1" applyAlignment="1" applyProtection="1">
      <alignment horizontal="center" textRotation="90" wrapText="1"/>
    </xf>
    <xf numFmtId="3" fontId="7" fillId="0" borderId="0" xfId="0" applyNumberFormat="1" applyFont="1" applyFill="1" applyAlignment="1" applyProtection="1">
      <alignment horizontal="center"/>
    </xf>
    <xf numFmtId="0" fontId="17" fillId="2" borderId="8" xfId="0" applyFont="1" applyFill="1" applyBorder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69696"/>
      <rgbColor rgb="00FFFFCC"/>
      <rgbColor rgb="003A3935"/>
      <rgbColor rgb="0099CCFF"/>
      <rgbColor rgb="00CCCCFF"/>
      <rgbColor rgb="00993366"/>
      <rgbColor rgb="003366FF"/>
      <rgbColor rgb="000066CC"/>
      <rgbColor rgb="00000090"/>
      <rgbColor rgb="00FFFF00"/>
      <rgbColor rgb="00808080"/>
      <rgbColor rgb="00DD0806"/>
      <rgbColor rgb="000000FF"/>
      <rgbColor rgb="00C00000"/>
      <rgbColor rgb="00333399"/>
      <rgbColor rgb="00FFCC99"/>
      <rgbColor rgb="00FFCC00"/>
      <rgbColor rgb="00FF990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9"/>
  <sheetViews>
    <sheetView showGridLines="0" tabSelected="1" zoomScale="85" zoomScaleNormal="85" workbookViewId="0">
      <selection activeCell="B5" sqref="B5:K5"/>
    </sheetView>
  </sheetViews>
  <sheetFormatPr defaultRowHeight="15" customHeight="1" x14ac:dyDescent="0.25"/>
  <cols>
    <col min="1" max="1" width="35.7109375" style="1" customWidth="1"/>
    <col min="2" max="20" width="10.7109375" style="1" customWidth="1"/>
    <col min="21" max="16384" width="9.140625" style="1"/>
  </cols>
  <sheetData>
    <row r="1" spans="1:20" ht="20.100000000000001" customHeight="1" x14ac:dyDescent="0.35">
      <c r="A1" s="36"/>
      <c r="B1" s="74" t="s">
        <v>54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3" t="s">
        <v>57</v>
      </c>
      <c r="T1" s="73"/>
    </row>
    <row r="2" spans="1:20" ht="20.100000000000001" customHeight="1" x14ac:dyDescent="0.35">
      <c r="A2" s="36"/>
      <c r="B2" s="74" t="s">
        <v>55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26"/>
      <c r="T2" s="26"/>
    </row>
    <row r="3" spans="1:20" ht="20.100000000000001" customHeight="1" x14ac:dyDescent="0.35">
      <c r="A3" s="37"/>
      <c r="B3" s="75" t="s">
        <v>61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37"/>
      <c r="T3" s="37"/>
    </row>
    <row r="4" spans="1:20" ht="20.100000000000001" customHeight="1" x14ac:dyDescent="0.35">
      <c r="A4" s="25"/>
      <c r="B4" s="66" t="s">
        <v>126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27"/>
      <c r="T4" s="27"/>
    </row>
    <row r="5" spans="1:20" ht="20.100000000000001" customHeight="1" x14ac:dyDescent="0.25">
      <c r="A5" s="2"/>
      <c r="B5" s="67" t="s">
        <v>0</v>
      </c>
      <c r="C5" s="68"/>
      <c r="D5" s="68"/>
      <c r="E5" s="68"/>
      <c r="F5" s="68"/>
      <c r="G5" s="68"/>
      <c r="H5" s="68"/>
      <c r="I5" s="68"/>
      <c r="J5" s="68"/>
      <c r="K5" s="69"/>
      <c r="L5" s="70" t="s">
        <v>1</v>
      </c>
      <c r="M5" s="71"/>
      <c r="N5" s="71"/>
      <c r="O5" s="71"/>
      <c r="P5" s="71"/>
      <c r="Q5" s="71"/>
      <c r="R5" s="71"/>
      <c r="S5" s="71"/>
      <c r="T5" s="72"/>
    </row>
    <row r="6" spans="1:20" ht="20.100000000000001" customHeight="1" x14ac:dyDescent="0.25">
      <c r="A6" s="12" t="s">
        <v>2</v>
      </c>
      <c r="B6" s="79" t="s">
        <v>3</v>
      </c>
      <c r="C6" s="76" t="s">
        <v>4</v>
      </c>
      <c r="D6" s="79" t="s">
        <v>5</v>
      </c>
      <c r="E6" s="76" t="s">
        <v>6</v>
      </c>
      <c r="F6" s="79" t="s">
        <v>7</v>
      </c>
      <c r="G6" s="76" t="s">
        <v>8</v>
      </c>
      <c r="H6" s="79" t="s">
        <v>9</v>
      </c>
      <c r="I6" s="76" t="s">
        <v>10</v>
      </c>
      <c r="J6" s="79" t="s">
        <v>11</v>
      </c>
      <c r="K6" s="76" t="s">
        <v>12</v>
      </c>
      <c r="L6" s="79" t="s">
        <v>13</v>
      </c>
      <c r="M6" s="76" t="s">
        <v>14</v>
      </c>
      <c r="N6" s="79" t="s">
        <v>15</v>
      </c>
      <c r="O6" s="76" t="s">
        <v>16</v>
      </c>
      <c r="P6" s="79" t="s">
        <v>17</v>
      </c>
      <c r="Q6" s="76" t="s">
        <v>18</v>
      </c>
      <c r="R6" s="79" t="s">
        <v>19</v>
      </c>
      <c r="S6" s="76" t="s">
        <v>20</v>
      </c>
      <c r="T6" s="79" t="s">
        <v>21</v>
      </c>
    </row>
    <row r="7" spans="1:20" ht="20.100000000000001" customHeight="1" x14ac:dyDescent="0.25">
      <c r="A7" s="13" t="s">
        <v>60</v>
      </c>
      <c r="B7" s="80"/>
      <c r="C7" s="77"/>
      <c r="D7" s="80"/>
      <c r="E7" s="77"/>
      <c r="F7" s="80"/>
      <c r="G7" s="77"/>
      <c r="H7" s="80"/>
      <c r="I7" s="77"/>
      <c r="J7" s="80"/>
      <c r="K7" s="77"/>
      <c r="L7" s="80"/>
      <c r="M7" s="77"/>
      <c r="N7" s="80"/>
      <c r="O7" s="77"/>
      <c r="P7" s="80"/>
      <c r="Q7" s="77"/>
      <c r="R7" s="80"/>
      <c r="S7" s="77"/>
      <c r="T7" s="80"/>
    </row>
    <row r="8" spans="1:20" ht="125.1" customHeight="1" x14ac:dyDescent="0.25">
      <c r="A8" s="14" t="s">
        <v>53</v>
      </c>
      <c r="B8" s="81"/>
      <c r="C8" s="78"/>
      <c r="D8" s="81"/>
      <c r="E8" s="78"/>
      <c r="F8" s="81"/>
      <c r="G8" s="78"/>
      <c r="H8" s="81"/>
      <c r="I8" s="78"/>
      <c r="J8" s="81"/>
      <c r="K8" s="78"/>
      <c r="L8" s="81"/>
      <c r="M8" s="78"/>
      <c r="N8" s="81"/>
      <c r="O8" s="78"/>
      <c r="P8" s="81"/>
      <c r="Q8" s="78"/>
      <c r="R8" s="81"/>
      <c r="S8" s="78"/>
      <c r="T8" s="81"/>
    </row>
    <row r="9" spans="1:20" ht="15" customHeight="1" x14ac:dyDescent="0.25">
      <c r="A9" s="3" t="s">
        <v>58</v>
      </c>
      <c r="B9" s="4"/>
      <c r="C9" s="5"/>
      <c r="D9" s="5"/>
      <c r="E9" s="5"/>
      <c r="F9" s="5"/>
      <c r="G9" s="5"/>
      <c r="H9" s="6"/>
      <c r="I9" s="5"/>
      <c r="J9" s="5"/>
      <c r="K9" s="7"/>
      <c r="L9" s="5"/>
      <c r="M9" s="5"/>
      <c r="N9" s="5"/>
      <c r="O9" s="5"/>
      <c r="P9" s="5"/>
      <c r="Q9" s="5"/>
      <c r="R9" s="5"/>
      <c r="S9" s="5"/>
      <c r="T9" s="7"/>
    </row>
    <row r="10" spans="1:20" ht="15" customHeight="1" x14ac:dyDescent="0.25">
      <c r="A10" s="8" t="s">
        <v>22</v>
      </c>
      <c r="B10" s="28">
        <v>43132</v>
      </c>
      <c r="C10" s="28">
        <v>0</v>
      </c>
      <c r="D10" s="28">
        <v>8710.6299999999992</v>
      </c>
      <c r="E10" s="28">
        <v>0</v>
      </c>
      <c r="F10" s="28">
        <v>0</v>
      </c>
      <c r="G10" s="28">
        <v>0</v>
      </c>
      <c r="H10" s="29">
        <f t="shared" ref="H10:H20" si="0">+G10-F10</f>
        <v>0</v>
      </c>
      <c r="I10" s="28">
        <v>28573.63</v>
      </c>
      <c r="J10" s="30">
        <v>583086.79</v>
      </c>
      <c r="K10" s="31">
        <f t="shared" ref="K10:K27" si="1">B10+C10+D10+E10-(H10+I10)+J10</f>
        <v>606355.79</v>
      </c>
      <c r="L10" s="28">
        <v>26743</v>
      </c>
      <c r="M10" s="32">
        <v>68660</v>
      </c>
      <c r="N10" s="28">
        <v>0</v>
      </c>
      <c r="O10" s="28">
        <v>0</v>
      </c>
      <c r="P10" s="28">
        <v>0</v>
      </c>
      <c r="Q10" s="28">
        <v>0</v>
      </c>
      <c r="R10" s="28">
        <v>495036.79</v>
      </c>
      <c r="S10" s="33">
        <v>15916</v>
      </c>
      <c r="T10" s="34">
        <f t="shared" ref="T10:T20" si="2">SUM(L10:S10)</f>
        <v>606355.79</v>
      </c>
    </row>
    <row r="11" spans="1:20" ht="15" customHeight="1" x14ac:dyDescent="0.25">
      <c r="A11" s="8" t="s">
        <v>23</v>
      </c>
      <c r="B11" s="28">
        <v>142534</v>
      </c>
      <c r="C11" s="28">
        <v>0</v>
      </c>
      <c r="D11" s="28">
        <v>0</v>
      </c>
      <c r="E11" s="28">
        <v>73987</v>
      </c>
      <c r="F11" s="28">
        <v>6681</v>
      </c>
      <c r="G11" s="28">
        <v>5883</v>
      </c>
      <c r="H11" s="29">
        <f t="shared" si="0"/>
        <v>-798</v>
      </c>
      <c r="I11" s="28">
        <v>217528</v>
      </c>
      <c r="J11" s="30">
        <v>100410</v>
      </c>
      <c r="K11" s="31">
        <f t="shared" si="1"/>
        <v>100201</v>
      </c>
      <c r="L11" s="28">
        <v>44096</v>
      </c>
      <c r="M11" s="32">
        <v>0</v>
      </c>
      <c r="N11" s="28">
        <v>50622</v>
      </c>
      <c r="O11" s="28">
        <v>0</v>
      </c>
      <c r="P11" s="28">
        <v>1248</v>
      </c>
      <c r="Q11" s="28">
        <v>2532</v>
      </c>
      <c r="R11" s="28">
        <v>1273</v>
      </c>
      <c r="S11" s="33">
        <v>430</v>
      </c>
      <c r="T11" s="34">
        <f t="shared" si="2"/>
        <v>100201</v>
      </c>
    </row>
    <row r="12" spans="1:20" ht="15" customHeight="1" x14ac:dyDescent="0.25">
      <c r="A12" s="9" t="s">
        <v>24</v>
      </c>
      <c r="B12" s="28">
        <v>1760290</v>
      </c>
      <c r="C12" s="28">
        <v>367921</v>
      </c>
      <c r="D12" s="28">
        <v>96497</v>
      </c>
      <c r="E12" s="28">
        <v>804605</v>
      </c>
      <c r="F12" s="28">
        <v>100998</v>
      </c>
      <c r="G12" s="28">
        <v>53284</v>
      </c>
      <c r="H12" s="29">
        <f t="shared" si="0"/>
        <v>-47714</v>
      </c>
      <c r="I12" s="28">
        <v>3075072</v>
      </c>
      <c r="J12" s="30">
        <v>5928</v>
      </c>
      <c r="K12" s="31">
        <f t="shared" si="1"/>
        <v>7883</v>
      </c>
      <c r="L12" s="28">
        <v>0</v>
      </c>
      <c r="M12" s="32">
        <v>0</v>
      </c>
      <c r="N12" s="28">
        <v>7883</v>
      </c>
      <c r="O12" s="28">
        <v>0</v>
      </c>
      <c r="P12" s="28">
        <v>0</v>
      </c>
      <c r="Q12" s="28">
        <v>0</v>
      </c>
      <c r="R12" s="28">
        <v>0</v>
      </c>
      <c r="S12" s="33">
        <v>0</v>
      </c>
      <c r="T12" s="34">
        <f t="shared" si="2"/>
        <v>7883</v>
      </c>
    </row>
    <row r="13" spans="1:20" ht="15" customHeight="1" x14ac:dyDescent="0.25">
      <c r="A13" s="8" t="s">
        <v>25</v>
      </c>
      <c r="B13" s="28">
        <v>356546</v>
      </c>
      <c r="C13" s="28">
        <v>288943</v>
      </c>
      <c r="D13" s="28">
        <v>0</v>
      </c>
      <c r="E13" s="28">
        <v>0</v>
      </c>
      <c r="F13" s="28">
        <v>21843</v>
      </c>
      <c r="G13" s="28">
        <v>28705</v>
      </c>
      <c r="H13" s="29">
        <f t="shared" si="0"/>
        <v>6862</v>
      </c>
      <c r="I13" s="28">
        <v>627371</v>
      </c>
      <c r="J13" s="30">
        <v>3379</v>
      </c>
      <c r="K13" s="31">
        <f t="shared" si="1"/>
        <v>14635</v>
      </c>
      <c r="L13" s="28">
        <v>0</v>
      </c>
      <c r="M13" s="32">
        <v>0</v>
      </c>
      <c r="N13" s="28">
        <v>0</v>
      </c>
      <c r="O13" s="28">
        <v>0</v>
      </c>
      <c r="P13" s="28">
        <v>0</v>
      </c>
      <c r="Q13" s="28">
        <v>14635</v>
      </c>
      <c r="R13" s="28">
        <v>0</v>
      </c>
      <c r="S13" s="33">
        <v>0</v>
      </c>
      <c r="T13" s="34">
        <f t="shared" si="2"/>
        <v>14635</v>
      </c>
    </row>
    <row r="14" spans="1:20" ht="15" customHeight="1" x14ac:dyDescent="0.25">
      <c r="A14" s="8" t="s">
        <v>26</v>
      </c>
      <c r="B14" s="28">
        <v>306265.90999999997</v>
      </c>
      <c r="C14" s="28">
        <v>0</v>
      </c>
      <c r="D14" s="28">
        <v>0</v>
      </c>
      <c r="E14" s="28">
        <v>509038</v>
      </c>
      <c r="F14" s="28">
        <v>48762</v>
      </c>
      <c r="G14" s="28">
        <v>50794</v>
      </c>
      <c r="H14" s="29">
        <f t="shared" si="0"/>
        <v>2032</v>
      </c>
      <c r="I14" s="28">
        <v>803216.22</v>
      </c>
      <c r="J14" s="30">
        <v>672333.7</v>
      </c>
      <c r="K14" s="31">
        <f t="shared" si="1"/>
        <v>682389.3899999999</v>
      </c>
      <c r="L14" s="28">
        <v>0</v>
      </c>
      <c r="M14" s="32">
        <v>0</v>
      </c>
      <c r="N14" s="28">
        <v>0</v>
      </c>
      <c r="O14" s="28">
        <v>0</v>
      </c>
      <c r="P14" s="28">
        <v>392203</v>
      </c>
      <c r="Q14" s="28">
        <v>281606</v>
      </c>
      <c r="R14" s="28">
        <v>8580</v>
      </c>
      <c r="S14" s="33">
        <v>0</v>
      </c>
      <c r="T14" s="34">
        <f t="shared" si="2"/>
        <v>682389</v>
      </c>
    </row>
    <row r="15" spans="1:20" ht="15" customHeight="1" x14ac:dyDescent="0.25">
      <c r="A15" s="8" t="s">
        <v>27</v>
      </c>
      <c r="B15" s="28">
        <v>200525</v>
      </c>
      <c r="C15" s="28">
        <v>0</v>
      </c>
      <c r="D15" s="28">
        <v>13378</v>
      </c>
      <c r="E15" s="28">
        <v>0</v>
      </c>
      <c r="F15" s="28">
        <v>9361</v>
      </c>
      <c r="G15" s="28">
        <v>9924</v>
      </c>
      <c r="H15" s="29">
        <f t="shared" si="0"/>
        <v>563</v>
      </c>
      <c r="I15" s="28">
        <v>212212</v>
      </c>
      <c r="J15" s="30">
        <v>151387</v>
      </c>
      <c r="K15" s="31">
        <f t="shared" si="1"/>
        <v>152515</v>
      </c>
      <c r="L15" s="28">
        <v>137547</v>
      </c>
      <c r="M15" s="32">
        <v>0</v>
      </c>
      <c r="N15" s="28">
        <v>0</v>
      </c>
      <c r="O15" s="28">
        <v>0</v>
      </c>
      <c r="P15" s="28">
        <v>0</v>
      </c>
      <c r="Q15" s="28">
        <v>11737</v>
      </c>
      <c r="R15" s="28">
        <v>3231</v>
      </c>
      <c r="S15" s="33">
        <v>0</v>
      </c>
      <c r="T15" s="34">
        <f t="shared" si="2"/>
        <v>152515</v>
      </c>
    </row>
    <row r="16" spans="1:20" ht="15" customHeight="1" x14ac:dyDescent="0.25">
      <c r="A16" s="8" t="s">
        <v>28</v>
      </c>
      <c r="B16" s="28">
        <v>71693</v>
      </c>
      <c r="C16" s="28">
        <v>0</v>
      </c>
      <c r="D16" s="28">
        <v>0</v>
      </c>
      <c r="E16" s="28">
        <v>46542.79</v>
      </c>
      <c r="F16" s="28">
        <v>10240.25</v>
      </c>
      <c r="G16" s="28">
        <v>6581.67</v>
      </c>
      <c r="H16" s="29">
        <f t="shared" si="0"/>
        <v>-3658.58</v>
      </c>
      <c r="I16" s="28">
        <v>102742.38</v>
      </c>
      <c r="J16" s="30">
        <v>0</v>
      </c>
      <c r="K16" s="31">
        <f t="shared" si="1"/>
        <v>19151.990000000005</v>
      </c>
      <c r="L16" s="28">
        <v>0</v>
      </c>
      <c r="M16" s="32">
        <v>0</v>
      </c>
      <c r="N16" s="28">
        <v>0</v>
      </c>
      <c r="O16" s="28">
        <v>0</v>
      </c>
      <c r="P16" s="28">
        <v>0</v>
      </c>
      <c r="Q16" s="28">
        <v>0</v>
      </c>
      <c r="R16" s="28">
        <v>19152</v>
      </c>
      <c r="S16" s="33">
        <v>0</v>
      </c>
      <c r="T16" s="34">
        <f t="shared" si="2"/>
        <v>19152</v>
      </c>
    </row>
    <row r="17" spans="1:20" ht="15" customHeight="1" x14ac:dyDescent="0.25">
      <c r="A17" s="8" t="s">
        <v>29</v>
      </c>
      <c r="B17" s="28">
        <v>81114</v>
      </c>
      <c r="C17" s="28">
        <v>72541.490000000005</v>
      </c>
      <c r="D17" s="28">
        <v>2538</v>
      </c>
      <c r="E17" s="28">
        <v>29435.26</v>
      </c>
      <c r="F17" s="28">
        <v>40488.1</v>
      </c>
      <c r="G17" s="28">
        <v>43624.88</v>
      </c>
      <c r="H17" s="29">
        <f t="shared" si="0"/>
        <v>3136.7799999999988</v>
      </c>
      <c r="I17" s="28">
        <v>62362.35</v>
      </c>
      <c r="J17" s="30">
        <v>89211</v>
      </c>
      <c r="K17" s="31">
        <f t="shared" si="1"/>
        <v>209340.62</v>
      </c>
      <c r="L17" s="28">
        <v>0</v>
      </c>
      <c r="M17" s="32">
        <v>31471.63</v>
      </c>
      <c r="N17" s="28">
        <v>26967</v>
      </c>
      <c r="O17" s="28">
        <v>0</v>
      </c>
      <c r="P17" s="28">
        <v>54368</v>
      </c>
      <c r="Q17" s="28">
        <v>2960</v>
      </c>
      <c r="R17" s="28">
        <v>93574</v>
      </c>
      <c r="S17" s="33">
        <v>0</v>
      </c>
      <c r="T17" s="34">
        <f t="shared" si="2"/>
        <v>209340.63</v>
      </c>
    </row>
    <row r="18" spans="1:20" ht="15" customHeight="1" x14ac:dyDescent="0.25">
      <c r="A18" s="8" t="s">
        <v>30</v>
      </c>
      <c r="B18" s="28">
        <v>0</v>
      </c>
      <c r="C18" s="28">
        <v>0</v>
      </c>
      <c r="D18" s="28">
        <v>14121</v>
      </c>
      <c r="E18" s="28">
        <v>0</v>
      </c>
      <c r="F18" s="28">
        <v>8285</v>
      </c>
      <c r="G18" s="28">
        <v>9124</v>
      </c>
      <c r="H18" s="29">
        <f t="shared" si="0"/>
        <v>839</v>
      </c>
      <c r="I18" s="28">
        <v>18549</v>
      </c>
      <c r="J18" s="30">
        <v>46117</v>
      </c>
      <c r="K18" s="31">
        <f t="shared" si="1"/>
        <v>40850</v>
      </c>
      <c r="L18" s="28">
        <v>0</v>
      </c>
      <c r="M18" s="32">
        <v>0</v>
      </c>
      <c r="N18" s="28">
        <v>40000</v>
      </c>
      <c r="O18" s="28">
        <v>0</v>
      </c>
      <c r="P18" s="28">
        <v>0</v>
      </c>
      <c r="Q18" s="28">
        <v>0</v>
      </c>
      <c r="R18" s="28">
        <v>0</v>
      </c>
      <c r="S18" s="33">
        <v>850</v>
      </c>
      <c r="T18" s="34">
        <f t="shared" si="2"/>
        <v>40850</v>
      </c>
    </row>
    <row r="19" spans="1:20" ht="15" customHeight="1" x14ac:dyDescent="0.25">
      <c r="A19" s="8" t="s">
        <v>31</v>
      </c>
      <c r="B19" s="28"/>
      <c r="C19" s="28"/>
      <c r="D19" s="28"/>
      <c r="E19" s="28"/>
      <c r="F19" s="28"/>
      <c r="G19" s="28"/>
      <c r="H19" s="29">
        <f t="shared" si="0"/>
        <v>0</v>
      </c>
      <c r="I19" s="28"/>
      <c r="J19" s="30"/>
      <c r="K19" s="31">
        <f t="shared" si="1"/>
        <v>0</v>
      </c>
      <c r="L19" s="28"/>
      <c r="M19" s="32"/>
      <c r="N19" s="28"/>
      <c r="O19" s="28"/>
      <c r="P19" s="28"/>
      <c r="Q19" s="28"/>
      <c r="R19" s="28"/>
      <c r="S19" s="33"/>
      <c r="T19" s="34">
        <f t="shared" si="2"/>
        <v>0</v>
      </c>
    </row>
    <row r="20" spans="1:20" ht="15" customHeight="1" x14ac:dyDescent="0.25">
      <c r="A20" s="8" t="s">
        <v>32</v>
      </c>
      <c r="B20" s="28">
        <v>0</v>
      </c>
      <c r="C20" s="28">
        <v>2070.79</v>
      </c>
      <c r="D20" s="28">
        <v>6537.38</v>
      </c>
      <c r="E20" s="28">
        <v>111154.45</v>
      </c>
      <c r="F20" s="28">
        <v>24008.81</v>
      </c>
      <c r="G20" s="28">
        <v>11922.27</v>
      </c>
      <c r="H20" s="29">
        <f t="shared" si="0"/>
        <v>-12086.54</v>
      </c>
      <c r="I20" s="28">
        <v>80144.98</v>
      </c>
      <c r="J20" s="30">
        <v>70192.44</v>
      </c>
      <c r="K20" s="31">
        <f t="shared" si="1"/>
        <v>121896.62</v>
      </c>
      <c r="L20" s="28">
        <v>0</v>
      </c>
      <c r="M20" s="32">
        <v>0</v>
      </c>
      <c r="N20" s="28">
        <v>0</v>
      </c>
      <c r="O20" s="28">
        <v>0</v>
      </c>
      <c r="P20" s="28">
        <v>22255.85</v>
      </c>
      <c r="Q20" s="28">
        <v>47626.31</v>
      </c>
      <c r="R20" s="28">
        <v>52014.26</v>
      </c>
      <c r="S20" s="33">
        <v>0</v>
      </c>
      <c r="T20" s="34">
        <f t="shared" si="2"/>
        <v>121896.42000000001</v>
      </c>
    </row>
    <row r="21" spans="1:20" ht="15" customHeight="1" x14ac:dyDescent="0.25">
      <c r="A21" s="10" t="s">
        <v>33</v>
      </c>
      <c r="B21" s="38">
        <f t="shared" ref="B21:J21" si="3">SUM(B10:B20)</f>
        <v>2962099.91</v>
      </c>
      <c r="C21" s="38">
        <f t="shared" si="3"/>
        <v>731476.28</v>
      </c>
      <c r="D21" s="38">
        <f t="shared" si="3"/>
        <v>141782.01</v>
      </c>
      <c r="E21" s="38">
        <f t="shared" si="3"/>
        <v>1574762.5</v>
      </c>
      <c r="F21" s="38">
        <f t="shared" si="3"/>
        <v>270667.16000000003</v>
      </c>
      <c r="G21" s="38">
        <f t="shared" si="3"/>
        <v>219842.82</v>
      </c>
      <c r="H21" s="38">
        <f t="shared" si="3"/>
        <v>-50824.340000000004</v>
      </c>
      <c r="I21" s="38">
        <f t="shared" si="3"/>
        <v>5227771.5599999996</v>
      </c>
      <c r="J21" s="38">
        <f t="shared" si="3"/>
        <v>1722044.93</v>
      </c>
      <c r="K21" s="39">
        <f t="shared" si="1"/>
        <v>1955218.4100000004</v>
      </c>
      <c r="L21" s="38">
        <f t="shared" ref="L21:T21" si="4">SUM(L10:L20)</f>
        <v>208386</v>
      </c>
      <c r="M21" s="38">
        <f t="shared" si="4"/>
        <v>100131.63</v>
      </c>
      <c r="N21" s="38">
        <f t="shared" si="4"/>
        <v>125472</v>
      </c>
      <c r="O21" s="38">
        <f t="shared" si="4"/>
        <v>0</v>
      </c>
      <c r="P21" s="38">
        <f t="shared" si="4"/>
        <v>470074.85</v>
      </c>
      <c r="Q21" s="38">
        <f t="shared" si="4"/>
        <v>361096.31</v>
      </c>
      <c r="R21" s="38">
        <f t="shared" si="4"/>
        <v>672861.05</v>
      </c>
      <c r="S21" s="38">
        <f t="shared" si="4"/>
        <v>17196</v>
      </c>
      <c r="T21" s="40">
        <f t="shared" si="4"/>
        <v>1955217.8399999999</v>
      </c>
    </row>
    <row r="22" spans="1:20" ht="15" customHeight="1" x14ac:dyDescent="0.25">
      <c r="A22" s="8" t="s">
        <v>34</v>
      </c>
      <c r="B22" s="28">
        <v>19401</v>
      </c>
      <c r="C22" s="28">
        <v>220093</v>
      </c>
      <c r="D22" s="28">
        <v>2195</v>
      </c>
      <c r="E22" s="28">
        <v>0</v>
      </c>
      <c r="F22" s="28">
        <v>9487.9599999999991</v>
      </c>
      <c r="G22" s="28">
        <v>8976</v>
      </c>
      <c r="H22" s="29">
        <f>+G22-F22</f>
        <v>-511.95999999999913</v>
      </c>
      <c r="I22" s="28">
        <v>250489</v>
      </c>
      <c r="J22" s="30">
        <v>346100</v>
      </c>
      <c r="K22" s="31">
        <f t="shared" si="1"/>
        <v>337811.95999999996</v>
      </c>
      <c r="L22" s="28">
        <v>145117</v>
      </c>
      <c r="M22" s="32">
        <v>0</v>
      </c>
      <c r="N22" s="28">
        <v>169296.79</v>
      </c>
      <c r="O22" s="28">
        <v>0</v>
      </c>
      <c r="P22" s="28">
        <v>15803</v>
      </c>
      <c r="Q22" s="28">
        <v>0</v>
      </c>
      <c r="R22" s="28">
        <v>7595.17</v>
      </c>
      <c r="S22" s="33">
        <v>0</v>
      </c>
      <c r="T22" s="34">
        <f>SUM(L22:S22)</f>
        <v>337811.96</v>
      </c>
    </row>
    <row r="23" spans="1:20" ht="15" customHeight="1" x14ac:dyDescent="0.25">
      <c r="A23" s="8" t="s">
        <v>35</v>
      </c>
      <c r="B23" s="28">
        <v>0</v>
      </c>
      <c r="C23" s="28">
        <v>80817</v>
      </c>
      <c r="D23" s="28">
        <v>31923.59</v>
      </c>
      <c r="E23" s="28">
        <v>67112</v>
      </c>
      <c r="F23" s="28">
        <v>81049</v>
      </c>
      <c r="G23" s="28">
        <v>105212</v>
      </c>
      <c r="H23" s="29">
        <f>+G23-F23</f>
        <v>24163</v>
      </c>
      <c r="I23" s="28">
        <v>162638.65</v>
      </c>
      <c r="J23" s="30">
        <v>1035072</v>
      </c>
      <c r="K23" s="31">
        <f t="shared" si="1"/>
        <v>1028122.94</v>
      </c>
      <c r="L23" s="28">
        <v>475392</v>
      </c>
      <c r="M23" s="32">
        <v>0</v>
      </c>
      <c r="N23" s="28">
        <v>387810</v>
      </c>
      <c r="O23" s="28">
        <v>0</v>
      </c>
      <c r="P23" s="28">
        <v>10306</v>
      </c>
      <c r="Q23" s="28">
        <v>140493</v>
      </c>
      <c r="R23" s="28">
        <v>0</v>
      </c>
      <c r="S23" s="33">
        <v>14121</v>
      </c>
      <c r="T23" s="34">
        <f>SUM(L23:S23)</f>
        <v>1028122</v>
      </c>
    </row>
    <row r="24" spans="1:20" ht="15" customHeight="1" x14ac:dyDescent="0.25">
      <c r="A24" s="8" t="s">
        <v>36</v>
      </c>
      <c r="B24" s="28">
        <v>29045.81</v>
      </c>
      <c r="C24" s="28">
        <v>0</v>
      </c>
      <c r="D24" s="28">
        <v>32189.439999999999</v>
      </c>
      <c r="E24" s="28">
        <v>57517</v>
      </c>
      <c r="F24" s="28">
        <v>0</v>
      </c>
      <c r="G24" s="28">
        <v>25348</v>
      </c>
      <c r="H24" s="29">
        <f>+G24-F24</f>
        <v>25348</v>
      </c>
      <c r="I24" s="28">
        <v>389808.93</v>
      </c>
      <c r="J24" s="30">
        <v>310680</v>
      </c>
      <c r="K24" s="31">
        <f t="shared" si="1"/>
        <v>14275.320000000007</v>
      </c>
      <c r="L24" s="28">
        <v>0</v>
      </c>
      <c r="M24" s="32">
        <v>0</v>
      </c>
      <c r="N24" s="28">
        <v>0</v>
      </c>
      <c r="O24" s="28">
        <v>0</v>
      </c>
      <c r="P24" s="28">
        <v>10040</v>
      </c>
      <c r="Q24" s="28">
        <v>2476</v>
      </c>
      <c r="R24" s="28">
        <v>0</v>
      </c>
      <c r="S24" s="33">
        <v>1759</v>
      </c>
      <c r="T24" s="34">
        <f>SUM(L24:S24)</f>
        <v>14275</v>
      </c>
    </row>
    <row r="25" spans="1:20" ht="15" customHeight="1" x14ac:dyDescent="0.25">
      <c r="A25" s="10" t="s">
        <v>37</v>
      </c>
      <c r="B25" s="38">
        <f t="shared" ref="B25:J25" si="5">SUM(B22:B24)</f>
        <v>48446.81</v>
      </c>
      <c r="C25" s="38">
        <f t="shared" si="5"/>
        <v>300910</v>
      </c>
      <c r="D25" s="38">
        <f t="shared" si="5"/>
        <v>66308.03</v>
      </c>
      <c r="E25" s="38">
        <f t="shared" si="5"/>
        <v>124629</v>
      </c>
      <c r="F25" s="38">
        <f t="shared" si="5"/>
        <v>90536.959999999992</v>
      </c>
      <c r="G25" s="38">
        <f t="shared" si="5"/>
        <v>139536</v>
      </c>
      <c r="H25" s="38">
        <f t="shared" si="5"/>
        <v>48999.040000000001</v>
      </c>
      <c r="I25" s="38">
        <f t="shared" si="5"/>
        <v>802936.58000000007</v>
      </c>
      <c r="J25" s="41">
        <f t="shared" si="5"/>
        <v>1691852</v>
      </c>
      <c r="K25" s="39">
        <f t="shared" si="1"/>
        <v>1380210.2199999997</v>
      </c>
      <c r="L25" s="38">
        <f t="shared" ref="L25:T25" si="6">SUM(L22:L24)</f>
        <v>620509</v>
      </c>
      <c r="M25" s="38">
        <f t="shared" si="6"/>
        <v>0</v>
      </c>
      <c r="N25" s="38">
        <f t="shared" si="6"/>
        <v>557106.79</v>
      </c>
      <c r="O25" s="38">
        <f t="shared" si="6"/>
        <v>0</v>
      </c>
      <c r="P25" s="38">
        <f t="shared" si="6"/>
        <v>36149</v>
      </c>
      <c r="Q25" s="38">
        <f t="shared" si="6"/>
        <v>142969</v>
      </c>
      <c r="R25" s="38">
        <f t="shared" si="6"/>
        <v>7595.17</v>
      </c>
      <c r="S25" s="38">
        <f t="shared" si="6"/>
        <v>15880</v>
      </c>
      <c r="T25" s="40">
        <f t="shared" si="6"/>
        <v>1380208.96</v>
      </c>
    </row>
    <row r="26" spans="1:20" ht="15" customHeight="1" x14ac:dyDescent="0.25">
      <c r="A26" s="8" t="s">
        <v>38</v>
      </c>
      <c r="B26" s="28">
        <v>137174</v>
      </c>
      <c r="C26" s="28">
        <v>10124.34</v>
      </c>
      <c r="D26" s="28">
        <v>14958.6</v>
      </c>
      <c r="E26" s="28">
        <v>0</v>
      </c>
      <c r="F26" s="28">
        <v>0</v>
      </c>
      <c r="G26" s="28">
        <v>0</v>
      </c>
      <c r="H26" s="29">
        <f>+G26-F26</f>
        <v>0</v>
      </c>
      <c r="I26" s="28">
        <v>10124.34</v>
      </c>
      <c r="J26" s="30">
        <v>0</v>
      </c>
      <c r="K26" s="31">
        <f t="shared" si="1"/>
        <v>152132.6</v>
      </c>
      <c r="L26" s="28">
        <v>0</v>
      </c>
      <c r="M26" s="32">
        <v>0</v>
      </c>
      <c r="N26" s="28">
        <v>0</v>
      </c>
      <c r="O26" s="28">
        <v>0</v>
      </c>
      <c r="P26" s="28">
        <v>0</v>
      </c>
      <c r="Q26" s="28">
        <v>0</v>
      </c>
      <c r="R26" s="28">
        <v>152132.6</v>
      </c>
      <c r="S26" s="33">
        <v>0</v>
      </c>
      <c r="T26" s="34">
        <f>SUM(L26:S26)</f>
        <v>152132.6</v>
      </c>
    </row>
    <row r="27" spans="1:20" ht="15" customHeight="1" x14ac:dyDescent="0.25">
      <c r="A27" s="8" t="s">
        <v>39</v>
      </c>
      <c r="B27" s="28">
        <v>0</v>
      </c>
      <c r="C27" s="28">
        <v>29940</v>
      </c>
      <c r="D27" s="28">
        <v>0</v>
      </c>
      <c r="E27" s="28">
        <v>8614</v>
      </c>
      <c r="F27" s="28">
        <v>2269</v>
      </c>
      <c r="G27" s="28">
        <v>1726</v>
      </c>
      <c r="H27" s="29">
        <f>+G27-F27</f>
        <v>-543</v>
      </c>
      <c r="I27" s="28">
        <v>39097</v>
      </c>
      <c r="J27" s="30">
        <v>39097</v>
      </c>
      <c r="K27" s="31">
        <f t="shared" si="1"/>
        <v>39097</v>
      </c>
      <c r="L27" s="28">
        <v>39097</v>
      </c>
      <c r="M27" s="32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33">
        <v>0</v>
      </c>
      <c r="T27" s="34">
        <f>SUM(L27:S27)</f>
        <v>39097</v>
      </c>
    </row>
    <row r="28" spans="1:20" ht="15" customHeight="1" x14ac:dyDescent="0.25">
      <c r="A28" s="10" t="s">
        <v>40</v>
      </c>
      <c r="B28" s="38">
        <f t="shared" ref="B28:H28" si="7">SUM(B26:B27)</f>
        <v>137174</v>
      </c>
      <c r="C28" s="38">
        <f t="shared" si="7"/>
        <v>40064.339999999997</v>
      </c>
      <c r="D28" s="38">
        <f t="shared" si="7"/>
        <v>14958.6</v>
      </c>
      <c r="E28" s="38">
        <f t="shared" si="7"/>
        <v>8614</v>
      </c>
      <c r="F28" s="38">
        <f t="shared" si="7"/>
        <v>2269</v>
      </c>
      <c r="G28" s="38">
        <f t="shared" si="7"/>
        <v>1726</v>
      </c>
      <c r="H28" s="38">
        <f t="shared" si="7"/>
        <v>-543</v>
      </c>
      <c r="I28" s="38">
        <f>J28+K28-(B28+C28+D28+E28)</f>
        <v>39640</v>
      </c>
      <c r="J28" s="38">
        <f>SUM(I26:I27)</f>
        <v>49221.34</v>
      </c>
      <c r="K28" s="38">
        <f t="shared" ref="K28:T28" si="8">SUM(K26:K27)</f>
        <v>191229.6</v>
      </c>
      <c r="L28" s="38">
        <f t="shared" si="8"/>
        <v>39097</v>
      </c>
      <c r="M28" s="38">
        <f t="shared" si="8"/>
        <v>0</v>
      </c>
      <c r="N28" s="38">
        <f t="shared" si="8"/>
        <v>0</v>
      </c>
      <c r="O28" s="38">
        <f t="shared" si="8"/>
        <v>0</v>
      </c>
      <c r="P28" s="38">
        <f t="shared" si="8"/>
        <v>0</v>
      </c>
      <c r="Q28" s="38">
        <f t="shared" si="8"/>
        <v>0</v>
      </c>
      <c r="R28" s="38">
        <f t="shared" si="8"/>
        <v>152132.6</v>
      </c>
      <c r="S28" s="38">
        <f t="shared" si="8"/>
        <v>0</v>
      </c>
      <c r="T28" s="40">
        <f t="shared" si="8"/>
        <v>191229.6</v>
      </c>
    </row>
    <row r="29" spans="1:20" ht="15" customHeight="1" x14ac:dyDescent="0.25">
      <c r="A29" s="11" t="s">
        <v>41</v>
      </c>
      <c r="B29" s="45">
        <f t="shared" ref="B29:T29" si="9">+B21+B25+B28</f>
        <v>3147720.72</v>
      </c>
      <c r="C29" s="45">
        <f t="shared" si="9"/>
        <v>1072450.6200000001</v>
      </c>
      <c r="D29" s="45">
        <f t="shared" si="9"/>
        <v>223048.64</v>
      </c>
      <c r="E29" s="45">
        <f t="shared" si="9"/>
        <v>1708005.5</v>
      </c>
      <c r="F29" s="45">
        <f t="shared" si="9"/>
        <v>363473.12</v>
      </c>
      <c r="G29" s="45">
        <f t="shared" si="9"/>
        <v>361104.82</v>
      </c>
      <c r="H29" s="45">
        <f t="shared" si="9"/>
        <v>-2368.3000000000029</v>
      </c>
      <c r="I29" s="45">
        <f t="shared" si="9"/>
        <v>6070348.1399999997</v>
      </c>
      <c r="J29" s="45">
        <f t="shared" si="9"/>
        <v>3463118.2699999996</v>
      </c>
      <c r="K29" s="45">
        <f t="shared" si="9"/>
        <v>3526658.23</v>
      </c>
      <c r="L29" s="45">
        <f t="shared" si="9"/>
        <v>867992</v>
      </c>
      <c r="M29" s="45">
        <f t="shared" si="9"/>
        <v>100131.63</v>
      </c>
      <c r="N29" s="45">
        <f t="shared" si="9"/>
        <v>682578.79</v>
      </c>
      <c r="O29" s="45">
        <f t="shared" si="9"/>
        <v>0</v>
      </c>
      <c r="P29" s="45">
        <f t="shared" si="9"/>
        <v>506223.85</v>
      </c>
      <c r="Q29" s="45">
        <f t="shared" si="9"/>
        <v>504065.31</v>
      </c>
      <c r="R29" s="45">
        <f t="shared" si="9"/>
        <v>832588.82000000007</v>
      </c>
      <c r="S29" s="45">
        <f t="shared" si="9"/>
        <v>33076</v>
      </c>
      <c r="T29" s="46">
        <f t="shared" si="9"/>
        <v>3526656.4</v>
      </c>
    </row>
  </sheetData>
  <sheetProtection selectLockedCells="1" selectUnlockedCells="1"/>
  <mergeCells count="26">
    <mergeCell ref="T6:T8"/>
    <mergeCell ref="N6:N8"/>
    <mergeCell ref="O6:O8"/>
    <mergeCell ref="P6:P8"/>
    <mergeCell ref="Q6:Q8"/>
    <mergeCell ref="R6:R8"/>
    <mergeCell ref="S6:S8"/>
    <mergeCell ref="M6:M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B4:R4"/>
    <mergeCell ref="B5:K5"/>
    <mergeCell ref="L5:T5"/>
    <mergeCell ref="S1:T1"/>
    <mergeCell ref="B1:R1"/>
    <mergeCell ref="B2:R2"/>
    <mergeCell ref="B3:R3"/>
  </mergeCells>
  <pageMargins left="0.70866141732283472" right="0.70866141732283472" top="0.74803149606299213" bottom="0.74803149606299213" header="0.51181102362204722" footer="0.51181102362204722"/>
  <pageSetup paperSize="9" scale="5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3"/>
  <sheetViews>
    <sheetView zoomScale="85" zoomScaleNormal="85" workbookViewId="0">
      <selection activeCell="B5" sqref="B5:K5"/>
    </sheetView>
  </sheetViews>
  <sheetFormatPr defaultRowHeight="15" customHeight="1" x14ac:dyDescent="0.25"/>
  <cols>
    <col min="1" max="1" width="35.7109375" style="1" customWidth="1"/>
    <col min="2" max="20" width="10.7109375" style="1" customWidth="1"/>
    <col min="21" max="16384" width="9.140625" style="1"/>
  </cols>
  <sheetData>
    <row r="1" spans="1:20" ht="20.100000000000001" customHeight="1" x14ac:dyDescent="0.35">
      <c r="A1" s="36"/>
      <c r="B1" s="74" t="s">
        <v>54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73" t="s">
        <v>57</v>
      </c>
      <c r="T1" s="85"/>
    </row>
    <row r="2" spans="1:20" ht="20.100000000000001" customHeight="1" x14ac:dyDescent="0.35">
      <c r="A2" s="36"/>
      <c r="B2" s="74" t="s">
        <v>55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26"/>
      <c r="T2" s="26"/>
    </row>
    <row r="3" spans="1:20" ht="20.100000000000001" customHeight="1" x14ac:dyDescent="0.35">
      <c r="A3" s="37"/>
      <c r="B3" s="75" t="s">
        <v>56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37"/>
      <c r="T3" s="37"/>
    </row>
    <row r="4" spans="1:20" ht="20.100000000000001" customHeight="1" x14ac:dyDescent="0.35">
      <c r="A4" s="25"/>
      <c r="B4" s="66" t="s">
        <v>129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27"/>
      <c r="T4" s="27"/>
    </row>
    <row r="5" spans="1:20" ht="20.100000000000001" customHeight="1" thickBot="1" x14ac:dyDescent="0.3">
      <c r="A5" s="15"/>
      <c r="B5" s="82" t="s">
        <v>0</v>
      </c>
      <c r="C5" s="82"/>
      <c r="D5" s="82"/>
      <c r="E5" s="82"/>
      <c r="F5" s="82"/>
      <c r="G5" s="82"/>
      <c r="H5" s="82"/>
      <c r="I5" s="82"/>
      <c r="J5" s="82"/>
      <c r="K5" s="82"/>
      <c r="L5" s="83" t="s">
        <v>1</v>
      </c>
      <c r="M5" s="83"/>
      <c r="N5" s="83"/>
      <c r="O5" s="83"/>
      <c r="P5" s="83"/>
      <c r="Q5" s="83"/>
      <c r="R5" s="83"/>
      <c r="S5" s="83"/>
      <c r="T5" s="83"/>
    </row>
    <row r="6" spans="1:20" ht="20.100000000000001" customHeight="1" x14ac:dyDescent="0.25">
      <c r="A6" s="12" t="s">
        <v>2</v>
      </c>
      <c r="B6" s="88" t="s">
        <v>3</v>
      </c>
      <c r="C6" s="89" t="s">
        <v>4</v>
      </c>
      <c r="D6" s="88" t="s">
        <v>5</v>
      </c>
      <c r="E6" s="89" t="s">
        <v>6</v>
      </c>
      <c r="F6" s="88" t="s">
        <v>7</v>
      </c>
      <c r="G6" s="89" t="s">
        <v>8</v>
      </c>
      <c r="H6" s="88" t="s">
        <v>9</v>
      </c>
      <c r="I6" s="89" t="s">
        <v>10</v>
      </c>
      <c r="J6" s="88" t="s">
        <v>11</v>
      </c>
      <c r="K6" s="89" t="s">
        <v>12</v>
      </c>
      <c r="L6" s="88" t="s">
        <v>13</v>
      </c>
      <c r="M6" s="89" t="s">
        <v>14</v>
      </c>
      <c r="N6" s="88" t="s">
        <v>15</v>
      </c>
      <c r="O6" s="89" t="s">
        <v>16</v>
      </c>
      <c r="P6" s="88" t="s">
        <v>17</v>
      </c>
      <c r="Q6" s="89" t="s">
        <v>18</v>
      </c>
      <c r="R6" s="88" t="s">
        <v>19</v>
      </c>
      <c r="S6" s="89" t="s">
        <v>20</v>
      </c>
      <c r="T6" s="88" t="s">
        <v>21</v>
      </c>
    </row>
    <row r="7" spans="1:20" ht="20.100000000000001" customHeight="1" x14ac:dyDescent="0.25">
      <c r="A7" s="13" t="s">
        <v>60</v>
      </c>
      <c r="B7" s="88"/>
      <c r="C7" s="89"/>
      <c r="D7" s="88"/>
      <c r="E7" s="89"/>
      <c r="F7" s="88"/>
      <c r="G7" s="89"/>
      <c r="H7" s="88"/>
      <c r="I7" s="89"/>
      <c r="J7" s="88"/>
      <c r="K7" s="89"/>
      <c r="L7" s="88"/>
      <c r="M7" s="89"/>
      <c r="N7" s="88"/>
      <c r="O7" s="89"/>
      <c r="P7" s="88"/>
      <c r="Q7" s="89"/>
      <c r="R7" s="88"/>
      <c r="S7" s="89"/>
      <c r="T7" s="88"/>
    </row>
    <row r="8" spans="1:20" ht="129.94999999999999" customHeight="1" x14ac:dyDescent="0.25">
      <c r="A8" s="14" t="s">
        <v>53</v>
      </c>
      <c r="B8" s="88"/>
      <c r="C8" s="89"/>
      <c r="D8" s="88"/>
      <c r="E8" s="89"/>
      <c r="F8" s="88"/>
      <c r="G8" s="89"/>
      <c r="H8" s="88"/>
      <c r="I8" s="89"/>
      <c r="J8" s="88"/>
      <c r="K8" s="89"/>
      <c r="L8" s="88"/>
      <c r="M8" s="89"/>
      <c r="N8" s="88"/>
      <c r="O8" s="89"/>
      <c r="P8" s="88"/>
      <c r="Q8" s="89"/>
      <c r="R8" s="88"/>
      <c r="S8" s="89"/>
      <c r="T8" s="88"/>
    </row>
    <row r="9" spans="1:20" ht="15" customHeight="1" x14ac:dyDescent="0.25">
      <c r="A9" s="3" t="s">
        <v>59</v>
      </c>
      <c r="B9" s="16"/>
      <c r="C9" s="17"/>
      <c r="D9" s="17"/>
      <c r="E9" s="17"/>
      <c r="F9" s="17"/>
      <c r="G9" s="17"/>
      <c r="H9" s="17"/>
      <c r="I9" s="16"/>
      <c r="J9" s="17"/>
      <c r="K9" s="16"/>
      <c r="L9" s="16"/>
      <c r="M9" s="16"/>
      <c r="N9" s="17"/>
      <c r="O9" s="17"/>
      <c r="P9" s="17"/>
      <c r="Q9" s="17"/>
      <c r="R9" s="17"/>
      <c r="S9" s="17"/>
      <c r="T9" s="16"/>
    </row>
    <row r="10" spans="1:20" ht="15" customHeight="1" x14ac:dyDescent="0.25">
      <c r="A10" s="18" t="s">
        <v>42</v>
      </c>
      <c r="B10" s="19"/>
      <c r="C10" s="20">
        <v>254890</v>
      </c>
      <c r="D10" s="20">
        <v>4880</v>
      </c>
      <c r="E10" s="20">
        <v>2411</v>
      </c>
      <c r="F10" s="21">
        <v>13754</v>
      </c>
      <c r="G10" s="20">
        <v>19298</v>
      </c>
      <c r="H10" s="22">
        <f t="shared" ref="H10:H18" si="0">+G10-F10</f>
        <v>5544</v>
      </c>
      <c r="I10" s="23"/>
      <c r="J10" s="21">
        <v>889915</v>
      </c>
      <c r="K10" s="22">
        <f t="shared" ref="K10:K18" si="1">+B10+C10+D10+E10-H10-I10+J10</f>
        <v>1146552</v>
      </c>
      <c r="L10" s="21">
        <v>0</v>
      </c>
      <c r="M10" s="23"/>
      <c r="N10" s="21">
        <v>358134</v>
      </c>
      <c r="O10" s="21">
        <v>0</v>
      </c>
      <c r="P10" s="21">
        <v>326389</v>
      </c>
      <c r="Q10" s="21">
        <v>29614</v>
      </c>
      <c r="R10" s="21">
        <v>0</v>
      </c>
      <c r="S10" s="21">
        <v>432415</v>
      </c>
      <c r="T10" s="22">
        <f t="shared" ref="T10:T18" si="2">SUM(L10:S10)</f>
        <v>1146552</v>
      </c>
    </row>
    <row r="11" spans="1:20" ht="15" customHeight="1" x14ac:dyDescent="0.25">
      <c r="A11" s="18" t="s">
        <v>43</v>
      </c>
      <c r="B11" s="19"/>
      <c r="C11" s="20">
        <v>287241</v>
      </c>
      <c r="D11" s="20">
        <v>18130.21</v>
      </c>
      <c r="E11" s="20">
        <v>29581</v>
      </c>
      <c r="F11" s="21">
        <v>17207.63</v>
      </c>
      <c r="G11" s="20">
        <v>19696.75</v>
      </c>
      <c r="H11" s="22">
        <f t="shared" si="0"/>
        <v>2489.119999999999</v>
      </c>
      <c r="I11" s="23"/>
      <c r="J11" s="21">
        <v>542015</v>
      </c>
      <c r="K11" s="22">
        <f t="shared" si="1"/>
        <v>874478.09000000008</v>
      </c>
      <c r="L11" s="21">
        <v>63</v>
      </c>
      <c r="M11" s="23"/>
      <c r="N11" s="21">
        <v>251843</v>
      </c>
      <c r="O11" s="21">
        <v>0</v>
      </c>
      <c r="P11" s="21">
        <v>259721</v>
      </c>
      <c r="Q11" s="21">
        <v>5224</v>
      </c>
      <c r="R11" s="21">
        <v>25284.09</v>
      </c>
      <c r="S11" s="21">
        <v>332343</v>
      </c>
      <c r="T11" s="22">
        <f t="shared" si="2"/>
        <v>874478.09</v>
      </c>
    </row>
    <row r="12" spans="1:20" ht="15" customHeight="1" x14ac:dyDescent="0.25">
      <c r="A12" s="18" t="s">
        <v>44</v>
      </c>
      <c r="B12" s="19"/>
      <c r="C12" s="20">
        <v>60875.87</v>
      </c>
      <c r="D12" s="20">
        <v>0</v>
      </c>
      <c r="E12" s="20">
        <v>0</v>
      </c>
      <c r="F12" s="21">
        <v>6088.41</v>
      </c>
      <c r="G12" s="20">
        <v>6523.07</v>
      </c>
      <c r="H12" s="22">
        <f t="shared" si="0"/>
        <v>434.65999999999985</v>
      </c>
      <c r="I12" s="23"/>
      <c r="J12" s="21">
        <v>142620</v>
      </c>
      <c r="K12" s="22">
        <f t="shared" si="1"/>
        <v>203061.21000000002</v>
      </c>
      <c r="L12" s="21">
        <v>0</v>
      </c>
      <c r="M12" s="23"/>
      <c r="N12" s="21">
        <v>67258</v>
      </c>
      <c r="O12" s="21">
        <v>0</v>
      </c>
      <c r="P12" s="21">
        <v>3731</v>
      </c>
      <c r="Q12" s="21">
        <v>2469</v>
      </c>
      <c r="R12" s="21">
        <v>0</v>
      </c>
      <c r="S12" s="21">
        <v>129603.21</v>
      </c>
      <c r="T12" s="22">
        <f t="shared" si="2"/>
        <v>203061.21000000002</v>
      </c>
    </row>
    <row r="13" spans="1:20" ht="15" customHeight="1" x14ac:dyDescent="0.25">
      <c r="A13" s="18" t="s">
        <v>45</v>
      </c>
      <c r="B13" s="19"/>
      <c r="C13" s="20">
        <v>119792</v>
      </c>
      <c r="D13" s="20">
        <v>14691</v>
      </c>
      <c r="E13" s="20">
        <v>195146</v>
      </c>
      <c r="F13" s="21">
        <v>18941</v>
      </c>
      <c r="G13" s="20">
        <v>16358</v>
      </c>
      <c r="H13" s="22">
        <f t="shared" si="0"/>
        <v>-2583</v>
      </c>
      <c r="I13" s="23"/>
      <c r="J13" s="21">
        <v>310859</v>
      </c>
      <c r="K13" s="22">
        <f t="shared" si="1"/>
        <v>643071</v>
      </c>
      <c r="L13" s="21">
        <v>190407</v>
      </c>
      <c r="M13" s="23"/>
      <c r="N13" s="21">
        <v>113481</v>
      </c>
      <c r="O13" s="21">
        <v>0</v>
      </c>
      <c r="P13" s="21">
        <v>339183</v>
      </c>
      <c r="Q13" s="21">
        <v>0</v>
      </c>
      <c r="R13" s="21">
        <v>0</v>
      </c>
      <c r="S13" s="21">
        <v>0</v>
      </c>
      <c r="T13" s="22">
        <f t="shared" si="2"/>
        <v>643071</v>
      </c>
    </row>
    <row r="14" spans="1:20" ht="15" customHeight="1" x14ac:dyDescent="0.25">
      <c r="A14" s="18" t="s">
        <v>46</v>
      </c>
      <c r="B14" s="19"/>
      <c r="C14" s="20">
        <v>19390</v>
      </c>
      <c r="D14" s="20">
        <v>0</v>
      </c>
      <c r="E14" s="20">
        <v>0</v>
      </c>
      <c r="F14" s="21">
        <v>3020</v>
      </c>
      <c r="G14" s="20">
        <v>5856</v>
      </c>
      <c r="H14" s="22">
        <f t="shared" si="0"/>
        <v>2836</v>
      </c>
      <c r="I14" s="23"/>
      <c r="J14" s="21">
        <v>11744</v>
      </c>
      <c r="K14" s="22">
        <f t="shared" si="1"/>
        <v>28298</v>
      </c>
      <c r="L14" s="21">
        <v>0</v>
      </c>
      <c r="M14" s="23"/>
      <c r="N14" s="21">
        <v>0</v>
      </c>
      <c r="O14" s="21">
        <v>0</v>
      </c>
      <c r="P14" s="21">
        <v>28298</v>
      </c>
      <c r="Q14" s="21">
        <v>0</v>
      </c>
      <c r="R14" s="21">
        <v>0</v>
      </c>
      <c r="S14" s="21">
        <v>0</v>
      </c>
      <c r="T14" s="22">
        <f t="shared" si="2"/>
        <v>28298</v>
      </c>
    </row>
    <row r="15" spans="1:20" ht="15" customHeight="1" x14ac:dyDescent="0.25">
      <c r="A15" s="18" t="s">
        <v>47</v>
      </c>
      <c r="B15" s="19"/>
      <c r="C15" s="20">
        <v>21458</v>
      </c>
      <c r="D15" s="20">
        <v>0</v>
      </c>
      <c r="E15" s="20">
        <v>0</v>
      </c>
      <c r="F15" s="21">
        <v>41292</v>
      </c>
      <c r="G15" s="20">
        <v>27814</v>
      </c>
      <c r="H15" s="22">
        <f t="shared" si="0"/>
        <v>-13478</v>
      </c>
      <c r="I15" s="23"/>
      <c r="J15" s="21">
        <v>213894</v>
      </c>
      <c r="K15" s="22">
        <f t="shared" si="1"/>
        <v>248830</v>
      </c>
      <c r="L15" s="21">
        <v>37238</v>
      </c>
      <c r="M15" s="23"/>
      <c r="N15" s="21">
        <v>70488</v>
      </c>
      <c r="O15" s="21">
        <v>0</v>
      </c>
      <c r="P15" s="21">
        <v>45693</v>
      </c>
      <c r="Q15" s="21">
        <v>95387</v>
      </c>
      <c r="R15" s="21">
        <v>0</v>
      </c>
      <c r="S15" s="21">
        <v>24</v>
      </c>
      <c r="T15" s="22">
        <f t="shared" si="2"/>
        <v>248830</v>
      </c>
    </row>
    <row r="16" spans="1:20" ht="15" customHeight="1" x14ac:dyDescent="0.25">
      <c r="A16" s="18" t="s">
        <v>48</v>
      </c>
      <c r="B16" s="19"/>
      <c r="C16" s="20"/>
      <c r="D16" s="20"/>
      <c r="E16" s="20"/>
      <c r="F16" s="21"/>
      <c r="G16" s="20"/>
      <c r="H16" s="22">
        <f t="shared" si="0"/>
        <v>0</v>
      </c>
      <c r="I16" s="23"/>
      <c r="J16" s="21"/>
      <c r="K16" s="22">
        <f t="shared" si="1"/>
        <v>0</v>
      </c>
      <c r="L16" s="21"/>
      <c r="M16" s="23"/>
      <c r="N16" s="21"/>
      <c r="O16" s="21"/>
      <c r="P16" s="21"/>
      <c r="Q16" s="21"/>
      <c r="R16" s="21"/>
      <c r="S16" s="21"/>
      <c r="T16" s="22">
        <f t="shared" si="2"/>
        <v>0</v>
      </c>
    </row>
    <row r="17" spans="1:20" ht="15" customHeight="1" x14ac:dyDescent="0.25">
      <c r="A17" s="18" t="s">
        <v>49</v>
      </c>
      <c r="B17" s="19"/>
      <c r="C17" s="20">
        <v>4783</v>
      </c>
      <c r="D17" s="20">
        <v>804</v>
      </c>
      <c r="E17" s="20">
        <v>2421</v>
      </c>
      <c r="F17" s="20">
        <v>33581</v>
      </c>
      <c r="G17" s="20">
        <v>11316</v>
      </c>
      <c r="H17" s="22">
        <f t="shared" si="0"/>
        <v>-22265</v>
      </c>
      <c r="I17" s="23"/>
      <c r="J17" s="21">
        <v>59050</v>
      </c>
      <c r="K17" s="22">
        <f t="shared" si="1"/>
        <v>89323</v>
      </c>
      <c r="L17" s="21">
        <v>21935</v>
      </c>
      <c r="M17" s="23"/>
      <c r="N17" s="21">
        <v>21625</v>
      </c>
      <c r="O17" s="21">
        <v>0</v>
      </c>
      <c r="P17" s="21">
        <v>24280</v>
      </c>
      <c r="Q17" s="21">
        <v>21483</v>
      </c>
      <c r="R17" s="21">
        <v>0</v>
      </c>
      <c r="S17" s="21">
        <v>0</v>
      </c>
      <c r="T17" s="22">
        <f t="shared" si="2"/>
        <v>89323</v>
      </c>
    </row>
    <row r="18" spans="1:20" ht="15" customHeight="1" x14ac:dyDescent="0.25">
      <c r="A18" s="18" t="s">
        <v>50</v>
      </c>
      <c r="B18" s="19"/>
      <c r="C18" s="20">
        <v>0</v>
      </c>
      <c r="D18" s="20">
        <v>0</v>
      </c>
      <c r="E18" s="20">
        <v>391</v>
      </c>
      <c r="F18" s="20">
        <v>30017</v>
      </c>
      <c r="G18" s="20">
        <v>20791</v>
      </c>
      <c r="H18" s="22">
        <f t="shared" si="0"/>
        <v>-9226</v>
      </c>
      <c r="I18" s="23"/>
      <c r="J18" s="21">
        <v>424092.49</v>
      </c>
      <c r="K18" s="22">
        <f t="shared" si="1"/>
        <v>433709.49</v>
      </c>
      <c r="L18" s="21">
        <v>0</v>
      </c>
      <c r="M18" s="23"/>
      <c r="N18" s="21">
        <v>0</v>
      </c>
      <c r="O18" s="21">
        <v>0</v>
      </c>
      <c r="P18" s="21">
        <v>287540.51</v>
      </c>
      <c r="Q18" s="21">
        <v>146168.98000000001</v>
      </c>
      <c r="R18" s="21">
        <v>0</v>
      </c>
      <c r="S18" s="21">
        <v>0</v>
      </c>
      <c r="T18" s="22">
        <f t="shared" si="2"/>
        <v>433709.49</v>
      </c>
    </row>
    <row r="19" spans="1:20" ht="15" customHeight="1" x14ac:dyDescent="0.25">
      <c r="A19" s="24" t="s">
        <v>51</v>
      </c>
      <c r="B19" s="35">
        <f t="shared" ref="B19:T19" si="3">SUM(B10:B18)</f>
        <v>0</v>
      </c>
      <c r="C19" s="43">
        <f t="shared" si="3"/>
        <v>768429.87</v>
      </c>
      <c r="D19" s="43">
        <f t="shared" si="3"/>
        <v>38505.21</v>
      </c>
      <c r="E19" s="43">
        <f t="shared" si="3"/>
        <v>229950</v>
      </c>
      <c r="F19" s="43">
        <f t="shared" si="3"/>
        <v>163901.04</v>
      </c>
      <c r="G19" s="43">
        <f t="shared" si="3"/>
        <v>127652.82</v>
      </c>
      <c r="H19" s="42">
        <f t="shared" si="3"/>
        <v>-36248.22</v>
      </c>
      <c r="I19" s="43">
        <f t="shared" si="3"/>
        <v>0</v>
      </c>
      <c r="J19" s="44">
        <f t="shared" si="3"/>
        <v>2594189.4900000002</v>
      </c>
      <c r="K19" s="42">
        <f t="shared" si="3"/>
        <v>3667322.79</v>
      </c>
      <c r="L19" s="42">
        <f t="shared" si="3"/>
        <v>249643</v>
      </c>
      <c r="M19" s="42">
        <f t="shared" si="3"/>
        <v>0</v>
      </c>
      <c r="N19" s="43">
        <f t="shared" si="3"/>
        <v>882829</v>
      </c>
      <c r="O19" s="43">
        <f t="shared" si="3"/>
        <v>0</v>
      </c>
      <c r="P19" s="43">
        <f t="shared" si="3"/>
        <v>1314835.51</v>
      </c>
      <c r="Q19" s="43">
        <f t="shared" si="3"/>
        <v>300345.98</v>
      </c>
      <c r="R19" s="43">
        <f t="shared" si="3"/>
        <v>25284.09</v>
      </c>
      <c r="S19" s="43">
        <f t="shared" si="3"/>
        <v>894385.21</v>
      </c>
      <c r="T19" s="42">
        <f t="shared" si="3"/>
        <v>3667322.79</v>
      </c>
    </row>
    <row r="23" spans="1:20" ht="15" customHeight="1" x14ac:dyDescent="0.25">
      <c r="F23" s="90" t="s">
        <v>52</v>
      </c>
      <c r="G23" s="90"/>
      <c r="H23" s="90"/>
      <c r="I23" s="1">
        <f>+(semilavorati!I29)-(semilavorati!J29+monomeri!J19)</f>
        <v>13040.379999999888</v>
      </c>
    </row>
  </sheetData>
  <sheetProtection selectLockedCells="1" selectUnlockedCells="1"/>
  <mergeCells count="27">
    <mergeCell ref="F23:H23"/>
    <mergeCell ref="T6:T8"/>
    <mergeCell ref="N6:N8"/>
    <mergeCell ref="O6:O8"/>
    <mergeCell ref="P6:P8"/>
    <mergeCell ref="Q6:Q8"/>
    <mergeCell ref="R6:R8"/>
    <mergeCell ref="S6:S8"/>
    <mergeCell ref="M6:M8"/>
    <mergeCell ref="G6:G8"/>
    <mergeCell ref="H6:H8"/>
    <mergeCell ref="I6:I8"/>
    <mergeCell ref="J6:J8"/>
    <mergeCell ref="K6:K8"/>
    <mergeCell ref="L6:L8"/>
    <mergeCell ref="B6:B8"/>
    <mergeCell ref="C6:C8"/>
    <mergeCell ref="D6:D8"/>
    <mergeCell ref="E6:E8"/>
    <mergeCell ref="F6:F8"/>
    <mergeCell ref="B5:K5"/>
    <mergeCell ref="L5:T5"/>
    <mergeCell ref="B1:R1"/>
    <mergeCell ref="S1:T1"/>
    <mergeCell ref="B2:R2"/>
    <mergeCell ref="B3:R3"/>
    <mergeCell ref="B4:R4"/>
  </mergeCells>
  <pageMargins left="0.70866141732283472" right="0.70866141732283472" top="0.74803149606299213" bottom="0.74803149606299213" header="0.51181102362204722" footer="0.51181102362204722"/>
  <pageSetup paperSize="9" scale="5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B1"/>
    </sheetView>
  </sheetViews>
  <sheetFormatPr defaultRowHeight="15" x14ac:dyDescent="0.25"/>
  <cols>
    <col min="1" max="1" width="17.140625" customWidth="1"/>
    <col min="2" max="2" width="35.7109375" customWidth="1"/>
    <col min="3" max="4" width="9.7109375" customWidth="1"/>
    <col min="257" max="257" width="17.140625" customWidth="1"/>
    <col min="258" max="258" width="35.7109375" customWidth="1"/>
    <col min="259" max="260" width="9.7109375" customWidth="1"/>
    <col min="513" max="513" width="17.140625" customWidth="1"/>
    <col min="514" max="514" width="35.7109375" customWidth="1"/>
    <col min="515" max="516" width="9.7109375" customWidth="1"/>
    <col min="769" max="769" width="17.140625" customWidth="1"/>
    <col min="770" max="770" width="35.7109375" customWidth="1"/>
    <col min="771" max="772" width="9.7109375" customWidth="1"/>
    <col min="1025" max="1025" width="17.140625" customWidth="1"/>
    <col min="1026" max="1026" width="35.7109375" customWidth="1"/>
    <col min="1027" max="1028" width="9.7109375" customWidth="1"/>
    <col min="1281" max="1281" width="17.140625" customWidth="1"/>
    <col min="1282" max="1282" width="35.7109375" customWidth="1"/>
    <col min="1283" max="1284" width="9.7109375" customWidth="1"/>
    <col min="1537" max="1537" width="17.140625" customWidth="1"/>
    <col min="1538" max="1538" width="35.7109375" customWidth="1"/>
    <col min="1539" max="1540" width="9.7109375" customWidth="1"/>
    <col min="1793" max="1793" width="17.140625" customWidth="1"/>
    <col min="1794" max="1794" width="35.7109375" customWidth="1"/>
    <col min="1795" max="1796" width="9.7109375" customWidth="1"/>
    <col min="2049" max="2049" width="17.140625" customWidth="1"/>
    <col min="2050" max="2050" width="35.7109375" customWidth="1"/>
    <col min="2051" max="2052" width="9.7109375" customWidth="1"/>
    <col min="2305" max="2305" width="17.140625" customWidth="1"/>
    <col min="2306" max="2306" width="35.7109375" customWidth="1"/>
    <col min="2307" max="2308" width="9.7109375" customWidth="1"/>
    <col min="2561" max="2561" width="17.140625" customWidth="1"/>
    <col min="2562" max="2562" width="35.7109375" customWidth="1"/>
    <col min="2563" max="2564" width="9.7109375" customWidth="1"/>
    <col min="2817" max="2817" width="17.140625" customWidth="1"/>
    <col min="2818" max="2818" width="35.7109375" customWidth="1"/>
    <col min="2819" max="2820" width="9.7109375" customWidth="1"/>
    <col min="3073" max="3073" width="17.140625" customWidth="1"/>
    <col min="3074" max="3074" width="35.7109375" customWidth="1"/>
    <col min="3075" max="3076" width="9.7109375" customWidth="1"/>
    <col min="3329" max="3329" width="17.140625" customWidth="1"/>
    <col min="3330" max="3330" width="35.7109375" customWidth="1"/>
    <col min="3331" max="3332" width="9.7109375" customWidth="1"/>
    <col min="3585" max="3585" width="17.140625" customWidth="1"/>
    <col min="3586" max="3586" width="35.7109375" customWidth="1"/>
    <col min="3587" max="3588" width="9.7109375" customWidth="1"/>
    <col min="3841" max="3841" width="17.140625" customWidth="1"/>
    <col min="3842" max="3842" width="35.7109375" customWidth="1"/>
    <col min="3843" max="3844" width="9.7109375" customWidth="1"/>
    <col min="4097" max="4097" width="17.140625" customWidth="1"/>
    <col min="4098" max="4098" width="35.7109375" customWidth="1"/>
    <col min="4099" max="4100" width="9.7109375" customWidth="1"/>
    <col min="4353" max="4353" width="17.140625" customWidth="1"/>
    <col min="4354" max="4354" width="35.7109375" customWidth="1"/>
    <col min="4355" max="4356" width="9.7109375" customWidth="1"/>
    <col min="4609" max="4609" width="17.140625" customWidth="1"/>
    <col min="4610" max="4610" width="35.7109375" customWidth="1"/>
    <col min="4611" max="4612" width="9.7109375" customWidth="1"/>
    <col min="4865" max="4865" width="17.140625" customWidth="1"/>
    <col min="4866" max="4866" width="35.7109375" customWidth="1"/>
    <col min="4867" max="4868" width="9.7109375" customWidth="1"/>
    <col min="5121" max="5121" width="17.140625" customWidth="1"/>
    <col min="5122" max="5122" width="35.7109375" customWidth="1"/>
    <col min="5123" max="5124" width="9.7109375" customWidth="1"/>
    <col min="5377" max="5377" width="17.140625" customWidth="1"/>
    <col min="5378" max="5378" width="35.7109375" customWidth="1"/>
    <col min="5379" max="5380" width="9.7109375" customWidth="1"/>
    <col min="5633" max="5633" width="17.140625" customWidth="1"/>
    <col min="5634" max="5634" width="35.7109375" customWidth="1"/>
    <col min="5635" max="5636" width="9.7109375" customWidth="1"/>
    <col min="5889" max="5889" width="17.140625" customWidth="1"/>
    <col min="5890" max="5890" width="35.7109375" customWidth="1"/>
    <col min="5891" max="5892" width="9.7109375" customWidth="1"/>
    <col min="6145" max="6145" width="17.140625" customWidth="1"/>
    <col min="6146" max="6146" width="35.7109375" customWidth="1"/>
    <col min="6147" max="6148" width="9.7109375" customWidth="1"/>
    <col min="6401" max="6401" width="17.140625" customWidth="1"/>
    <col min="6402" max="6402" width="35.7109375" customWidth="1"/>
    <col min="6403" max="6404" width="9.7109375" customWidth="1"/>
    <col min="6657" max="6657" width="17.140625" customWidth="1"/>
    <col min="6658" max="6658" width="35.7109375" customWidth="1"/>
    <col min="6659" max="6660" width="9.7109375" customWidth="1"/>
    <col min="6913" max="6913" width="17.140625" customWidth="1"/>
    <col min="6914" max="6914" width="35.7109375" customWidth="1"/>
    <col min="6915" max="6916" width="9.7109375" customWidth="1"/>
    <col min="7169" max="7169" width="17.140625" customWidth="1"/>
    <col min="7170" max="7170" width="35.7109375" customWidth="1"/>
    <col min="7171" max="7172" width="9.7109375" customWidth="1"/>
    <col min="7425" max="7425" width="17.140625" customWidth="1"/>
    <col min="7426" max="7426" width="35.7109375" customWidth="1"/>
    <col min="7427" max="7428" width="9.7109375" customWidth="1"/>
    <col min="7681" max="7681" width="17.140625" customWidth="1"/>
    <col min="7682" max="7682" width="35.7109375" customWidth="1"/>
    <col min="7683" max="7684" width="9.7109375" customWidth="1"/>
    <col min="7937" max="7937" width="17.140625" customWidth="1"/>
    <col min="7938" max="7938" width="35.7109375" customWidth="1"/>
    <col min="7939" max="7940" width="9.7109375" customWidth="1"/>
    <col min="8193" max="8193" width="17.140625" customWidth="1"/>
    <col min="8194" max="8194" width="35.7109375" customWidth="1"/>
    <col min="8195" max="8196" width="9.7109375" customWidth="1"/>
    <col min="8449" max="8449" width="17.140625" customWidth="1"/>
    <col min="8450" max="8450" width="35.7109375" customWidth="1"/>
    <col min="8451" max="8452" width="9.7109375" customWidth="1"/>
    <col min="8705" max="8705" width="17.140625" customWidth="1"/>
    <col min="8706" max="8706" width="35.7109375" customWidth="1"/>
    <col min="8707" max="8708" width="9.7109375" customWidth="1"/>
    <col min="8961" max="8961" width="17.140625" customWidth="1"/>
    <col min="8962" max="8962" width="35.7109375" customWidth="1"/>
    <col min="8963" max="8964" width="9.7109375" customWidth="1"/>
    <col min="9217" max="9217" width="17.140625" customWidth="1"/>
    <col min="9218" max="9218" width="35.7109375" customWidth="1"/>
    <col min="9219" max="9220" width="9.7109375" customWidth="1"/>
    <col min="9473" max="9473" width="17.140625" customWidth="1"/>
    <col min="9474" max="9474" width="35.7109375" customWidth="1"/>
    <col min="9475" max="9476" width="9.7109375" customWidth="1"/>
    <col min="9729" max="9729" width="17.140625" customWidth="1"/>
    <col min="9730" max="9730" width="35.7109375" customWidth="1"/>
    <col min="9731" max="9732" width="9.7109375" customWidth="1"/>
    <col min="9985" max="9985" width="17.140625" customWidth="1"/>
    <col min="9986" max="9986" width="35.7109375" customWidth="1"/>
    <col min="9987" max="9988" width="9.7109375" customWidth="1"/>
    <col min="10241" max="10241" width="17.140625" customWidth="1"/>
    <col min="10242" max="10242" width="35.7109375" customWidth="1"/>
    <col min="10243" max="10244" width="9.7109375" customWidth="1"/>
    <col min="10497" max="10497" width="17.140625" customWidth="1"/>
    <col min="10498" max="10498" width="35.7109375" customWidth="1"/>
    <col min="10499" max="10500" width="9.7109375" customWidth="1"/>
    <col min="10753" max="10753" width="17.140625" customWidth="1"/>
    <col min="10754" max="10754" width="35.7109375" customWidth="1"/>
    <col min="10755" max="10756" width="9.7109375" customWidth="1"/>
    <col min="11009" max="11009" width="17.140625" customWidth="1"/>
    <col min="11010" max="11010" width="35.7109375" customWidth="1"/>
    <col min="11011" max="11012" width="9.7109375" customWidth="1"/>
    <col min="11265" max="11265" width="17.140625" customWidth="1"/>
    <col min="11266" max="11266" width="35.7109375" customWidth="1"/>
    <col min="11267" max="11268" width="9.7109375" customWidth="1"/>
    <col min="11521" max="11521" width="17.140625" customWidth="1"/>
    <col min="11522" max="11522" width="35.7109375" customWidth="1"/>
    <col min="11523" max="11524" width="9.7109375" customWidth="1"/>
    <col min="11777" max="11777" width="17.140625" customWidth="1"/>
    <col min="11778" max="11778" width="35.7109375" customWidth="1"/>
    <col min="11779" max="11780" width="9.7109375" customWidth="1"/>
    <col min="12033" max="12033" width="17.140625" customWidth="1"/>
    <col min="12034" max="12034" width="35.7109375" customWidth="1"/>
    <col min="12035" max="12036" width="9.7109375" customWidth="1"/>
    <col min="12289" max="12289" width="17.140625" customWidth="1"/>
    <col min="12290" max="12290" width="35.7109375" customWidth="1"/>
    <col min="12291" max="12292" width="9.7109375" customWidth="1"/>
    <col min="12545" max="12545" width="17.140625" customWidth="1"/>
    <col min="12546" max="12546" width="35.7109375" customWidth="1"/>
    <col min="12547" max="12548" width="9.7109375" customWidth="1"/>
    <col min="12801" max="12801" width="17.140625" customWidth="1"/>
    <col min="12802" max="12802" width="35.7109375" customWidth="1"/>
    <col min="12803" max="12804" width="9.7109375" customWidth="1"/>
    <col min="13057" max="13057" width="17.140625" customWidth="1"/>
    <col min="13058" max="13058" width="35.7109375" customWidth="1"/>
    <col min="13059" max="13060" width="9.7109375" customWidth="1"/>
    <col min="13313" max="13313" width="17.140625" customWidth="1"/>
    <col min="13314" max="13314" width="35.7109375" customWidth="1"/>
    <col min="13315" max="13316" width="9.7109375" customWidth="1"/>
    <col min="13569" max="13569" width="17.140625" customWidth="1"/>
    <col min="13570" max="13570" width="35.7109375" customWidth="1"/>
    <col min="13571" max="13572" width="9.7109375" customWidth="1"/>
    <col min="13825" max="13825" width="17.140625" customWidth="1"/>
    <col min="13826" max="13826" width="35.7109375" customWidth="1"/>
    <col min="13827" max="13828" width="9.7109375" customWidth="1"/>
    <col min="14081" max="14081" width="17.140625" customWidth="1"/>
    <col min="14082" max="14082" width="35.7109375" customWidth="1"/>
    <col min="14083" max="14084" width="9.7109375" customWidth="1"/>
    <col min="14337" max="14337" width="17.140625" customWidth="1"/>
    <col min="14338" max="14338" width="35.7109375" customWidth="1"/>
    <col min="14339" max="14340" width="9.7109375" customWidth="1"/>
    <col min="14593" max="14593" width="17.140625" customWidth="1"/>
    <col min="14594" max="14594" width="35.7109375" customWidth="1"/>
    <col min="14595" max="14596" width="9.7109375" customWidth="1"/>
    <col min="14849" max="14849" width="17.140625" customWidth="1"/>
    <col min="14850" max="14850" width="35.7109375" customWidth="1"/>
    <col min="14851" max="14852" width="9.7109375" customWidth="1"/>
    <col min="15105" max="15105" width="17.140625" customWidth="1"/>
    <col min="15106" max="15106" width="35.7109375" customWidth="1"/>
    <col min="15107" max="15108" width="9.7109375" customWidth="1"/>
    <col min="15361" max="15361" width="17.140625" customWidth="1"/>
    <col min="15362" max="15362" width="35.7109375" customWidth="1"/>
    <col min="15363" max="15364" width="9.7109375" customWidth="1"/>
    <col min="15617" max="15617" width="17.140625" customWidth="1"/>
    <col min="15618" max="15618" width="35.7109375" customWidth="1"/>
    <col min="15619" max="15620" width="9.7109375" customWidth="1"/>
    <col min="15873" max="15873" width="17.140625" customWidth="1"/>
    <col min="15874" max="15874" width="35.7109375" customWidth="1"/>
    <col min="15875" max="15876" width="9.7109375" customWidth="1"/>
    <col min="16129" max="16129" width="17.140625" customWidth="1"/>
    <col min="16130" max="16130" width="35.7109375" customWidth="1"/>
    <col min="16131" max="16132" width="9.7109375" customWidth="1"/>
  </cols>
  <sheetData>
    <row r="1" spans="1:4" ht="15" customHeight="1" x14ac:dyDescent="0.25">
      <c r="A1" s="91" t="s">
        <v>62</v>
      </c>
      <c r="B1" s="91"/>
      <c r="C1" s="47" t="s">
        <v>63</v>
      </c>
      <c r="D1" s="48">
        <v>561084</v>
      </c>
    </row>
    <row r="2" spans="1:4" ht="15" customHeight="1" x14ac:dyDescent="0.25">
      <c r="A2" s="91" t="s">
        <v>64</v>
      </c>
      <c r="B2" s="91"/>
      <c r="C2" s="47" t="s">
        <v>65</v>
      </c>
      <c r="D2" s="48">
        <v>410284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selection activeCell="E4" sqref="E4"/>
    </sheetView>
  </sheetViews>
  <sheetFormatPr defaultRowHeight="15" x14ac:dyDescent="0.25"/>
  <cols>
    <col min="1" max="2" width="30.7109375" style="47" customWidth="1"/>
    <col min="3" max="3" width="15.7109375" style="47" customWidth="1"/>
    <col min="256" max="257" width="41.42578125" customWidth="1"/>
    <col min="258" max="258" width="47.7109375" customWidth="1"/>
    <col min="259" max="259" width="16.85546875" customWidth="1"/>
    <col min="512" max="513" width="41.42578125" customWidth="1"/>
    <col min="514" max="514" width="47.7109375" customWidth="1"/>
    <col min="515" max="515" width="16.85546875" customWidth="1"/>
    <col min="768" max="769" width="41.42578125" customWidth="1"/>
    <col min="770" max="770" width="47.7109375" customWidth="1"/>
    <col min="771" max="771" width="16.85546875" customWidth="1"/>
    <col min="1024" max="1025" width="41.42578125" customWidth="1"/>
    <col min="1026" max="1026" width="47.7109375" customWidth="1"/>
    <col min="1027" max="1027" width="16.85546875" customWidth="1"/>
    <col min="1280" max="1281" width="41.42578125" customWidth="1"/>
    <col min="1282" max="1282" width="47.7109375" customWidth="1"/>
    <col min="1283" max="1283" width="16.85546875" customWidth="1"/>
    <col min="1536" max="1537" width="41.42578125" customWidth="1"/>
    <col min="1538" max="1538" width="47.7109375" customWidth="1"/>
    <col min="1539" max="1539" width="16.85546875" customWidth="1"/>
    <col min="1792" max="1793" width="41.42578125" customWidth="1"/>
    <col min="1794" max="1794" width="47.7109375" customWidth="1"/>
    <col min="1795" max="1795" width="16.85546875" customWidth="1"/>
    <col min="2048" max="2049" width="41.42578125" customWidth="1"/>
    <col min="2050" max="2050" width="47.7109375" customWidth="1"/>
    <col min="2051" max="2051" width="16.85546875" customWidth="1"/>
    <col min="2304" max="2305" width="41.42578125" customWidth="1"/>
    <col min="2306" max="2306" width="47.7109375" customWidth="1"/>
    <col min="2307" max="2307" width="16.85546875" customWidth="1"/>
    <col min="2560" max="2561" width="41.42578125" customWidth="1"/>
    <col min="2562" max="2562" width="47.7109375" customWidth="1"/>
    <col min="2563" max="2563" width="16.85546875" customWidth="1"/>
    <col min="2816" max="2817" width="41.42578125" customWidth="1"/>
    <col min="2818" max="2818" width="47.7109375" customWidth="1"/>
    <col min="2819" max="2819" width="16.85546875" customWidth="1"/>
    <col min="3072" max="3073" width="41.42578125" customWidth="1"/>
    <col min="3074" max="3074" width="47.7109375" customWidth="1"/>
    <col min="3075" max="3075" width="16.85546875" customWidth="1"/>
    <col min="3328" max="3329" width="41.42578125" customWidth="1"/>
    <col min="3330" max="3330" width="47.7109375" customWidth="1"/>
    <col min="3331" max="3331" width="16.85546875" customWidth="1"/>
    <col min="3584" max="3585" width="41.42578125" customWidth="1"/>
    <col min="3586" max="3586" width="47.7109375" customWidth="1"/>
    <col min="3587" max="3587" width="16.85546875" customWidth="1"/>
    <col min="3840" max="3841" width="41.42578125" customWidth="1"/>
    <col min="3842" max="3842" width="47.7109375" customWidth="1"/>
    <col min="3843" max="3843" width="16.85546875" customWidth="1"/>
    <col min="4096" max="4097" width="41.42578125" customWidth="1"/>
    <col min="4098" max="4098" width="47.7109375" customWidth="1"/>
    <col min="4099" max="4099" width="16.85546875" customWidth="1"/>
    <col min="4352" max="4353" width="41.42578125" customWidth="1"/>
    <col min="4354" max="4354" width="47.7109375" customWidth="1"/>
    <col min="4355" max="4355" width="16.85546875" customWidth="1"/>
    <col min="4608" max="4609" width="41.42578125" customWidth="1"/>
    <col min="4610" max="4610" width="47.7109375" customWidth="1"/>
    <col min="4611" max="4611" width="16.85546875" customWidth="1"/>
    <col min="4864" max="4865" width="41.42578125" customWidth="1"/>
    <col min="4866" max="4866" width="47.7109375" customWidth="1"/>
    <col min="4867" max="4867" width="16.85546875" customWidth="1"/>
    <col min="5120" max="5121" width="41.42578125" customWidth="1"/>
    <col min="5122" max="5122" width="47.7109375" customWidth="1"/>
    <col min="5123" max="5123" width="16.85546875" customWidth="1"/>
    <col min="5376" max="5377" width="41.42578125" customWidth="1"/>
    <col min="5378" max="5378" width="47.7109375" customWidth="1"/>
    <col min="5379" max="5379" width="16.85546875" customWidth="1"/>
    <col min="5632" max="5633" width="41.42578125" customWidth="1"/>
    <col min="5634" max="5634" width="47.7109375" customWidth="1"/>
    <col min="5635" max="5635" width="16.85546875" customWidth="1"/>
    <col min="5888" max="5889" width="41.42578125" customWidth="1"/>
    <col min="5890" max="5890" width="47.7109375" customWidth="1"/>
    <col min="5891" max="5891" width="16.85546875" customWidth="1"/>
    <col min="6144" max="6145" width="41.42578125" customWidth="1"/>
    <col min="6146" max="6146" width="47.7109375" customWidth="1"/>
    <col min="6147" max="6147" width="16.85546875" customWidth="1"/>
    <col min="6400" max="6401" width="41.42578125" customWidth="1"/>
    <col min="6402" max="6402" width="47.7109375" customWidth="1"/>
    <col min="6403" max="6403" width="16.85546875" customWidth="1"/>
    <col min="6656" max="6657" width="41.42578125" customWidth="1"/>
    <col min="6658" max="6658" width="47.7109375" customWidth="1"/>
    <col min="6659" max="6659" width="16.85546875" customWidth="1"/>
    <col min="6912" max="6913" width="41.42578125" customWidth="1"/>
    <col min="6914" max="6914" width="47.7109375" customWidth="1"/>
    <col min="6915" max="6915" width="16.85546875" customWidth="1"/>
    <col min="7168" max="7169" width="41.42578125" customWidth="1"/>
    <col min="7170" max="7170" width="47.7109375" customWidth="1"/>
    <col min="7171" max="7171" width="16.85546875" customWidth="1"/>
    <col min="7424" max="7425" width="41.42578125" customWidth="1"/>
    <col min="7426" max="7426" width="47.7109375" customWidth="1"/>
    <col min="7427" max="7427" width="16.85546875" customWidth="1"/>
    <col min="7680" max="7681" width="41.42578125" customWidth="1"/>
    <col min="7682" max="7682" width="47.7109375" customWidth="1"/>
    <col min="7683" max="7683" width="16.85546875" customWidth="1"/>
    <col min="7936" max="7937" width="41.42578125" customWidth="1"/>
    <col min="7938" max="7938" width="47.7109375" customWidth="1"/>
    <col min="7939" max="7939" width="16.85546875" customWidth="1"/>
    <col min="8192" max="8193" width="41.42578125" customWidth="1"/>
    <col min="8194" max="8194" width="47.7109375" customWidth="1"/>
    <col min="8195" max="8195" width="16.85546875" customWidth="1"/>
    <col min="8448" max="8449" width="41.42578125" customWidth="1"/>
    <col min="8450" max="8450" width="47.7109375" customWidth="1"/>
    <col min="8451" max="8451" width="16.85546875" customWidth="1"/>
    <col min="8704" max="8705" width="41.42578125" customWidth="1"/>
    <col min="8706" max="8706" width="47.7109375" customWidth="1"/>
    <col min="8707" max="8707" width="16.85546875" customWidth="1"/>
    <col min="8960" max="8961" width="41.42578125" customWidth="1"/>
    <col min="8962" max="8962" width="47.7109375" customWidth="1"/>
    <col min="8963" max="8963" width="16.85546875" customWidth="1"/>
    <col min="9216" max="9217" width="41.42578125" customWidth="1"/>
    <col min="9218" max="9218" width="47.7109375" customWidth="1"/>
    <col min="9219" max="9219" width="16.85546875" customWidth="1"/>
    <col min="9472" max="9473" width="41.42578125" customWidth="1"/>
    <col min="9474" max="9474" width="47.7109375" customWidth="1"/>
    <col min="9475" max="9475" width="16.85546875" customWidth="1"/>
    <col min="9728" max="9729" width="41.42578125" customWidth="1"/>
    <col min="9730" max="9730" width="47.7109375" customWidth="1"/>
    <col min="9731" max="9731" width="16.85546875" customWidth="1"/>
    <col min="9984" max="9985" width="41.42578125" customWidth="1"/>
    <col min="9986" max="9986" width="47.7109375" customWidth="1"/>
    <col min="9987" max="9987" width="16.85546875" customWidth="1"/>
    <col min="10240" max="10241" width="41.42578125" customWidth="1"/>
    <col min="10242" max="10242" width="47.7109375" customWidth="1"/>
    <col min="10243" max="10243" width="16.85546875" customWidth="1"/>
    <col min="10496" max="10497" width="41.42578125" customWidth="1"/>
    <col min="10498" max="10498" width="47.7109375" customWidth="1"/>
    <col min="10499" max="10499" width="16.85546875" customWidth="1"/>
    <col min="10752" max="10753" width="41.42578125" customWidth="1"/>
    <col min="10754" max="10754" width="47.7109375" customWidth="1"/>
    <col min="10755" max="10755" width="16.85546875" customWidth="1"/>
    <col min="11008" max="11009" width="41.42578125" customWidth="1"/>
    <col min="11010" max="11010" width="47.7109375" customWidth="1"/>
    <col min="11011" max="11011" width="16.85546875" customWidth="1"/>
    <col min="11264" max="11265" width="41.42578125" customWidth="1"/>
    <col min="11266" max="11266" width="47.7109375" customWidth="1"/>
    <col min="11267" max="11267" width="16.85546875" customWidth="1"/>
    <col min="11520" max="11521" width="41.42578125" customWidth="1"/>
    <col min="11522" max="11522" width="47.7109375" customWidth="1"/>
    <col min="11523" max="11523" width="16.85546875" customWidth="1"/>
    <col min="11776" max="11777" width="41.42578125" customWidth="1"/>
    <col min="11778" max="11778" width="47.7109375" customWidth="1"/>
    <col min="11779" max="11779" width="16.85546875" customWidth="1"/>
    <col min="12032" max="12033" width="41.42578125" customWidth="1"/>
    <col min="12034" max="12034" width="47.7109375" customWidth="1"/>
    <col min="12035" max="12035" width="16.85546875" customWidth="1"/>
    <col min="12288" max="12289" width="41.42578125" customWidth="1"/>
    <col min="12290" max="12290" width="47.7109375" customWidth="1"/>
    <col min="12291" max="12291" width="16.85546875" customWidth="1"/>
    <col min="12544" max="12545" width="41.42578125" customWidth="1"/>
    <col min="12546" max="12546" width="47.7109375" customWidth="1"/>
    <col min="12547" max="12547" width="16.85546875" customWidth="1"/>
    <col min="12800" max="12801" width="41.42578125" customWidth="1"/>
    <col min="12802" max="12802" width="47.7109375" customWidth="1"/>
    <col min="12803" max="12803" width="16.85546875" customWidth="1"/>
    <col min="13056" max="13057" width="41.42578125" customWidth="1"/>
    <col min="13058" max="13058" width="47.7109375" customWidth="1"/>
    <col min="13059" max="13059" width="16.85546875" customWidth="1"/>
    <col min="13312" max="13313" width="41.42578125" customWidth="1"/>
    <col min="13314" max="13314" width="47.7109375" customWidth="1"/>
    <col min="13315" max="13315" width="16.85546875" customWidth="1"/>
    <col min="13568" max="13569" width="41.42578125" customWidth="1"/>
    <col min="13570" max="13570" width="47.7109375" customWidth="1"/>
    <col min="13571" max="13571" width="16.85546875" customWidth="1"/>
    <col min="13824" max="13825" width="41.42578125" customWidth="1"/>
    <col min="13826" max="13826" width="47.7109375" customWidth="1"/>
    <col min="13827" max="13827" width="16.85546875" customWidth="1"/>
    <col min="14080" max="14081" width="41.42578125" customWidth="1"/>
    <col min="14082" max="14082" width="47.7109375" customWidth="1"/>
    <col min="14083" max="14083" width="16.85546875" customWidth="1"/>
    <col min="14336" max="14337" width="41.42578125" customWidth="1"/>
    <col min="14338" max="14338" width="47.7109375" customWidth="1"/>
    <col min="14339" max="14339" width="16.85546875" customWidth="1"/>
    <col min="14592" max="14593" width="41.42578125" customWidth="1"/>
    <col min="14594" max="14594" width="47.7109375" customWidth="1"/>
    <col min="14595" max="14595" width="16.85546875" customWidth="1"/>
    <col min="14848" max="14849" width="41.42578125" customWidth="1"/>
    <col min="14850" max="14850" width="47.7109375" customWidth="1"/>
    <col min="14851" max="14851" width="16.85546875" customWidth="1"/>
    <col min="15104" max="15105" width="41.42578125" customWidth="1"/>
    <col min="15106" max="15106" width="47.7109375" customWidth="1"/>
    <col min="15107" max="15107" width="16.85546875" customWidth="1"/>
    <col min="15360" max="15361" width="41.42578125" customWidth="1"/>
    <col min="15362" max="15362" width="47.7109375" customWidth="1"/>
    <col min="15363" max="15363" width="16.85546875" customWidth="1"/>
    <col min="15616" max="15617" width="41.42578125" customWidth="1"/>
    <col min="15618" max="15618" width="47.7109375" customWidth="1"/>
    <col min="15619" max="15619" width="16.85546875" customWidth="1"/>
    <col min="15872" max="15873" width="41.42578125" customWidth="1"/>
    <col min="15874" max="15874" width="47.7109375" customWidth="1"/>
    <col min="15875" max="15875" width="16.85546875" customWidth="1"/>
    <col min="16128" max="16129" width="41.42578125" customWidth="1"/>
    <col min="16130" max="16130" width="47.7109375" customWidth="1"/>
    <col min="16131" max="16131" width="16.85546875" customWidth="1"/>
  </cols>
  <sheetData>
    <row r="1" spans="1:7" ht="15.75" customHeight="1" x14ac:dyDescent="0.25">
      <c r="A1" s="50"/>
      <c r="B1" s="50" t="s">
        <v>66</v>
      </c>
      <c r="C1" s="50"/>
    </row>
    <row r="2" spans="1:7" ht="15.75" customHeight="1" x14ac:dyDescent="0.25">
      <c r="A2" s="51"/>
      <c r="B2" s="51" t="s">
        <v>124</v>
      </c>
      <c r="C2" s="51"/>
    </row>
    <row r="3" spans="1:7" ht="15.75" customHeight="1" x14ac:dyDescent="0.25">
      <c r="A3" s="51"/>
      <c r="B3" s="51"/>
      <c r="C3" s="51"/>
    </row>
    <row r="4" spans="1:7" ht="30" customHeight="1" x14ac:dyDescent="0.25">
      <c r="A4" s="52"/>
      <c r="B4" s="51" t="s">
        <v>127</v>
      </c>
      <c r="C4" s="52"/>
    </row>
    <row r="5" spans="1:7" ht="12.75" customHeight="1" x14ac:dyDescent="0.25">
      <c r="A5" s="51"/>
      <c r="B5" s="51"/>
      <c r="C5" s="51"/>
    </row>
    <row r="6" spans="1:7" ht="15.75" customHeight="1" x14ac:dyDescent="0.25">
      <c r="A6" s="51"/>
      <c r="B6" s="51"/>
      <c r="C6" s="51"/>
    </row>
    <row r="7" spans="1:7" ht="15.75" customHeight="1" x14ac:dyDescent="0.25">
      <c r="A7" s="51"/>
      <c r="B7" s="51"/>
      <c r="C7" s="51"/>
    </row>
    <row r="8" spans="1:7" ht="15.75" customHeight="1" x14ac:dyDescent="0.25">
      <c r="A8" s="51"/>
      <c r="B8" s="51"/>
      <c r="C8" s="51"/>
      <c r="G8" s="53"/>
    </row>
    <row r="9" spans="1:7" ht="15.75" customHeight="1" x14ac:dyDescent="0.25">
      <c r="A9" s="54"/>
      <c r="B9" s="54" t="s">
        <v>125</v>
      </c>
      <c r="C9" s="54"/>
      <c r="G9" s="55"/>
    </row>
    <row r="10" spans="1:7" ht="15.75" customHeight="1" x14ac:dyDescent="0.25">
      <c r="A10" s="51"/>
      <c r="B10" s="51"/>
      <c r="C10" s="51"/>
      <c r="G10" s="55"/>
    </row>
    <row r="11" spans="1:7" ht="15.75" customHeight="1" x14ac:dyDescent="0.25">
      <c r="A11" s="56" t="s">
        <v>67</v>
      </c>
      <c r="B11" s="56" t="s">
        <v>68</v>
      </c>
      <c r="C11" s="56" t="s">
        <v>69</v>
      </c>
      <c r="G11" s="57"/>
    </row>
    <row r="12" spans="1:7" ht="15" customHeight="1" x14ac:dyDescent="0.25">
      <c r="A12" s="58" t="s">
        <v>83</v>
      </c>
      <c r="B12" s="59" t="s">
        <v>84</v>
      </c>
      <c r="C12" s="60">
        <v>91</v>
      </c>
    </row>
    <row r="13" spans="1:7" ht="15" customHeight="1" x14ac:dyDescent="0.25">
      <c r="A13" s="58" t="s">
        <v>83</v>
      </c>
      <c r="B13" s="59" t="s">
        <v>74</v>
      </c>
      <c r="C13" s="60">
        <v>20</v>
      </c>
    </row>
    <row r="14" spans="1:7" ht="15" customHeight="1" x14ac:dyDescent="0.25">
      <c r="A14" s="58" t="s">
        <v>83</v>
      </c>
      <c r="B14" s="59" t="s">
        <v>72</v>
      </c>
      <c r="C14" s="60">
        <v>29</v>
      </c>
    </row>
    <row r="15" spans="1:7" ht="15" customHeight="1" x14ac:dyDescent="0.25">
      <c r="A15" s="58" t="s">
        <v>83</v>
      </c>
      <c r="B15" s="59" t="s">
        <v>70</v>
      </c>
      <c r="C15" s="60">
        <v>251</v>
      </c>
    </row>
    <row r="16" spans="1:7" ht="15" customHeight="1" x14ac:dyDescent="0.25">
      <c r="A16" s="58" t="s">
        <v>32</v>
      </c>
      <c r="B16" s="59" t="s">
        <v>73</v>
      </c>
      <c r="C16" s="60">
        <v>17439</v>
      </c>
    </row>
    <row r="17" spans="1:3" ht="15" customHeight="1" x14ac:dyDescent="0.25">
      <c r="A17" s="58" t="s">
        <v>32</v>
      </c>
      <c r="B17" s="59" t="s">
        <v>82</v>
      </c>
      <c r="C17" s="60">
        <v>110</v>
      </c>
    </row>
    <row r="18" spans="1:3" ht="15" customHeight="1" x14ac:dyDescent="0.25">
      <c r="A18" s="58" t="s">
        <v>32</v>
      </c>
      <c r="B18" s="59" t="s">
        <v>80</v>
      </c>
      <c r="C18" s="60">
        <v>158.4</v>
      </c>
    </row>
    <row r="19" spans="1:3" ht="15" customHeight="1" x14ac:dyDescent="0.25">
      <c r="A19" s="58" t="s">
        <v>32</v>
      </c>
      <c r="B19" s="59" t="s">
        <v>81</v>
      </c>
      <c r="C19" s="60">
        <v>493</v>
      </c>
    </row>
    <row r="20" spans="1:3" ht="15" customHeight="1" x14ac:dyDescent="0.25">
      <c r="A20" s="58" t="s">
        <v>32</v>
      </c>
      <c r="B20" s="59" t="s">
        <v>71</v>
      </c>
      <c r="C20" s="60">
        <v>4776.59</v>
      </c>
    </row>
    <row r="21" spans="1:3" ht="15" customHeight="1" x14ac:dyDescent="0.25">
      <c r="A21" s="58" t="s">
        <v>32</v>
      </c>
      <c r="B21" s="59" t="s">
        <v>74</v>
      </c>
      <c r="C21" s="60">
        <v>1341</v>
      </c>
    </row>
    <row r="22" spans="1:3" ht="15" customHeight="1" x14ac:dyDescent="0.25">
      <c r="A22" s="58" t="s">
        <v>32</v>
      </c>
      <c r="B22" s="59" t="s">
        <v>79</v>
      </c>
      <c r="C22" s="60">
        <v>334</v>
      </c>
    </row>
    <row r="23" spans="1:3" ht="15" customHeight="1" x14ac:dyDescent="0.25">
      <c r="A23" s="58" t="s">
        <v>32</v>
      </c>
      <c r="B23" s="59" t="s">
        <v>72</v>
      </c>
      <c r="C23" s="60">
        <v>11417</v>
      </c>
    </row>
    <row r="24" spans="1:3" ht="15" customHeight="1" x14ac:dyDescent="0.25">
      <c r="A24" s="58" t="s">
        <v>32</v>
      </c>
      <c r="B24" s="59" t="s">
        <v>70</v>
      </c>
      <c r="C24" s="60">
        <v>75085</v>
      </c>
    </row>
    <row r="25" spans="1:3" ht="15" customHeight="1" x14ac:dyDescent="0.25">
      <c r="A25" s="58" t="s">
        <v>45</v>
      </c>
      <c r="B25" s="59" t="s">
        <v>88</v>
      </c>
      <c r="C25" s="60">
        <v>28058</v>
      </c>
    </row>
    <row r="26" spans="1:3" ht="15" customHeight="1" x14ac:dyDescent="0.25">
      <c r="A26" s="58" t="s">
        <v>45</v>
      </c>
      <c r="B26" s="59" t="s">
        <v>84</v>
      </c>
      <c r="C26" s="60">
        <v>19759</v>
      </c>
    </row>
    <row r="27" spans="1:3" ht="15" customHeight="1" x14ac:dyDescent="0.25">
      <c r="A27" s="58" t="s">
        <v>45</v>
      </c>
      <c r="B27" s="59" t="s">
        <v>76</v>
      </c>
      <c r="C27" s="60">
        <v>8980</v>
      </c>
    </row>
    <row r="28" spans="1:3" ht="15" customHeight="1" x14ac:dyDescent="0.25">
      <c r="A28" s="58" t="s">
        <v>45</v>
      </c>
      <c r="B28" s="59" t="s">
        <v>86</v>
      </c>
      <c r="C28" s="60">
        <v>20300</v>
      </c>
    </row>
    <row r="29" spans="1:3" ht="15" customHeight="1" x14ac:dyDescent="0.25">
      <c r="A29" s="58" t="s">
        <v>45</v>
      </c>
      <c r="B29" s="59" t="s">
        <v>97</v>
      </c>
      <c r="C29" s="60">
        <v>38027</v>
      </c>
    </row>
    <row r="30" spans="1:3" ht="15" customHeight="1" x14ac:dyDescent="0.25">
      <c r="A30" s="58" t="s">
        <v>45</v>
      </c>
      <c r="B30" s="59" t="s">
        <v>99</v>
      </c>
      <c r="C30" s="60">
        <v>6474</v>
      </c>
    </row>
    <row r="31" spans="1:3" ht="15" customHeight="1" x14ac:dyDescent="0.25">
      <c r="A31" s="58" t="s">
        <v>45</v>
      </c>
      <c r="B31" s="59" t="s">
        <v>96</v>
      </c>
      <c r="C31" s="60">
        <v>2638</v>
      </c>
    </row>
    <row r="32" spans="1:3" ht="15" customHeight="1" x14ac:dyDescent="0.25">
      <c r="A32" s="58" t="s">
        <v>45</v>
      </c>
      <c r="B32" s="59" t="s">
        <v>72</v>
      </c>
      <c r="C32" s="60">
        <v>4633</v>
      </c>
    </row>
    <row r="33" spans="1:3" ht="15" customHeight="1" x14ac:dyDescent="0.25">
      <c r="A33" s="58" t="s">
        <v>45</v>
      </c>
      <c r="B33" s="59" t="s">
        <v>77</v>
      </c>
      <c r="C33" s="60">
        <v>45697</v>
      </c>
    </row>
    <row r="34" spans="1:3" ht="15" customHeight="1" x14ac:dyDescent="0.25">
      <c r="A34" s="58" t="s">
        <v>45</v>
      </c>
      <c r="B34" s="59" t="s">
        <v>70</v>
      </c>
      <c r="C34" s="60">
        <v>6978</v>
      </c>
    </row>
    <row r="35" spans="1:3" ht="15" customHeight="1" x14ac:dyDescent="0.25">
      <c r="A35" s="58" t="s">
        <v>45</v>
      </c>
      <c r="B35" s="59" t="s">
        <v>93</v>
      </c>
      <c r="C35" s="60">
        <v>13602</v>
      </c>
    </row>
    <row r="36" spans="1:3" ht="15" customHeight="1" x14ac:dyDescent="0.25">
      <c r="A36" s="58" t="s">
        <v>25</v>
      </c>
      <c r="B36" s="59" t="s">
        <v>76</v>
      </c>
      <c r="C36" s="60">
        <v>6156</v>
      </c>
    </row>
    <row r="37" spans="1:3" ht="15" customHeight="1" x14ac:dyDescent="0.25">
      <c r="A37" s="58" t="s">
        <v>25</v>
      </c>
      <c r="B37" s="59" t="s">
        <v>87</v>
      </c>
      <c r="C37" s="60">
        <v>2959</v>
      </c>
    </row>
    <row r="38" spans="1:3" ht="15" customHeight="1" x14ac:dyDescent="0.25">
      <c r="A38" s="58" t="s">
        <v>25</v>
      </c>
      <c r="B38" s="59" t="s">
        <v>86</v>
      </c>
      <c r="C38" s="60">
        <v>4973</v>
      </c>
    </row>
    <row r="39" spans="1:3" ht="15" customHeight="1" x14ac:dyDescent="0.25">
      <c r="A39" s="58" t="s">
        <v>25</v>
      </c>
      <c r="B39" s="59" t="s">
        <v>85</v>
      </c>
      <c r="C39" s="60">
        <v>1567</v>
      </c>
    </row>
    <row r="40" spans="1:3" ht="15" customHeight="1" x14ac:dyDescent="0.25">
      <c r="A40" s="58" t="s">
        <v>25</v>
      </c>
      <c r="B40" s="59" t="s">
        <v>77</v>
      </c>
      <c r="C40" s="60">
        <v>5022</v>
      </c>
    </row>
    <row r="41" spans="1:3" ht="15" customHeight="1" x14ac:dyDescent="0.25">
      <c r="A41" s="58" t="s">
        <v>35</v>
      </c>
      <c r="B41" s="59" t="s">
        <v>86</v>
      </c>
      <c r="C41" s="60">
        <v>15453</v>
      </c>
    </row>
    <row r="42" spans="1:3" ht="15" customHeight="1" x14ac:dyDescent="0.25">
      <c r="A42" s="58" t="s">
        <v>35</v>
      </c>
      <c r="B42" s="59" t="s">
        <v>77</v>
      </c>
      <c r="C42" s="60">
        <v>30540</v>
      </c>
    </row>
    <row r="43" spans="1:3" ht="15" customHeight="1" x14ac:dyDescent="0.25">
      <c r="A43" s="58" t="s">
        <v>35</v>
      </c>
      <c r="B43" s="59" t="s">
        <v>93</v>
      </c>
      <c r="C43" s="60">
        <v>2008</v>
      </c>
    </row>
    <row r="44" spans="1:3" ht="15" customHeight="1" x14ac:dyDescent="0.25">
      <c r="A44" s="58" t="s">
        <v>42</v>
      </c>
      <c r="B44" s="59" t="s">
        <v>72</v>
      </c>
      <c r="C44" s="60">
        <v>2411</v>
      </c>
    </row>
    <row r="45" spans="1:3" ht="15" customHeight="1" x14ac:dyDescent="0.25">
      <c r="A45" s="58" t="s">
        <v>100</v>
      </c>
      <c r="B45" s="59" t="s">
        <v>88</v>
      </c>
      <c r="C45" s="60">
        <v>8268</v>
      </c>
    </row>
    <row r="46" spans="1:3" ht="15" customHeight="1" x14ac:dyDescent="0.25">
      <c r="A46" s="58" t="s">
        <v>100</v>
      </c>
      <c r="B46" s="59" t="s">
        <v>101</v>
      </c>
      <c r="C46" s="60">
        <v>2099</v>
      </c>
    </row>
    <row r="47" spans="1:3" ht="15" customHeight="1" x14ac:dyDescent="0.25">
      <c r="A47" s="58" t="s">
        <v>100</v>
      </c>
      <c r="B47" s="59" t="s">
        <v>84</v>
      </c>
      <c r="C47" s="60">
        <v>48991</v>
      </c>
    </row>
    <row r="48" spans="1:3" ht="15" customHeight="1" x14ac:dyDescent="0.25">
      <c r="A48" s="58" t="s">
        <v>100</v>
      </c>
      <c r="B48" s="59" t="s">
        <v>92</v>
      </c>
      <c r="C48" s="60">
        <v>14629</v>
      </c>
    </row>
    <row r="49" spans="1:3" ht="15" customHeight="1" x14ac:dyDescent="0.25">
      <c r="A49" s="58" t="s">
        <v>39</v>
      </c>
      <c r="B49" s="59" t="s">
        <v>88</v>
      </c>
      <c r="C49" s="60">
        <v>4230</v>
      </c>
    </row>
    <row r="50" spans="1:3" ht="15" customHeight="1" x14ac:dyDescent="0.25">
      <c r="A50" s="58" t="s">
        <v>39</v>
      </c>
      <c r="B50" s="59" t="s">
        <v>90</v>
      </c>
      <c r="C50" s="60">
        <v>1984</v>
      </c>
    </row>
    <row r="51" spans="1:3" ht="15" customHeight="1" x14ac:dyDescent="0.25">
      <c r="A51" s="58" t="s">
        <v>39</v>
      </c>
      <c r="B51" s="59" t="s">
        <v>102</v>
      </c>
      <c r="C51" s="60">
        <v>2400</v>
      </c>
    </row>
    <row r="52" spans="1:3" ht="15" customHeight="1" x14ac:dyDescent="0.25">
      <c r="A52" s="58" t="s">
        <v>75</v>
      </c>
      <c r="B52" s="59" t="s">
        <v>70</v>
      </c>
      <c r="C52" s="60">
        <v>46543</v>
      </c>
    </row>
    <row r="53" spans="1:3" ht="15" customHeight="1" x14ac:dyDescent="0.25">
      <c r="A53" s="58" t="s">
        <v>29</v>
      </c>
      <c r="B53" s="59" t="s">
        <v>76</v>
      </c>
      <c r="C53" s="60">
        <v>5627</v>
      </c>
    </row>
    <row r="54" spans="1:3" ht="15" customHeight="1" x14ac:dyDescent="0.25">
      <c r="A54" s="58" t="s">
        <v>29</v>
      </c>
      <c r="B54" s="59" t="s">
        <v>78</v>
      </c>
      <c r="C54" s="60">
        <v>4144.46</v>
      </c>
    </row>
    <row r="55" spans="1:3" ht="15" customHeight="1" x14ac:dyDescent="0.25">
      <c r="A55" s="58" t="s">
        <v>29</v>
      </c>
      <c r="B55" s="59" t="s">
        <v>77</v>
      </c>
      <c r="C55" s="60">
        <v>19663</v>
      </c>
    </row>
    <row r="56" spans="1:3" ht="15" customHeight="1" x14ac:dyDescent="0.25">
      <c r="A56" s="58" t="s">
        <v>36</v>
      </c>
      <c r="B56" s="59" t="s">
        <v>90</v>
      </c>
      <c r="C56" s="60">
        <v>13128</v>
      </c>
    </row>
    <row r="57" spans="1:3" ht="15" customHeight="1" x14ac:dyDescent="0.25">
      <c r="A57" s="58" t="s">
        <v>36</v>
      </c>
      <c r="B57" s="59" t="s">
        <v>87</v>
      </c>
      <c r="C57" s="60">
        <v>7661</v>
      </c>
    </row>
    <row r="58" spans="1:3" ht="15" customHeight="1" x14ac:dyDescent="0.25">
      <c r="A58" s="58" t="s">
        <v>36</v>
      </c>
      <c r="B58" s="59" t="s">
        <v>94</v>
      </c>
      <c r="C58" s="60">
        <v>14059</v>
      </c>
    </row>
    <row r="59" spans="1:3" ht="15" customHeight="1" x14ac:dyDescent="0.25">
      <c r="A59" s="58" t="s">
        <v>36</v>
      </c>
      <c r="B59" s="59" t="s">
        <v>85</v>
      </c>
      <c r="C59" s="60">
        <v>14525</v>
      </c>
    </row>
    <row r="60" spans="1:3" ht="15" customHeight="1" x14ac:dyDescent="0.25">
      <c r="A60" s="58" t="s">
        <v>36</v>
      </c>
      <c r="B60" s="59" t="s">
        <v>70</v>
      </c>
      <c r="C60" s="60">
        <v>8999</v>
      </c>
    </row>
    <row r="61" spans="1:3" ht="15" customHeight="1" x14ac:dyDescent="0.25">
      <c r="A61" s="58" t="s">
        <v>26</v>
      </c>
      <c r="B61" s="59" t="s">
        <v>89</v>
      </c>
      <c r="C61" s="60">
        <v>30443</v>
      </c>
    </row>
    <row r="62" spans="1:3" ht="15" customHeight="1" x14ac:dyDescent="0.25">
      <c r="A62" s="58" t="s">
        <v>26</v>
      </c>
      <c r="B62" s="59" t="s">
        <v>88</v>
      </c>
      <c r="C62" s="60">
        <v>387872</v>
      </c>
    </row>
    <row r="63" spans="1:3" ht="15" customHeight="1" x14ac:dyDescent="0.25">
      <c r="A63" s="58" t="s">
        <v>26</v>
      </c>
      <c r="B63" s="59" t="s">
        <v>90</v>
      </c>
      <c r="C63" s="60">
        <v>15770</v>
      </c>
    </row>
    <row r="64" spans="1:3" ht="15" customHeight="1" x14ac:dyDescent="0.25">
      <c r="A64" s="58" t="s">
        <v>26</v>
      </c>
      <c r="B64" s="59" t="s">
        <v>86</v>
      </c>
      <c r="C64" s="60">
        <v>24950</v>
      </c>
    </row>
    <row r="65" spans="1:3" ht="15" customHeight="1" x14ac:dyDescent="0.25">
      <c r="A65" s="58" t="s">
        <v>26</v>
      </c>
      <c r="B65" s="59" t="s">
        <v>91</v>
      </c>
      <c r="C65" s="60">
        <v>15979</v>
      </c>
    </row>
    <row r="66" spans="1:3" ht="15" customHeight="1" x14ac:dyDescent="0.25">
      <c r="A66" s="58" t="s">
        <v>26</v>
      </c>
      <c r="B66" s="59" t="s">
        <v>92</v>
      </c>
      <c r="C66" s="60">
        <v>27337</v>
      </c>
    </row>
    <row r="67" spans="1:3" ht="15" customHeight="1" x14ac:dyDescent="0.25">
      <c r="A67" s="58" t="s">
        <v>26</v>
      </c>
      <c r="B67" s="59" t="s">
        <v>77</v>
      </c>
      <c r="C67" s="60">
        <v>6688</v>
      </c>
    </row>
    <row r="68" spans="1:3" ht="15" customHeight="1" x14ac:dyDescent="0.25">
      <c r="A68" s="58" t="s">
        <v>43</v>
      </c>
      <c r="B68" s="59" t="s">
        <v>82</v>
      </c>
      <c r="C68" s="60">
        <v>6231</v>
      </c>
    </row>
    <row r="69" spans="1:3" ht="15" customHeight="1" x14ac:dyDescent="0.25">
      <c r="A69" s="58" t="s">
        <v>43</v>
      </c>
      <c r="B69" s="59" t="s">
        <v>72</v>
      </c>
      <c r="C69" s="60">
        <v>23350</v>
      </c>
    </row>
    <row r="70" spans="1:3" ht="15" customHeight="1" x14ac:dyDescent="0.25">
      <c r="A70" s="58" t="s">
        <v>24</v>
      </c>
      <c r="B70" s="59" t="s">
        <v>88</v>
      </c>
      <c r="C70" s="60">
        <v>59084</v>
      </c>
    </row>
    <row r="71" spans="1:3" ht="15" customHeight="1" x14ac:dyDescent="0.25">
      <c r="A71" s="58" t="s">
        <v>24</v>
      </c>
      <c r="B71" s="59" t="s">
        <v>84</v>
      </c>
      <c r="C71" s="60">
        <v>24005</v>
      </c>
    </row>
    <row r="72" spans="1:3" ht="15" customHeight="1" x14ac:dyDescent="0.25">
      <c r="A72" s="58" t="s">
        <v>24</v>
      </c>
      <c r="B72" s="59" t="s">
        <v>86</v>
      </c>
      <c r="C72" s="60">
        <v>26510</v>
      </c>
    </row>
    <row r="73" spans="1:3" ht="15" customHeight="1" x14ac:dyDescent="0.25">
      <c r="A73" s="58" t="s">
        <v>24</v>
      </c>
      <c r="B73" s="59" t="s">
        <v>92</v>
      </c>
      <c r="C73" s="60">
        <v>234890</v>
      </c>
    </row>
    <row r="74" spans="1:3" ht="15" customHeight="1" x14ac:dyDescent="0.25">
      <c r="A74" s="58" t="s">
        <v>24</v>
      </c>
      <c r="B74" s="59" t="s">
        <v>78</v>
      </c>
      <c r="C74" s="60">
        <v>24097</v>
      </c>
    </row>
    <row r="75" spans="1:3" ht="15" customHeight="1" x14ac:dyDescent="0.25">
      <c r="A75" s="58" t="s">
        <v>24</v>
      </c>
      <c r="B75" s="59" t="s">
        <v>85</v>
      </c>
      <c r="C75" s="60">
        <v>218901</v>
      </c>
    </row>
    <row r="76" spans="1:3" ht="15" customHeight="1" x14ac:dyDescent="0.25">
      <c r="A76" s="58" t="s">
        <v>24</v>
      </c>
      <c r="B76" s="59" t="s">
        <v>98</v>
      </c>
      <c r="C76" s="60">
        <v>6083</v>
      </c>
    </row>
    <row r="77" spans="1:3" ht="15" customHeight="1" x14ac:dyDescent="0.25">
      <c r="A77" s="58" t="s">
        <v>24</v>
      </c>
      <c r="B77" s="59" t="s">
        <v>72</v>
      </c>
      <c r="C77" s="60">
        <v>115364</v>
      </c>
    </row>
    <row r="78" spans="1:3" ht="15" customHeight="1" x14ac:dyDescent="0.25">
      <c r="A78" s="58" t="s">
        <v>24</v>
      </c>
      <c r="B78" s="59" t="s">
        <v>95</v>
      </c>
      <c r="C78" s="60">
        <v>68752</v>
      </c>
    </row>
    <row r="79" spans="1:3" ht="15" customHeight="1" x14ac:dyDescent="0.25">
      <c r="A79" s="58" t="s">
        <v>24</v>
      </c>
      <c r="B79" s="59" t="s">
        <v>77</v>
      </c>
      <c r="C79" s="60">
        <v>26920</v>
      </c>
    </row>
    <row r="80" spans="1:3" ht="15" customHeight="1" x14ac:dyDescent="0.25">
      <c r="A80" s="61" t="s">
        <v>41</v>
      </c>
      <c r="B80" s="59"/>
      <c r="C80" s="62">
        <f>SUM(C12:C79)</f>
        <v>1937956.45</v>
      </c>
    </row>
  </sheetData>
  <sortState ref="A12:C311">
    <sortCondition ref="A12:A311"/>
    <sortCondition ref="B12:B311"/>
    <sortCondition ref="C12:C311"/>
  </sortState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2"/>
  <sheetViews>
    <sheetView workbookViewId="0">
      <selection activeCell="M7" sqref="M7"/>
    </sheetView>
  </sheetViews>
  <sheetFormatPr defaultRowHeight="15" x14ac:dyDescent="0.25"/>
  <cols>
    <col min="1" max="2" width="30.7109375" style="47" customWidth="1"/>
    <col min="3" max="3" width="15.7109375" style="47" customWidth="1"/>
    <col min="4" max="5" width="16.85546875" customWidth="1"/>
    <col min="256" max="257" width="42.42578125" customWidth="1"/>
    <col min="258" max="258" width="32" customWidth="1"/>
    <col min="259" max="259" width="15.42578125" customWidth="1"/>
    <col min="260" max="261" width="16.85546875" customWidth="1"/>
    <col min="512" max="513" width="42.42578125" customWidth="1"/>
    <col min="514" max="514" width="32" customWidth="1"/>
    <col min="515" max="515" width="15.42578125" customWidth="1"/>
    <col min="516" max="517" width="16.85546875" customWidth="1"/>
    <col min="768" max="769" width="42.42578125" customWidth="1"/>
    <col min="770" max="770" width="32" customWidth="1"/>
    <col min="771" max="771" width="15.42578125" customWidth="1"/>
    <col min="772" max="773" width="16.85546875" customWidth="1"/>
    <col min="1024" max="1025" width="42.42578125" customWidth="1"/>
    <col min="1026" max="1026" width="32" customWidth="1"/>
    <col min="1027" max="1027" width="15.42578125" customWidth="1"/>
    <col min="1028" max="1029" width="16.85546875" customWidth="1"/>
    <col min="1280" max="1281" width="42.42578125" customWidth="1"/>
    <col min="1282" max="1282" width="32" customWidth="1"/>
    <col min="1283" max="1283" width="15.42578125" customWidth="1"/>
    <col min="1284" max="1285" width="16.85546875" customWidth="1"/>
    <col min="1536" max="1537" width="42.42578125" customWidth="1"/>
    <col min="1538" max="1538" width="32" customWidth="1"/>
    <col min="1539" max="1539" width="15.42578125" customWidth="1"/>
    <col min="1540" max="1541" width="16.85546875" customWidth="1"/>
    <col min="1792" max="1793" width="42.42578125" customWidth="1"/>
    <col min="1794" max="1794" width="32" customWidth="1"/>
    <col min="1795" max="1795" width="15.42578125" customWidth="1"/>
    <col min="1796" max="1797" width="16.85546875" customWidth="1"/>
    <col min="2048" max="2049" width="42.42578125" customWidth="1"/>
    <col min="2050" max="2050" width="32" customWidth="1"/>
    <col min="2051" max="2051" width="15.42578125" customWidth="1"/>
    <col min="2052" max="2053" width="16.85546875" customWidth="1"/>
    <col min="2304" max="2305" width="42.42578125" customWidth="1"/>
    <col min="2306" max="2306" width="32" customWidth="1"/>
    <col min="2307" max="2307" width="15.42578125" customWidth="1"/>
    <col min="2308" max="2309" width="16.85546875" customWidth="1"/>
    <col min="2560" max="2561" width="42.42578125" customWidth="1"/>
    <col min="2562" max="2562" width="32" customWidth="1"/>
    <col min="2563" max="2563" width="15.42578125" customWidth="1"/>
    <col min="2564" max="2565" width="16.85546875" customWidth="1"/>
    <col min="2816" max="2817" width="42.42578125" customWidth="1"/>
    <col min="2818" max="2818" width="32" customWidth="1"/>
    <col min="2819" max="2819" width="15.42578125" customWidth="1"/>
    <col min="2820" max="2821" width="16.85546875" customWidth="1"/>
    <col min="3072" max="3073" width="42.42578125" customWidth="1"/>
    <col min="3074" max="3074" width="32" customWidth="1"/>
    <col min="3075" max="3075" width="15.42578125" customWidth="1"/>
    <col min="3076" max="3077" width="16.85546875" customWidth="1"/>
    <col min="3328" max="3329" width="42.42578125" customWidth="1"/>
    <col min="3330" max="3330" width="32" customWidth="1"/>
    <col min="3331" max="3331" width="15.42578125" customWidth="1"/>
    <col min="3332" max="3333" width="16.85546875" customWidth="1"/>
    <col min="3584" max="3585" width="42.42578125" customWidth="1"/>
    <col min="3586" max="3586" width="32" customWidth="1"/>
    <col min="3587" max="3587" width="15.42578125" customWidth="1"/>
    <col min="3588" max="3589" width="16.85546875" customWidth="1"/>
    <col min="3840" max="3841" width="42.42578125" customWidth="1"/>
    <col min="3842" max="3842" width="32" customWidth="1"/>
    <col min="3843" max="3843" width="15.42578125" customWidth="1"/>
    <col min="3844" max="3845" width="16.85546875" customWidth="1"/>
    <col min="4096" max="4097" width="42.42578125" customWidth="1"/>
    <col min="4098" max="4098" width="32" customWidth="1"/>
    <col min="4099" max="4099" width="15.42578125" customWidth="1"/>
    <col min="4100" max="4101" width="16.85546875" customWidth="1"/>
    <col min="4352" max="4353" width="42.42578125" customWidth="1"/>
    <col min="4354" max="4354" width="32" customWidth="1"/>
    <col min="4355" max="4355" width="15.42578125" customWidth="1"/>
    <col min="4356" max="4357" width="16.85546875" customWidth="1"/>
    <col min="4608" max="4609" width="42.42578125" customWidth="1"/>
    <col min="4610" max="4610" width="32" customWidth="1"/>
    <col min="4611" max="4611" width="15.42578125" customWidth="1"/>
    <col min="4612" max="4613" width="16.85546875" customWidth="1"/>
    <col min="4864" max="4865" width="42.42578125" customWidth="1"/>
    <col min="4866" max="4866" width="32" customWidth="1"/>
    <col min="4867" max="4867" width="15.42578125" customWidth="1"/>
    <col min="4868" max="4869" width="16.85546875" customWidth="1"/>
    <col min="5120" max="5121" width="42.42578125" customWidth="1"/>
    <col min="5122" max="5122" width="32" customWidth="1"/>
    <col min="5123" max="5123" width="15.42578125" customWidth="1"/>
    <col min="5124" max="5125" width="16.85546875" customWidth="1"/>
    <col min="5376" max="5377" width="42.42578125" customWidth="1"/>
    <col min="5378" max="5378" width="32" customWidth="1"/>
    <col min="5379" max="5379" width="15.42578125" customWidth="1"/>
    <col min="5380" max="5381" width="16.85546875" customWidth="1"/>
    <col min="5632" max="5633" width="42.42578125" customWidth="1"/>
    <col min="5634" max="5634" width="32" customWidth="1"/>
    <col min="5635" max="5635" width="15.42578125" customWidth="1"/>
    <col min="5636" max="5637" width="16.85546875" customWidth="1"/>
    <col min="5888" max="5889" width="42.42578125" customWidth="1"/>
    <col min="5890" max="5890" width="32" customWidth="1"/>
    <col min="5891" max="5891" width="15.42578125" customWidth="1"/>
    <col min="5892" max="5893" width="16.85546875" customWidth="1"/>
    <col min="6144" max="6145" width="42.42578125" customWidth="1"/>
    <col min="6146" max="6146" width="32" customWidth="1"/>
    <col min="6147" max="6147" width="15.42578125" customWidth="1"/>
    <col min="6148" max="6149" width="16.85546875" customWidth="1"/>
    <col min="6400" max="6401" width="42.42578125" customWidth="1"/>
    <col min="6402" max="6402" width="32" customWidth="1"/>
    <col min="6403" max="6403" width="15.42578125" customWidth="1"/>
    <col min="6404" max="6405" width="16.85546875" customWidth="1"/>
    <col min="6656" max="6657" width="42.42578125" customWidth="1"/>
    <col min="6658" max="6658" width="32" customWidth="1"/>
    <col min="6659" max="6659" width="15.42578125" customWidth="1"/>
    <col min="6660" max="6661" width="16.85546875" customWidth="1"/>
    <col min="6912" max="6913" width="42.42578125" customWidth="1"/>
    <col min="6914" max="6914" width="32" customWidth="1"/>
    <col min="6915" max="6915" width="15.42578125" customWidth="1"/>
    <col min="6916" max="6917" width="16.85546875" customWidth="1"/>
    <col min="7168" max="7169" width="42.42578125" customWidth="1"/>
    <col min="7170" max="7170" width="32" customWidth="1"/>
    <col min="7171" max="7171" width="15.42578125" customWidth="1"/>
    <col min="7172" max="7173" width="16.85546875" customWidth="1"/>
    <col min="7424" max="7425" width="42.42578125" customWidth="1"/>
    <col min="7426" max="7426" width="32" customWidth="1"/>
    <col min="7427" max="7427" width="15.42578125" customWidth="1"/>
    <col min="7428" max="7429" width="16.85546875" customWidth="1"/>
    <col min="7680" max="7681" width="42.42578125" customWidth="1"/>
    <col min="7682" max="7682" width="32" customWidth="1"/>
    <col min="7683" max="7683" width="15.42578125" customWidth="1"/>
    <col min="7684" max="7685" width="16.85546875" customWidth="1"/>
    <col min="7936" max="7937" width="42.42578125" customWidth="1"/>
    <col min="7938" max="7938" width="32" customWidth="1"/>
    <col min="7939" max="7939" width="15.42578125" customWidth="1"/>
    <col min="7940" max="7941" width="16.85546875" customWidth="1"/>
    <col min="8192" max="8193" width="42.42578125" customWidth="1"/>
    <col min="8194" max="8194" width="32" customWidth="1"/>
    <col min="8195" max="8195" width="15.42578125" customWidth="1"/>
    <col min="8196" max="8197" width="16.85546875" customWidth="1"/>
    <col min="8448" max="8449" width="42.42578125" customWidth="1"/>
    <col min="8450" max="8450" width="32" customWidth="1"/>
    <col min="8451" max="8451" width="15.42578125" customWidth="1"/>
    <col min="8452" max="8453" width="16.85546875" customWidth="1"/>
    <col min="8704" max="8705" width="42.42578125" customWidth="1"/>
    <col min="8706" max="8706" width="32" customWidth="1"/>
    <col min="8707" max="8707" width="15.42578125" customWidth="1"/>
    <col min="8708" max="8709" width="16.85546875" customWidth="1"/>
    <col min="8960" max="8961" width="42.42578125" customWidth="1"/>
    <col min="8962" max="8962" width="32" customWidth="1"/>
    <col min="8963" max="8963" width="15.42578125" customWidth="1"/>
    <col min="8964" max="8965" width="16.85546875" customWidth="1"/>
    <col min="9216" max="9217" width="42.42578125" customWidth="1"/>
    <col min="9218" max="9218" width="32" customWidth="1"/>
    <col min="9219" max="9219" width="15.42578125" customWidth="1"/>
    <col min="9220" max="9221" width="16.85546875" customWidth="1"/>
    <col min="9472" max="9473" width="42.42578125" customWidth="1"/>
    <col min="9474" max="9474" width="32" customWidth="1"/>
    <col min="9475" max="9475" width="15.42578125" customWidth="1"/>
    <col min="9476" max="9477" width="16.85546875" customWidth="1"/>
    <col min="9728" max="9729" width="42.42578125" customWidth="1"/>
    <col min="9730" max="9730" width="32" customWidth="1"/>
    <col min="9731" max="9731" width="15.42578125" customWidth="1"/>
    <col min="9732" max="9733" width="16.85546875" customWidth="1"/>
    <col min="9984" max="9985" width="42.42578125" customWidth="1"/>
    <col min="9986" max="9986" width="32" customWidth="1"/>
    <col min="9987" max="9987" width="15.42578125" customWidth="1"/>
    <col min="9988" max="9989" width="16.85546875" customWidth="1"/>
    <col min="10240" max="10241" width="42.42578125" customWidth="1"/>
    <col min="10242" max="10242" width="32" customWidth="1"/>
    <col min="10243" max="10243" width="15.42578125" customWidth="1"/>
    <col min="10244" max="10245" width="16.85546875" customWidth="1"/>
    <col min="10496" max="10497" width="42.42578125" customWidth="1"/>
    <col min="10498" max="10498" width="32" customWidth="1"/>
    <col min="10499" max="10499" width="15.42578125" customWidth="1"/>
    <col min="10500" max="10501" width="16.85546875" customWidth="1"/>
    <col min="10752" max="10753" width="42.42578125" customWidth="1"/>
    <col min="10754" max="10754" width="32" customWidth="1"/>
    <col min="10755" max="10755" width="15.42578125" customWidth="1"/>
    <col min="10756" max="10757" width="16.85546875" customWidth="1"/>
    <col min="11008" max="11009" width="42.42578125" customWidth="1"/>
    <col min="11010" max="11010" width="32" customWidth="1"/>
    <col min="11011" max="11011" width="15.42578125" customWidth="1"/>
    <col min="11012" max="11013" width="16.85546875" customWidth="1"/>
    <col min="11264" max="11265" width="42.42578125" customWidth="1"/>
    <col min="11266" max="11266" width="32" customWidth="1"/>
    <col min="11267" max="11267" width="15.42578125" customWidth="1"/>
    <col min="11268" max="11269" width="16.85546875" customWidth="1"/>
    <col min="11520" max="11521" width="42.42578125" customWidth="1"/>
    <col min="11522" max="11522" width="32" customWidth="1"/>
    <col min="11523" max="11523" width="15.42578125" customWidth="1"/>
    <col min="11524" max="11525" width="16.85546875" customWidth="1"/>
    <col min="11776" max="11777" width="42.42578125" customWidth="1"/>
    <col min="11778" max="11778" width="32" customWidth="1"/>
    <col min="11779" max="11779" width="15.42578125" customWidth="1"/>
    <col min="11780" max="11781" width="16.85546875" customWidth="1"/>
    <col min="12032" max="12033" width="42.42578125" customWidth="1"/>
    <col min="12034" max="12034" width="32" customWidth="1"/>
    <col min="12035" max="12035" width="15.42578125" customWidth="1"/>
    <col min="12036" max="12037" width="16.85546875" customWidth="1"/>
    <col min="12288" max="12289" width="42.42578125" customWidth="1"/>
    <col min="12290" max="12290" width="32" customWidth="1"/>
    <col min="12291" max="12291" width="15.42578125" customWidth="1"/>
    <col min="12292" max="12293" width="16.85546875" customWidth="1"/>
    <col min="12544" max="12545" width="42.42578125" customWidth="1"/>
    <col min="12546" max="12546" width="32" customWidth="1"/>
    <col min="12547" max="12547" width="15.42578125" customWidth="1"/>
    <col min="12548" max="12549" width="16.85546875" customWidth="1"/>
    <col min="12800" max="12801" width="42.42578125" customWidth="1"/>
    <col min="12802" max="12802" width="32" customWidth="1"/>
    <col min="12803" max="12803" width="15.42578125" customWidth="1"/>
    <col min="12804" max="12805" width="16.85546875" customWidth="1"/>
    <col min="13056" max="13057" width="42.42578125" customWidth="1"/>
    <col min="13058" max="13058" width="32" customWidth="1"/>
    <col min="13059" max="13059" width="15.42578125" customWidth="1"/>
    <col min="13060" max="13061" width="16.85546875" customWidth="1"/>
    <col min="13312" max="13313" width="42.42578125" customWidth="1"/>
    <col min="13314" max="13314" width="32" customWidth="1"/>
    <col min="13315" max="13315" width="15.42578125" customWidth="1"/>
    <col min="13316" max="13317" width="16.85546875" customWidth="1"/>
    <col min="13568" max="13569" width="42.42578125" customWidth="1"/>
    <col min="13570" max="13570" width="32" customWidth="1"/>
    <col min="13571" max="13571" width="15.42578125" customWidth="1"/>
    <col min="13572" max="13573" width="16.85546875" customWidth="1"/>
    <col min="13824" max="13825" width="42.42578125" customWidth="1"/>
    <col min="13826" max="13826" width="32" customWidth="1"/>
    <col min="13827" max="13827" width="15.42578125" customWidth="1"/>
    <col min="13828" max="13829" width="16.85546875" customWidth="1"/>
    <col min="14080" max="14081" width="42.42578125" customWidth="1"/>
    <col min="14082" max="14082" width="32" customWidth="1"/>
    <col min="14083" max="14083" width="15.42578125" customWidth="1"/>
    <col min="14084" max="14085" width="16.85546875" customWidth="1"/>
    <col min="14336" max="14337" width="42.42578125" customWidth="1"/>
    <col min="14338" max="14338" width="32" customWidth="1"/>
    <col min="14339" max="14339" width="15.42578125" customWidth="1"/>
    <col min="14340" max="14341" width="16.85546875" customWidth="1"/>
    <col min="14592" max="14593" width="42.42578125" customWidth="1"/>
    <col min="14594" max="14594" width="32" customWidth="1"/>
    <col min="14595" max="14595" width="15.42578125" customWidth="1"/>
    <col min="14596" max="14597" width="16.85546875" customWidth="1"/>
    <col min="14848" max="14849" width="42.42578125" customWidth="1"/>
    <col min="14850" max="14850" width="32" customWidth="1"/>
    <col min="14851" max="14851" width="15.42578125" customWidth="1"/>
    <col min="14852" max="14853" width="16.85546875" customWidth="1"/>
    <col min="15104" max="15105" width="42.42578125" customWidth="1"/>
    <col min="15106" max="15106" width="32" customWidth="1"/>
    <col min="15107" max="15107" width="15.42578125" customWidth="1"/>
    <col min="15108" max="15109" width="16.85546875" customWidth="1"/>
    <col min="15360" max="15361" width="42.42578125" customWidth="1"/>
    <col min="15362" max="15362" width="32" customWidth="1"/>
    <col min="15363" max="15363" width="15.42578125" customWidth="1"/>
    <col min="15364" max="15365" width="16.85546875" customWidth="1"/>
    <col min="15616" max="15617" width="42.42578125" customWidth="1"/>
    <col min="15618" max="15618" width="32" customWidth="1"/>
    <col min="15619" max="15619" width="15.42578125" customWidth="1"/>
    <col min="15620" max="15621" width="16.85546875" customWidth="1"/>
    <col min="15872" max="15873" width="42.42578125" customWidth="1"/>
    <col min="15874" max="15874" width="32" customWidth="1"/>
    <col min="15875" max="15875" width="15.42578125" customWidth="1"/>
    <col min="15876" max="15877" width="16.85546875" customWidth="1"/>
    <col min="16128" max="16129" width="42.42578125" customWidth="1"/>
    <col min="16130" max="16130" width="32" customWidth="1"/>
    <col min="16131" max="16131" width="15.42578125" customWidth="1"/>
    <col min="16132" max="16133" width="16.85546875" customWidth="1"/>
  </cols>
  <sheetData>
    <row r="1" spans="1:3" ht="15.75" customHeight="1" x14ac:dyDescent="0.25">
      <c r="A1" s="50"/>
      <c r="B1" s="50" t="s">
        <v>66</v>
      </c>
      <c r="C1" s="50"/>
    </row>
    <row r="2" spans="1:3" ht="15.75" customHeight="1" x14ac:dyDescent="0.25">
      <c r="A2" s="51"/>
      <c r="B2" s="51" t="s">
        <v>124</v>
      </c>
      <c r="C2" s="51"/>
    </row>
    <row r="3" spans="1:3" ht="15.75" customHeight="1" x14ac:dyDescent="0.25">
      <c r="A3" s="51"/>
      <c r="B3" s="51"/>
      <c r="C3" s="51"/>
    </row>
    <row r="4" spans="1:3" ht="30" customHeight="1" x14ac:dyDescent="0.25">
      <c r="A4" s="51"/>
      <c r="B4" s="51" t="s">
        <v>128</v>
      </c>
      <c r="C4" s="51"/>
    </row>
    <row r="5" spans="1:3" ht="12.75" customHeight="1" x14ac:dyDescent="0.25">
      <c r="A5" s="51"/>
      <c r="B5" s="51"/>
      <c r="C5" s="51"/>
    </row>
    <row r="6" spans="1:3" ht="15.75" customHeight="1" x14ac:dyDescent="0.25">
      <c r="A6" s="51"/>
      <c r="B6" s="51"/>
      <c r="C6" s="51"/>
    </row>
    <row r="7" spans="1:3" ht="15.75" customHeight="1" x14ac:dyDescent="0.25">
      <c r="A7" s="51"/>
      <c r="B7" s="51"/>
      <c r="C7" s="51"/>
    </row>
    <row r="8" spans="1:3" ht="15.75" customHeight="1" x14ac:dyDescent="0.25">
      <c r="A8" s="51"/>
      <c r="B8" s="51"/>
      <c r="C8" s="51"/>
    </row>
    <row r="9" spans="1:3" ht="15.75" customHeight="1" x14ac:dyDescent="0.25">
      <c r="A9" s="65"/>
      <c r="B9" s="54" t="s">
        <v>125</v>
      </c>
      <c r="C9" s="65"/>
    </row>
    <row r="10" spans="1:3" ht="15.75" customHeight="1" x14ac:dyDescent="0.25">
      <c r="A10" s="51"/>
      <c r="B10" s="51"/>
      <c r="C10" s="51"/>
    </row>
    <row r="11" spans="1:3" ht="15.75" customHeight="1" x14ac:dyDescent="0.25">
      <c r="A11" s="56" t="s">
        <v>67</v>
      </c>
      <c r="B11" s="56" t="s">
        <v>103</v>
      </c>
      <c r="C11" s="56" t="s">
        <v>69</v>
      </c>
    </row>
    <row r="12" spans="1:3" ht="15" customHeight="1" x14ac:dyDescent="0.25">
      <c r="A12" s="63" t="s">
        <v>83</v>
      </c>
      <c r="B12" s="59" t="s">
        <v>88</v>
      </c>
      <c r="C12" s="64">
        <v>1333</v>
      </c>
    </row>
    <row r="13" spans="1:3" ht="15" customHeight="1" x14ac:dyDescent="0.25">
      <c r="A13" s="63" t="s">
        <v>83</v>
      </c>
      <c r="B13" s="59" t="s">
        <v>73</v>
      </c>
      <c r="C13" s="64">
        <v>735</v>
      </c>
    </row>
    <row r="14" spans="1:3" ht="15" customHeight="1" x14ac:dyDescent="0.25">
      <c r="A14" s="63" t="s">
        <v>83</v>
      </c>
      <c r="B14" s="59" t="s">
        <v>113</v>
      </c>
      <c r="C14" s="64">
        <v>342</v>
      </c>
    </row>
    <row r="15" spans="1:3" ht="15" customHeight="1" x14ac:dyDescent="0.25">
      <c r="A15" s="63" t="s">
        <v>83</v>
      </c>
      <c r="B15" s="59" t="s">
        <v>76</v>
      </c>
      <c r="C15" s="64">
        <v>1308</v>
      </c>
    </row>
    <row r="16" spans="1:3" ht="15" customHeight="1" x14ac:dyDescent="0.25">
      <c r="A16" s="63" t="s">
        <v>83</v>
      </c>
      <c r="B16" s="59" t="s">
        <v>74</v>
      </c>
      <c r="C16" s="64">
        <v>7774</v>
      </c>
    </row>
    <row r="17" spans="1:3" ht="15" customHeight="1" x14ac:dyDescent="0.25">
      <c r="A17" s="63" t="s">
        <v>83</v>
      </c>
      <c r="B17" s="59" t="s">
        <v>87</v>
      </c>
      <c r="C17" s="64">
        <v>32</v>
      </c>
    </row>
    <row r="18" spans="1:3" ht="15" customHeight="1" x14ac:dyDescent="0.25">
      <c r="A18" s="63" t="s">
        <v>83</v>
      </c>
      <c r="B18" s="59" t="s">
        <v>86</v>
      </c>
      <c r="C18" s="64">
        <v>130</v>
      </c>
    </row>
    <row r="19" spans="1:3" ht="15" customHeight="1" x14ac:dyDescent="0.25">
      <c r="A19" s="63" t="s">
        <v>83</v>
      </c>
      <c r="B19" s="59" t="s">
        <v>110</v>
      </c>
      <c r="C19" s="64">
        <v>1</v>
      </c>
    </row>
    <row r="20" spans="1:3" ht="15" customHeight="1" x14ac:dyDescent="0.25">
      <c r="A20" s="63" t="s">
        <v>83</v>
      </c>
      <c r="B20" s="59" t="s">
        <v>114</v>
      </c>
      <c r="C20" s="64">
        <v>29</v>
      </c>
    </row>
    <row r="21" spans="1:3" ht="15" customHeight="1" x14ac:dyDescent="0.25">
      <c r="A21" s="63" t="s">
        <v>83</v>
      </c>
      <c r="B21" s="59" t="s">
        <v>117</v>
      </c>
      <c r="C21" s="64">
        <v>16090</v>
      </c>
    </row>
    <row r="22" spans="1:3" ht="15" customHeight="1" x14ac:dyDescent="0.25">
      <c r="A22" s="63" t="s">
        <v>83</v>
      </c>
      <c r="B22" s="59" t="s">
        <v>97</v>
      </c>
      <c r="C22" s="64">
        <v>1430</v>
      </c>
    </row>
    <row r="23" spans="1:3" ht="15" customHeight="1" x14ac:dyDescent="0.25">
      <c r="A23" s="63" t="s">
        <v>83</v>
      </c>
      <c r="B23" s="59" t="s">
        <v>108</v>
      </c>
      <c r="C23" s="64">
        <v>4</v>
      </c>
    </row>
    <row r="24" spans="1:3" ht="15" customHeight="1" x14ac:dyDescent="0.25">
      <c r="A24" s="63" t="s">
        <v>83</v>
      </c>
      <c r="B24" s="59" t="s">
        <v>78</v>
      </c>
      <c r="C24" s="64">
        <v>34</v>
      </c>
    </row>
    <row r="25" spans="1:3" ht="15" customHeight="1" x14ac:dyDescent="0.25">
      <c r="A25" s="63" t="s">
        <v>83</v>
      </c>
      <c r="B25" s="59" t="s">
        <v>99</v>
      </c>
      <c r="C25" s="64">
        <v>5727</v>
      </c>
    </row>
    <row r="26" spans="1:3" ht="15" customHeight="1" x14ac:dyDescent="0.25">
      <c r="A26" s="63" t="s">
        <v>83</v>
      </c>
      <c r="B26" s="59" t="s">
        <v>107</v>
      </c>
      <c r="C26" s="64">
        <v>259</v>
      </c>
    </row>
    <row r="27" spans="1:3" ht="15" customHeight="1" x14ac:dyDescent="0.25">
      <c r="A27" s="63" t="s">
        <v>83</v>
      </c>
      <c r="B27" s="59" t="s">
        <v>96</v>
      </c>
      <c r="C27" s="64">
        <v>247</v>
      </c>
    </row>
    <row r="28" spans="1:3" ht="15" customHeight="1" x14ac:dyDescent="0.25">
      <c r="A28" s="63" t="s">
        <v>83</v>
      </c>
      <c r="B28" s="59" t="s">
        <v>72</v>
      </c>
      <c r="C28" s="64">
        <v>4641</v>
      </c>
    </row>
    <row r="29" spans="1:3" ht="15" customHeight="1" x14ac:dyDescent="0.25">
      <c r="A29" s="63" t="s">
        <v>83</v>
      </c>
      <c r="B29" s="59" t="s">
        <v>104</v>
      </c>
      <c r="C29" s="64">
        <v>80145</v>
      </c>
    </row>
    <row r="30" spans="1:3" ht="15" customHeight="1" x14ac:dyDescent="0.25">
      <c r="A30" s="63" t="s">
        <v>83</v>
      </c>
      <c r="B30" s="59" t="s">
        <v>77</v>
      </c>
      <c r="C30" s="64">
        <v>19668</v>
      </c>
    </row>
    <row r="31" spans="1:3" ht="15" customHeight="1" x14ac:dyDescent="0.25">
      <c r="A31" s="63" t="s">
        <v>83</v>
      </c>
      <c r="B31" s="59" t="s">
        <v>70</v>
      </c>
      <c r="C31" s="64">
        <v>4355</v>
      </c>
    </row>
    <row r="32" spans="1:3" ht="15" customHeight="1" x14ac:dyDescent="0.25">
      <c r="A32" s="63" t="s">
        <v>32</v>
      </c>
      <c r="B32" s="59" t="s">
        <v>106</v>
      </c>
      <c r="C32" s="64">
        <v>90</v>
      </c>
    </row>
    <row r="33" spans="1:3" ht="15" customHeight="1" x14ac:dyDescent="0.25">
      <c r="A33" s="63" t="s">
        <v>32</v>
      </c>
      <c r="B33" s="59" t="s">
        <v>73</v>
      </c>
      <c r="C33" s="64">
        <v>862</v>
      </c>
    </row>
    <row r="34" spans="1:3" ht="15" customHeight="1" x14ac:dyDescent="0.25">
      <c r="A34" s="63" t="s">
        <v>32</v>
      </c>
      <c r="B34" s="59" t="s">
        <v>82</v>
      </c>
      <c r="C34" s="64">
        <v>24</v>
      </c>
    </row>
    <row r="35" spans="1:3" ht="15" customHeight="1" x14ac:dyDescent="0.25">
      <c r="A35" s="63" t="s">
        <v>32</v>
      </c>
      <c r="B35" s="59" t="s">
        <v>80</v>
      </c>
      <c r="C35" s="64">
        <v>1.3</v>
      </c>
    </row>
    <row r="36" spans="1:3" ht="15" customHeight="1" x14ac:dyDescent="0.25">
      <c r="A36" s="63" t="s">
        <v>32</v>
      </c>
      <c r="B36" s="59" t="s">
        <v>81</v>
      </c>
      <c r="C36" s="64">
        <v>2</v>
      </c>
    </row>
    <row r="37" spans="1:3" ht="15" customHeight="1" x14ac:dyDescent="0.25">
      <c r="A37" s="63" t="s">
        <v>32</v>
      </c>
      <c r="B37" s="59" t="s">
        <v>76</v>
      </c>
      <c r="C37" s="64">
        <v>5661</v>
      </c>
    </row>
    <row r="38" spans="1:3" ht="15" customHeight="1" x14ac:dyDescent="0.25">
      <c r="A38" s="63" t="s">
        <v>32</v>
      </c>
      <c r="B38" s="59" t="s">
        <v>74</v>
      </c>
      <c r="C38" s="64">
        <v>7753</v>
      </c>
    </row>
    <row r="39" spans="1:3" ht="15" customHeight="1" x14ac:dyDescent="0.25">
      <c r="A39" s="63" t="s">
        <v>32</v>
      </c>
      <c r="B39" s="59" t="s">
        <v>109</v>
      </c>
      <c r="C39" s="64">
        <v>342</v>
      </c>
    </row>
    <row r="40" spans="1:3" ht="15" customHeight="1" x14ac:dyDescent="0.25">
      <c r="A40" s="63" t="s">
        <v>32</v>
      </c>
      <c r="B40" s="59" t="s">
        <v>87</v>
      </c>
      <c r="C40" s="64">
        <v>920</v>
      </c>
    </row>
    <row r="41" spans="1:3" ht="15" customHeight="1" x14ac:dyDescent="0.25">
      <c r="A41" s="63" t="s">
        <v>32</v>
      </c>
      <c r="B41" s="59" t="s">
        <v>110</v>
      </c>
      <c r="C41" s="64">
        <v>8</v>
      </c>
    </row>
    <row r="42" spans="1:3" ht="15" customHeight="1" x14ac:dyDescent="0.25">
      <c r="A42" s="63" t="s">
        <v>32</v>
      </c>
      <c r="B42" s="59" t="s">
        <v>79</v>
      </c>
      <c r="C42" s="64">
        <v>1</v>
      </c>
    </row>
    <row r="43" spans="1:3" ht="15" customHeight="1" x14ac:dyDescent="0.25">
      <c r="A43" s="63" t="s">
        <v>32</v>
      </c>
      <c r="B43" s="59" t="s">
        <v>97</v>
      </c>
      <c r="C43" s="64">
        <v>451</v>
      </c>
    </row>
    <row r="44" spans="1:3" ht="15" customHeight="1" x14ac:dyDescent="0.25">
      <c r="A44" s="63" t="s">
        <v>32</v>
      </c>
      <c r="B44" s="59" t="s">
        <v>108</v>
      </c>
      <c r="C44" s="64">
        <v>520</v>
      </c>
    </row>
    <row r="45" spans="1:3" ht="15" customHeight="1" x14ac:dyDescent="0.25">
      <c r="A45" s="63" t="s">
        <v>32</v>
      </c>
      <c r="B45" s="59" t="s">
        <v>78</v>
      </c>
      <c r="C45" s="64">
        <v>595</v>
      </c>
    </row>
    <row r="46" spans="1:3" ht="15" customHeight="1" x14ac:dyDescent="0.25">
      <c r="A46" s="63" t="s">
        <v>32</v>
      </c>
      <c r="B46" s="59" t="s">
        <v>99</v>
      </c>
      <c r="C46" s="64">
        <v>4496</v>
      </c>
    </row>
    <row r="47" spans="1:3" ht="15" customHeight="1" x14ac:dyDescent="0.25">
      <c r="A47" s="63" t="s">
        <v>32</v>
      </c>
      <c r="B47" s="59" t="s">
        <v>107</v>
      </c>
      <c r="C47" s="64">
        <v>244</v>
      </c>
    </row>
    <row r="48" spans="1:3" ht="15" customHeight="1" x14ac:dyDescent="0.25">
      <c r="A48" s="63" t="s">
        <v>32</v>
      </c>
      <c r="B48" s="59" t="s">
        <v>96</v>
      </c>
      <c r="C48" s="64">
        <v>331</v>
      </c>
    </row>
    <row r="49" spans="1:3" ht="15" customHeight="1" x14ac:dyDescent="0.25">
      <c r="A49" s="63" t="s">
        <v>32</v>
      </c>
      <c r="B49" s="59" t="s">
        <v>85</v>
      </c>
      <c r="C49" s="64">
        <v>2</v>
      </c>
    </row>
    <row r="50" spans="1:3" ht="15" customHeight="1" x14ac:dyDescent="0.25">
      <c r="A50" s="63" t="s">
        <v>32</v>
      </c>
      <c r="B50" s="59" t="s">
        <v>111</v>
      </c>
      <c r="C50" s="64">
        <v>50</v>
      </c>
    </row>
    <row r="51" spans="1:3" ht="15" customHeight="1" x14ac:dyDescent="0.25">
      <c r="A51" s="63" t="s">
        <v>32</v>
      </c>
      <c r="B51" s="59" t="s">
        <v>102</v>
      </c>
      <c r="C51" s="64">
        <v>21.22</v>
      </c>
    </row>
    <row r="52" spans="1:3" ht="15" customHeight="1" x14ac:dyDescent="0.25">
      <c r="A52" s="63" t="s">
        <v>32</v>
      </c>
      <c r="B52" s="59" t="s">
        <v>72</v>
      </c>
      <c r="C52" s="64">
        <v>9134</v>
      </c>
    </row>
    <row r="53" spans="1:3" ht="15" customHeight="1" x14ac:dyDescent="0.25">
      <c r="A53" s="63" t="s">
        <v>32</v>
      </c>
      <c r="B53" s="59" t="s">
        <v>112</v>
      </c>
      <c r="C53" s="64">
        <v>269</v>
      </c>
    </row>
    <row r="54" spans="1:3" ht="15" customHeight="1" x14ac:dyDescent="0.25">
      <c r="A54" s="63" t="s">
        <v>32</v>
      </c>
      <c r="B54" s="59" t="s">
        <v>104</v>
      </c>
      <c r="C54" s="64">
        <v>43</v>
      </c>
    </row>
    <row r="55" spans="1:3" ht="15" customHeight="1" x14ac:dyDescent="0.25">
      <c r="A55" s="63" t="s">
        <v>32</v>
      </c>
      <c r="B55" s="59" t="s">
        <v>77</v>
      </c>
      <c r="C55" s="64">
        <v>13979</v>
      </c>
    </row>
    <row r="56" spans="1:3" ht="15" customHeight="1" x14ac:dyDescent="0.25">
      <c r="A56" s="63" t="s">
        <v>32</v>
      </c>
      <c r="B56" s="59" t="s">
        <v>70</v>
      </c>
      <c r="C56" s="64">
        <v>35.92</v>
      </c>
    </row>
    <row r="57" spans="1:3" ht="15" customHeight="1" x14ac:dyDescent="0.25">
      <c r="A57" s="63" t="s">
        <v>32</v>
      </c>
      <c r="B57" s="59" t="s">
        <v>105</v>
      </c>
      <c r="C57" s="64">
        <v>1790</v>
      </c>
    </row>
    <row r="58" spans="1:3" ht="15" customHeight="1" x14ac:dyDescent="0.25">
      <c r="A58" s="63" t="s">
        <v>25</v>
      </c>
      <c r="B58" s="59" t="s">
        <v>73</v>
      </c>
      <c r="C58" s="64">
        <v>14526</v>
      </c>
    </row>
    <row r="59" spans="1:3" ht="15" customHeight="1" x14ac:dyDescent="0.25">
      <c r="A59" s="63" t="s">
        <v>25</v>
      </c>
      <c r="B59" s="59" t="s">
        <v>97</v>
      </c>
      <c r="C59" s="64">
        <v>28920</v>
      </c>
    </row>
    <row r="60" spans="1:3" ht="15" customHeight="1" x14ac:dyDescent="0.25">
      <c r="A60" s="63" t="s">
        <v>25</v>
      </c>
      <c r="B60" s="59" t="s">
        <v>72</v>
      </c>
      <c r="C60" s="64">
        <v>14582</v>
      </c>
    </row>
    <row r="61" spans="1:3" ht="15" customHeight="1" x14ac:dyDescent="0.25">
      <c r="A61" s="63" t="s">
        <v>35</v>
      </c>
      <c r="B61" s="59" t="s">
        <v>73</v>
      </c>
      <c r="C61" s="64">
        <v>9704</v>
      </c>
    </row>
    <row r="62" spans="1:3" ht="15" customHeight="1" x14ac:dyDescent="0.25">
      <c r="A62" s="63" t="s">
        <v>35</v>
      </c>
      <c r="B62" s="59" t="s">
        <v>76</v>
      </c>
      <c r="C62" s="64">
        <v>640</v>
      </c>
    </row>
    <row r="63" spans="1:3" ht="15" customHeight="1" x14ac:dyDescent="0.25">
      <c r="A63" s="63" t="s">
        <v>35</v>
      </c>
      <c r="B63" s="59" t="s">
        <v>119</v>
      </c>
      <c r="C63" s="64">
        <v>4146</v>
      </c>
    </row>
    <row r="64" spans="1:3" ht="15" customHeight="1" x14ac:dyDescent="0.25">
      <c r="A64" s="63" t="s">
        <v>35</v>
      </c>
      <c r="B64" s="59" t="s">
        <v>97</v>
      </c>
      <c r="C64" s="64">
        <v>33411</v>
      </c>
    </row>
    <row r="65" spans="1:3" ht="15" customHeight="1" x14ac:dyDescent="0.25">
      <c r="A65" s="63" t="s">
        <v>35</v>
      </c>
      <c r="B65" s="59" t="s">
        <v>72</v>
      </c>
      <c r="C65" s="64">
        <v>13346</v>
      </c>
    </row>
    <row r="66" spans="1:3" ht="15" customHeight="1" x14ac:dyDescent="0.25">
      <c r="A66" s="63" t="s">
        <v>35</v>
      </c>
      <c r="B66" s="59" t="s">
        <v>77</v>
      </c>
      <c r="C66" s="64">
        <v>18238</v>
      </c>
    </row>
    <row r="67" spans="1:3" ht="15" customHeight="1" x14ac:dyDescent="0.25">
      <c r="A67" s="63" t="s">
        <v>44</v>
      </c>
      <c r="B67" s="59" t="s">
        <v>97</v>
      </c>
      <c r="C67" s="64">
        <v>2469</v>
      </c>
    </row>
    <row r="68" spans="1:3" ht="15" customHeight="1" x14ac:dyDescent="0.25">
      <c r="A68" s="63" t="s">
        <v>42</v>
      </c>
      <c r="B68" s="59" t="s">
        <v>76</v>
      </c>
      <c r="C68" s="64">
        <v>6599</v>
      </c>
    </row>
    <row r="69" spans="1:3" ht="15" customHeight="1" x14ac:dyDescent="0.25">
      <c r="A69" s="63" t="s">
        <v>42</v>
      </c>
      <c r="B69" s="59" t="s">
        <v>114</v>
      </c>
      <c r="C69" s="64">
        <v>6147</v>
      </c>
    </row>
    <row r="70" spans="1:3" ht="15" customHeight="1" x14ac:dyDescent="0.25">
      <c r="A70" s="63" t="s">
        <v>42</v>
      </c>
      <c r="B70" s="59" t="s">
        <v>72</v>
      </c>
      <c r="C70" s="64">
        <v>6919</v>
      </c>
    </row>
    <row r="71" spans="1:3" ht="15" customHeight="1" x14ac:dyDescent="0.25">
      <c r="A71" s="63" t="s">
        <v>42</v>
      </c>
      <c r="B71" s="59" t="s">
        <v>120</v>
      </c>
      <c r="C71" s="64">
        <v>3749</v>
      </c>
    </row>
    <row r="72" spans="1:3" ht="15" customHeight="1" x14ac:dyDescent="0.25">
      <c r="A72" s="63" t="s">
        <v>42</v>
      </c>
      <c r="B72" s="59" t="s">
        <v>77</v>
      </c>
      <c r="C72" s="64">
        <v>6200</v>
      </c>
    </row>
    <row r="73" spans="1:3" ht="15" customHeight="1" x14ac:dyDescent="0.25">
      <c r="A73" s="63" t="s">
        <v>100</v>
      </c>
      <c r="B73" s="59" t="s">
        <v>73</v>
      </c>
      <c r="C73" s="64">
        <v>2532</v>
      </c>
    </row>
    <row r="74" spans="1:3" ht="15" customHeight="1" x14ac:dyDescent="0.25">
      <c r="A74" s="63" t="s">
        <v>27</v>
      </c>
      <c r="B74" s="59" t="s">
        <v>76</v>
      </c>
      <c r="C74" s="64">
        <v>7416</v>
      </c>
    </row>
    <row r="75" spans="1:3" ht="15" customHeight="1" x14ac:dyDescent="0.25">
      <c r="A75" s="63" t="s">
        <v>27</v>
      </c>
      <c r="B75" s="59" t="s">
        <v>74</v>
      </c>
      <c r="C75" s="64">
        <v>4321</v>
      </c>
    </row>
    <row r="76" spans="1:3" ht="15" customHeight="1" x14ac:dyDescent="0.25">
      <c r="A76" s="63" t="s">
        <v>47</v>
      </c>
      <c r="B76" s="59" t="s">
        <v>106</v>
      </c>
      <c r="C76" s="64">
        <v>236</v>
      </c>
    </row>
    <row r="77" spans="1:3" ht="15" customHeight="1" x14ac:dyDescent="0.25">
      <c r="A77" s="63" t="s">
        <v>47</v>
      </c>
      <c r="B77" s="59" t="s">
        <v>113</v>
      </c>
      <c r="C77" s="64">
        <v>1076</v>
      </c>
    </row>
    <row r="78" spans="1:3" ht="15" customHeight="1" x14ac:dyDescent="0.25">
      <c r="A78" s="63" t="s">
        <v>47</v>
      </c>
      <c r="B78" s="59" t="s">
        <v>76</v>
      </c>
      <c r="C78" s="64">
        <v>466</v>
      </c>
    </row>
    <row r="79" spans="1:3" ht="15" customHeight="1" x14ac:dyDescent="0.25">
      <c r="A79" s="63" t="s">
        <v>47</v>
      </c>
      <c r="B79" s="59" t="s">
        <v>74</v>
      </c>
      <c r="C79" s="64">
        <v>172</v>
      </c>
    </row>
    <row r="80" spans="1:3" ht="15" customHeight="1" x14ac:dyDescent="0.25">
      <c r="A80" s="63" t="s">
        <v>47</v>
      </c>
      <c r="B80" s="59" t="s">
        <v>78</v>
      </c>
      <c r="C80" s="64">
        <v>7051</v>
      </c>
    </row>
    <row r="81" spans="1:3" ht="15" customHeight="1" x14ac:dyDescent="0.25">
      <c r="A81" s="63" t="s">
        <v>47</v>
      </c>
      <c r="B81" s="59" t="s">
        <v>72</v>
      </c>
      <c r="C81" s="64">
        <v>44082</v>
      </c>
    </row>
    <row r="82" spans="1:3" ht="15" customHeight="1" x14ac:dyDescent="0.25">
      <c r="A82" s="63" t="s">
        <v>47</v>
      </c>
      <c r="B82" s="59" t="s">
        <v>77</v>
      </c>
      <c r="C82" s="64">
        <v>5204</v>
      </c>
    </row>
    <row r="83" spans="1:3" ht="15" customHeight="1" x14ac:dyDescent="0.25">
      <c r="A83" s="63" t="s">
        <v>47</v>
      </c>
      <c r="B83" s="59" t="s">
        <v>70</v>
      </c>
      <c r="C83" s="64">
        <v>16069</v>
      </c>
    </row>
    <row r="84" spans="1:3" ht="15" customHeight="1" x14ac:dyDescent="0.25">
      <c r="A84" s="63" t="s">
        <v>29</v>
      </c>
      <c r="B84" s="59" t="s">
        <v>118</v>
      </c>
      <c r="C84" s="64">
        <v>2960</v>
      </c>
    </row>
    <row r="85" spans="1:3" ht="15" customHeight="1" x14ac:dyDescent="0.25">
      <c r="A85" s="63" t="s">
        <v>36</v>
      </c>
      <c r="B85" s="59" t="s">
        <v>87</v>
      </c>
      <c r="C85" s="64">
        <v>1230</v>
      </c>
    </row>
    <row r="86" spans="1:3" ht="15" customHeight="1" x14ac:dyDescent="0.25">
      <c r="A86" s="63" t="s">
        <v>36</v>
      </c>
      <c r="B86" s="59" t="s">
        <v>70</v>
      </c>
      <c r="C86" s="64">
        <v>1246</v>
      </c>
    </row>
    <row r="87" spans="1:3" ht="15" customHeight="1" x14ac:dyDescent="0.25">
      <c r="A87" s="63" t="s">
        <v>49</v>
      </c>
      <c r="B87" s="59" t="s">
        <v>73</v>
      </c>
      <c r="C87" s="64">
        <v>6075</v>
      </c>
    </row>
    <row r="88" spans="1:3" ht="15" customHeight="1" x14ac:dyDescent="0.25">
      <c r="A88" s="63" t="s">
        <v>49</v>
      </c>
      <c r="B88" s="59" t="s">
        <v>76</v>
      </c>
      <c r="C88" s="64">
        <v>267</v>
      </c>
    </row>
    <row r="89" spans="1:3" ht="15" customHeight="1" x14ac:dyDescent="0.25">
      <c r="A89" s="63" t="s">
        <v>49</v>
      </c>
      <c r="B89" s="59" t="s">
        <v>74</v>
      </c>
      <c r="C89" s="64">
        <v>1640</v>
      </c>
    </row>
    <row r="90" spans="1:3" ht="15" customHeight="1" x14ac:dyDescent="0.25">
      <c r="A90" s="63" t="s">
        <v>49</v>
      </c>
      <c r="B90" s="59" t="s">
        <v>99</v>
      </c>
      <c r="C90" s="64">
        <v>11909</v>
      </c>
    </row>
    <row r="91" spans="1:3" ht="15" customHeight="1" x14ac:dyDescent="0.25">
      <c r="A91" s="63" t="s">
        <v>49</v>
      </c>
      <c r="B91" s="59" t="s">
        <v>72</v>
      </c>
      <c r="C91" s="64">
        <v>68</v>
      </c>
    </row>
    <row r="92" spans="1:3" ht="15" customHeight="1" x14ac:dyDescent="0.25">
      <c r="A92" s="63" t="s">
        <v>49</v>
      </c>
      <c r="B92" s="59" t="s">
        <v>77</v>
      </c>
      <c r="C92" s="64">
        <v>1524</v>
      </c>
    </row>
    <row r="93" spans="1:3" ht="15" customHeight="1" x14ac:dyDescent="0.25">
      <c r="A93" s="63" t="s">
        <v>26</v>
      </c>
      <c r="B93" s="59" t="s">
        <v>115</v>
      </c>
      <c r="C93" s="64">
        <v>50543</v>
      </c>
    </row>
    <row r="94" spans="1:3" ht="15" customHeight="1" x14ac:dyDescent="0.25">
      <c r="A94" s="63" t="s">
        <v>26</v>
      </c>
      <c r="B94" s="59" t="s">
        <v>116</v>
      </c>
      <c r="C94" s="64">
        <v>49929</v>
      </c>
    </row>
    <row r="95" spans="1:3" ht="15" customHeight="1" x14ac:dyDescent="0.25">
      <c r="A95" s="63" t="s">
        <v>26</v>
      </c>
      <c r="B95" s="59" t="s">
        <v>114</v>
      </c>
      <c r="C95" s="64">
        <v>9077</v>
      </c>
    </row>
    <row r="96" spans="1:3" ht="15" customHeight="1" x14ac:dyDescent="0.25">
      <c r="A96" s="63" t="s">
        <v>26</v>
      </c>
      <c r="B96" s="59" t="s">
        <v>98</v>
      </c>
      <c r="C96" s="64">
        <v>14977</v>
      </c>
    </row>
    <row r="97" spans="1:3" ht="15" customHeight="1" x14ac:dyDescent="0.25">
      <c r="A97" s="63" t="s">
        <v>26</v>
      </c>
      <c r="B97" s="59" t="s">
        <v>95</v>
      </c>
      <c r="C97" s="64">
        <v>157081</v>
      </c>
    </row>
    <row r="98" spans="1:3" ht="15" customHeight="1" x14ac:dyDescent="0.25">
      <c r="A98" s="63" t="s">
        <v>26</v>
      </c>
      <c r="B98" s="59" t="s">
        <v>77</v>
      </c>
      <c r="C98" s="64">
        <v>1885</v>
      </c>
    </row>
    <row r="99" spans="1:3" ht="15" customHeight="1" x14ac:dyDescent="0.25">
      <c r="A99" s="63" t="s">
        <v>43</v>
      </c>
      <c r="B99" s="59" t="s">
        <v>74</v>
      </c>
      <c r="C99" s="64">
        <v>3144</v>
      </c>
    </row>
    <row r="100" spans="1:3" ht="15" customHeight="1" x14ac:dyDescent="0.25">
      <c r="A100" s="63" t="s">
        <v>43</v>
      </c>
      <c r="B100" s="59" t="s">
        <v>109</v>
      </c>
      <c r="C100" s="64">
        <v>2080</v>
      </c>
    </row>
    <row r="101" spans="1:3" ht="15" customHeight="1" x14ac:dyDescent="0.25">
      <c r="A101" s="63" t="s">
        <v>122</v>
      </c>
      <c r="B101" s="59" t="s">
        <v>90</v>
      </c>
      <c r="C101" s="64">
        <v>801</v>
      </c>
    </row>
    <row r="102" spans="1:3" ht="15" customHeight="1" x14ac:dyDescent="0.25">
      <c r="A102" s="63" t="s">
        <v>122</v>
      </c>
      <c r="B102" s="59" t="s">
        <v>97</v>
      </c>
      <c r="C102" s="64">
        <v>12087</v>
      </c>
    </row>
    <row r="103" spans="1:3" ht="15" customHeight="1" x14ac:dyDescent="0.25">
      <c r="A103" s="63" t="s">
        <v>122</v>
      </c>
      <c r="B103" s="59" t="s">
        <v>123</v>
      </c>
      <c r="C103" s="64">
        <v>2304</v>
      </c>
    </row>
    <row r="104" spans="1:3" ht="15" customHeight="1" x14ac:dyDescent="0.25">
      <c r="A104" s="63" t="s">
        <v>122</v>
      </c>
      <c r="B104" s="59" t="s">
        <v>70</v>
      </c>
      <c r="C104" s="64">
        <v>5839</v>
      </c>
    </row>
    <row r="105" spans="1:3" ht="15" customHeight="1" x14ac:dyDescent="0.25">
      <c r="A105" s="63" t="s">
        <v>46</v>
      </c>
      <c r="B105" s="59" t="s">
        <v>121</v>
      </c>
      <c r="C105" s="64">
        <v>4135</v>
      </c>
    </row>
    <row r="106" spans="1:3" ht="15" customHeight="1" x14ac:dyDescent="0.25">
      <c r="A106" s="63" t="s">
        <v>46</v>
      </c>
      <c r="B106" s="59" t="s">
        <v>97</v>
      </c>
      <c r="C106" s="64">
        <v>6771</v>
      </c>
    </row>
    <row r="107" spans="1:3" ht="15" customHeight="1" x14ac:dyDescent="0.25">
      <c r="A107" s="63" t="s">
        <v>46</v>
      </c>
      <c r="B107" s="59" t="s">
        <v>95</v>
      </c>
      <c r="C107" s="64">
        <v>505</v>
      </c>
    </row>
    <row r="108" spans="1:3" ht="15" customHeight="1" x14ac:dyDescent="0.25">
      <c r="A108" s="63" t="s">
        <v>46</v>
      </c>
      <c r="B108" s="59" t="s">
        <v>77</v>
      </c>
      <c r="C108" s="64">
        <v>2028</v>
      </c>
    </row>
    <row r="109" spans="1:3" ht="15" customHeight="1" x14ac:dyDescent="0.25">
      <c r="A109" s="63" t="s">
        <v>46</v>
      </c>
      <c r="B109" s="59" t="s">
        <v>70</v>
      </c>
      <c r="C109" s="64">
        <v>4176</v>
      </c>
    </row>
    <row r="110" spans="1:3" ht="15" customHeight="1" x14ac:dyDescent="0.25">
      <c r="A110" s="61" t="s">
        <v>41</v>
      </c>
      <c r="B110" s="59"/>
      <c r="C110" s="62">
        <f>SUM(C12:C109)</f>
        <v>804411.44</v>
      </c>
    </row>
    <row r="111" spans="1:3" ht="15" customHeight="1" x14ac:dyDescent="0.25">
      <c r="A111"/>
      <c r="B111" s="49"/>
      <c r="C111"/>
    </row>
    <row r="112" spans="1:3" ht="15" customHeight="1" x14ac:dyDescent="0.25">
      <c r="A112"/>
      <c r="B112" s="49"/>
      <c r="C112"/>
    </row>
    <row r="113" spans="1:3" ht="15" customHeight="1" x14ac:dyDescent="0.25">
      <c r="A113"/>
      <c r="B113" s="49"/>
      <c r="C113"/>
    </row>
    <row r="114" spans="1:3" ht="15" customHeight="1" x14ac:dyDescent="0.25">
      <c r="A114"/>
      <c r="B114" s="49"/>
      <c r="C114"/>
    </row>
    <row r="115" spans="1:3" ht="15" customHeight="1" x14ac:dyDescent="0.25">
      <c r="A115"/>
      <c r="B115" s="49"/>
      <c r="C115"/>
    </row>
    <row r="116" spans="1:3" ht="15" customHeight="1" x14ac:dyDescent="0.25">
      <c r="A116"/>
      <c r="B116" s="49"/>
      <c r="C116"/>
    </row>
    <row r="117" spans="1:3" ht="15" customHeight="1" x14ac:dyDescent="0.25">
      <c r="A117"/>
      <c r="B117" s="49"/>
      <c r="C117"/>
    </row>
    <row r="118" spans="1:3" ht="15" customHeight="1" x14ac:dyDescent="0.25">
      <c r="A118"/>
      <c r="B118" s="49"/>
      <c r="C118"/>
    </row>
    <row r="119" spans="1:3" ht="15" customHeight="1" x14ac:dyDescent="0.25">
      <c r="A119"/>
      <c r="B119" s="49"/>
      <c r="C119"/>
    </row>
    <row r="120" spans="1:3" ht="15" customHeight="1" x14ac:dyDescent="0.25">
      <c r="A120"/>
      <c r="B120" s="49"/>
      <c r="C120"/>
    </row>
    <row r="121" spans="1:3" ht="15" customHeight="1" x14ac:dyDescent="0.25">
      <c r="A121"/>
      <c r="B121" s="49"/>
      <c r="C121"/>
    </row>
    <row r="122" spans="1:3" ht="15" customHeight="1" x14ac:dyDescent="0.25">
      <c r="A122"/>
      <c r="B122" s="49"/>
      <c r="C122"/>
    </row>
    <row r="123" spans="1:3" ht="15" customHeight="1" x14ac:dyDescent="0.25">
      <c r="A123"/>
      <c r="B123" s="49"/>
      <c r="C123"/>
    </row>
    <row r="124" spans="1:3" ht="15" customHeight="1" x14ac:dyDescent="0.25">
      <c r="A124"/>
      <c r="B124" s="49"/>
      <c r="C124"/>
    </row>
    <row r="125" spans="1:3" ht="15" customHeight="1" x14ac:dyDescent="0.25">
      <c r="A125"/>
      <c r="B125" s="49"/>
      <c r="C125"/>
    </row>
    <row r="126" spans="1:3" ht="15" customHeight="1" x14ac:dyDescent="0.25">
      <c r="A126"/>
      <c r="B126" s="49"/>
      <c r="C126"/>
    </row>
    <row r="127" spans="1:3" ht="15" customHeight="1" x14ac:dyDescent="0.25">
      <c r="A127"/>
      <c r="B127" s="49"/>
      <c r="C127"/>
    </row>
    <row r="128" spans="1:3" ht="15" customHeight="1" x14ac:dyDescent="0.25">
      <c r="A128"/>
      <c r="B128" s="49"/>
      <c r="C128"/>
    </row>
    <row r="129" spans="1:3" ht="15" customHeight="1" x14ac:dyDescent="0.25">
      <c r="A129"/>
      <c r="B129" s="49"/>
      <c r="C129"/>
    </row>
    <row r="130" spans="1:3" ht="15" customHeight="1" x14ac:dyDescent="0.25">
      <c r="A130"/>
      <c r="B130" s="49"/>
      <c r="C130"/>
    </row>
    <row r="131" spans="1:3" ht="15" customHeight="1" x14ac:dyDescent="0.25">
      <c r="A131"/>
      <c r="B131" s="49"/>
      <c r="C131"/>
    </row>
    <row r="132" spans="1:3" ht="15" customHeight="1" x14ac:dyDescent="0.25">
      <c r="A132"/>
      <c r="B132" s="49"/>
      <c r="C132"/>
    </row>
    <row r="133" spans="1:3" ht="15" customHeight="1" x14ac:dyDescent="0.25">
      <c r="A133"/>
      <c r="B133" s="49"/>
      <c r="C133"/>
    </row>
    <row r="134" spans="1:3" ht="15" customHeight="1" x14ac:dyDescent="0.25">
      <c r="A134"/>
      <c r="B134" s="49"/>
      <c r="C134"/>
    </row>
    <row r="135" spans="1:3" ht="15" customHeight="1" x14ac:dyDescent="0.25">
      <c r="A135"/>
      <c r="B135" s="49"/>
      <c r="C135"/>
    </row>
    <row r="136" spans="1:3" ht="15" customHeight="1" x14ac:dyDescent="0.25">
      <c r="A136"/>
      <c r="B136" s="49"/>
      <c r="C136"/>
    </row>
    <row r="137" spans="1:3" ht="15" customHeight="1" x14ac:dyDescent="0.25">
      <c r="A137"/>
      <c r="B137" s="49"/>
      <c r="C137"/>
    </row>
    <row r="138" spans="1:3" ht="15" customHeight="1" x14ac:dyDescent="0.25">
      <c r="A138"/>
      <c r="B138" s="49"/>
      <c r="C138"/>
    </row>
    <row r="139" spans="1:3" ht="15" customHeight="1" x14ac:dyDescent="0.25">
      <c r="A139"/>
      <c r="B139" s="49"/>
      <c r="C139"/>
    </row>
    <row r="140" spans="1:3" ht="15" customHeight="1" x14ac:dyDescent="0.25">
      <c r="A140"/>
      <c r="B140" s="49"/>
      <c r="C140"/>
    </row>
    <row r="141" spans="1:3" ht="15" customHeight="1" x14ac:dyDescent="0.25">
      <c r="A141"/>
      <c r="B141" s="49"/>
      <c r="C141"/>
    </row>
    <row r="142" spans="1:3" ht="15" customHeight="1" x14ac:dyDescent="0.25">
      <c r="A142"/>
      <c r="B142" s="49"/>
      <c r="C142"/>
    </row>
    <row r="143" spans="1:3" ht="15" customHeight="1" x14ac:dyDescent="0.25">
      <c r="A143"/>
      <c r="B143" s="49"/>
      <c r="C143"/>
    </row>
    <row r="144" spans="1:3" ht="15" customHeight="1" x14ac:dyDescent="0.25">
      <c r="A144"/>
      <c r="B144" s="49"/>
      <c r="C144"/>
    </row>
    <row r="145" spans="1:3" ht="15" customHeight="1" x14ac:dyDescent="0.25">
      <c r="A145"/>
      <c r="B145" s="49"/>
      <c r="C145"/>
    </row>
    <row r="146" spans="1:3" ht="15" customHeight="1" x14ac:dyDescent="0.25">
      <c r="A146"/>
      <c r="B146" s="49"/>
      <c r="C146"/>
    </row>
    <row r="147" spans="1:3" ht="15" customHeight="1" x14ac:dyDescent="0.25">
      <c r="A147"/>
      <c r="B147" s="49"/>
      <c r="C147"/>
    </row>
    <row r="148" spans="1:3" ht="15" customHeight="1" x14ac:dyDescent="0.25">
      <c r="A148"/>
      <c r="B148" s="49"/>
      <c r="C148"/>
    </row>
    <row r="149" spans="1:3" ht="15" customHeight="1" x14ac:dyDescent="0.25">
      <c r="A149"/>
      <c r="B149" s="49"/>
      <c r="C149"/>
    </row>
    <row r="150" spans="1:3" ht="15" customHeight="1" x14ac:dyDescent="0.25">
      <c r="A150"/>
      <c r="B150" s="49"/>
      <c r="C150"/>
    </row>
    <row r="151" spans="1:3" ht="15" customHeight="1" x14ac:dyDescent="0.25">
      <c r="A151"/>
      <c r="B151" s="49"/>
      <c r="C151"/>
    </row>
    <row r="152" spans="1:3" ht="15" customHeight="1" x14ac:dyDescent="0.25">
      <c r="A152"/>
      <c r="B152" s="49"/>
      <c r="C152"/>
    </row>
    <row r="153" spans="1:3" ht="15" customHeight="1" x14ac:dyDescent="0.25">
      <c r="A153"/>
      <c r="B153" s="49"/>
      <c r="C153"/>
    </row>
    <row r="154" spans="1:3" ht="15" customHeight="1" x14ac:dyDescent="0.25">
      <c r="A154"/>
      <c r="B154" s="49"/>
      <c r="C154"/>
    </row>
    <row r="155" spans="1:3" ht="15" customHeight="1" x14ac:dyDescent="0.25">
      <c r="A155"/>
      <c r="B155" s="49"/>
      <c r="C155"/>
    </row>
    <row r="156" spans="1:3" ht="15" customHeight="1" x14ac:dyDescent="0.25">
      <c r="A156"/>
      <c r="B156" s="49"/>
      <c r="C156"/>
    </row>
    <row r="157" spans="1:3" ht="15" customHeight="1" x14ac:dyDescent="0.25">
      <c r="A157"/>
      <c r="B157" s="49"/>
      <c r="C157"/>
    </row>
    <row r="158" spans="1:3" ht="15" customHeight="1" x14ac:dyDescent="0.25">
      <c r="A158"/>
      <c r="B158" s="49"/>
      <c r="C158"/>
    </row>
    <row r="159" spans="1:3" ht="15" customHeight="1" x14ac:dyDescent="0.25">
      <c r="A159"/>
      <c r="B159" s="49"/>
      <c r="C159"/>
    </row>
    <row r="160" spans="1:3" ht="15" customHeight="1" x14ac:dyDescent="0.25">
      <c r="A160"/>
      <c r="B160" s="49"/>
      <c r="C160"/>
    </row>
    <row r="161" spans="1:3" ht="15" customHeight="1" x14ac:dyDescent="0.25">
      <c r="A161"/>
      <c r="B161" s="49"/>
      <c r="C161"/>
    </row>
    <row r="162" spans="1:3" ht="15" customHeight="1" x14ac:dyDescent="0.25">
      <c r="A162"/>
      <c r="B162" s="49"/>
      <c r="C162"/>
    </row>
    <row r="163" spans="1:3" ht="15" customHeight="1" x14ac:dyDescent="0.25">
      <c r="A163"/>
      <c r="B163" s="49"/>
      <c r="C163"/>
    </row>
    <row r="164" spans="1:3" ht="15" customHeight="1" x14ac:dyDescent="0.25">
      <c r="A164"/>
      <c r="B164" s="49"/>
      <c r="C164"/>
    </row>
    <row r="165" spans="1:3" ht="15" customHeight="1" x14ac:dyDescent="0.25">
      <c r="A165"/>
      <c r="B165" s="49"/>
      <c r="C165"/>
    </row>
    <row r="166" spans="1:3" ht="15" customHeight="1" x14ac:dyDescent="0.25">
      <c r="A166"/>
      <c r="B166" s="49"/>
      <c r="C166"/>
    </row>
    <row r="167" spans="1:3" ht="15" customHeight="1" x14ac:dyDescent="0.25">
      <c r="A167"/>
      <c r="B167" s="49"/>
      <c r="C167"/>
    </row>
    <row r="168" spans="1:3" ht="15" customHeight="1" x14ac:dyDescent="0.25">
      <c r="A168"/>
      <c r="B168" s="49"/>
      <c r="C168"/>
    </row>
    <row r="169" spans="1:3" ht="15" customHeight="1" x14ac:dyDescent="0.25">
      <c r="A169"/>
      <c r="B169" s="49"/>
      <c r="C169"/>
    </row>
    <row r="170" spans="1:3" ht="15" customHeight="1" x14ac:dyDescent="0.25">
      <c r="A170"/>
      <c r="B170" s="49"/>
      <c r="C170"/>
    </row>
    <row r="171" spans="1:3" ht="15" customHeight="1" x14ac:dyDescent="0.25">
      <c r="A171"/>
      <c r="B171" s="49"/>
      <c r="C171"/>
    </row>
    <row r="172" spans="1:3" ht="15" customHeight="1" x14ac:dyDescent="0.25">
      <c r="A172"/>
      <c r="B172" s="49"/>
      <c r="C172"/>
    </row>
    <row r="173" spans="1:3" ht="15" customHeight="1" x14ac:dyDescent="0.25">
      <c r="A173"/>
      <c r="B173" s="49"/>
      <c r="C173"/>
    </row>
    <row r="174" spans="1:3" ht="15" customHeight="1" x14ac:dyDescent="0.25">
      <c r="A174"/>
      <c r="B174" s="49"/>
      <c r="C174"/>
    </row>
    <row r="175" spans="1:3" ht="15" customHeight="1" x14ac:dyDescent="0.25">
      <c r="A175"/>
      <c r="B175" s="49"/>
      <c r="C175"/>
    </row>
    <row r="176" spans="1:3" ht="15" customHeight="1" x14ac:dyDescent="0.25">
      <c r="A176"/>
      <c r="B176" s="49"/>
      <c r="C176"/>
    </row>
    <row r="177" spans="1:3" ht="15" customHeight="1" x14ac:dyDescent="0.25">
      <c r="A177"/>
      <c r="B177" s="49"/>
      <c r="C177"/>
    </row>
    <row r="178" spans="1:3" ht="15" customHeight="1" x14ac:dyDescent="0.25">
      <c r="A178"/>
      <c r="B178" s="49"/>
      <c r="C178"/>
    </row>
    <row r="179" spans="1:3" ht="15" customHeight="1" x14ac:dyDescent="0.25">
      <c r="A179"/>
      <c r="B179" s="49"/>
      <c r="C179"/>
    </row>
    <row r="180" spans="1:3" ht="15" customHeight="1" x14ac:dyDescent="0.25">
      <c r="A180"/>
      <c r="B180" s="49"/>
      <c r="C180"/>
    </row>
    <row r="181" spans="1:3" ht="15" customHeight="1" x14ac:dyDescent="0.25">
      <c r="A181"/>
      <c r="B181" s="49"/>
      <c r="C181"/>
    </row>
    <row r="182" spans="1:3" ht="15" customHeight="1" x14ac:dyDescent="0.25">
      <c r="A182"/>
      <c r="B182" s="49"/>
      <c r="C182"/>
    </row>
    <row r="183" spans="1:3" ht="15" customHeight="1" x14ac:dyDescent="0.25">
      <c r="A183"/>
      <c r="B183" s="49"/>
      <c r="C183"/>
    </row>
    <row r="184" spans="1:3" ht="15" customHeight="1" x14ac:dyDescent="0.25">
      <c r="A184"/>
      <c r="B184" s="49"/>
      <c r="C184"/>
    </row>
    <row r="185" spans="1:3" ht="15" customHeight="1" x14ac:dyDescent="0.25">
      <c r="A185"/>
      <c r="B185" s="49"/>
      <c r="C185"/>
    </row>
    <row r="186" spans="1:3" ht="15" customHeight="1" x14ac:dyDescent="0.25">
      <c r="A186"/>
      <c r="B186" s="49"/>
      <c r="C186"/>
    </row>
    <row r="187" spans="1:3" ht="15" customHeight="1" x14ac:dyDescent="0.25">
      <c r="A187"/>
      <c r="B187" s="49"/>
      <c r="C187"/>
    </row>
    <row r="188" spans="1:3" ht="15" customHeight="1" x14ac:dyDescent="0.25">
      <c r="A188"/>
      <c r="B188" s="49"/>
      <c r="C188"/>
    </row>
    <row r="189" spans="1:3" ht="15" customHeight="1" x14ac:dyDescent="0.25">
      <c r="A189"/>
      <c r="B189" s="49"/>
      <c r="C189"/>
    </row>
    <row r="190" spans="1:3" ht="15" customHeight="1" x14ac:dyDescent="0.25">
      <c r="A190"/>
      <c r="B190" s="49"/>
      <c r="C190"/>
    </row>
    <row r="191" spans="1:3" ht="15" customHeight="1" x14ac:dyDescent="0.25">
      <c r="A191"/>
      <c r="B191" s="49"/>
      <c r="C191"/>
    </row>
    <row r="192" spans="1:3" ht="15" customHeight="1" x14ac:dyDescent="0.25">
      <c r="A192"/>
      <c r="B192" s="49"/>
      <c r="C192"/>
    </row>
    <row r="193" spans="1:3" ht="15" customHeight="1" x14ac:dyDescent="0.25">
      <c r="A193"/>
      <c r="B193" s="49"/>
      <c r="C193"/>
    </row>
    <row r="194" spans="1:3" ht="15" customHeight="1" x14ac:dyDescent="0.25">
      <c r="A194"/>
      <c r="B194" s="49"/>
      <c r="C194"/>
    </row>
    <row r="195" spans="1:3" ht="15" customHeight="1" x14ac:dyDescent="0.25">
      <c r="A195"/>
      <c r="B195" s="49"/>
      <c r="C195"/>
    </row>
    <row r="196" spans="1:3" ht="15" customHeight="1" x14ac:dyDescent="0.25">
      <c r="A196"/>
      <c r="B196" s="49"/>
      <c r="C196"/>
    </row>
    <row r="197" spans="1:3" ht="15" customHeight="1" x14ac:dyDescent="0.25">
      <c r="A197"/>
      <c r="B197" s="49"/>
      <c r="C197"/>
    </row>
    <row r="198" spans="1:3" ht="15" customHeight="1" x14ac:dyDescent="0.25">
      <c r="A198"/>
      <c r="B198" s="49"/>
      <c r="C198"/>
    </row>
    <row r="199" spans="1:3" ht="15" customHeight="1" x14ac:dyDescent="0.25">
      <c r="A199"/>
      <c r="B199" s="49"/>
      <c r="C199"/>
    </row>
    <row r="200" spans="1:3" ht="15" customHeight="1" x14ac:dyDescent="0.25">
      <c r="A200"/>
      <c r="B200" s="49"/>
      <c r="C200"/>
    </row>
    <row r="201" spans="1:3" ht="15" customHeight="1" x14ac:dyDescent="0.25">
      <c r="A201"/>
      <c r="B201" s="49"/>
      <c r="C201"/>
    </row>
    <row r="202" spans="1:3" ht="15" customHeight="1" x14ac:dyDescent="0.25">
      <c r="A202"/>
      <c r="B202" s="49"/>
      <c r="C202"/>
    </row>
    <row r="203" spans="1:3" ht="15" customHeight="1" x14ac:dyDescent="0.25">
      <c r="A203"/>
      <c r="B203" s="49"/>
      <c r="C203"/>
    </row>
    <row r="204" spans="1:3" ht="15" customHeight="1" x14ac:dyDescent="0.25">
      <c r="A204"/>
      <c r="B204" s="49"/>
      <c r="C204"/>
    </row>
    <row r="205" spans="1:3" ht="15" customHeight="1" x14ac:dyDescent="0.25">
      <c r="A205"/>
      <c r="B205" s="49"/>
      <c r="C205"/>
    </row>
    <row r="206" spans="1:3" ht="15" customHeight="1" x14ac:dyDescent="0.25">
      <c r="A206"/>
      <c r="B206" s="49"/>
      <c r="C206"/>
    </row>
    <row r="207" spans="1:3" ht="15" customHeight="1" x14ac:dyDescent="0.25">
      <c r="A207"/>
      <c r="B207" s="49"/>
      <c r="C207"/>
    </row>
    <row r="208" spans="1:3" ht="15" customHeight="1" x14ac:dyDescent="0.25">
      <c r="A208"/>
      <c r="B208" s="49"/>
      <c r="C208"/>
    </row>
    <row r="209" spans="1:3" ht="15" customHeight="1" x14ac:dyDescent="0.25">
      <c r="A209"/>
      <c r="B209" s="49"/>
      <c r="C209"/>
    </row>
    <row r="210" spans="1:3" ht="15" customHeight="1" x14ac:dyDescent="0.25">
      <c r="A210"/>
      <c r="B210" s="49"/>
      <c r="C210"/>
    </row>
    <row r="211" spans="1:3" ht="15" customHeight="1" x14ac:dyDescent="0.25">
      <c r="A211"/>
      <c r="B211" s="49"/>
      <c r="C211"/>
    </row>
    <row r="212" spans="1:3" ht="15" customHeight="1" x14ac:dyDescent="0.25">
      <c r="A212"/>
      <c r="B212" s="49"/>
      <c r="C212"/>
    </row>
    <row r="213" spans="1:3" ht="15" customHeight="1" x14ac:dyDescent="0.25">
      <c r="A213"/>
      <c r="B213" s="49"/>
      <c r="C213"/>
    </row>
    <row r="214" spans="1:3" ht="15" customHeight="1" x14ac:dyDescent="0.25">
      <c r="A214"/>
      <c r="B214" s="49"/>
      <c r="C214"/>
    </row>
    <row r="215" spans="1:3" ht="15" customHeight="1" x14ac:dyDescent="0.25">
      <c r="A215"/>
      <c r="B215" s="49"/>
      <c r="C215"/>
    </row>
    <row r="216" spans="1:3" ht="15" customHeight="1" x14ac:dyDescent="0.25">
      <c r="A216"/>
      <c r="B216" s="49"/>
      <c r="C216"/>
    </row>
    <row r="217" spans="1:3" ht="15" customHeight="1" x14ac:dyDescent="0.25">
      <c r="A217"/>
      <c r="B217" s="49"/>
      <c r="C217"/>
    </row>
    <row r="218" spans="1:3" ht="15" customHeight="1" x14ac:dyDescent="0.25">
      <c r="A218"/>
      <c r="B218" s="49"/>
      <c r="C218"/>
    </row>
    <row r="219" spans="1:3" ht="15" customHeight="1" x14ac:dyDescent="0.25">
      <c r="A219"/>
      <c r="B219" s="49"/>
      <c r="C219"/>
    </row>
    <row r="220" spans="1:3" ht="15" customHeight="1" x14ac:dyDescent="0.25">
      <c r="A220"/>
      <c r="B220" s="49"/>
      <c r="C220"/>
    </row>
    <row r="221" spans="1:3" ht="15" customHeight="1" x14ac:dyDescent="0.25">
      <c r="A221"/>
      <c r="B221" s="49"/>
      <c r="C221"/>
    </row>
    <row r="222" spans="1:3" ht="15" customHeight="1" x14ac:dyDescent="0.25">
      <c r="A222"/>
      <c r="B222" s="49"/>
      <c r="C222"/>
    </row>
    <row r="223" spans="1:3" ht="15" customHeight="1" x14ac:dyDescent="0.25">
      <c r="A223"/>
      <c r="B223" s="49"/>
      <c r="C223"/>
    </row>
    <row r="224" spans="1:3" ht="15" customHeight="1" x14ac:dyDescent="0.25">
      <c r="A224"/>
      <c r="B224" s="49"/>
      <c r="C224"/>
    </row>
    <row r="225" spans="1:3" ht="15" customHeight="1" x14ac:dyDescent="0.25">
      <c r="A225"/>
      <c r="B225" s="49"/>
      <c r="C225"/>
    </row>
    <row r="226" spans="1:3" ht="15" customHeight="1" x14ac:dyDescent="0.25">
      <c r="A226"/>
      <c r="B226" s="49"/>
      <c r="C226"/>
    </row>
    <row r="227" spans="1:3" ht="15" customHeight="1" x14ac:dyDescent="0.25">
      <c r="A227"/>
      <c r="B227" s="49"/>
      <c r="C227"/>
    </row>
    <row r="228" spans="1:3" ht="15" customHeight="1" x14ac:dyDescent="0.25">
      <c r="A228"/>
      <c r="B228" s="49"/>
      <c r="C228"/>
    </row>
    <row r="229" spans="1:3" ht="15" customHeight="1" x14ac:dyDescent="0.25">
      <c r="A229"/>
      <c r="B229" s="49"/>
      <c r="C229"/>
    </row>
    <row r="230" spans="1:3" ht="15" customHeight="1" x14ac:dyDescent="0.25">
      <c r="A230"/>
      <c r="B230" s="49"/>
      <c r="C230"/>
    </row>
    <row r="231" spans="1:3" ht="15" customHeight="1" x14ac:dyDescent="0.25">
      <c r="A231"/>
      <c r="B231" s="49"/>
      <c r="C231"/>
    </row>
    <row r="232" spans="1:3" ht="15" customHeight="1" x14ac:dyDescent="0.25">
      <c r="A232"/>
      <c r="B232" s="49"/>
      <c r="C232"/>
    </row>
    <row r="233" spans="1:3" ht="15" customHeight="1" x14ac:dyDescent="0.25">
      <c r="A233"/>
      <c r="B233" s="49"/>
      <c r="C233"/>
    </row>
    <row r="234" spans="1:3" ht="15" customHeight="1" x14ac:dyDescent="0.25">
      <c r="A234"/>
      <c r="B234" s="49"/>
      <c r="C234"/>
    </row>
    <row r="235" spans="1:3" ht="15" customHeight="1" x14ac:dyDescent="0.25">
      <c r="A235"/>
      <c r="B235" s="49"/>
      <c r="C235"/>
    </row>
    <row r="236" spans="1:3" ht="15" customHeight="1" x14ac:dyDescent="0.25">
      <c r="A236"/>
      <c r="B236" s="49"/>
      <c r="C236"/>
    </row>
    <row r="237" spans="1:3" ht="15" customHeight="1" x14ac:dyDescent="0.25">
      <c r="A237"/>
      <c r="B237" s="49"/>
      <c r="C237"/>
    </row>
    <row r="238" spans="1:3" ht="15" customHeight="1" x14ac:dyDescent="0.25">
      <c r="A238"/>
      <c r="B238" s="49"/>
      <c r="C238"/>
    </row>
    <row r="239" spans="1:3" ht="15" customHeight="1" x14ac:dyDescent="0.25">
      <c r="A239"/>
      <c r="B239" s="49"/>
      <c r="C239"/>
    </row>
    <row r="240" spans="1:3" ht="15" customHeight="1" x14ac:dyDescent="0.25">
      <c r="A240"/>
      <c r="B240" s="49"/>
      <c r="C240"/>
    </row>
    <row r="241" spans="1:3" ht="15" customHeight="1" x14ac:dyDescent="0.25">
      <c r="A241"/>
      <c r="B241" s="49"/>
      <c r="C241"/>
    </row>
    <row r="242" spans="1:3" ht="15" customHeight="1" x14ac:dyDescent="0.25">
      <c r="A242"/>
      <c r="B242" s="49"/>
      <c r="C242"/>
    </row>
    <row r="243" spans="1:3" ht="15" customHeight="1" x14ac:dyDescent="0.25">
      <c r="A243"/>
      <c r="B243" s="49"/>
      <c r="C243"/>
    </row>
    <row r="244" spans="1:3" ht="15" customHeight="1" x14ac:dyDescent="0.25">
      <c r="A244"/>
      <c r="B244" s="49"/>
      <c r="C244"/>
    </row>
    <row r="245" spans="1:3" ht="15" customHeight="1" x14ac:dyDescent="0.25">
      <c r="A245"/>
      <c r="B245" s="49"/>
      <c r="C245"/>
    </row>
    <row r="246" spans="1:3" ht="15" customHeight="1" x14ac:dyDescent="0.25">
      <c r="A246"/>
      <c r="B246" s="49"/>
      <c r="C246"/>
    </row>
    <row r="247" spans="1:3" ht="15" customHeight="1" x14ac:dyDescent="0.25">
      <c r="A247"/>
      <c r="B247" s="49"/>
      <c r="C247"/>
    </row>
    <row r="248" spans="1:3" ht="15" customHeight="1" x14ac:dyDescent="0.25">
      <c r="A248"/>
      <c r="B248" s="49"/>
      <c r="C248"/>
    </row>
    <row r="249" spans="1:3" ht="15" customHeight="1" x14ac:dyDescent="0.25">
      <c r="A249"/>
      <c r="B249" s="49"/>
      <c r="C249"/>
    </row>
    <row r="250" spans="1:3" ht="15" customHeight="1" x14ac:dyDescent="0.25">
      <c r="A250"/>
      <c r="B250" s="49"/>
      <c r="C250"/>
    </row>
    <row r="251" spans="1:3" ht="15" customHeight="1" x14ac:dyDescent="0.25">
      <c r="A251"/>
      <c r="B251" s="49"/>
      <c r="C251"/>
    </row>
    <row r="252" spans="1:3" ht="15" customHeight="1" x14ac:dyDescent="0.25">
      <c r="A252"/>
      <c r="B252" s="49"/>
      <c r="C252"/>
    </row>
    <row r="253" spans="1:3" ht="15" customHeight="1" x14ac:dyDescent="0.25">
      <c r="A253"/>
      <c r="B253" s="49"/>
      <c r="C253"/>
    </row>
    <row r="254" spans="1:3" ht="15" customHeight="1" x14ac:dyDescent="0.25">
      <c r="A254"/>
      <c r="B254" s="49"/>
      <c r="C254"/>
    </row>
    <row r="255" spans="1:3" ht="15" customHeight="1" x14ac:dyDescent="0.25">
      <c r="A255"/>
      <c r="B255" s="49"/>
      <c r="C255"/>
    </row>
    <row r="256" spans="1:3" ht="15" customHeight="1" x14ac:dyDescent="0.25">
      <c r="A256"/>
      <c r="B256" s="49"/>
      <c r="C256"/>
    </row>
    <row r="257" spans="1:3" ht="15" customHeight="1" x14ac:dyDescent="0.25">
      <c r="A257"/>
      <c r="B257" s="49"/>
      <c r="C257"/>
    </row>
    <row r="258" spans="1:3" ht="15" customHeight="1" x14ac:dyDescent="0.25">
      <c r="A258"/>
      <c r="B258" s="49"/>
      <c r="C258"/>
    </row>
    <row r="259" spans="1:3" ht="15" customHeight="1" x14ac:dyDescent="0.25">
      <c r="A259"/>
      <c r="B259" s="49"/>
      <c r="C259"/>
    </row>
    <row r="260" spans="1:3" ht="15" customHeight="1" x14ac:dyDescent="0.25">
      <c r="A260"/>
      <c r="B260" s="49"/>
      <c r="C260"/>
    </row>
    <row r="261" spans="1:3" ht="15" customHeight="1" x14ac:dyDescent="0.25">
      <c r="A261"/>
      <c r="B261" s="49"/>
      <c r="C261"/>
    </row>
    <row r="262" spans="1:3" ht="15" customHeight="1" x14ac:dyDescent="0.25">
      <c r="A262"/>
      <c r="B262" s="49"/>
      <c r="C262"/>
    </row>
    <row r="263" spans="1:3" ht="15" customHeight="1" x14ac:dyDescent="0.25">
      <c r="A263"/>
      <c r="B263" s="49"/>
      <c r="C263"/>
    </row>
    <row r="264" spans="1:3" ht="15" customHeight="1" x14ac:dyDescent="0.25">
      <c r="A264"/>
      <c r="B264" s="49"/>
      <c r="C264"/>
    </row>
    <row r="265" spans="1:3" ht="15" customHeight="1" x14ac:dyDescent="0.25">
      <c r="A265"/>
      <c r="B265" s="49"/>
      <c r="C265"/>
    </row>
    <row r="266" spans="1:3" ht="15" customHeight="1" x14ac:dyDescent="0.25">
      <c r="A266"/>
      <c r="B266" s="49"/>
      <c r="C266"/>
    </row>
    <row r="267" spans="1:3" ht="15" customHeight="1" x14ac:dyDescent="0.25">
      <c r="A267"/>
      <c r="B267" s="49"/>
      <c r="C267"/>
    </row>
    <row r="268" spans="1:3" ht="15" customHeight="1" x14ac:dyDescent="0.25">
      <c r="A268"/>
      <c r="B268" s="49"/>
      <c r="C268"/>
    </row>
    <row r="269" spans="1:3" ht="15" customHeight="1" x14ac:dyDescent="0.25">
      <c r="A269"/>
      <c r="B269" s="49"/>
      <c r="C269"/>
    </row>
    <row r="270" spans="1:3" ht="15" customHeight="1" x14ac:dyDescent="0.25">
      <c r="A270"/>
      <c r="B270" s="49"/>
      <c r="C270"/>
    </row>
    <row r="271" spans="1:3" ht="15" customHeight="1" x14ac:dyDescent="0.25">
      <c r="A271"/>
      <c r="B271" s="49"/>
      <c r="C271"/>
    </row>
    <row r="272" spans="1:3" ht="15" customHeight="1" x14ac:dyDescent="0.25">
      <c r="A272"/>
      <c r="B272" s="49"/>
      <c r="C272"/>
    </row>
    <row r="273" spans="1:3" ht="15" customHeight="1" x14ac:dyDescent="0.25">
      <c r="A273"/>
      <c r="B273" s="49"/>
      <c r="C273"/>
    </row>
    <row r="274" spans="1:3" ht="15" customHeight="1" x14ac:dyDescent="0.25">
      <c r="A274"/>
      <c r="B274" s="49"/>
      <c r="C274"/>
    </row>
    <row r="275" spans="1:3" ht="15" customHeight="1" x14ac:dyDescent="0.25">
      <c r="A275"/>
      <c r="B275" s="49"/>
      <c r="C275"/>
    </row>
    <row r="276" spans="1:3" ht="15" customHeight="1" x14ac:dyDescent="0.25">
      <c r="A276"/>
      <c r="B276" s="49"/>
      <c r="C276"/>
    </row>
    <row r="277" spans="1:3" ht="15" customHeight="1" x14ac:dyDescent="0.25">
      <c r="A277"/>
      <c r="B277" s="49"/>
      <c r="C277"/>
    </row>
    <row r="278" spans="1:3" ht="15" customHeight="1" x14ac:dyDescent="0.25">
      <c r="A278"/>
      <c r="B278" s="49"/>
      <c r="C278"/>
    </row>
    <row r="279" spans="1:3" ht="15" customHeight="1" x14ac:dyDescent="0.25">
      <c r="A279"/>
      <c r="B279" s="49"/>
      <c r="C279"/>
    </row>
    <row r="280" spans="1:3" ht="15" customHeight="1" x14ac:dyDescent="0.25">
      <c r="A280"/>
      <c r="B280" s="49"/>
      <c r="C280"/>
    </row>
    <row r="281" spans="1:3" ht="15" customHeight="1" x14ac:dyDescent="0.25">
      <c r="A281"/>
      <c r="B281" s="49"/>
      <c r="C281"/>
    </row>
    <row r="282" spans="1:3" ht="15" customHeight="1" x14ac:dyDescent="0.25">
      <c r="A282"/>
      <c r="B282" s="49"/>
      <c r="C282"/>
    </row>
    <row r="283" spans="1:3" ht="15" customHeight="1" x14ac:dyDescent="0.25">
      <c r="A283"/>
      <c r="B283" s="49"/>
      <c r="C283"/>
    </row>
    <row r="284" spans="1:3" ht="15" customHeight="1" x14ac:dyDescent="0.25">
      <c r="A284"/>
      <c r="B284" s="49"/>
      <c r="C284"/>
    </row>
    <row r="285" spans="1:3" ht="15" customHeight="1" x14ac:dyDescent="0.25">
      <c r="A285"/>
      <c r="B285" s="49"/>
      <c r="C285"/>
    </row>
    <row r="286" spans="1:3" ht="15" customHeight="1" x14ac:dyDescent="0.25">
      <c r="A286"/>
      <c r="B286" s="49"/>
      <c r="C286"/>
    </row>
    <row r="287" spans="1:3" ht="15" customHeight="1" x14ac:dyDescent="0.25">
      <c r="A287"/>
      <c r="B287" s="49"/>
      <c r="C287"/>
    </row>
    <row r="288" spans="1:3" ht="15" customHeight="1" x14ac:dyDescent="0.25">
      <c r="A288"/>
      <c r="B288" s="49"/>
      <c r="C288"/>
    </row>
    <row r="289" spans="1:3" ht="15" customHeight="1" x14ac:dyDescent="0.25">
      <c r="A289"/>
      <c r="B289" s="49"/>
      <c r="C289"/>
    </row>
    <row r="290" spans="1:3" ht="15" customHeight="1" x14ac:dyDescent="0.25">
      <c r="A290"/>
      <c r="B290" s="49"/>
      <c r="C290"/>
    </row>
    <row r="291" spans="1:3" ht="15" customHeight="1" x14ac:dyDescent="0.25">
      <c r="A291"/>
      <c r="B291" s="49"/>
      <c r="C291"/>
    </row>
    <row r="292" spans="1:3" ht="15" customHeight="1" x14ac:dyDescent="0.25">
      <c r="A292"/>
      <c r="B292" s="49"/>
      <c r="C292"/>
    </row>
    <row r="293" spans="1:3" ht="15" customHeight="1" x14ac:dyDescent="0.25">
      <c r="A293"/>
      <c r="B293" s="49"/>
      <c r="C293"/>
    </row>
    <row r="294" spans="1:3" ht="15" customHeight="1" x14ac:dyDescent="0.25">
      <c r="A294"/>
      <c r="B294" s="49"/>
      <c r="C294"/>
    </row>
    <row r="295" spans="1:3" ht="15" customHeight="1" x14ac:dyDescent="0.25">
      <c r="A295"/>
      <c r="B295" s="49"/>
      <c r="C295"/>
    </row>
    <row r="296" spans="1:3" ht="15" customHeight="1" x14ac:dyDescent="0.25">
      <c r="A296"/>
      <c r="B296" s="49"/>
      <c r="C296"/>
    </row>
    <row r="297" spans="1:3" ht="15" customHeight="1" x14ac:dyDescent="0.25">
      <c r="A297"/>
      <c r="B297" s="49"/>
      <c r="C297"/>
    </row>
    <row r="298" spans="1:3" ht="15" customHeight="1" x14ac:dyDescent="0.25">
      <c r="A298"/>
      <c r="B298" s="49"/>
      <c r="C298"/>
    </row>
    <row r="299" spans="1:3" ht="15" customHeight="1" x14ac:dyDescent="0.25">
      <c r="A299"/>
      <c r="B299" s="49"/>
      <c r="C299"/>
    </row>
    <row r="300" spans="1:3" ht="15" customHeight="1" x14ac:dyDescent="0.25">
      <c r="A300"/>
      <c r="B300" s="49"/>
      <c r="C300"/>
    </row>
    <row r="301" spans="1:3" ht="15" customHeight="1" x14ac:dyDescent="0.25">
      <c r="A301"/>
      <c r="B301" s="49"/>
      <c r="C301"/>
    </row>
    <row r="302" spans="1:3" ht="15" customHeight="1" x14ac:dyDescent="0.25">
      <c r="A302"/>
      <c r="B302" s="49"/>
      <c r="C302"/>
    </row>
    <row r="303" spans="1:3" ht="15" customHeight="1" x14ac:dyDescent="0.25">
      <c r="A303"/>
      <c r="B303" s="49"/>
      <c r="C303"/>
    </row>
    <row r="304" spans="1:3" ht="15" customHeight="1" x14ac:dyDescent="0.25">
      <c r="A304"/>
      <c r="B304" s="49"/>
      <c r="C304"/>
    </row>
    <row r="305" spans="1:3" ht="15" customHeight="1" x14ac:dyDescent="0.25">
      <c r="A305"/>
      <c r="B305" s="49"/>
      <c r="C305"/>
    </row>
    <row r="306" spans="1:3" ht="15" customHeight="1" x14ac:dyDescent="0.25">
      <c r="A306"/>
      <c r="B306" s="49"/>
      <c r="C306"/>
    </row>
    <row r="307" spans="1:3" ht="15" customHeight="1" x14ac:dyDescent="0.25">
      <c r="A307"/>
      <c r="B307" s="49"/>
      <c r="C307"/>
    </row>
    <row r="308" spans="1:3" ht="15" customHeight="1" x14ac:dyDescent="0.25">
      <c r="A308"/>
      <c r="B308" s="49"/>
      <c r="C308"/>
    </row>
    <row r="309" spans="1:3" ht="15" customHeight="1" x14ac:dyDescent="0.25">
      <c r="A309"/>
      <c r="B309" s="49"/>
      <c r="C309"/>
    </row>
    <row r="310" spans="1:3" ht="15" customHeight="1" x14ac:dyDescent="0.25">
      <c r="A310"/>
      <c r="B310" s="49"/>
      <c r="C310"/>
    </row>
    <row r="311" spans="1:3" ht="15" customHeight="1" x14ac:dyDescent="0.25">
      <c r="A311"/>
      <c r="B311" s="49"/>
      <c r="C311"/>
    </row>
    <row r="312" spans="1:3" ht="15" customHeight="1" x14ac:dyDescent="0.25">
      <c r="A312"/>
      <c r="B312" s="49"/>
      <c r="C312"/>
    </row>
    <row r="313" spans="1:3" ht="15" customHeight="1" x14ac:dyDescent="0.25">
      <c r="A313"/>
      <c r="B313" s="49"/>
      <c r="C313"/>
    </row>
    <row r="314" spans="1:3" ht="15" customHeight="1" x14ac:dyDescent="0.25">
      <c r="A314"/>
      <c r="B314" s="49"/>
      <c r="C314"/>
    </row>
    <row r="315" spans="1:3" ht="15" customHeight="1" x14ac:dyDescent="0.25">
      <c r="A315"/>
      <c r="B315" s="49"/>
      <c r="C315"/>
    </row>
    <row r="316" spans="1:3" ht="15" customHeight="1" x14ac:dyDescent="0.25">
      <c r="A316"/>
      <c r="B316" s="49"/>
      <c r="C316"/>
    </row>
    <row r="317" spans="1:3" ht="15" customHeight="1" x14ac:dyDescent="0.25">
      <c r="A317"/>
      <c r="B317" s="49"/>
      <c r="C317"/>
    </row>
    <row r="318" spans="1:3" ht="15" customHeight="1" x14ac:dyDescent="0.25">
      <c r="A318"/>
      <c r="B318" s="49"/>
      <c r="C318"/>
    </row>
    <row r="319" spans="1:3" ht="15" customHeight="1" x14ac:dyDescent="0.25">
      <c r="A319"/>
      <c r="B319" s="49"/>
      <c r="C319"/>
    </row>
    <row r="320" spans="1:3" ht="15" customHeight="1" x14ac:dyDescent="0.25">
      <c r="A320"/>
      <c r="B320" s="49"/>
      <c r="C320"/>
    </row>
    <row r="321" spans="1:3" ht="15" customHeight="1" x14ac:dyDescent="0.25">
      <c r="A321"/>
      <c r="B321" s="49"/>
      <c r="C321"/>
    </row>
    <row r="322" spans="1:3" ht="15" customHeight="1" x14ac:dyDescent="0.25">
      <c r="A322"/>
      <c r="B322" s="49"/>
      <c r="C322"/>
    </row>
    <row r="323" spans="1:3" ht="15" customHeight="1" x14ac:dyDescent="0.25">
      <c r="A323"/>
      <c r="B323" s="49"/>
      <c r="C323"/>
    </row>
    <row r="324" spans="1:3" ht="15" customHeight="1" x14ac:dyDescent="0.25">
      <c r="A324"/>
      <c r="B324" s="49"/>
      <c r="C324"/>
    </row>
    <row r="325" spans="1:3" ht="15" customHeight="1" x14ac:dyDescent="0.25">
      <c r="A325"/>
      <c r="B325" s="49"/>
      <c r="C325"/>
    </row>
    <row r="326" spans="1:3" ht="15" customHeight="1" x14ac:dyDescent="0.25">
      <c r="A326"/>
      <c r="B326" s="49"/>
      <c r="C326"/>
    </row>
    <row r="327" spans="1:3" ht="15" customHeight="1" x14ac:dyDescent="0.25">
      <c r="A327"/>
      <c r="B327" s="49"/>
      <c r="C327"/>
    </row>
    <row r="328" spans="1:3" ht="15" customHeight="1" x14ac:dyDescent="0.25">
      <c r="A328"/>
      <c r="B328" s="49"/>
      <c r="C328"/>
    </row>
    <row r="329" spans="1:3" ht="15" customHeight="1" x14ac:dyDescent="0.25">
      <c r="A329"/>
      <c r="B329" s="49"/>
      <c r="C329"/>
    </row>
    <row r="330" spans="1:3" ht="15" customHeight="1" x14ac:dyDescent="0.25">
      <c r="A330"/>
      <c r="B330" s="49"/>
      <c r="C330"/>
    </row>
    <row r="331" spans="1:3" ht="15" customHeight="1" x14ac:dyDescent="0.25">
      <c r="A331"/>
      <c r="B331" s="49"/>
      <c r="C331"/>
    </row>
    <row r="332" spans="1:3" ht="15" customHeight="1" x14ac:dyDescent="0.25">
      <c r="A332"/>
      <c r="B332" s="49"/>
      <c r="C332"/>
    </row>
  </sheetData>
  <sortState ref="A12:C721">
    <sortCondition ref="A12:A721"/>
    <sortCondition ref="B12:B721"/>
    <sortCondition ref="C12:C7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semilavorati</vt:lpstr>
      <vt:lpstr>monomeri</vt:lpstr>
      <vt:lpstr>consumi</vt:lpstr>
      <vt:lpstr>import</vt:lpstr>
      <vt:lpstr>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ALESSANDRO SERRA </cp:lastModifiedBy>
  <cp:lastPrinted>2015-02-18T11:44:42Z</cp:lastPrinted>
  <dcterms:created xsi:type="dcterms:W3CDTF">2015-02-15T11:05:17Z</dcterms:created>
  <dcterms:modified xsi:type="dcterms:W3CDTF">2015-02-18T14:48:36Z</dcterms:modified>
</cp:coreProperties>
</file>