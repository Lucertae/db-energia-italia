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C27" i="1"/>
  <c r="D27" i="1"/>
  <c r="E27" i="1"/>
  <c r="F27" i="1"/>
  <c r="G27" i="1"/>
  <c r="H27" i="1"/>
  <c r="I27" i="1"/>
  <c r="J27" i="1"/>
  <c r="K27" i="1"/>
  <c r="L27" i="1"/>
  <c r="M27" i="1"/>
  <c r="O27" i="1"/>
  <c r="P27" i="1"/>
  <c r="Q27" i="1"/>
  <c r="J36" i="1"/>
  <c r="J38" i="1"/>
  <c r="J55" i="1" s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K27" i="2" s="1"/>
  <c r="C27" i="2"/>
  <c r="D27" i="2"/>
  <c r="E27" i="2"/>
  <c r="F27" i="2"/>
  <c r="G27" i="2"/>
  <c r="H27" i="2"/>
  <c r="I27" i="2"/>
  <c r="J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<sst xmlns="http://schemas.openxmlformats.org/spreadsheetml/2006/main" count="244" uniqueCount="112">
  <si>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</si>
  <si>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</si>
  <si>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</si>
  <si>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</si>
  <si>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</si>
  <si>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</si>
  <si>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</si>
  <si>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</si>
  <si>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</si>
  <si>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</si>
  <si>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</si>
  <si>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</si>
  <si>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</si>
  <si>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</si>
  <si>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</si>
  <si>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</si>
  <si>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</si>
  <si>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</si>
  <si>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</si>
  <si>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</si>
  <si>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</si>
  <si>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</si>
  <si>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</si>
  <si>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</si>
  <si>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</si>
  <si>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</si>
  <si>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</si>
  <si>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</si>
  <si>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</si>
  <si>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</si>
  <si>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</si>
  <si>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</si>
  <si>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</si>
  <si>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</si>
  <si>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</si>
  <si>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</si>
  <si>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</si>
  <si>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</si>
  <si>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</si>
  <si>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</si>
  <si>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</si>
  <si>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</si>
  <si>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</si>
  <si>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</si>
  <si>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</si>
  <si>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</si>
  <si>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</si>
  <si>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</si>
  <si>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</si>
  <si>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</si>
  <si>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</si>
  <si>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</si>
  <si>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</si>
  <si>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</si>
  <si>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</si>
  <si>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</si>
  <si>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</si>
  <si>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</si>
  <si>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</si>
  <si>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</si>
  <si>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</si>
  <si>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</si>
  <si>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</si>
  <si>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</si>
  <si>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</si>
  <si>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</si>
  <si>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</si>
  <si>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</si>
  <si>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</si>
  <si>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</si>
  <si>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</si>
  <si>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</si>
  <si>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</si>
  <si>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</si>
  <si>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</si>
  <si>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</si>
  <si>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</si>
  <si>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</si>
  <si>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</si>
  <si>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</si>
  <si>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</si>
  <si>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</si>
  <si>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</si>
  <si>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</si>
  <si>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</si>
  <si>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</si>
  <si>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</si>
  <si>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</si>
  <si>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</si>
  <si>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</si>
  <si>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</si>
  <si>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</si>
  <si>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</si>
  <si>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</si>
  <si>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</si>
  <si>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</si>
  <si>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</si>
  <si>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</si>
  <si>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</si>
  <si>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</si>
  <si>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</si>
  <si>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</si>
  <si>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</si>
  <si>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</si>
  <si>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</si>
  <si>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</si>
  <si>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</si>
  <si>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</si>
  <si>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</si>
  <si>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</si>
  <si>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</si>
  <si>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marzo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</si>
</sst>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6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3"/>
      <c r="D2" s="83"/>
      <c r="E2" s="84" t="s">
        <v>110</v>
      </c>
      <c r="F2" s="85"/>
      <c r="G2" s="85"/>
      <c r="H2" s="85"/>
      <c r="I2" s="85"/>
      <c r="J2" s="85"/>
      <c r="K2" s="85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7">
        <v>337959.36</v>
      </c>
      <c r="D12" s="27">
        <v>0</v>
      </c>
      <c r="E12" s="28">
        <v>90190</v>
      </c>
      <c r="F12" s="29">
        <v>357244</v>
      </c>
      <c r="G12" s="26">
        <v>0</v>
      </c>
      <c r="H12" s="30">
        <v>421047</v>
      </c>
      <c r="I12" s="31"/>
      <c r="J12" s="32"/>
      <c r="K12" s="27">
        <v>0</v>
      </c>
      <c r="L12" s="30">
        <v>0</v>
      </c>
      <c r="M12" s="33">
        <v>364347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7">
        <v>2592627.4300000002</v>
      </c>
      <c r="D13" s="27">
        <v>3931044</v>
      </c>
      <c r="E13" s="27">
        <v>0</v>
      </c>
      <c r="F13" s="30">
        <v>0</v>
      </c>
      <c r="G13" s="27">
        <v>0</v>
      </c>
      <c r="H13" s="27">
        <v>4012459</v>
      </c>
      <c r="I13" s="36"/>
      <c r="J13" s="36"/>
      <c r="K13" s="27">
        <v>0</v>
      </c>
      <c r="L13" s="37">
        <v>21</v>
      </c>
      <c r="M13" s="33">
        <v>2511190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7">
        <v>97236.81</v>
      </c>
      <c r="D14" s="27">
        <v>0</v>
      </c>
      <c r="E14" s="27">
        <v>33648</v>
      </c>
      <c r="F14" s="27">
        <v>62529</v>
      </c>
      <c r="G14" s="27">
        <v>86847</v>
      </c>
      <c r="H14" s="27">
        <v>130925</v>
      </c>
      <c r="I14" s="36"/>
      <c r="J14" s="36"/>
      <c r="K14" s="27">
        <v>0</v>
      </c>
      <c r="L14" s="37">
        <v>35290</v>
      </c>
      <c r="M14" s="33">
        <v>114046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7">
        <v>10401.69</v>
      </c>
      <c r="D15" s="27">
        <v>47494</v>
      </c>
      <c r="E15" s="27">
        <v>0</v>
      </c>
      <c r="F15" s="27">
        <v>109469</v>
      </c>
      <c r="G15" s="27">
        <v>0</v>
      </c>
      <c r="H15" s="27">
        <v>144997</v>
      </c>
      <c r="I15" s="36"/>
      <c r="J15" s="36"/>
      <c r="K15" s="27">
        <v>0</v>
      </c>
      <c r="L15" s="37">
        <v>0</v>
      </c>
      <c r="M15" s="33">
        <v>22368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7">
        <v>509326.6</v>
      </c>
      <c r="D16" s="27">
        <v>461951</v>
      </c>
      <c r="E16" s="27">
        <v>13157</v>
      </c>
      <c r="F16" s="27">
        <v>134877</v>
      </c>
      <c r="G16" s="27">
        <v>0</v>
      </c>
      <c r="H16" s="27">
        <v>646407</v>
      </c>
      <c r="I16" s="36"/>
      <c r="J16" s="36"/>
      <c r="K16" s="27">
        <v>0</v>
      </c>
      <c r="L16" s="37">
        <v>0</v>
      </c>
      <c r="M16" s="33">
        <v>472904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7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7">
        <v>2830.59</v>
      </c>
      <c r="D18" s="27">
        <v>2590</v>
      </c>
      <c r="E18" s="27">
        <v>2149</v>
      </c>
      <c r="F18" s="27">
        <v>0</v>
      </c>
      <c r="G18" s="27">
        <v>0</v>
      </c>
      <c r="H18" s="27">
        <v>3566</v>
      </c>
      <c r="I18" s="36"/>
      <c r="J18" s="36"/>
      <c r="K18" s="27">
        <v>0</v>
      </c>
      <c r="L18" s="37">
        <v>0</v>
      </c>
      <c r="M18" s="33">
        <v>4004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7">
        <v>22852.66</v>
      </c>
      <c r="D19" s="27">
        <v>17631</v>
      </c>
      <c r="E19" s="27">
        <v>21641</v>
      </c>
      <c r="F19" s="27">
        <v>0</v>
      </c>
      <c r="G19" s="27">
        <v>0</v>
      </c>
      <c r="H19" s="27">
        <v>28435</v>
      </c>
      <c r="I19" s="36"/>
      <c r="J19" s="36"/>
      <c r="K19" s="27">
        <v>0</v>
      </c>
      <c r="L19" s="37">
        <v>0</v>
      </c>
      <c r="M19" s="33">
        <v>33690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7">
        <v>6030.62</v>
      </c>
      <c r="D20" s="27">
        <v>3370</v>
      </c>
      <c r="E20" s="27">
        <v>0</v>
      </c>
      <c r="F20" s="27">
        <v>0</v>
      </c>
      <c r="G20" s="27">
        <v>0</v>
      </c>
      <c r="H20" s="27">
        <v>5038</v>
      </c>
      <c r="I20" s="36"/>
      <c r="J20" s="36"/>
      <c r="K20" s="27">
        <v>0</v>
      </c>
      <c r="L20" s="37">
        <v>0</v>
      </c>
      <c r="M20" s="33">
        <v>4362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7">
        <v>9248.7999999999993</v>
      </c>
      <c r="D21" s="27">
        <v>3545</v>
      </c>
      <c r="E21" s="27">
        <v>7058</v>
      </c>
      <c r="F21" s="27">
        <v>0</v>
      </c>
      <c r="G21" s="27">
        <v>0</v>
      </c>
      <c r="H21" s="27">
        <v>11691</v>
      </c>
      <c r="I21" s="36"/>
      <c r="J21" s="36"/>
      <c r="K21" s="27">
        <v>0</v>
      </c>
      <c r="L21" s="37">
        <v>0</v>
      </c>
      <c r="M21" s="33">
        <v>8160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7">
        <v>3235.07</v>
      </c>
      <c r="D22" s="27">
        <v>2484</v>
      </c>
      <c r="E22" s="27">
        <v>135</v>
      </c>
      <c r="F22" s="27">
        <v>0</v>
      </c>
      <c r="G22" s="27">
        <v>0</v>
      </c>
      <c r="H22" s="27">
        <v>1638</v>
      </c>
      <c r="I22" s="36"/>
      <c r="J22" s="36"/>
      <c r="K22" s="27">
        <v>0</v>
      </c>
      <c r="L22" s="37">
        <v>0</v>
      </c>
      <c r="M22" s="33">
        <v>4216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7">
        <v>23031.4</v>
      </c>
      <c r="D23" s="27">
        <v>0</v>
      </c>
      <c r="E23" s="27">
        <v>896</v>
      </c>
      <c r="F23" s="27">
        <v>0</v>
      </c>
      <c r="G23" s="27">
        <v>0</v>
      </c>
      <c r="H23" s="27">
        <v>874</v>
      </c>
      <c r="I23" s="36"/>
      <c r="J23" s="36"/>
      <c r="K23" s="27">
        <v>0</v>
      </c>
      <c r="L23" s="37">
        <v>0</v>
      </c>
      <c r="M23" s="33">
        <v>23053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7">
        <v>7844.74</v>
      </c>
      <c r="D24" s="27">
        <v>6798</v>
      </c>
      <c r="E24" s="27">
        <v>0</v>
      </c>
      <c r="F24" s="27">
        <v>0</v>
      </c>
      <c r="G24" s="27">
        <v>0</v>
      </c>
      <c r="H24" s="27">
        <v>8542</v>
      </c>
      <c r="I24" s="36"/>
      <c r="J24" s="36"/>
      <c r="K24" s="27">
        <v>0</v>
      </c>
      <c r="L24" s="37">
        <v>0</v>
      </c>
      <c r="M24" s="33">
        <v>6101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7">
        <v>2096.6</v>
      </c>
      <c r="D25" s="27">
        <v>375</v>
      </c>
      <c r="E25" s="27">
        <v>0</v>
      </c>
      <c r="F25" s="27">
        <v>0</v>
      </c>
      <c r="G25" s="27">
        <v>0</v>
      </c>
      <c r="H25" s="27">
        <v>1468</v>
      </c>
      <c r="I25" s="36"/>
      <c r="J25" s="36"/>
      <c r="K25" s="27">
        <v>0</v>
      </c>
      <c r="L25" s="37">
        <v>0</v>
      </c>
      <c r="M25" s="33">
        <v>1003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129923</v>
      </c>
      <c r="F26" s="41">
        <v>631</v>
      </c>
      <c r="G26" s="41">
        <v>0</v>
      </c>
      <c r="H26" s="41">
        <v>0</v>
      </c>
      <c r="I26" s="42"/>
      <c r="J26" s="42"/>
      <c r="K26" s="41">
        <v>130555</v>
      </c>
      <c r="L26" s="43">
        <v>0</v>
      </c>
      <c r="M26" s="44">
        <v>0</v>
      </c>
      <c r="N26" s="38"/>
      <c r="O26" s="37">
        <v>8882</v>
      </c>
      <c r="P26" s="37">
        <v>28414</v>
      </c>
      <c r="Q26" s="39">
        <v>2324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3624722.37</v>
      </c>
      <c r="D27" s="46">
        <f t="shared" si="0"/>
        <v>4477282</v>
      </c>
      <c r="E27" s="46">
        <f t="shared" si="0"/>
        <v>298797</v>
      </c>
      <c r="F27" s="46">
        <f t="shared" si="0"/>
        <v>664750</v>
      </c>
      <c r="G27" s="46">
        <f t="shared" si="0"/>
        <v>86847</v>
      </c>
      <c r="H27" s="46">
        <f t="shared" si="0"/>
        <v>5417087</v>
      </c>
      <c r="I27" s="46">
        <f t="shared" si="0"/>
        <v>0</v>
      </c>
      <c r="J27" s="46">
        <f t="shared" si="0"/>
        <v>0</v>
      </c>
      <c r="K27" s="46">
        <f t="shared" si="0"/>
        <v>130555</v>
      </c>
      <c r="L27" s="46">
        <f t="shared" si="0"/>
        <v>35311</v>
      </c>
      <c r="M27" s="47">
        <f t="shared" si="0"/>
        <v>3569444</v>
      </c>
      <c r="N27" s="48"/>
      <c r="O27" s="49">
        <f>SUM(O12:O26)</f>
        <v>8882</v>
      </c>
      <c r="P27" s="49">
        <f>SUM(P12:P26)</f>
        <v>28414</v>
      </c>
      <c r="Q27" s="50">
        <f>SUM(Q12:Q26)</f>
        <v>2324</v>
      </c>
    </row>
    <row r="28" spans="1:17" ht="16.5" customHeight="1" x14ac:dyDescent="0.25">
      <c r="A28" s="18"/>
      <c r="B28" s="77" t="s">
        <v>55</v>
      </c>
      <c r="C28" s="7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27">
        <v>497047.57</v>
      </c>
      <c r="D29" s="30">
        <v>170</v>
      </c>
      <c r="E29" s="30">
        <v>16408</v>
      </c>
      <c r="F29" s="30">
        <v>0</v>
      </c>
      <c r="G29" s="30">
        <v>0</v>
      </c>
      <c r="H29" s="32"/>
      <c r="I29" s="30">
        <v>83292</v>
      </c>
      <c r="J29" s="30">
        <v>-55814</v>
      </c>
      <c r="K29" s="52">
        <v>0</v>
      </c>
      <c r="L29" s="52">
        <v>100337</v>
      </c>
      <c r="M29" s="53">
        <v>440767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7">
        <v>881423.9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79535</v>
      </c>
      <c r="J30" s="27">
        <v>-117937</v>
      </c>
      <c r="K30" s="58">
        <v>4517</v>
      </c>
      <c r="L30" s="58">
        <v>26020</v>
      </c>
      <c r="M30" s="59">
        <v>812483</v>
      </c>
      <c r="N30" s="54"/>
      <c r="O30" s="60">
        <v>10</v>
      </c>
      <c r="P30" s="37">
        <v>4506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7">
        <v>1401746.93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459532</v>
      </c>
      <c r="J31" s="27">
        <v>-5613</v>
      </c>
      <c r="K31" s="58">
        <v>191510</v>
      </c>
      <c r="L31" s="58">
        <v>233042</v>
      </c>
      <c r="M31" s="59">
        <v>1431111</v>
      </c>
      <c r="N31" s="54"/>
      <c r="O31" s="60">
        <v>1238</v>
      </c>
      <c r="P31" s="37">
        <v>190272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7">
        <v>62122.73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134481</v>
      </c>
      <c r="J32" s="27">
        <v>-68</v>
      </c>
      <c r="K32" s="58">
        <v>725</v>
      </c>
      <c r="L32" s="58">
        <v>133710</v>
      </c>
      <c r="M32" s="59">
        <v>62099</v>
      </c>
      <c r="N32" s="54"/>
      <c r="O32" s="60">
        <v>392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7">
        <v>0</v>
      </c>
      <c r="D33" s="27">
        <v>1362</v>
      </c>
      <c r="E33" s="27">
        <v>1761</v>
      </c>
      <c r="F33" s="27">
        <v>0</v>
      </c>
      <c r="G33" s="27">
        <v>145</v>
      </c>
      <c r="H33" s="31"/>
      <c r="I33" s="27">
        <v>180813</v>
      </c>
      <c r="J33" s="27">
        <v>0</v>
      </c>
      <c r="K33" s="58">
        <v>179462</v>
      </c>
      <c r="L33" s="58">
        <v>4620</v>
      </c>
      <c r="M33" s="59">
        <v>0</v>
      </c>
      <c r="N33" s="54"/>
      <c r="O33" s="60">
        <v>18539</v>
      </c>
      <c r="P33" s="37">
        <v>438</v>
      </c>
      <c r="Q33" s="39">
        <v>4028</v>
      </c>
    </row>
    <row r="34" spans="1:21" ht="15" customHeight="1" x14ac:dyDescent="0.25">
      <c r="A34" s="24" t="s">
        <v>60</v>
      </c>
      <c r="B34" s="23" t="s">
        <v>61</v>
      </c>
      <c r="C34" s="27">
        <v>225755.66</v>
      </c>
      <c r="D34" s="27">
        <v>524</v>
      </c>
      <c r="E34" s="27">
        <v>0</v>
      </c>
      <c r="F34" s="27">
        <v>0</v>
      </c>
      <c r="G34" s="27">
        <v>0</v>
      </c>
      <c r="H34" s="31"/>
      <c r="I34" s="27">
        <v>296691</v>
      </c>
      <c r="J34" s="27">
        <v>-376</v>
      </c>
      <c r="K34" s="58">
        <v>1826</v>
      </c>
      <c r="L34" s="58">
        <v>311707</v>
      </c>
      <c r="M34" s="59">
        <v>209061</v>
      </c>
      <c r="N34" s="54"/>
      <c r="O34" s="60">
        <v>8</v>
      </c>
      <c r="P34" s="37">
        <v>1387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7">
        <v>823100.12</v>
      </c>
      <c r="D35" s="27">
        <v>28371</v>
      </c>
      <c r="E35" s="27">
        <v>0</v>
      </c>
      <c r="F35" s="27">
        <v>0</v>
      </c>
      <c r="G35" s="27">
        <v>0</v>
      </c>
      <c r="H35" s="31"/>
      <c r="I35" s="27">
        <v>942662</v>
      </c>
      <c r="J35" s="27">
        <v>84277</v>
      </c>
      <c r="K35" s="58">
        <v>0</v>
      </c>
      <c r="L35" s="58">
        <v>1079860</v>
      </c>
      <c r="M35" s="59">
        <v>798552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7"/>
      <c r="D36" s="27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23" t="s">
        <v>67</v>
      </c>
      <c r="C37" s="27">
        <v>10708.33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0</v>
      </c>
      <c r="J37" s="27">
        <v>-7619</v>
      </c>
      <c r="K37" s="58">
        <v>0</v>
      </c>
      <c r="L37" s="58">
        <v>0</v>
      </c>
      <c r="M37" s="59">
        <v>3088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7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7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7">
        <v>145656.88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170055</v>
      </c>
      <c r="J40" s="27">
        <v>0</v>
      </c>
      <c r="K40" s="58">
        <v>0</v>
      </c>
      <c r="L40" s="58">
        <v>163753</v>
      </c>
      <c r="M40" s="59">
        <v>151958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7">
        <v>32627.32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8746</v>
      </c>
      <c r="J41" s="27">
        <v>0</v>
      </c>
      <c r="K41" s="58">
        <v>0</v>
      </c>
      <c r="L41" s="58">
        <v>3274</v>
      </c>
      <c r="M41" s="59">
        <v>38100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7">
        <v>3513.13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0</v>
      </c>
      <c r="J42" s="27">
        <v>-1202</v>
      </c>
      <c r="K42" s="58">
        <v>7</v>
      </c>
      <c r="L42" s="58">
        <v>8</v>
      </c>
      <c r="M42" s="59">
        <v>2294</v>
      </c>
      <c r="N42" s="54"/>
      <c r="O42" s="60">
        <v>0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7">
        <v>1246478.08</v>
      </c>
      <c r="D43" s="27">
        <v>57443</v>
      </c>
      <c r="E43" s="27">
        <v>5</v>
      </c>
      <c r="F43" s="27">
        <v>0</v>
      </c>
      <c r="G43" s="27">
        <v>0</v>
      </c>
      <c r="H43" s="31"/>
      <c r="I43" s="27">
        <v>2217986</v>
      </c>
      <c r="J43" s="27">
        <v>132549</v>
      </c>
      <c r="K43" s="58">
        <v>3</v>
      </c>
      <c r="L43" s="58">
        <v>2521204</v>
      </c>
      <c r="M43" s="59">
        <v>1133255</v>
      </c>
      <c r="N43" s="54"/>
      <c r="O43" s="60">
        <v>0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7">
        <v>605192.61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210012</v>
      </c>
      <c r="J44" s="27">
        <v>-18309</v>
      </c>
      <c r="K44" s="58">
        <v>6585</v>
      </c>
      <c r="L44" s="58">
        <v>251531</v>
      </c>
      <c r="M44" s="59">
        <v>538777</v>
      </c>
      <c r="N44" s="54"/>
      <c r="O44" s="60">
        <v>2372</v>
      </c>
      <c r="P44" s="37">
        <v>64</v>
      </c>
      <c r="Q44" s="39">
        <v>14</v>
      </c>
    </row>
    <row r="45" spans="1:21" ht="15" customHeight="1" x14ac:dyDescent="0.25">
      <c r="A45" s="24" t="s">
        <v>82</v>
      </c>
      <c r="B45" s="23" t="s">
        <v>83</v>
      </c>
      <c r="C45" s="27">
        <v>262568.58</v>
      </c>
      <c r="D45" s="27">
        <v>11922</v>
      </c>
      <c r="E45" s="27">
        <v>0</v>
      </c>
      <c r="F45" s="27">
        <v>0</v>
      </c>
      <c r="G45" s="27">
        <v>0</v>
      </c>
      <c r="H45" s="31"/>
      <c r="I45" s="27">
        <v>179666</v>
      </c>
      <c r="J45" s="27">
        <v>-9545</v>
      </c>
      <c r="K45" s="58">
        <v>31667</v>
      </c>
      <c r="L45" s="58">
        <v>127186</v>
      </c>
      <c r="M45" s="59">
        <v>285758</v>
      </c>
      <c r="N45" s="54"/>
      <c r="O45" s="60">
        <v>12906</v>
      </c>
      <c r="P45" s="37">
        <v>0</v>
      </c>
      <c r="Q45" s="39">
        <v>329</v>
      </c>
    </row>
    <row r="46" spans="1:21" ht="15" customHeight="1" x14ac:dyDescent="0.25">
      <c r="A46" s="24" t="s">
        <v>84</v>
      </c>
      <c r="B46" s="23" t="s">
        <v>85</v>
      </c>
      <c r="C46" s="27">
        <v>252784.97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150950</v>
      </c>
      <c r="J46" s="27">
        <v>5082</v>
      </c>
      <c r="K46" s="58">
        <v>0</v>
      </c>
      <c r="L46" s="58">
        <v>205659</v>
      </c>
      <c r="M46" s="59">
        <v>203158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7">
        <v>82733.98</v>
      </c>
      <c r="D47" s="27">
        <v>0</v>
      </c>
      <c r="E47" s="27">
        <v>0</v>
      </c>
      <c r="F47" s="27">
        <v>0</v>
      </c>
      <c r="G47" s="27">
        <v>0</v>
      </c>
      <c r="H47" s="31"/>
      <c r="I47" s="27">
        <v>69323</v>
      </c>
      <c r="J47" s="27">
        <v>0</v>
      </c>
      <c r="K47" s="58">
        <v>76811</v>
      </c>
      <c r="L47" s="58">
        <v>5401</v>
      </c>
      <c r="M47" s="59">
        <v>69844</v>
      </c>
      <c r="N47" s="54"/>
      <c r="O47" s="60">
        <v>7692</v>
      </c>
      <c r="P47" s="37">
        <v>208</v>
      </c>
      <c r="Q47" s="39">
        <v>47</v>
      </c>
    </row>
    <row r="48" spans="1:21" ht="15" customHeight="1" x14ac:dyDescent="0.25">
      <c r="A48" s="24" t="s">
        <v>88</v>
      </c>
      <c r="B48" s="23" t="s">
        <v>89</v>
      </c>
      <c r="C48" s="27">
        <v>117293.34</v>
      </c>
      <c r="D48" s="27">
        <v>0</v>
      </c>
      <c r="E48" s="27">
        <v>194</v>
      </c>
      <c r="F48" s="27">
        <v>0</v>
      </c>
      <c r="G48" s="27">
        <v>0</v>
      </c>
      <c r="H48" s="31"/>
      <c r="I48" s="27">
        <v>97279</v>
      </c>
      <c r="J48" s="27">
        <v>-173</v>
      </c>
      <c r="K48" s="58">
        <v>0</v>
      </c>
      <c r="L48" s="58">
        <v>97776</v>
      </c>
      <c r="M48" s="59">
        <v>116817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7">
        <v>7002.18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7366</v>
      </c>
      <c r="J49" s="27">
        <v>0</v>
      </c>
      <c r="K49" s="58">
        <v>0</v>
      </c>
      <c r="L49" s="58">
        <v>8185</v>
      </c>
      <c r="M49" s="59">
        <v>6182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7">
        <v>3211.29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37611</v>
      </c>
      <c r="J50" s="27">
        <v>0</v>
      </c>
      <c r="K50" s="58">
        <v>0</v>
      </c>
      <c r="L50" s="58">
        <v>36448</v>
      </c>
      <c r="M50" s="59">
        <v>4373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7">
        <v>41712.050000000003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19943</v>
      </c>
      <c r="J51" s="27">
        <v>-5250</v>
      </c>
      <c r="K51" s="58">
        <v>0</v>
      </c>
      <c r="L51" s="58">
        <v>18540</v>
      </c>
      <c r="M51" s="59">
        <v>37865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7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27">
        <v>6055.13</v>
      </c>
      <c r="D53" s="62">
        <v>0</v>
      </c>
      <c r="E53" s="62">
        <v>2059</v>
      </c>
      <c r="F53" s="62">
        <v>0</v>
      </c>
      <c r="G53" s="62">
        <v>0</v>
      </c>
      <c r="H53" s="63"/>
      <c r="I53" s="62">
        <v>19111</v>
      </c>
      <c r="J53" s="62">
        <v>0</v>
      </c>
      <c r="K53" s="64">
        <v>141</v>
      </c>
      <c r="L53" s="64">
        <v>17066</v>
      </c>
      <c r="M53" s="65">
        <v>10017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52030</v>
      </c>
      <c r="J54" s="67">
        <v>0</v>
      </c>
      <c r="K54" s="69">
        <v>52030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6708734.7800000003</v>
      </c>
      <c r="D55" s="72">
        <f t="shared" si="1"/>
        <v>99792</v>
      </c>
      <c r="E55" s="72">
        <f t="shared" si="1"/>
        <v>20427</v>
      </c>
      <c r="F55" s="72">
        <f t="shared" si="1"/>
        <v>0</v>
      </c>
      <c r="G55" s="72">
        <f t="shared" si="1"/>
        <v>145</v>
      </c>
      <c r="H55" s="72">
        <f t="shared" si="1"/>
        <v>0</v>
      </c>
      <c r="I55" s="72">
        <f t="shared" si="1"/>
        <v>5417084</v>
      </c>
      <c r="J55" s="72">
        <f t="shared" si="1"/>
        <v>2</v>
      </c>
      <c r="K55" s="72">
        <f t="shared" si="1"/>
        <v>545284</v>
      </c>
      <c r="L55" s="72">
        <f t="shared" si="1"/>
        <v>5345327</v>
      </c>
      <c r="M55" s="73">
        <f t="shared" si="1"/>
        <v>6355559</v>
      </c>
      <c r="N55" s="74"/>
      <c r="O55" s="75">
        <f>SUM(O29:O54)</f>
        <v>43157</v>
      </c>
      <c r="P55" s="49">
        <f>SUM(P29:P54)</f>
        <v>196875</v>
      </c>
      <c r="Q55" s="50">
        <f>SUM(Q29:Q54)</f>
        <v>4418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3"/>
      <c r="D2" s="83"/>
      <c r="E2" s="84" t="s">
        <v>110</v>
      </c>
      <c r="F2" s="85"/>
      <c r="G2" s="85"/>
      <c r="H2" s="85"/>
      <c r="I2" s="85"/>
      <c r="J2" s="85"/>
      <c r="K2" s="85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215217</v>
      </c>
      <c r="F12" s="29">
        <v>1236161</v>
      </c>
      <c r="G12" s="26">
        <v>0</v>
      </c>
      <c r="H12" s="30">
        <v>1310594</v>
      </c>
      <c r="I12" s="31"/>
      <c r="J12" s="32"/>
      <c r="K12" s="27">
        <v>0</v>
      </c>
      <c r="L12" s="30">
        <v>0</v>
      </c>
      <c r="M12" s="33">
        <v>364347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12926653</v>
      </c>
      <c r="E13" s="27">
        <v>0</v>
      </c>
      <c r="F13" s="30">
        <v>0</v>
      </c>
      <c r="G13" s="27">
        <v>0</v>
      </c>
      <c r="H13" s="27">
        <v>13037631</v>
      </c>
      <c r="I13" s="36"/>
      <c r="J13" s="36"/>
      <c r="K13" s="27">
        <v>0</v>
      </c>
      <c r="L13" s="37">
        <v>-70</v>
      </c>
      <c r="M13" s="33">
        <v>2511190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698</v>
      </c>
      <c r="E14" s="27">
        <v>114084</v>
      </c>
      <c r="F14" s="27">
        <v>154839</v>
      </c>
      <c r="G14" s="27">
        <v>234020</v>
      </c>
      <c r="H14" s="27">
        <v>384494</v>
      </c>
      <c r="I14" s="36"/>
      <c r="J14" s="36"/>
      <c r="K14" s="27">
        <v>0</v>
      </c>
      <c r="L14" s="37">
        <v>97746</v>
      </c>
      <c r="M14" s="33">
        <v>114046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97174</v>
      </c>
      <c r="E15" s="27">
        <v>0</v>
      </c>
      <c r="F15" s="27">
        <v>258406</v>
      </c>
      <c r="G15" s="27">
        <v>0</v>
      </c>
      <c r="H15" s="27">
        <v>344378</v>
      </c>
      <c r="I15" s="36"/>
      <c r="J15" s="36"/>
      <c r="K15" s="27">
        <v>0</v>
      </c>
      <c r="L15" s="37">
        <v>0</v>
      </c>
      <c r="M15" s="33">
        <v>22368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1521365</v>
      </c>
      <c r="E16" s="27">
        <v>51122</v>
      </c>
      <c r="F16" s="27">
        <v>328119</v>
      </c>
      <c r="G16" s="27">
        <v>0</v>
      </c>
      <c r="H16" s="27">
        <v>2011723</v>
      </c>
      <c r="I16" s="36"/>
      <c r="J16" s="36"/>
      <c r="K16" s="27">
        <v>0</v>
      </c>
      <c r="L16" s="37">
        <v>0</v>
      </c>
      <c r="M16" s="33">
        <v>472904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5070</v>
      </c>
      <c r="E18" s="27">
        <v>6287</v>
      </c>
      <c r="F18" s="27">
        <v>0</v>
      </c>
      <c r="G18" s="27">
        <v>0</v>
      </c>
      <c r="H18" s="27">
        <v>10494</v>
      </c>
      <c r="I18" s="36"/>
      <c r="J18" s="36"/>
      <c r="K18" s="27">
        <v>0</v>
      </c>
      <c r="L18" s="37">
        <v>0</v>
      </c>
      <c r="M18" s="33">
        <v>4004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55158</v>
      </c>
      <c r="E19" s="27">
        <v>51299</v>
      </c>
      <c r="F19" s="27">
        <v>0</v>
      </c>
      <c r="G19" s="27">
        <v>0</v>
      </c>
      <c r="H19" s="27">
        <v>105773</v>
      </c>
      <c r="I19" s="36"/>
      <c r="J19" s="36"/>
      <c r="K19" s="27">
        <v>0</v>
      </c>
      <c r="L19" s="37">
        <v>0</v>
      </c>
      <c r="M19" s="33">
        <v>33690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10267</v>
      </c>
      <c r="E20" s="27">
        <v>0</v>
      </c>
      <c r="F20" s="27">
        <v>0</v>
      </c>
      <c r="G20" s="27">
        <v>0</v>
      </c>
      <c r="H20" s="27">
        <v>14737</v>
      </c>
      <c r="I20" s="36"/>
      <c r="J20" s="36"/>
      <c r="K20" s="27">
        <v>0</v>
      </c>
      <c r="L20" s="37">
        <v>0</v>
      </c>
      <c r="M20" s="33">
        <v>4362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9240</v>
      </c>
      <c r="E21" s="27">
        <v>28228</v>
      </c>
      <c r="F21" s="27">
        <v>0</v>
      </c>
      <c r="G21" s="27">
        <v>0</v>
      </c>
      <c r="H21" s="27">
        <v>32839</v>
      </c>
      <c r="I21" s="36"/>
      <c r="J21" s="36"/>
      <c r="K21" s="27">
        <v>0</v>
      </c>
      <c r="L21" s="37">
        <v>0</v>
      </c>
      <c r="M21" s="33">
        <v>8160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7056</v>
      </c>
      <c r="E22" s="27">
        <v>351</v>
      </c>
      <c r="F22" s="27">
        <v>0</v>
      </c>
      <c r="G22" s="27">
        <v>0</v>
      </c>
      <c r="H22" s="27">
        <v>6130</v>
      </c>
      <c r="I22" s="36"/>
      <c r="J22" s="36"/>
      <c r="K22" s="27">
        <v>0</v>
      </c>
      <c r="L22" s="37">
        <v>0</v>
      </c>
      <c r="M22" s="33">
        <v>4216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21837</v>
      </c>
      <c r="E23" s="27">
        <v>2469</v>
      </c>
      <c r="F23" s="27">
        <v>0</v>
      </c>
      <c r="G23" s="27">
        <v>0</v>
      </c>
      <c r="H23" s="27">
        <v>2298</v>
      </c>
      <c r="I23" s="36"/>
      <c r="J23" s="36"/>
      <c r="K23" s="27">
        <v>0</v>
      </c>
      <c r="L23" s="37">
        <v>0</v>
      </c>
      <c r="M23" s="33">
        <v>23053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30807</v>
      </c>
      <c r="E24" s="27">
        <v>0</v>
      </c>
      <c r="F24" s="27">
        <v>0</v>
      </c>
      <c r="G24" s="27">
        <v>0</v>
      </c>
      <c r="H24" s="27">
        <v>27155</v>
      </c>
      <c r="I24" s="36"/>
      <c r="J24" s="36"/>
      <c r="K24" s="27">
        <v>0</v>
      </c>
      <c r="L24" s="37">
        <v>0</v>
      </c>
      <c r="M24" s="33">
        <v>6101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3963</v>
      </c>
      <c r="E25" s="27">
        <v>0</v>
      </c>
      <c r="F25" s="27">
        <v>0</v>
      </c>
      <c r="G25" s="27">
        <v>0</v>
      </c>
      <c r="H25" s="27">
        <v>4447</v>
      </c>
      <c r="I25" s="36"/>
      <c r="J25" s="36"/>
      <c r="K25" s="27">
        <v>0</v>
      </c>
      <c r="L25" s="37">
        <v>0</v>
      </c>
      <c r="M25" s="33">
        <v>1003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390955</v>
      </c>
      <c r="F26" s="41">
        <v>1267</v>
      </c>
      <c r="G26" s="41">
        <v>0</v>
      </c>
      <c r="H26" s="41">
        <v>0</v>
      </c>
      <c r="I26" s="42"/>
      <c r="J26" s="42"/>
      <c r="K26" s="41">
        <v>392223</v>
      </c>
      <c r="L26" s="43">
        <v>0</v>
      </c>
      <c r="M26" s="44">
        <v>0</v>
      </c>
      <c r="N26" s="38"/>
      <c r="O26" s="37">
        <v>27113</v>
      </c>
      <c r="P26" s="37">
        <v>80533</v>
      </c>
      <c r="Q26" s="39">
        <v>9402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14689288</v>
      </c>
      <c r="E27" s="46">
        <f t="shared" si="0"/>
        <v>860012</v>
      </c>
      <c r="F27" s="46">
        <f t="shared" si="0"/>
        <v>1978792</v>
      </c>
      <c r="G27" s="46">
        <f t="shared" si="0"/>
        <v>234020</v>
      </c>
      <c r="H27" s="46">
        <f t="shared" si="0"/>
        <v>17292693</v>
      </c>
      <c r="I27" s="46">
        <f t="shared" si="0"/>
        <v>0</v>
      </c>
      <c r="J27" s="46">
        <f t="shared" si="0"/>
        <v>0</v>
      </c>
      <c r="K27" s="46">
        <f t="shared" si="0"/>
        <v>392223</v>
      </c>
      <c r="L27" s="46">
        <f t="shared" si="0"/>
        <v>97676</v>
      </c>
      <c r="M27" s="47">
        <f t="shared" si="0"/>
        <v>3569444</v>
      </c>
      <c r="N27" s="48"/>
      <c r="O27" s="49">
        <f>SUM(O12:O26)</f>
        <v>27113</v>
      </c>
      <c r="P27" s="49">
        <f>SUM(P12:P26)</f>
        <v>80533</v>
      </c>
      <c r="Q27" s="50">
        <f>SUM(Q12:Q26)</f>
        <v>9402</v>
      </c>
    </row>
    <row r="28" spans="1:17" ht="16.5" customHeight="1" x14ac:dyDescent="0.25">
      <c r="A28" s="18"/>
      <c r="B28" s="77" t="s">
        <v>55</v>
      </c>
      <c r="C28" s="7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589</v>
      </c>
      <c r="E29" s="30">
        <v>51639</v>
      </c>
      <c r="F29" s="30">
        <v>0</v>
      </c>
      <c r="G29" s="30">
        <v>0</v>
      </c>
      <c r="H29" s="32"/>
      <c r="I29" s="30">
        <v>341221</v>
      </c>
      <c r="J29" s="30">
        <v>-94480</v>
      </c>
      <c r="K29" s="52">
        <v>0</v>
      </c>
      <c r="L29" s="52">
        <v>330282</v>
      </c>
      <c r="M29" s="53">
        <v>440767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316028</v>
      </c>
      <c r="J30" s="27">
        <v>-223766</v>
      </c>
      <c r="K30" s="58">
        <v>12394</v>
      </c>
      <c r="L30" s="58">
        <v>104877</v>
      </c>
      <c r="M30" s="59">
        <v>812483</v>
      </c>
      <c r="N30" s="54"/>
      <c r="O30" s="60">
        <v>30</v>
      </c>
      <c r="P30" s="37">
        <v>12364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1115289</v>
      </c>
      <c r="J31" s="27">
        <v>-51088</v>
      </c>
      <c r="K31" s="58">
        <v>513495</v>
      </c>
      <c r="L31" s="58">
        <v>452276</v>
      </c>
      <c r="M31" s="59">
        <v>1431111</v>
      </c>
      <c r="N31" s="54"/>
      <c r="O31" s="60">
        <v>3412</v>
      </c>
      <c r="P31" s="37">
        <v>510083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409378</v>
      </c>
      <c r="J32" s="27">
        <v>-169</v>
      </c>
      <c r="K32" s="58">
        <v>2459</v>
      </c>
      <c r="L32" s="58">
        <v>411179</v>
      </c>
      <c r="M32" s="59">
        <v>62099</v>
      </c>
      <c r="N32" s="54"/>
      <c r="O32" s="60">
        <v>1146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3822</v>
      </c>
      <c r="E33" s="27">
        <v>3951</v>
      </c>
      <c r="F33" s="27">
        <v>0</v>
      </c>
      <c r="G33" s="27">
        <v>189</v>
      </c>
      <c r="H33" s="31"/>
      <c r="I33" s="27">
        <v>507520</v>
      </c>
      <c r="J33" s="27">
        <v>0</v>
      </c>
      <c r="K33" s="58">
        <v>498517</v>
      </c>
      <c r="L33" s="58">
        <v>16965</v>
      </c>
      <c r="M33" s="59">
        <v>0</v>
      </c>
      <c r="N33" s="54"/>
      <c r="O33" s="60">
        <v>52127</v>
      </c>
      <c r="P33" s="37">
        <v>1545</v>
      </c>
      <c r="Q33" s="39">
        <v>7536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524</v>
      </c>
      <c r="E34" s="27">
        <v>21839</v>
      </c>
      <c r="F34" s="27">
        <v>0</v>
      </c>
      <c r="G34" s="27">
        <v>0</v>
      </c>
      <c r="H34" s="31"/>
      <c r="I34" s="27">
        <v>806958</v>
      </c>
      <c r="J34" s="27">
        <v>20204</v>
      </c>
      <c r="K34" s="58">
        <v>4843</v>
      </c>
      <c r="L34" s="58">
        <v>863640</v>
      </c>
      <c r="M34" s="59">
        <v>209061</v>
      </c>
      <c r="N34" s="54"/>
      <c r="O34" s="60">
        <v>26</v>
      </c>
      <c r="P34" s="37">
        <v>3875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28371</v>
      </c>
      <c r="E35" s="27">
        <v>0</v>
      </c>
      <c r="F35" s="27">
        <v>0</v>
      </c>
      <c r="G35" s="27">
        <v>0</v>
      </c>
      <c r="H35" s="31"/>
      <c r="I35" s="27">
        <v>3352780</v>
      </c>
      <c r="J35" s="27">
        <v>228642</v>
      </c>
      <c r="K35" s="58">
        <v>0</v>
      </c>
      <c r="L35" s="58">
        <v>3384962</v>
      </c>
      <c r="M35" s="59">
        <v>798552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3872</v>
      </c>
      <c r="J37" s="27">
        <v>-13969</v>
      </c>
      <c r="K37" s="58">
        <v>0</v>
      </c>
      <c r="L37" s="58">
        <v>0</v>
      </c>
      <c r="M37" s="59">
        <v>3088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463693</v>
      </c>
      <c r="J40" s="27">
        <v>7770</v>
      </c>
      <c r="K40" s="58">
        <v>0</v>
      </c>
      <c r="L40" s="58">
        <v>459458</v>
      </c>
      <c r="M40" s="59">
        <v>151958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22987</v>
      </c>
      <c r="J41" s="27">
        <v>-10227</v>
      </c>
      <c r="K41" s="58">
        <v>0</v>
      </c>
      <c r="L41" s="58">
        <v>8529</v>
      </c>
      <c r="M41" s="59">
        <v>38100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1767</v>
      </c>
      <c r="J42" s="27">
        <v>-1199</v>
      </c>
      <c r="K42" s="58">
        <v>11</v>
      </c>
      <c r="L42" s="58">
        <v>29</v>
      </c>
      <c r="M42" s="59">
        <v>2294</v>
      </c>
      <c r="N42" s="54"/>
      <c r="O42" s="60">
        <v>3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73970</v>
      </c>
      <c r="E43" s="27">
        <v>13</v>
      </c>
      <c r="F43" s="27">
        <v>0</v>
      </c>
      <c r="G43" s="27">
        <v>0</v>
      </c>
      <c r="H43" s="31"/>
      <c r="I43" s="27">
        <v>7158790</v>
      </c>
      <c r="J43" s="27">
        <v>258707</v>
      </c>
      <c r="K43" s="58">
        <v>4022</v>
      </c>
      <c r="L43" s="58">
        <v>7528084</v>
      </c>
      <c r="M43" s="59">
        <v>1133255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781555</v>
      </c>
      <c r="J44" s="27">
        <v>35130</v>
      </c>
      <c r="K44" s="58">
        <v>14914</v>
      </c>
      <c r="L44" s="58">
        <v>853813</v>
      </c>
      <c r="M44" s="59">
        <v>538777</v>
      </c>
      <c r="N44" s="54"/>
      <c r="O44" s="60">
        <v>4854</v>
      </c>
      <c r="P44" s="37">
        <v>131</v>
      </c>
      <c r="Q44" s="39">
        <v>27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11922</v>
      </c>
      <c r="E45" s="27">
        <v>85</v>
      </c>
      <c r="F45" s="27">
        <v>0</v>
      </c>
      <c r="G45" s="27">
        <v>0</v>
      </c>
      <c r="H45" s="31"/>
      <c r="I45" s="27">
        <v>561587</v>
      </c>
      <c r="J45" s="27">
        <v>-36873</v>
      </c>
      <c r="K45" s="58">
        <v>97166</v>
      </c>
      <c r="L45" s="58">
        <v>418820</v>
      </c>
      <c r="M45" s="59">
        <v>285758</v>
      </c>
      <c r="N45" s="54"/>
      <c r="O45" s="60">
        <v>37790</v>
      </c>
      <c r="P45" s="37">
        <v>0</v>
      </c>
      <c r="Q45" s="39">
        <v>990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465589</v>
      </c>
      <c r="J46" s="27">
        <v>11163</v>
      </c>
      <c r="K46" s="58">
        <v>0</v>
      </c>
      <c r="L46" s="58">
        <v>508512</v>
      </c>
      <c r="M46" s="59">
        <v>203158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252879</v>
      </c>
      <c r="J47" s="27">
        <v>-9956</v>
      </c>
      <c r="K47" s="58">
        <v>246754</v>
      </c>
      <c r="L47" s="58">
        <v>29980</v>
      </c>
      <c r="M47" s="59">
        <v>69844</v>
      </c>
      <c r="N47" s="54"/>
      <c r="O47" s="60">
        <v>19683</v>
      </c>
      <c r="P47" s="37">
        <v>532</v>
      </c>
      <c r="Q47" s="39">
        <v>114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0</v>
      </c>
      <c r="E48" s="27">
        <v>391</v>
      </c>
      <c r="F48" s="27">
        <v>0</v>
      </c>
      <c r="G48" s="27">
        <v>0</v>
      </c>
      <c r="H48" s="31"/>
      <c r="I48" s="27">
        <v>289114</v>
      </c>
      <c r="J48" s="27">
        <v>-391</v>
      </c>
      <c r="K48" s="58">
        <v>0</v>
      </c>
      <c r="L48" s="58">
        <v>291122</v>
      </c>
      <c r="M48" s="59">
        <v>116817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20036</v>
      </c>
      <c r="J49" s="27">
        <v>0</v>
      </c>
      <c r="K49" s="58">
        <v>0</v>
      </c>
      <c r="L49" s="58">
        <v>20146</v>
      </c>
      <c r="M49" s="59">
        <v>6182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129452</v>
      </c>
      <c r="J50" s="27">
        <v>0</v>
      </c>
      <c r="K50" s="58">
        <v>0</v>
      </c>
      <c r="L50" s="58">
        <v>133836</v>
      </c>
      <c r="M50" s="59">
        <v>4373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72209</v>
      </c>
      <c r="J51" s="27">
        <v>-13899</v>
      </c>
      <c r="K51" s="58">
        <v>0</v>
      </c>
      <c r="L51" s="58">
        <v>60565</v>
      </c>
      <c r="M51" s="59">
        <v>37865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2530</v>
      </c>
      <c r="F53" s="62">
        <v>0</v>
      </c>
      <c r="G53" s="62">
        <v>0</v>
      </c>
      <c r="H53" s="63"/>
      <c r="I53" s="62">
        <v>61884</v>
      </c>
      <c r="J53" s="62">
        <v>-252</v>
      </c>
      <c r="K53" s="64">
        <v>315</v>
      </c>
      <c r="L53" s="64">
        <v>59880</v>
      </c>
      <c r="M53" s="65">
        <v>10017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158102</v>
      </c>
      <c r="J54" s="67">
        <v>0</v>
      </c>
      <c r="K54" s="69">
        <v>158102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129154</v>
      </c>
      <c r="E55" s="72">
        <f t="shared" si="1"/>
        <v>80448</v>
      </c>
      <c r="F55" s="72">
        <f t="shared" si="1"/>
        <v>0</v>
      </c>
      <c r="G55" s="72">
        <f t="shared" si="1"/>
        <v>189</v>
      </c>
      <c r="H55" s="72">
        <f t="shared" si="1"/>
        <v>0</v>
      </c>
      <c r="I55" s="72">
        <f t="shared" si="1"/>
        <v>17292690</v>
      </c>
      <c r="J55" s="72">
        <f t="shared" si="1"/>
        <v>4</v>
      </c>
      <c r="K55" s="72">
        <f t="shared" si="1"/>
        <v>1552992</v>
      </c>
      <c r="L55" s="72">
        <f t="shared" si="1"/>
        <v>15936955</v>
      </c>
      <c r="M55" s="73">
        <f t="shared" si="1"/>
        <v>6355559</v>
      </c>
      <c r="N55" s="74"/>
      <c r="O55" s="75">
        <f>SUM(O29:O54)</f>
        <v>119384</v>
      </c>
      <c r="P55" s="49">
        <f>SUM(P29:P54)</f>
        <v>528530</v>
      </c>
      <c r="Q55" s="50">
        <f>SUM(Q29:Q54)</f>
        <v>8667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2015-02-15T11:01:23Z</cp:lastPrinted>
  <dcterms:created xsi:type="dcterms:W3CDTF">2014-06-24T13:01:17Z</dcterms:created>
  <dcterms:modified xsi:type="dcterms:W3CDTF">2015-02-17T08:49:26Z</dcterms:modified>
</cp:coreProperties>
</file>