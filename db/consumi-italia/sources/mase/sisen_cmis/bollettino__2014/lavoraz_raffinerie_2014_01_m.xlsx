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C27" i="1"/>
  <c r="D27" i="1"/>
  <c r="E27" i="1"/>
  <c r="F27" i="1"/>
  <c r="G27" i="1"/>
  <c r="H27" i="1"/>
  <c r="I27" i="1"/>
  <c r="J27" i="1"/>
  <c r="K27" i="1"/>
  <c r="L27" i="1"/>
  <c r="M27" i="1"/>
  <c r="O27" i="1"/>
  <c r="P27" i="1"/>
  <c r="Q27" i="1"/>
  <c r="J38" i="1"/>
  <c r="J39" i="1"/>
  <c r="J52" i="1"/>
  <c r="C55" i="1"/>
  <c r="D55" i="1"/>
  <c r="E55" i="1"/>
  <c r="F55" i="1"/>
  <c r="G55" i="1"/>
  <c r="H55" i="1"/>
  <c r="I55" i="1"/>
  <c r="J55" i="1"/>
  <c r="K55" i="1"/>
  <c r="L55" i="1"/>
  <c r="M55" i="1"/>
  <c r="O55" i="1"/>
  <c r="P55" i="1"/>
  <c r="Q55" i="1"/>
  <c r="K17" i="2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J38" i="2"/>
  <c r="J39" i="2"/>
  <c r="J52" i="2"/>
  <c r="C55" i="2"/>
  <c r="D55" i="2"/>
  <c r="E55" i="2"/>
  <c r="F55" i="2"/>
  <c r="G55" i="2"/>
  <c r="H55" i="2"/>
  <c r="I55" i="2"/>
  <c r="J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<sst xmlns="http://schemas.openxmlformats.org/spreadsheetml/2006/main" count="244" uniqueCount="112">
  <si>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</si>
  <si>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</si>
  <si>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</si>
  <si>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</si>
  <si>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</si>
  <si>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</si>
  <si>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</si>
  <si>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Periodo: gennaio 2014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</si>
  <si>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</si>
  <si>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</si>
  <si>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</si>
  <si>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</si>
  <si>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</si>
  <si>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</si>
  <si>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</si>
  <si>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</si>
  <si>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</si>
  <si>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</si>
  <si>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</si>
  <si>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</si>
  <si>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</si>
  <si>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</si>
  <si>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</si>
  <si>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</si>
  <si>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</si>
  <si>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</si>
  <si>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</si>
  <si>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</si>
  <si>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</si>
  <si>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</si>
  <si>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</si>
  <si>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</si>
  <si>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</si>
  <si>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</si>
  <si>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</si>
  <si>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</si>
  <si>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</si>
  <si>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</si>
  <si>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</si>
  <si>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</si>
  <si>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</si>
  <si>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</si>
  <si>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</si>
  <si>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</si>
  <si>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</si>
  <si>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</si>
  <si>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</si>
  <si>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</si>
  <si>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</si>
  <si>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</si>
  <si>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</si>
  <si>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</si>
  <si>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</si>
  <si>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</si>
  <si>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</si>
  <si>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</si>
  <si>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</si>
  <si>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</si>
  <si>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</si>
  <si>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</si>
  <si>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</si>
  <si>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</si>
  <si>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</si>
  <si>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</si>
  <si>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</si>
  <si>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</si>
  <si>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</si>
  <si>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</si>
  <si>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</si>
  <si>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</si>
  <si>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</si>
  <si>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</si>
  <si>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</si>
  <si>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</si>
  <si>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</si>
  <si>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</si>
  <si>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</si>
  <si>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</si>
  <si>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</si>
  <si>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</si>
  <si>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</si>
  <si>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</si>
  <si>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</si>
  <si>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</si>
  <si>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</si>
  <si>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</si>
  <si>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</si>
  <si>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</si>
  <si>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</si>
  <si>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</si>
  <si>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</si>
  <si>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</si>
  <si>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</si>
  <si>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</si>
  <si>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</si>
  <si>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</si>
  <si>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</si>
  <si>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</si>
  <si>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</si>
  <si>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</si>
  <si>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</si>
  <si>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</si>
  <si>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</si>
  <si>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</si>
  <si>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</si>
  <si>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</si>
  <si>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</si>
  <si>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</si>
  <si>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</si>
  <si>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</si>
  <si>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Tav.12 - Lavorazioni raffinerie</t>
  </si>
  <si>
    <t>DGSAIE Div.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</si>
</sst>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Fill="0" applyProtection="0"/>
  </cellStyleXfs>
  <cellXfs count="87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4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  <xf numFmtId="2" fontId="9" fillId="3" borderId="1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zoomScaleNormal="100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0" t="s">
        <v>0</v>
      </c>
      <c r="C1" s="80"/>
      <c r="D1" s="80"/>
      <c r="E1" s="80" t="s">
        <v>1</v>
      </c>
      <c r="F1" s="80"/>
      <c r="G1" s="80"/>
      <c r="H1" s="80"/>
      <c r="I1" s="80"/>
      <c r="J1" s="80"/>
      <c r="K1" s="80"/>
      <c r="L1" s="3"/>
      <c r="M1" s="3"/>
      <c r="N1" s="3"/>
      <c r="O1" s="8"/>
      <c r="P1" s="80" t="s">
        <v>2</v>
      </c>
      <c r="Q1" s="80"/>
    </row>
    <row r="2" spans="1:17" ht="15" customHeight="1" x14ac:dyDescent="0.25">
      <c r="A2" s="3"/>
      <c r="B2" s="81" t="s">
        <v>111</v>
      </c>
      <c r="C2" s="80"/>
      <c r="D2" s="80"/>
      <c r="E2" s="81" t="s">
        <v>110</v>
      </c>
      <c r="F2" s="82"/>
      <c r="G2" s="82"/>
      <c r="H2" s="82"/>
      <c r="I2" s="82"/>
      <c r="J2" s="82"/>
      <c r="K2" s="82"/>
      <c r="L2" s="3"/>
      <c r="M2" s="3"/>
      <c r="N2" s="3"/>
      <c r="O2" s="3"/>
      <c r="P2" s="3"/>
      <c r="Q2" s="3"/>
    </row>
    <row r="3" spans="1:17" ht="15" customHeight="1" x14ac:dyDescent="0.25">
      <c r="A3" s="3"/>
      <c r="B3" s="78"/>
      <c r="C3" s="78"/>
      <c r="D3" s="78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0" t="s">
        <v>3</v>
      </c>
      <c r="F4" s="80"/>
      <c r="G4" s="80"/>
      <c r="H4" s="80"/>
      <c r="I4" s="80"/>
      <c r="J4" s="80"/>
      <c r="K4" s="80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6" t="s">
        <v>4</v>
      </c>
      <c r="C5" s="86"/>
      <c r="D5" s="86"/>
      <c r="E5" s="80" t="s">
        <v>5</v>
      </c>
      <c r="F5" s="80"/>
      <c r="G5" s="80"/>
      <c r="H5" s="80"/>
      <c r="I5" s="80"/>
      <c r="J5" s="80"/>
      <c r="K5" s="80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4" t="s">
        <v>6</v>
      </c>
      <c r="M6" s="84"/>
      <c r="N6" s="84"/>
      <c r="O6" s="84"/>
      <c r="P6" s="84"/>
      <c r="Q6" s="84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4" t="s">
        <v>7</v>
      </c>
      <c r="M7" s="84"/>
      <c r="N7" s="84"/>
      <c r="O7" s="84"/>
      <c r="P7" s="84"/>
      <c r="Q7" s="84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4"/>
      <c r="M8" s="84"/>
      <c r="N8" s="84"/>
      <c r="O8" s="84"/>
      <c r="P8" s="84"/>
      <c r="Q8" s="84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85"/>
      <c r="M9" s="85"/>
      <c r="N9" s="85"/>
      <c r="O9" s="85"/>
      <c r="P9" s="85"/>
      <c r="Q9" s="85"/>
    </row>
    <row r="10" spans="1:17" ht="15" customHeight="1" x14ac:dyDescent="0.25">
      <c r="A10" s="6"/>
      <c r="B10" s="79" t="s">
        <v>8</v>
      </c>
      <c r="C10" s="79"/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9</v>
      </c>
      <c r="B11" s="14" t="s">
        <v>10</v>
      </c>
      <c r="C11" s="12" t="s">
        <v>11</v>
      </c>
      <c r="D11" s="12" t="s">
        <v>12</v>
      </c>
      <c r="E11" s="12" t="s">
        <v>13</v>
      </c>
      <c r="F11" s="12" t="s">
        <v>14</v>
      </c>
      <c r="G11" s="12" t="s">
        <v>15</v>
      </c>
      <c r="H11" s="12" t="s">
        <v>16</v>
      </c>
      <c r="I11" s="12" t="s">
        <v>17</v>
      </c>
      <c r="J11" s="12" t="s">
        <v>18</v>
      </c>
      <c r="K11" s="13" t="s">
        <v>19</v>
      </c>
      <c r="L11" s="12" t="s">
        <v>20</v>
      </c>
      <c r="M11" s="16" t="s">
        <v>21</v>
      </c>
      <c r="N11" s="14"/>
      <c r="O11" s="14" t="s">
        <v>22</v>
      </c>
      <c r="P11" s="12" t="s">
        <v>23</v>
      </c>
      <c r="Q11" s="17" t="s">
        <v>24</v>
      </c>
    </row>
    <row r="12" spans="1:17" ht="15" customHeight="1" x14ac:dyDescent="0.25">
      <c r="A12" s="24" t="s">
        <v>25</v>
      </c>
      <c r="B12" s="23" t="s">
        <v>26</v>
      </c>
      <c r="C12" s="26">
        <v>223562</v>
      </c>
      <c r="D12" s="27">
        <v>0</v>
      </c>
      <c r="E12" s="28">
        <v>32514</v>
      </c>
      <c r="F12" s="29">
        <v>399073</v>
      </c>
      <c r="G12" s="26">
        <v>0</v>
      </c>
      <c r="H12" s="30">
        <v>483773</v>
      </c>
      <c r="I12" s="31"/>
      <c r="J12" s="32"/>
      <c r="K12" s="27">
        <v>0</v>
      </c>
      <c r="L12" s="30">
        <v>0</v>
      </c>
      <c r="M12" s="33">
        <v>171377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27</v>
      </c>
      <c r="B13" s="23" t="s">
        <v>28</v>
      </c>
      <c r="C13" s="26">
        <v>2622098</v>
      </c>
      <c r="D13" s="27">
        <v>4885224</v>
      </c>
      <c r="E13" s="27">
        <v>0</v>
      </c>
      <c r="F13" s="30">
        <v>0</v>
      </c>
      <c r="G13" s="27">
        <v>0</v>
      </c>
      <c r="H13" s="27">
        <v>4963692</v>
      </c>
      <c r="I13" s="36"/>
      <c r="J13" s="36"/>
      <c r="K13" s="27">
        <v>0</v>
      </c>
      <c r="L13" s="37">
        <v>-91</v>
      </c>
      <c r="M13" s="33">
        <v>2543722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29</v>
      </c>
      <c r="B14" s="23" t="s">
        <v>30</v>
      </c>
      <c r="C14" s="26">
        <v>92644</v>
      </c>
      <c r="D14" s="27">
        <v>698</v>
      </c>
      <c r="E14" s="27">
        <v>32902</v>
      </c>
      <c r="F14" s="27">
        <v>50636</v>
      </c>
      <c r="G14" s="27">
        <v>76086</v>
      </c>
      <c r="H14" s="27">
        <v>134993</v>
      </c>
      <c r="I14" s="36"/>
      <c r="J14" s="36"/>
      <c r="K14" s="27">
        <v>0</v>
      </c>
      <c r="L14" s="37">
        <v>35466</v>
      </c>
      <c r="M14" s="33">
        <v>82507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31</v>
      </c>
      <c r="B15" s="23" t="s">
        <v>32</v>
      </c>
      <c r="C15" s="26">
        <v>11165</v>
      </c>
      <c r="D15" s="27">
        <v>39988</v>
      </c>
      <c r="E15" s="27">
        <v>0</v>
      </c>
      <c r="F15" s="27">
        <v>78667</v>
      </c>
      <c r="G15" s="27">
        <v>0</v>
      </c>
      <c r="H15" s="27">
        <v>90188</v>
      </c>
      <c r="I15" s="36"/>
      <c r="J15" s="36"/>
      <c r="K15" s="27">
        <v>0</v>
      </c>
      <c r="L15" s="37">
        <v>0</v>
      </c>
      <c r="M15" s="33">
        <v>39633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33</v>
      </c>
      <c r="B16" s="23" t="s">
        <v>34</v>
      </c>
      <c r="C16" s="26">
        <v>584021</v>
      </c>
      <c r="D16" s="27">
        <v>599211</v>
      </c>
      <c r="E16" s="27">
        <v>22850</v>
      </c>
      <c r="F16" s="27">
        <v>121168</v>
      </c>
      <c r="G16" s="27">
        <v>0</v>
      </c>
      <c r="H16" s="27">
        <v>772447</v>
      </c>
      <c r="I16" s="36"/>
      <c r="J16" s="36"/>
      <c r="K16" s="27">
        <v>0</v>
      </c>
      <c r="L16" s="37">
        <v>0</v>
      </c>
      <c r="M16" s="33">
        <v>554804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35</v>
      </c>
      <c r="B17" s="23" t="s">
        <v>36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37</v>
      </c>
      <c r="B18" s="23" t="s">
        <v>38</v>
      </c>
      <c r="C18" s="26">
        <v>3141</v>
      </c>
      <c r="D18" s="27">
        <v>1874</v>
      </c>
      <c r="E18" s="27">
        <v>2094</v>
      </c>
      <c r="F18" s="27">
        <v>0</v>
      </c>
      <c r="G18" s="27">
        <v>0</v>
      </c>
      <c r="H18" s="27">
        <v>4140</v>
      </c>
      <c r="I18" s="36"/>
      <c r="J18" s="36"/>
      <c r="K18" s="27">
        <v>0</v>
      </c>
      <c r="L18" s="37">
        <v>0</v>
      </c>
      <c r="M18" s="33">
        <v>2969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39</v>
      </c>
      <c r="B19" s="23" t="s">
        <v>40</v>
      </c>
      <c r="C19" s="26">
        <v>33004</v>
      </c>
      <c r="D19" s="27">
        <v>18026</v>
      </c>
      <c r="E19" s="27">
        <v>24117</v>
      </c>
      <c r="F19" s="27">
        <v>0</v>
      </c>
      <c r="G19" s="27">
        <v>0</v>
      </c>
      <c r="H19" s="27">
        <v>42816</v>
      </c>
      <c r="I19" s="36"/>
      <c r="J19" s="36"/>
      <c r="K19" s="27">
        <v>0</v>
      </c>
      <c r="L19" s="37">
        <v>0</v>
      </c>
      <c r="M19" s="33">
        <v>32332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41</v>
      </c>
      <c r="B20" s="23" t="s">
        <v>42</v>
      </c>
      <c r="C20" s="26">
        <v>8833</v>
      </c>
      <c r="D20" s="27">
        <v>3447</v>
      </c>
      <c r="E20" s="27">
        <v>0</v>
      </c>
      <c r="F20" s="27">
        <v>0</v>
      </c>
      <c r="G20" s="27">
        <v>0</v>
      </c>
      <c r="H20" s="27">
        <v>3936</v>
      </c>
      <c r="I20" s="36"/>
      <c r="J20" s="36"/>
      <c r="K20" s="27">
        <v>0</v>
      </c>
      <c r="L20" s="37">
        <v>0</v>
      </c>
      <c r="M20" s="33">
        <v>8344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43</v>
      </c>
      <c r="B21" s="23" t="s">
        <v>44</v>
      </c>
      <c r="C21" s="26">
        <v>3531</v>
      </c>
      <c r="D21" s="27">
        <v>2996</v>
      </c>
      <c r="E21" s="27">
        <v>11717</v>
      </c>
      <c r="F21" s="27">
        <v>0</v>
      </c>
      <c r="G21" s="27">
        <v>0</v>
      </c>
      <c r="H21" s="27">
        <v>10169</v>
      </c>
      <c r="I21" s="36"/>
      <c r="J21" s="36"/>
      <c r="K21" s="27">
        <v>0</v>
      </c>
      <c r="L21" s="37">
        <v>0</v>
      </c>
      <c r="M21" s="33">
        <v>8075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45</v>
      </c>
      <c r="B22" s="23" t="s">
        <v>46</v>
      </c>
      <c r="C22" s="26">
        <v>2939</v>
      </c>
      <c r="D22" s="27">
        <v>2097</v>
      </c>
      <c r="E22" s="27">
        <v>107</v>
      </c>
      <c r="F22" s="27">
        <v>0</v>
      </c>
      <c r="G22" s="27">
        <v>0</v>
      </c>
      <c r="H22" s="27">
        <v>2859</v>
      </c>
      <c r="I22" s="36"/>
      <c r="J22" s="36"/>
      <c r="K22" s="27">
        <v>0</v>
      </c>
      <c r="L22" s="37">
        <v>0</v>
      </c>
      <c r="M22" s="33">
        <v>2284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47</v>
      </c>
      <c r="B23" s="23" t="s">
        <v>48</v>
      </c>
      <c r="C23" s="26">
        <v>1045</v>
      </c>
      <c r="D23" s="27">
        <v>0</v>
      </c>
      <c r="E23" s="27">
        <v>539</v>
      </c>
      <c r="F23" s="27">
        <v>0</v>
      </c>
      <c r="G23" s="27">
        <v>0</v>
      </c>
      <c r="H23" s="27">
        <v>708</v>
      </c>
      <c r="I23" s="36"/>
      <c r="J23" s="36"/>
      <c r="K23" s="27">
        <v>0</v>
      </c>
      <c r="L23" s="37">
        <v>0</v>
      </c>
      <c r="M23" s="33">
        <v>876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49</v>
      </c>
      <c r="B24" s="23" t="s">
        <v>50</v>
      </c>
      <c r="C24" s="26">
        <v>2448</v>
      </c>
      <c r="D24" s="27">
        <v>16502</v>
      </c>
      <c r="E24" s="27">
        <v>0</v>
      </c>
      <c r="F24" s="27">
        <v>0</v>
      </c>
      <c r="G24" s="27">
        <v>0</v>
      </c>
      <c r="H24" s="27">
        <v>10416</v>
      </c>
      <c r="I24" s="36"/>
      <c r="J24" s="36"/>
      <c r="K24" s="27">
        <v>0</v>
      </c>
      <c r="L24" s="37">
        <v>0</v>
      </c>
      <c r="M24" s="33">
        <v>8534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51</v>
      </c>
      <c r="B25" s="23" t="s">
        <v>52</v>
      </c>
      <c r="C25" s="26">
        <v>1486</v>
      </c>
      <c r="D25" s="27">
        <v>1951</v>
      </c>
      <c r="E25" s="27">
        <v>0</v>
      </c>
      <c r="F25" s="27">
        <v>0</v>
      </c>
      <c r="G25" s="27">
        <v>0</v>
      </c>
      <c r="H25" s="27">
        <v>1990</v>
      </c>
      <c r="I25" s="36"/>
      <c r="J25" s="36"/>
      <c r="K25" s="27">
        <v>0</v>
      </c>
      <c r="L25" s="37">
        <v>0</v>
      </c>
      <c r="M25" s="33">
        <v>1448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53</v>
      </c>
      <c r="B26" s="23" t="s">
        <v>54</v>
      </c>
      <c r="C26" s="40">
        <v>0</v>
      </c>
      <c r="D26" s="41">
        <v>0</v>
      </c>
      <c r="E26" s="41">
        <v>141388</v>
      </c>
      <c r="F26" s="41">
        <v>323</v>
      </c>
      <c r="G26" s="41">
        <v>0</v>
      </c>
      <c r="H26" s="41">
        <v>0</v>
      </c>
      <c r="I26" s="42"/>
      <c r="J26" s="42"/>
      <c r="K26" s="41">
        <v>141712</v>
      </c>
      <c r="L26" s="43">
        <v>0</v>
      </c>
      <c r="M26" s="44">
        <v>0</v>
      </c>
      <c r="N26" s="38"/>
      <c r="O26" s="37">
        <v>13443</v>
      </c>
      <c r="P26" s="37">
        <v>32014</v>
      </c>
      <c r="Q26" s="39">
        <v>6077</v>
      </c>
    </row>
    <row r="27" spans="1:17" ht="16.5" customHeight="1" x14ac:dyDescent="0.25">
      <c r="A27" s="19"/>
      <c r="B27" s="20" t="s">
        <v>55</v>
      </c>
      <c r="C27" s="45">
        <f t="shared" ref="C27:M27" si="0">SUM(C12:C26)</f>
        <v>3589917</v>
      </c>
      <c r="D27" s="46">
        <f t="shared" si="0"/>
        <v>5572014</v>
      </c>
      <c r="E27" s="46">
        <f t="shared" si="0"/>
        <v>268228</v>
      </c>
      <c r="F27" s="46">
        <f t="shared" si="0"/>
        <v>649867</v>
      </c>
      <c r="G27" s="46">
        <f t="shared" si="0"/>
        <v>76086</v>
      </c>
      <c r="H27" s="46">
        <f t="shared" si="0"/>
        <v>6522127</v>
      </c>
      <c r="I27" s="46">
        <f t="shared" si="0"/>
        <v>0</v>
      </c>
      <c r="J27" s="46">
        <f t="shared" si="0"/>
        <v>0</v>
      </c>
      <c r="K27" s="46">
        <f t="shared" si="0"/>
        <v>141712</v>
      </c>
      <c r="L27" s="46">
        <f t="shared" si="0"/>
        <v>35375</v>
      </c>
      <c r="M27" s="47">
        <f t="shared" si="0"/>
        <v>3456905</v>
      </c>
      <c r="N27" s="48"/>
      <c r="O27" s="49">
        <f>SUM(O12:O26)</f>
        <v>13443</v>
      </c>
      <c r="P27" s="49">
        <f>SUM(P12:P26)</f>
        <v>32014</v>
      </c>
      <c r="Q27" s="50">
        <f>SUM(Q12:Q26)</f>
        <v>6077</v>
      </c>
    </row>
    <row r="28" spans="1:17" ht="16.5" customHeight="1" x14ac:dyDescent="0.25">
      <c r="A28" s="18"/>
      <c r="B28" s="83" t="s">
        <v>56</v>
      </c>
      <c r="C28" s="83"/>
      <c r="D28" s="83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29</v>
      </c>
      <c r="B29" s="23" t="s">
        <v>30</v>
      </c>
      <c r="C29" s="51">
        <v>472080</v>
      </c>
      <c r="D29" s="30">
        <v>237</v>
      </c>
      <c r="E29" s="30">
        <v>17905</v>
      </c>
      <c r="F29" s="30">
        <v>0</v>
      </c>
      <c r="G29" s="30">
        <v>0</v>
      </c>
      <c r="H29" s="32"/>
      <c r="I29" s="30">
        <v>118200</v>
      </c>
      <c r="J29" s="30">
        <v>-25525</v>
      </c>
      <c r="K29" s="52">
        <v>0</v>
      </c>
      <c r="L29" s="52">
        <v>118279</v>
      </c>
      <c r="M29" s="53">
        <v>464618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31</v>
      </c>
      <c r="B30" s="23" t="s">
        <v>32</v>
      </c>
      <c r="C30" s="26">
        <v>837494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145170</v>
      </c>
      <c r="J30" s="27">
        <v>-59820</v>
      </c>
      <c r="K30" s="58">
        <v>3792</v>
      </c>
      <c r="L30" s="58">
        <v>38505</v>
      </c>
      <c r="M30" s="59">
        <v>880545</v>
      </c>
      <c r="N30" s="54"/>
      <c r="O30" s="60">
        <v>10</v>
      </c>
      <c r="P30" s="37">
        <v>3781</v>
      </c>
      <c r="Q30" s="39">
        <v>0</v>
      </c>
    </row>
    <row r="31" spans="1:17" ht="15" customHeight="1" x14ac:dyDescent="0.25">
      <c r="A31" s="24" t="s">
        <v>33</v>
      </c>
      <c r="B31" s="23" t="s">
        <v>34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411749</v>
      </c>
      <c r="J31" s="27">
        <v>-19709</v>
      </c>
      <c r="K31" s="58">
        <v>161241</v>
      </c>
      <c r="L31" s="58">
        <v>136075</v>
      </c>
      <c r="M31" s="59">
        <v>1427406</v>
      </c>
      <c r="N31" s="54"/>
      <c r="O31" s="60">
        <v>1205</v>
      </c>
      <c r="P31" s="37">
        <v>160035</v>
      </c>
      <c r="Q31" s="39">
        <v>0</v>
      </c>
    </row>
    <row r="32" spans="1:17" ht="15" customHeight="1" x14ac:dyDescent="0.25">
      <c r="A32" s="24" t="s">
        <v>57</v>
      </c>
      <c r="B32" s="23" t="s">
        <v>58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142890</v>
      </c>
      <c r="J32" s="27">
        <v>-101</v>
      </c>
      <c r="K32" s="58">
        <v>754</v>
      </c>
      <c r="L32" s="58">
        <v>144421</v>
      </c>
      <c r="M32" s="59">
        <v>64143</v>
      </c>
      <c r="N32" s="54"/>
      <c r="O32" s="60">
        <v>396</v>
      </c>
      <c r="P32" s="37">
        <v>0</v>
      </c>
      <c r="Q32" s="39">
        <v>0</v>
      </c>
    </row>
    <row r="33" spans="1:21" ht="15" customHeight="1" x14ac:dyDescent="0.25">
      <c r="A33" s="24" t="s">
        <v>59</v>
      </c>
      <c r="B33" s="23" t="s">
        <v>60</v>
      </c>
      <c r="C33" s="26">
        <v>0</v>
      </c>
      <c r="D33" s="27">
        <v>1325</v>
      </c>
      <c r="E33" s="27">
        <v>1327</v>
      </c>
      <c r="F33" s="27">
        <v>0</v>
      </c>
      <c r="G33" s="27">
        <v>0</v>
      </c>
      <c r="H33" s="31"/>
      <c r="I33" s="27">
        <v>167923</v>
      </c>
      <c r="J33" s="27">
        <v>0</v>
      </c>
      <c r="K33" s="58">
        <v>162391</v>
      </c>
      <c r="L33" s="58">
        <v>8184</v>
      </c>
      <c r="M33" s="59">
        <v>0</v>
      </c>
      <c r="N33" s="54"/>
      <c r="O33" s="60">
        <v>14926</v>
      </c>
      <c r="P33" s="37">
        <v>592</v>
      </c>
      <c r="Q33" s="39">
        <v>524</v>
      </c>
    </row>
    <row r="34" spans="1:21" ht="15" customHeight="1" x14ac:dyDescent="0.25">
      <c r="A34" s="24" t="s">
        <v>61</v>
      </c>
      <c r="B34" s="23" t="s">
        <v>62</v>
      </c>
      <c r="C34" s="26">
        <v>228019</v>
      </c>
      <c r="D34" s="27">
        <v>0</v>
      </c>
      <c r="E34" s="27">
        <v>0</v>
      </c>
      <c r="F34" s="27">
        <v>0</v>
      </c>
      <c r="G34" s="27">
        <v>0</v>
      </c>
      <c r="H34" s="31"/>
      <c r="I34" s="27">
        <v>288477</v>
      </c>
      <c r="J34" s="27">
        <v>0</v>
      </c>
      <c r="K34" s="58">
        <v>1502</v>
      </c>
      <c r="L34" s="58">
        <v>282794</v>
      </c>
      <c r="M34" s="59">
        <v>232200</v>
      </c>
      <c r="N34" s="54"/>
      <c r="O34" s="60">
        <v>9</v>
      </c>
      <c r="P34" s="37">
        <v>1332</v>
      </c>
      <c r="Q34" s="39">
        <v>0</v>
      </c>
    </row>
    <row r="35" spans="1:21" ht="15" customHeight="1" x14ac:dyDescent="0.25">
      <c r="A35" s="24" t="s">
        <v>63</v>
      </c>
      <c r="B35" s="23" t="s">
        <v>64</v>
      </c>
      <c r="C35" s="26">
        <v>573720</v>
      </c>
      <c r="D35" s="27">
        <v>0</v>
      </c>
      <c r="E35" s="27">
        <v>0</v>
      </c>
      <c r="F35" s="27">
        <v>0</v>
      </c>
      <c r="G35" s="27">
        <v>0</v>
      </c>
      <c r="H35" s="31"/>
      <c r="I35" s="27">
        <v>1298010</v>
      </c>
      <c r="J35" s="27">
        <v>130970</v>
      </c>
      <c r="K35" s="58">
        <v>0</v>
      </c>
      <c r="L35" s="58">
        <v>1162434</v>
      </c>
      <c r="M35" s="59">
        <v>840267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65</v>
      </c>
      <c r="B36" s="23" t="s">
        <v>66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67</v>
      </c>
      <c r="B37" s="23" t="s">
        <v>68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0</v>
      </c>
      <c r="J37" s="27">
        <v>-6350</v>
      </c>
      <c r="K37" s="58">
        <v>0</v>
      </c>
      <c r="L37" s="58">
        <v>0</v>
      </c>
      <c r="M37" s="59">
        <v>6836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69</v>
      </c>
      <c r="B38" s="23" t="s">
        <v>70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71</v>
      </c>
      <c r="B39" s="23" t="s">
        <v>72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73</v>
      </c>
      <c r="B40" s="23" t="s">
        <v>74</v>
      </c>
      <c r="C40" s="26">
        <v>139952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148334</v>
      </c>
      <c r="J40" s="27">
        <v>952</v>
      </c>
      <c r="K40" s="58">
        <v>0</v>
      </c>
      <c r="L40" s="58">
        <v>165610</v>
      </c>
      <c r="M40" s="59">
        <v>123629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75</v>
      </c>
      <c r="B41" s="23" t="s">
        <v>76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5380</v>
      </c>
      <c r="J41" s="27">
        <v>-2999</v>
      </c>
      <c r="K41" s="58">
        <v>0</v>
      </c>
      <c r="L41" s="58">
        <v>2962</v>
      </c>
      <c r="M41" s="59">
        <v>33287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77</v>
      </c>
      <c r="B42" s="23" t="s">
        <v>78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31</v>
      </c>
      <c r="J42" s="27">
        <v>0</v>
      </c>
      <c r="K42" s="58">
        <v>4</v>
      </c>
      <c r="L42" s="58">
        <v>13</v>
      </c>
      <c r="M42" s="59">
        <v>1781</v>
      </c>
      <c r="N42" s="54"/>
      <c r="O42" s="60">
        <v>3</v>
      </c>
      <c r="P42" s="37">
        <v>0</v>
      </c>
      <c r="Q42" s="39">
        <v>0</v>
      </c>
    </row>
    <row r="43" spans="1:21" ht="15" customHeight="1" x14ac:dyDescent="0.25">
      <c r="A43" s="24" t="s">
        <v>79</v>
      </c>
      <c r="B43" s="23" t="s">
        <v>80</v>
      </c>
      <c r="C43" s="26">
        <v>1173879</v>
      </c>
      <c r="D43" s="27">
        <v>9917</v>
      </c>
      <c r="E43" s="27">
        <v>5</v>
      </c>
      <c r="F43" s="27">
        <v>0</v>
      </c>
      <c r="G43" s="27">
        <v>0</v>
      </c>
      <c r="H43" s="31"/>
      <c r="I43" s="27">
        <v>2688224</v>
      </c>
      <c r="J43" s="27">
        <v>66345</v>
      </c>
      <c r="K43" s="58">
        <v>1237</v>
      </c>
      <c r="L43" s="58">
        <v>2607525</v>
      </c>
      <c r="M43" s="59">
        <v>1329609</v>
      </c>
      <c r="N43" s="54"/>
      <c r="O43" s="60">
        <v>174</v>
      </c>
      <c r="P43" s="37">
        <v>0</v>
      </c>
      <c r="Q43" s="39">
        <v>0</v>
      </c>
      <c r="U43" s="1"/>
    </row>
    <row r="44" spans="1:21" ht="15" customHeight="1" x14ac:dyDescent="0.25">
      <c r="A44" s="24" t="s">
        <v>81</v>
      </c>
      <c r="B44" s="23" t="s">
        <v>82</v>
      </c>
      <c r="C44" s="26">
        <v>590819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318882</v>
      </c>
      <c r="J44" s="27">
        <v>9415</v>
      </c>
      <c r="K44" s="58">
        <v>3749</v>
      </c>
      <c r="L44" s="58">
        <v>296044</v>
      </c>
      <c r="M44" s="59">
        <v>619324</v>
      </c>
      <c r="N44" s="54"/>
      <c r="O44" s="60">
        <v>1032</v>
      </c>
      <c r="P44" s="37">
        <v>27</v>
      </c>
      <c r="Q44" s="39">
        <v>7</v>
      </c>
    </row>
    <row r="45" spans="1:21" ht="15" customHeight="1" x14ac:dyDescent="0.25">
      <c r="A45" s="24" t="s">
        <v>83</v>
      </c>
      <c r="B45" s="23" t="s">
        <v>84</v>
      </c>
      <c r="C45" s="26">
        <v>265024</v>
      </c>
      <c r="D45" s="27">
        <v>0</v>
      </c>
      <c r="E45" s="27">
        <v>85</v>
      </c>
      <c r="F45" s="27">
        <v>0</v>
      </c>
      <c r="G45" s="27">
        <v>0</v>
      </c>
      <c r="H45" s="31"/>
      <c r="I45" s="27">
        <v>239456</v>
      </c>
      <c r="J45" s="27">
        <v>6768</v>
      </c>
      <c r="K45" s="58">
        <v>35601</v>
      </c>
      <c r="L45" s="58">
        <v>114092</v>
      </c>
      <c r="M45" s="59">
        <v>361641</v>
      </c>
      <c r="N45" s="54"/>
      <c r="O45" s="60">
        <v>14316</v>
      </c>
      <c r="P45" s="37">
        <v>0</v>
      </c>
      <c r="Q45" s="39">
        <v>296</v>
      </c>
    </row>
    <row r="46" spans="1:21" ht="15" customHeight="1" x14ac:dyDescent="0.25">
      <c r="A46" s="24" t="s">
        <v>85</v>
      </c>
      <c r="B46" s="23" t="s">
        <v>86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177022</v>
      </c>
      <c r="J46" s="27">
        <v>5500</v>
      </c>
      <c r="K46" s="58">
        <v>0</v>
      </c>
      <c r="L46" s="58">
        <v>142521</v>
      </c>
      <c r="M46" s="59">
        <v>274918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87</v>
      </c>
      <c r="B47" s="23" t="s">
        <v>88</v>
      </c>
      <c r="C47" s="26">
        <v>93699</v>
      </c>
      <c r="D47" s="27">
        <v>0</v>
      </c>
      <c r="E47" s="27">
        <v>0</v>
      </c>
      <c r="F47" s="27">
        <v>0</v>
      </c>
      <c r="G47" s="27">
        <v>0</v>
      </c>
      <c r="H47" s="31"/>
      <c r="I47" s="27">
        <v>94052</v>
      </c>
      <c r="J47" s="27">
        <v>0</v>
      </c>
      <c r="K47" s="58">
        <v>85984</v>
      </c>
      <c r="L47" s="58">
        <v>9076</v>
      </c>
      <c r="M47" s="59">
        <v>92689</v>
      </c>
      <c r="N47" s="54"/>
      <c r="O47" s="60">
        <v>4946</v>
      </c>
      <c r="P47" s="37">
        <v>133</v>
      </c>
      <c r="Q47" s="39">
        <v>30</v>
      </c>
    </row>
    <row r="48" spans="1:21" ht="15" customHeight="1" x14ac:dyDescent="0.25">
      <c r="A48" s="24" t="s">
        <v>89</v>
      </c>
      <c r="B48" s="23" t="s">
        <v>90</v>
      </c>
      <c r="C48" s="26">
        <v>118827</v>
      </c>
      <c r="D48" s="27">
        <v>0</v>
      </c>
      <c r="E48" s="27">
        <v>28</v>
      </c>
      <c r="F48" s="27">
        <v>0</v>
      </c>
      <c r="G48" s="27">
        <v>0</v>
      </c>
      <c r="H48" s="31"/>
      <c r="I48" s="27">
        <v>108664</v>
      </c>
      <c r="J48" s="27">
        <v>-103</v>
      </c>
      <c r="K48" s="58">
        <v>0</v>
      </c>
      <c r="L48" s="58">
        <v>84664</v>
      </c>
      <c r="M48" s="59">
        <v>142752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91</v>
      </c>
      <c r="B49" s="23" t="s">
        <v>92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7858</v>
      </c>
      <c r="J49" s="27">
        <v>0</v>
      </c>
      <c r="K49" s="58">
        <v>0</v>
      </c>
      <c r="L49" s="58">
        <v>6427</v>
      </c>
      <c r="M49" s="59">
        <v>7724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93</v>
      </c>
      <c r="B50" s="23" t="s">
        <v>94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50562</v>
      </c>
      <c r="J50" s="27">
        <v>0</v>
      </c>
      <c r="K50" s="58">
        <v>0</v>
      </c>
      <c r="L50" s="58">
        <v>55108</v>
      </c>
      <c r="M50" s="59">
        <v>4211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95</v>
      </c>
      <c r="B51" s="23" t="s">
        <v>96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31865</v>
      </c>
      <c r="J51" s="27">
        <v>0</v>
      </c>
      <c r="K51" s="58">
        <v>0</v>
      </c>
      <c r="L51" s="58">
        <v>20563</v>
      </c>
      <c r="M51" s="59">
        <v>51422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97</v>
      </c>
      <c r="B52" s="23" t="s">
        <v>98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99</v>
      </c>
      <c r="B53" s="23" t="s">
        <v>100</v>
      </c>
      <c r="C53" s="61">
        <v>6051</v>
      </c>
      <c r="D53" s="62">
        <v>0</v>
      </c>
      <c r="E53" s="62">
        <v>0</v>
      </c>
      <c r="F53" s="62">
        <v>0</v>
      </c>
      <c r="G53" s="62">
        <v>0</v>
      </c>
      <c r="H53" s="63"/>
      <c r="I53" s="62">
        <v>22725</v>
      </c>
      <c r="J53" s="62">
        <v>0</v>
      </c>
      <c r="K53" s="64">
        <v>78</v>
      </c>
      <c r="L53" s="64">
        <v>20980</v>
      </c>
      <c r="M53" s="65">
        <v>7717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101</v>
      </c>
      <c r="B54" s="23" t="s">
        <v>102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56649</v>
      </c>
      <c r="J54" s="67">
        <v>0</v>
      </c>
      <c r="K54" s="69">
        <v>56649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55</v>
      </c>
      <c r="C55" s="71">
        <f t="shared" ref="C55:M55" si="1">SUM(C29:C54)</f>
        <v>6343029</v>
      </c>
      <c r="D55" s="72">
        <f t="shared" si="1"/>
        <v>11479</v>
      </c>
      <c r="E55" s="72">
        <f t="shared" si="1"/>
        <v>19350</v>
      </c>
      <c r="F55" s="72">
        <f t="shared" si="1"/>
        <v>0</v>
      </c>
      <c r="G55" s="72">
        <f t="shared" si="1"/>
        <v>0</v>
      </c>
      <c r="H55" s="72">
        <f t="shared" si="1"/>
        <v>0</v>
      </c>
      <c r="I55" s="72">
        <f t="shared" si="1"/>
        <v>6522123</v>
      </c>
      <c r="J55" s="72">
        <f t="shared" si="1"/>
        <v>0</v>
      </c>
      <c r="K55" s="72">
        <f t="shared" si="1"/>
        <v>512982</v>
      </c>
      <c r="L55" s="72">
        <f t="shared" si="1"/>
        <v>5416277</v>
      </c>
      <c r="M55" s="73">
        <f t="shared" si="1"/>
        <v>6966719</v>
      </c>
      <c r="N55" s="74"/>
      <c r="O55" s="75">
        <f>SUM(O29:O54)</f>
        <v>37017</v>
      </c>
      <c r="P55" s="49">
        <f>SUM(P29:P54)</f>
        <v>165900</v>
      </c>
      <c r="Q55" s="50">
        <f>SUM(Q29:Q54)</f>
        <v>857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103</v>
      </c>
      <c r="B57" s="10"/>
      <c r="C57" s="2"/>
      <c r="D57" s="10" t="s">
        <v>104</v>
      </c>
      <c r="E57" s="76">
        <v>0</v>
      </c>
      <c r="F57" s="10"/>
      <c r="G57" s="10" t="s">
        <v>105</v>
      </c>
      <c r="H57" s="10"/>
      <c r="I57" s="10"/>
      <c r="J57" s="10" t="s">
        <v>106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107</v>
      </c>
      <c r="B58" s="10"/>
      <c r="C58" s="2"/>
      <c r="D58" s="10" t="s">
        <v>104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108</v>
      </c>
      <c r="B59" s="10"/>
      <c r="C59" s="2"/>
      <c r="D59" s="10" t="s">
        <v>104</v>
      </c>
      <c r="E59" s="76">
        <v>0</v>
      </c>
      <c r="F59" s="10"/>
      <c r="G59" s="10" t="s">
        <v>109</v>
      </c>
      <c r="H59" s="10"/>
      <c r="I59" s="10"/>
      <c r="J59" s="10" t="s">
        <v>106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28:D28"/>
    <mergeCell ref="L7:Q7"/>
    <mergeCell ref="L8:Q8"/>
    <mergeCell ref="L9:Q9"/>
    <mergeCell ref="B5:D5"/>
    <mergeCell ref="L6:Q6"/>
    <mergeCell ref="B3:D3"/>
    <mergeCell ref="B10:D10"/>
    <mergeCell ref="B1:D1"/>
    <mergeCell ref="P1:Q1"/>
    <mergeCell ref="E4:K4"/>
    <mergeCell ref="E5:K5"/>
    <mergeCell ref="E1:K1"/>
    <mergeCell ref="B2:D2"/>
    <mergeCell ref="E2:K2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0" t="s">
        <v>0</v>
      </c>
      <c r="C1" s="80"/>
      <c r="D1" s="80"/>
      <c r="E1" s="80" t="s">
        <v>1</v>
      </c>
      <c r="F1" s="80"/>
      <c r="G1" s="80"/>
      <c r="H1" s="80"/>
      <c r="I1" s="80"/>
      <c r="J1" s="80"/>
      <c r="K1" s="80"/>
      <c r="L1" s="3"/>
      <c r="M1" s="3"/>
      <c r="N1" s="3"/>
      <c r="O1" s="8"/>
      <c r="P1" s="80" t="s">
        <v>2</v>
      </c>
      <c r="Q1" s="80"/>
    </row>
    <row r="2" spans="1:17" ht="15" customHeight="1" x14ac:dyDescent="0.25">
      <c r="A2" s="3"/>
      <c r="B2" s="81" t="s">
        <v>111</v>
      </c>
      <c r="C2" s="80"/>
      <c r="D2" s="80"/>
      <c r="E2" s="81" t="s">
        <v>110</v>
      </c>
      <c r="F2" s="82"/>
      <c r="G2" s="82"/>
      <c r="H2" s="82"/>
      <c r="I2" s="82"/>
      <c r="J2" s="82"/>
      <c r="K2" s="82"/>
      <c r="L2" s="3"/>
      <c r="M2" s="3"/>
      <c r="N2" s="3"/>
      <c r="O2" s="3"/>
      <c r="P2" s="3"/>
      <c r="Q2" s="3"/>
    </row>
    <row r="3" spans="1:17" ht="15" customHeight="1" x14ac:dyDescent="0.25">
      <c r="A3" s="3"/>
      <c r="B3" s="78"/>
      <c r="C3" s="78"/>
      <c r="D3" s="78"/>
      <c r="E3" s="8"/>
      <c r="F3" s="77"/>
      <c r="G3" s="77"/>
      <c r="H3" s="77"/>
      <c r="I3" s="77"/>
      <c r="J3" s="77"/>
      <c r="K3" s="77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0" t="s">
        <v>3</v>
      </c>
      <c r="F4" s="80"/>
      <c r="G4" s="80"/>
      <c r="H4" s="80"/>
      <c r="I4" s="80"/>
      <c r="J4" s="80"/>
      <c r="K4" s="80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6" t="s">
        <v>4</v>
      </c>
      <c r="C5" s="86"/>
      <c r="D5" s="86"/>
      <c r="E5" s="80" t="s">
        <v>5</v>
      </c>
      <c r="F5" s="80"/>
      <c r="G5" s="80"/>
      <c r="H5" s="80"/>
      <c r="I5" s="80"/>
      <c r="J5" s="80"/>
      <c r="K5" s="80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4" t="s">
        <v>6</v>
      </c>
      <c r="M6" s="84"/>
      <c r="N6" s="84"/>
      <c r="O6" s="84"/>
      <c r="P6" s="84"/>
      <c r="Q6" s="84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4" t="s">
        <v>7</v>
      </c>
      <c r="M7" s="84"/>
      <c r="N7" s="84"/>
      <c r="O7" s="84"/>
      <c r="P7" s="84"/>
      <c r="Q7" s="84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4"/>
      <c r="M8" s="84"/>
      <c r="N8" s="84"/>
      <c r="O8" s="84"/>
      <c r="P8" s="84"/>
      <c r="Q8" s="84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85"/>
      <c r="M9" s="85"/>
      <c r="N9" s="85"/>
      <c r="O9" s="85"/>
      <c r="P9" s="85"/>
      <c r="Q9" s="85"/>
    </row>
    <row r="10" spans="1:17" ht="15" customHeight="1" x14ac:dyDescent="0.25">
      <c r="A10" s="6"/>
      <c r="B10" s="79" t="s">
        <v>8</v>
      </c>
      <c r="C10" s="79"/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9</v>
      </c>
      <c r="B11" s="14" t="s">
        <v>10</v>
      </c>
      <c r="C11" s="12" t="s">
        <v>11</v>
      </c>
      <c r="D11" s="12" t="s">
        <v>12</v>
      </c>
      <c r="E11" s="12" t="s">
        <v>13</v>
      </c>
      <c r="F11" s="12" t="s">
        <v>14</v>
      </c>
      <c r="G11" s="12" t="s">
        <v>15</v>
      </c>
      <c r="H11" s="12" t="s">
        <v>16</v>
      </c>
      <c r="I11" s="12" t="s">
        <v>17</v>
      </c>
      <c r="J11" s="12" t="s">
        <v>18</v>
      </c>
      <c r="K11" s="13" t="s">
        <v>19</v>
      </c>
      <c r="L11" s="12" t="s">
        <v>20</v>
      </c>
      <c r="M11" s="16" t="s">
        <v>21</v>
      </c>
      <c r="N11" s="14"/>
      <c r="O11" s="14" t="s">
        <v>22</v>
      </c>
      <c r="P11" s="12" t="s">
        <v>23</v>
      </c>
      <c r="Q11" s="17" t="s">
        <v>24</v>
      </c>
    </row>
    <row r="12" spans="1:17" ht="15" customHeight="1" x14ac:dyDescent="0.25">
      <c r="A12" s="24" t="s">
        <v>25</v>
      </c>
      <c r="B12" s="23" t="s">
        <v>26</v>
      </c>
      <c r="C12" s="26">
        <v>223562</v>
      </c>
      <c r="D12" s="27">
        <v>0</v>
      </c>
      <c r="E12" s="28">
        <v>32514</v>
      </c>
      <c r="F12" s="29">
        <v>399073</v>
      </c>
      <c r="G12" s="26">
        <v>0</v>
      </c>
      <c r="H12" s="30">
        <v>483773</v>
      </c>
      <c r="I12" s="31"/>
      <c r="J12" s="32"/>
      <c r="K12" s="27">
        <v>0</v>
      </c>
      <c r="L12" s="30">
        <v>0</v>
      </c>
      <c r="M12" s="33">
        <v>171377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27</v>
      </c>
      <c r="B13" s="23" t="s">
        <v>28</v>
      </c>
      <c r="C13" s="26">
        <v>2622098</v>
      </c>
      <c r="D13" s="27">
        <v>4885224</v>
      </c>
      <c r="E13" s="27">
        <v>0</v>
      </c>
      <c r="F13" s="30">
        <v>0</v>
      </c>
      <c r="G13" s="27">
        <v>0</v>
      </c>
      <c r="H13" s="27">
        <v>4963692</v>
      </c>
      <c r="I13" s="36"/>
      <c r="J13" s="36"/>
      <c r="K13" s="27">
        <v>0</v>
      </c>
      <c r="L13" s="37">
        <v>-91</v>
      </c>
      <c r="M13" s="33">
        <v>2543722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29</v>
      </c>
      <c r="B14" s="23" t="s">
        <v>30</v>
      </c>
      <c r="C14" s="26">
        <v>92644</v>
      </c>
      <c r="D14" s="27">
        <v>698</v>
      </c>
      <c r="E14" s="27">
        <v>32902</v>
      </c>
      <c r="F14" s="27">
        <v>50636</v>
      </c>
      <c r="G14" s="27">
        <v>76086</v>
      </c>
      <c r="H14" s="27">
        <v>134993</v>
      </c>
      <c r="I14" s="36"/>
      <c r="J14" s="36"/>
      <c r="K14" s="27">
        <v>0</v>
      </c>
      <c r="L14" s="37">
        <v>35466</v>
      </c>
      <c r="M14" s="33">
        <v>82507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31</v>
      </c>
      <c r="B15" s="23" t="s">
        <v>32</v>
      </c>
      <c r="C15" s="26">
        <v>11165</v>
      </c>
      <c r="D15" s="27">
        <v>39988</v>
      </c>
      <c r="E15" s="27">
        <v>0</v>
      </c>
      <c r="F15" s="27">
        <v>78667</v>
      </c>
      <c r="G15" s="27">
        <v>0</v>
      </c>
      <c r="H15" s="27">
        <v>90188</v>
      </c>
      <c r="I15" s="36"/>
      <c r="J15" s="36"/>
      <c r="K15" s="27">
        <v>0</v>
      </c>
      <c r="L15" s="37">
        <v>0</v>
      </c>
      <c r="M15" s="33">
        <v>39633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33</v>
      </c>
      <c r="B16" s="23" t="s">
        <v>34</v>
      </c>
      <c r="C16" s="26">
        <v>584021</v>
      </c>
      <c r="D16" s="27">
        <v>599211</v>
      </c>
      <c r="E16" s="27">
        <v>22850</v>
      </c>
      <c r="F16" s="27">
        <v>121168</v>
      </c>
      <c r="G16" s="27">
        <v>0</v>
      </c>
      <c r="H16" s="27">
        <v>772447</v>
      </c>
      <c r="I16" s="36"/>
      <c r="J16" s="36"/>
      <c r="K16" s="27">
        <v>0</v>
      </c>
      <c r="L16" s="37">
        <v>0</v>
      </c>
      <c r="M16" s="33">
        <v>554804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35</v>
      </c>
      <c r="B17" s="23" t="s">
        <v>36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37</v>
      </c>
      <c r="B18" s="23" t="s">
        <v>38</v>
      </c>
      <c r="C18" s="26">
        <v>3141</v>
      </c>
      <c r="D18" s="27">
        <v>1874</v>
      </c>
      <c r="E18" s="27">
        <v>2094</v>
      </c>
      <c r="F18" s="27">
        <v>0</v>
      </c>
      <c r="G18" s="27">
        <v>0</v>
      </c>
      <c r="H18" s="27">
        <v>4140</v>
      </c>
      <c r="I18" s="36"/>
      <c r="J18" s="36"/>
      <c r="K18" s="27">
        <v>0</v>
      </c>
      <c r="L18" s="37">
        <v>0</v>
      </c>
      <c r="M18" s="33">
        <v>2969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39</v>
      </c>
      <c r="B19" s="23" t="s">
        <v>40</v>
      </c>
      <c r="C19" s="26">
        <v>33004</v>
      </c>
      <c r="D19" s="27">
        <v>18026</v>
      </c>
      <c r="E19" s="27">
        <v>24117</v>
      </c>
      <c r="F19" s="27">
        <v>0</v>
      </c>
      <c r="G19" s="27">
        <v>0</v>
      </c>
      <c r="H19" s="27">
        <v>42816</v>
      </c>
      <c r="I19" s="36"/>
      <c r="J19" s="36"/>
      <c r="K19" s="27">
        <v>0</v>
      </c>
      <c r="L19" s="37">
        <v>0</v>
      </c>
      <c r="M19" s="33">
        <v>32332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41</v>
      </c>
      <c r="B20" s="23" t="s">
        <v>42</v>
      </c>
      <c r="C20" s="26">
        <v>8833</v>
      </c>
      <c r="D20" s="27">
        <v>3447</v>
      </c>
      <c r="E20" s="27">
        <v>0</v>
      </c>
      <c r="F20" s="27">
        <v>0</v>
      </c>
      <c r="G20" s="27">
        <v>0</v>
      </c>
      <c r="H20" s="27">
        <v>3936</v>
      </c>
      <c r="I20" s="36"/>
      <c r="J20" s="36"/>
      <c r="K20" s="27">
        <v>0</v>
      </c>
      <c r="L20" s="37">
        <v>0</v>
      </c>
      <c r="M20" s="33">
        <v>8344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43</v>
      </c>
      <c r="B21" s="23" t="s">
        <v>44</v>
      </c>
      <c r="C21" s="26">
        <v>3531</v>
      </c>
      <c r="D21" s="27">
        <v>2996</v>
      </c>
      <c r="E21" s="27">
        <v>11717</v>
      </c>
      <c r="F21" s="27">
        <v>0</v>
      </c>
      <c r="G21" s="27">
        <v>0</v>
      </c>
      <c r="H21" s="27">
        <v>10169</v>
      </c>
      <c r="I21" s="36"/>
      <c r="J21" s="36"/>
      <c r="K21" s="27">
        <v>0</v>
      </c>
      <c r="L21" s="37">
        <v>0</v>
      </c>
      <c r="M21" s="33">
        <v>8075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45</v>
      </c>
      <c r="B22" s="23" t="s">
        <v>46</v>
      </c>
      <c r="C22" s="26">
        <v>2939</v>
      </c>
      <c r="D22" s="27">
        <v>2097</v>
      </c>
      <c r="E22" s="27">
        <v>107</v>
      </c>
      <c r="F22" s="27">
        <v>0</v>
      </c>
      <c r="G22" s="27">
        <v>0</v>
      </c>
      <c r="H22" s="27">
        <v>2859</v>
      </c>
      <c r="I22" s="36"/>
      <c r="J22" s="36"/>
      <c r="K22" s="27">
        <v>0</v>
      </c>
      <c r="L22" s="37">
        <v>0</v>
      </c>
      <c r="M22" s="33">
        <v>2284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47</v>
      </c>
      <c r="B23" s="23" t="s">
        <v>48</v>
      </c>
      <c r="C23" s="26">
        <v>1045</v>
      </c>
      <c r="D23" s="27">
        <v>0</v>
      </c>
      <c r="E23" s="27">
        <v>539</v>
      </c>
      <c r="F23" s="27">
        <v>0</v>
      </c>
      <c r="G23" s="27">
        <v>0</v>
      </c>
      <c r="H23" s="27">
        <v>708</v>
      </c>
      <c r="I23" s="36"/>
      <c r="J23" s="36"/>
      <c r="K23" s="27">
        <v>0</v>
      </c>
      <c r="L23" s="37">
        <v>0</v>
      </c>
      <c r="M23" s="33">
        <v>876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49</v>
      </c>
      <c r="B24" s="23" t="s">
        <v>50</v>
      </c>
      <c r="C24" s="26">
        <v>2448</v>
      </c>
      <c r="D24" s="27">
        <v>16502</v>
      </c>
      <c r="E24" s="27">
        <v>0</v>
      </c>
      <c r="F24" s="27">
        <v>0</v>
      </c>
      <c r="G24" s="27">
        <v>0</v>
      </c>
      <c r="H24" s="27">
        <v>10416</v>
      </c>
      <c r="I24" s="36"/>
      <c r="J24" s="36"/>
      <c r="K24" s="27">
        <v>0</v>
      </c>
      <c r="L24" s="37">
        <v>0</v>
      </c>
      <c r="M24" s="33">
        <v>8534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51</v>
      </c>
      <c r="B25" s="23" t="s">
        <v>52</v>
      </c>
      <c r="C25" s="26">
        <v>1486</v>
      </c>
      <c r="D25" s="27">
        <v>1951</v>
      </c>
      <c r="E25" s="27">
        <v>0</v>
      </c>
      <c r="F25" s="27">
        <v>0</v>
      </c>
      <c r="G25" s="27">
        <v>0</v>
      </c>
      <c r="H25" s="27">
        <v>1990</v>
      </c>
      <c r="I25" s="36"/>
      <c r="J25" s="36"/>
      <c r="K25" s="27">
        <v>0</v>
      </c>
      <c r="L25" s="37">
        <v>0</v>
      </c>
      <c r="M25" s="33">
        <v>1448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53</v>
      </c>
      <c r="B26" s="23" t="s">
        <v>54</v>
      </c>
      <c r="C26" s="40">
        <v>0</v>
      </c>
      <c r="D26" s="41">
        <v>0</v>
      </c>
      <c r="E26" s="41">
        <v>141388</v>
      </c>
      <c r="F26" s="41">
        <v>323</v>
      </c>
      <c r="G26" s="41">
        <v>0</v>
      </c>
      <c r="H26" s="41">
        <v>0</v>
      </c>
      <c r="I26" s="42"/>
      <c r="J26" s="42"/>
      <c r="K26" s="41">
        <v>141712</v>
      </c>
      <c r="L26" s="43">
        <v>0</v>
      </c>
      <c r="M26" s="44">
        <v>0</v>
      </c>
      <c r="N26" s="38"/>
      <c r="O26" s="37">
        <v>13443</v>
      </c>
      <c r="P26" s="37">
        <v>32014</v>
      </c>
      <c r="Q26" s="39">
        <v>6077</v>
      </c>
    </row>
    <row r="27" spans="1:17" ht="16.5" customHeight="1" x14ac:dyDescent="0.25">
      <c r="A27" s="19"/>
      <c r="B27" s="20" t="s">
        <v>55</v>
      </c>
      <c r="C27" s="45">
        <f t="shared" ref="C27:M27" si="0">SUM(C12:C26)</f>
        <v>3589917</v>
      </c>
      <c r="D27" s="46">
        <f t="shared" si="0"/>
        <v>5572014</v>
      </c>
      <c r="E27" s="46">
        <f t="shared" si="0"/>
        <v>268228</v>
      </c>
      <c r="F27" s="46">
        <f t="shared" si="0"/>
        <v>649867</v>
      </c>
      <c r="G27" s="46">
        <f t="shared" si="0"/>
        <v>76086</v>
      </c>
      <c r="H27" s="46">
        <f t="shared" si="0"/>
        <v>6522127</v>
      </c>
      <c r="I27" s="46">
        <f t="shared" si="0"/>
        <v>0</v>
      </c>
      <c r="J27" s="46">
        <f t="shared" si="0"/>
        <v>0</v>
      </c>
      <c r="K27" s="46">
        <f t="shared" si="0"/>
        <v>141712</v>
      </c>
      <c r="L27" s="46">
        <f t="shared" si="0"/>
        <v>35375</v>
      </c>
      <c r="M27" s="47">
        <f t="shared" si="0"/>
        <v>3456905</v>
      </c>
      <c r="N27" s="48"/>
      <c r="O27" s="49">
        <f>SUM(O12:O26)</f>
        <v>13443</v>
      </c>
      <c r="P27" s="49">
        <f>SUM(P12:P26)</f>
        <v>32014</v>
      </c>
      <c r="Q27" s="50">
        <f>SUM(Q12:Q26)</f>
        <v>6077</v>
      </c>
    </row>
    <row r="28" spans="1:17" ht="16.5" customHeight="1" x14ac:dyDescent="0.25">
      <c r="A28" s="18"/>
      <c r="B28" s="83" t="s">
        <v>56</v>
      </c>
      <c r="C28" s="83"/>
      <c r="D28" s="83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29</v>
      </c>
      <c r="B29" s="23" t="s">
        <v>30</v>
      </c>
      <c r="C29" s="51">
        <v>472080</v>
      </c>
      <c r="D29" s="30">
        <v>237</v>
      </c>
      <c r="E29" s="30">
        <v>17905</v>
      </c>
      <c r="F29" s="30">
        <v>0</v>
      </c>
      <c r="G29" s="30">
        <v>0</v>
      </c>
      <c r="H29" s="32"/>
      <c r="I29" s="30">
        <v>118200</v>
      </c>
      <c r="J29" s="30">
        <v>-25525</v>
      </c>
      <c r="K29" s="52">
        <v>0</v>
      </c>
      <c r="L29" s="52">
        <v>118279</v>
      </c>
      <c r="M29" s="53">
        <v>464618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31</v>
      </c>
      <c r="B30" s="23" t="s">
        <v>32</v>
      </c>
      <c r="C30" s="26">
        <v>837494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145170</v>
      </c>
      <c r="J30" s="27">
        <v>-59820</v>
      </c>
      <c r="K30" s="58">
        <v>3792</v>
      </c>
      <c r="L30" s="58">
        <v>38505</v>
      </c>
      <c r="M30" s="59">
        <v>880545</v>
      </c>
      <c r="N30" s="54"/>
      <c r="O30" s="60">
        <v>10</v>
      </c>
      <c r="P30" s="37">
        <v>3781</v>
      </c>
      <c r="Q30" s="39">
        <v>0</v>
      </c>
    </row>
    <row r="31" spans="1:17" ht="15" customHeight="1" x14ac:dyDescent="0.25">
      <c r="A31" s="24" t="s">
        <v>33</v>
      </c>
      <c r="B31" s="23" t="s">
        <v>34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411749</v>
      </c>
      <c r="J31" s="27">
        <v>-19709</v>
      </c>
      <c r="K31" s="58">
        <v>161241</v>
      </c>
      <c r="L31" s="58">
        <v>136075</v>
      </c>
      <c r="M31" s="59">
        <v>1427406</v>
      </c>
      <c r="N31" s="54"/>
      <c r="O31" s="60">
        <v>1205</v>
      </c>
      <c r="P31" s="37">
        <v>160035</v>
      </c>
      <c r="Q31" s="39">
        <v>0</v>
      </c>
    </row>
    <row r="32" spans="1:17" ht="15" customHeight="1" x14ac:dyDescent="0.25">
      <c r="A32" s="24" t="s">
        <v>57</v>
      </c>
      <c r="B32" s="23" t="s">
        <v>58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142890</v>
      </c>
      <c r="J32" s="27">
        <v>-101</v>
      </c>
      <c r="K32" s="58">
        <v>754</v>
      </c>
      <c r="L32" s="58">
        <v>144421</v>
      </c>
      <c r="M32" s="59">
        <v>64143</v>
      </c>
      <c r="N32" s="54"/>
      <c r="O32" s="60">
        <v>396</v>
      </c>
      <c r="P32" s="37">
        <v>0</v>
      </c>
      <c r="Q32" s="39">
        <v>0</v>
      </c>
    </row>
    <row r="33" spans="1:21" ht="15" customHeight="1" x14ac:dyDescent="0.25">
      <c r="A33" s="24" t="s">
        <v>59</v>
      </c>
      <c r="B33" s="23" t="s">
        <v>60</v>
      </c>
      <c r="C33" s="26">
        <v>0</v>
      </c>
      <c r="D33" s="27">
        <v>1325</v>
      </c>
      <c r="E33" s="27">
        <v>1327</v>
      </c>
      <c r="F33" s="27">
        <v>0</v>
      </c>
      <c r="G33" s="27">
        <v>0</v>
      </c>
      <c r="H33" s="31"/>
      <c r="I33" s="27">
        <v>167923</v>
      </c>
      <c r="J33" s="27">
        <v>0</v>
      </c>
      <c r="K33" s="58">
        <v>162391</v>
      </c>
      <c r="L33" s="58">
        <v>8184</v>
      </c>
      <c r="M33" s="59">
        <v>0</v>
      </c>
      <c r="N33" s="54"/>
      <c r="O33" s="60">
        <v>14926</v>
      </c>
      <c r="P33" s="37">
        <v>592</v>
      </c>
      <c r="Q33" s="39">
        <v>524</v>
      </c>
    </row>
    <row r="34" spans="1:21" ht="15" customHeight="1" x14ac:dyDescent="0.25">
      <c r="A34" s="24" t="s">
        <v>61</v>
      </c>
      <c r="B34" s="23" t="s">
        <v>62</v>
      </c>
      <c r="C34" s="26">
        <v>228019</v>
      </c>
      <c r="D34" s="27">
        <v>0</v>
      </c>
      <c r="E34" s="27">
        <v>0</v>
      </c>
      <c r="F34" s="27">
        <v>0</v>
      </c>
      <c r="G34" s="27">
        <v>0</v>
      </c>
      <c r="H34" s="31"/>
      <c r="I34" s="27">
        <v>288477</v>
      </c>
      <c r="J34" s="27">
        <v>0</v>
      </c>
      <c r="K34" s="58">
        <v>1502</v>
      </c>
      <c r="L34" s="58">
        <v>282794</v>
      </c>
      <c r="M34" s="59">
        <v>232200</v>
      </c>
      <c r="N34" s="54"/>
      <c r="O34" s="60">
        <v>9</v>
      </c>
      <c r="P34" s="37">
        <v>1332</v>
      </c>
      <c r="Q34" s="39">
        <v>0</v>
      </c>
    </row>
    <row r="35" spans="1:21" ht="15" customHeight="1" x14ac:dyDescent="0.25">
      <c r="A35" s="24" t="s">
        <v>63</v>
      </c>
      <c r="B35" s="23" t="s">
        <v>64</v>
      </c>
      <c r="C35" s="26">
        <v>573720</v>
      </c>
      <c r="D35" s="27">
        <v>0</v>
      </c>
      <c r="E35" s="27">
        <v>0</v>
      </c>
      <c r="F35" s="27">
        <v>0</v>
      </c>
      <c r="G35" s="27">
        <v>0</v>
      </c>
      <c r="H35" s="31"/>
      <c r="I35" s="27">
        <v>1298010</v>
      </c>
      <c r="J35" s="27">
        <v>130970</v>
      </c>
      <c r="K35" s="58">
        <v>0</v>
      </c>
      <c r="L35" s="58">
        <v>1162434</v>
      </c>
      <c r="M35" s="59">
        <v>840267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65</v>
      </c>
      <c r="B36" s="23" t="s">
        <v>66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67</v>
      </c>
      <c r="B37" s="23" t="s">
        <v>68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0</v>
      </c>
      <c r="J37" s="27">
        <v>-6350</v>
      </c>
      <c r="K37" s="58">
        <v>0</v>
      </c>
      <c r="L37" s="58">
        <v>0</v>
      </c>
      <c r="M37" s="59">
        <v>6836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69</v>
      </c>
      <c r="B38" s="23" t="s">
        <v>70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71</v>
      </c>
      <c r="B39" s="23" t="s">
        <v>72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73</v>
      </c>
      <c r="B40" s="23" t="s">
        <v>74</v>
      </c>
      <c r="C40" s="26">
        <v>139952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148334</v>
      </c>
      <c r="J40" s="27">
        <v>952</v>
      </c>
      <c r="K40" s="58">
        <v>0</v>
      </c>
      <c r="L40" s="58">
        <v>165610</v>
      </c>
      <c r="M40" s="59">
        <v>123629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75</v>
      </c>
      <c r="B41" s="23" t="s">
        <v>76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5380</v>
      </c>
      <c r="J41" s="27">
        <v>-2999</v>
      </c>
      <c r="K41" s="58">
        <v>0</v>
      </c>
      <c r="L41" s="58">
        <v>2962</v>
      </c>
      <c r="M41" s="59">
        <v>33287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77</v>
      </c>
      <c r="B42" s="23" t="s">
        <v>78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31</v>
      </c>
      <c r="J42" s="27">
        <v>0</v>
      </c>
      <c r="K42" s="58">
        <v>4</v>
      </c>
      <c r="L42" s="58">
        <v>13</v>
      </c>
      <c r="M42" s="59">
        <v>1781</v>
      </c>
      <c r="N42" s="54"/>
      <c r="O42" s="60">
        <v>3</v>
      </c>
      <c r="P42" s="37">
        <v>0</v>
      </c>
      <c r="Q42" s="39">
        <v>0</v>
      </c>
    </row>
    <row r="43" spans="1:21" ht="15" customHeight="1" x14ac:dyDescent="0.25">
      <c r="A43" s="24" t="s">
        <v>79</v>
      </c>
      <c r="B43" s="23" t="s">
        <v>80</v>
      </c>
      <c r="C43" s="26">
        <v>1173879</v>
      </c>
      <c r="D43" s="27">
        <v>9917</v>
      </c>
      <c r="E43" s="27">
        <v>5</v>
      </c>
      <c r="F43" s="27">
        <v>0</v>
      </c>
      <c r="G43" s="27">
        <v>0</v>
      </c>
      <c r="H43" s="31"/>
      <c r="I43" s="27">
        <v>2688224</v>
      </c>
      <c r="J43" s="27">
        <v>66345</v>
      </c>
      <c r="K43" s="58">
        <v>1237</v>
      </c>
      <c r="L43" s="58">
        <v>2607525</v>
      </c>
      <c r="M43" s="59">
        <v>1329609</v>
      </c>
      <c r="N43" s="54"/>
      <c r="O43" s="60">
        <v>174</v>
      </c>
      <c r="P43" s="37">
        <v>0</v>
      </c>
      <c r="Q43" s="39">
        <v>0</v>
      </c>
      <c r="U43" s="1"/>
    </row>
    <row r="44" spans="1:21" ht="15" customHeight="1" x14ac:dyDescent="0.25">
      <c r="A44" s="24" t="s">
        <v>81</v>
      </c>
      <c r="B44" s="23" t="s">
        <v>82</v>
      </c>
      <c r="C44" s="26">
        <v>590819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318882</v>
      </c>
      <c r="J44" s="27">
        <v>9415</v>
      </c>
      <c r="K44" s="58">
        <v>3749</v>
      </c>
      <c r="L44" s="58">
        <v>296044</v>
      </c>
      <c r="M44" s="59">
        <v>619324</v>
      </c>
      <c r="N44" s="54"/>
      <c r="O44" s="60">
        <v>1032</v>
      </c>
      <c r="P44" s="37">
        <v>27</v>
      </c>
      <c r="Q44" s="39">
        <v>7</v>
      </c>
    </row>
    <row r="45" spans="1:21" ht="15" customHeight="1" x14ac:dyDescent="0.25">
      <c r="A45" s="24" t="s">
        <v>83</v>
      </c>
      <c r="B45" s="23" t="s">
        <v>84</v>
      </c>
      <c r="C45" s="26">
        <v>265024</v>
      </c>
      <c r="D45" s="27">
        <v>0</v>
      </c>
      <c r="E45" s="27">
        <v>85</v>
      </c>
      <c r="F45" s="27">
        <v>0</v>
      </c>
      <c r="G45" s="27">
        <v>0</v>
      </c>
      <c r="H45" s="31"/>
      <c r="I45" s="27">
        <v>239456</v>
      </c>
      <c r="J45" s="27">
        <v>6768</v>
      </c>
      <c r="K45" s="58">
        <v>35601</v>
      </c>
      <c r="L45" s="58">
        <v>114092</v>
      </c>
      <c r="M45" s="59">
        <v>361641</v>
      </c>
      <c r="N45" s="54"/>
      <c r="O45" s="60">
        <v>14316</v>
      </c>
      <c r="P45" s="37">
        <v>0</v>
      </c>
      <c r="Q45" s="39">
        <v>296</v>
      </c>
    </row>
    <row r="46" spans="1:21" ht="15" customHeight="1" x14ac:dyDescent="0.25">
      <c r="A46" s="24" t="s">
        <v>85</v>
      </c>
      <c r="B46" s="23" t="s">
        <v>86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177022</v>
      </c>
      <c r="J46" s="27">
        <v>5500</v>
      </c>
      <c r="K46" s="58">
        <v>0</v>
      </c>
      <c r="L46" s="58">
        <v>142521</v>
      </c>
      <c r="M46" s="59">
        <v>274918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87</v>
      </c>
      <c r="B47" s="23" t="s">
        <v>88</v>
      </c>
      <c r="C47" s="26">
        <v>93699</v>
      </c>
      <c r="D47" s="27">
        <v>0</v>
      </c>
      <c r="E47" s="27">
        <v>0</v>
      </c>
      <c r="F47" s="27">
        <v>0</v>
      </c>
      <c r="G47" s="27">
        <v>0</v>
      </c>
      <c r="H47" s="31"/>
      <c r="I47" s="27">
        <v>94052</v>
      </c>
      <c r="J47" s="27">
        <v>0</v>
      </c>
      <c r="K47" s="58">
        <v>85984</v>
      </c>
      <c r="L47" s="58">
        <v>9076</v>
      </c>
      <c r="M47" s="59">
        <v>92689</v>
      </c>
      <c r="N47" s="54"/>
      <c r="O47" s="60">
        <v>4946</v>
      </c>
      <c r="P47" s="37">
        <v>133</v>
      </c>
      <c r="Q47" s="39">
        <v>30</v>
      </c>
    </row>
    <row r="48" spans="1:21" ht="15" customHeight="1" x14ac:dyDescent="0.25">
      <c r="A48" s="24" t="s">
        <v>89</v>
      </c>
      <c r="B48" s="23" t="s">
        <v>90</v>
      </c>
      <c r="C48" s="26">
        <v>118827</v>
      </c>
      <c r="D48" s="27">
        <v>0</v>
      </c>
      <c r="E48" s="27">
        <v>28</v>
      </c>
      <c r="F48" s="27">
        <v>0</v>
      </c>
      <c r="G48" s="27">
        <v>0</v>
      </c>
      <c r="H48" s="31"/>
      <c r="I48" s="27">
        <v>108664</v>
      </c>
      <c r="J48" s="27">
        <v>-103</v>
      </c>
      <c r="K48" s="58">
        <v>0</v>
      </c>
      <c r="L48" s="58">
        <v>84664</v>
      </c>
      <c r="M48" s="59">
        <v>142752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91</v>
      </c>
      <c r="B49" s="23" t="s">
        <v>92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7858</v>
      </c>
      <c r="J49" s="27">
        <v>0</v>
      </c>
      <c r="K49" s="58">
        <v>0</v>
      </c>
      <c r="L49" s="58">
        <v>6427</v>
      </c>
      <c r="M49" s="59">
        <v>7724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93</v>
      </c>
      <c r="B50" s="23" t="s">
        <v>94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50562</v>
      </c>
      <c r="J50" s="27">
        <v>0</v>
      </c>
      <c r="K50" s="58">
        <v>0</v>
      </c>
      <c r="L50" s="58">
        <v>55108</v>
      </c>
      <c r="M50" s="59">
        <v>4211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95</v>
      </c>
      <c r="B51" s="23" t="s">
        <v>96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31865</v>
      </c>
      <c r="J51" s="27">
        <v>0</v>
      </c>
      <c r="K51" s="58">
        <v>0</v>
      </c>
      <c r="L51" s="58">
        <v>20563</v>
      </c>
      <c r="M51" s="59">
        <v>51422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97</v>
      </c>
      <c r="B52" s="23" t="s">
        <v>98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99</v>
      </c>
      <c r="B53" s="23" t="s">
        <v>100</v>
      </c>
      <c r="C53" s="61">
        <v>6051</v>
      </c>
      <c r="D53" s="62">
        <v>0</v>
      </c>
      <c r="E53" s="62">
        <v>0</v>
      </c>
      <c r="F53" s="62">
        <v>0</v>
      </c>
      <c r="G53" s="62">
        <v>0</v>
      </c>
      <c r="H53" s="63"/>
      <c r="I53" s="62">
        <v>22725</v>
      </c>
      <c r="J53" s="62">
        <v>0</v>
      </c>
      <c r="K53" s="64">
        <v>78</v>
      </c>
      <c r="L53" s="64">
        <v>20980</v>
      </c>
      <c r="M53" s="65">
        <v>7717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101</v>
      </c>
      <c r="B54" s="23" t="s">
        <v>102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56649</v>
      </c>
      <c r="J54" s="67">
        <v>0</v>
      </c>
      <c r="K54" s="69">
        <v>56649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55</v>
      </c>
      <c r="C55" s="71">
        <f t="shared" ref="C55:M55" si="1">SUM(C29:C54)</f>
        <v>6343029</v>
      </c>
      <c r="D55" s="72">
        <f t="shared" si="1"/>
        <v>11479</v>
      </c>
      <c r="E55" s="72">
        <f t="shared" si="1"/>
        <v>19350</v>
      </c>
      <c r="F55" s="72">
        <f t="shared" si="1"/>
        <v>0</v>
      </c>
      <c r="G55" s="72">
        <f t="shared" si="1"/>
        <v>0</v>
      </c>
      <c r="H55" s="72">
        <f t="shared" si="1"/>
        <v>0</v>
      </c>
      <c r="I55" s="72">
        <f t="shared" si="1"/>
        <v>6522123</v>
      </c>
      <c r="J55" s="72">
        <f t="shared" si="1"/>
        <v>0</v>
      </c>
      <c r="K55" s="72">
        <f t="shared" si="1"/>
        <v>512982</v>
      </c>
      <c r="L55" s="72">
        <f t="shared" si="1"/>
        <v>5416277</v>
      </c>
      <c r="M55" s="73">
        <f t="shared" si="1"/>
        <v>6966719</v>
      </c>
      <c r="N55" s="74"/>
      <c r="O55" s="75">
        <f>SUM(O29:O54)</f>
        <v>37017</v>
      </c>
      <c r="P55" s="49">
        <f>SUM(P29:P54)</f>
        <v>165900</v>
      </c>
      <c r="Q55" s="50">
        <f>SUM(Q29:Q54)</f>
        <v>857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103</v>
      </c>
      <c r="B57" s="10"/>
      <c r="C57" s="2"/>
      <c r="D57" s="10" t="s">
        <v>104</v>
      </c>
      <c r="E57" s="76">
        <v>0</v>
      </c>
      <c r="F57" s="10"/>
      <c r="G57" s="10" t="s">
        <v>105</v>
      </c>
      <c r="H57" s="10"/>
      <c r="I57" s="10"/>
      <c r="J57" s="10" t="s">
        <v>106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107</v>
      </c>
      <c r="B58" s="10"/>
      <c r="C58" s="2"/>
      <c r="D58" s="10" t="s">
        <v>104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108</v>
      </c>
      <c r="B59" s="10"/>
      <c r="C59" s="2"/>
      <c r="D59" s="10" t="s">
        <v>104</v>
      </c>
      <c r="E59" s="76">
        <v>0</v>
      </c>
      <c r="F59" s="10"/>
      <c r="G59" s="10" t="s">
        <v>109</v>
      </c>
      <c r="H59" s="10"/>
      <c r="I59" s="10"/>
      <c r="J59" s="10" t="s">
        <v>106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P1:Q1"/>
    <mergeCell ref="B2:D2"/>
    <mergeCell ref="B3:D3"/>
    <mergeCell ref="B10:D10"/>
    <mergeCell ref="B28:D28"/>
    <mergeCell ref="B5:D5"/>
    <mergeCell ref="E5:K5"/>
    <mergeCell ref="B1:D1"/>
    <mergeCell ref="E1:K1"/>
    <mergeCell ref="L6:Q6"/>
    <mergeCell ref="L7:Q7"/>
    <mergeCell ref="L8:Q8"/>
    <mergeCell ref="L9:Q9"/>
    <mergeCell ref="E2:K2"/>
    <mergeCell ref="E4:K4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2015-02-15T10:59:30Z</cp:lastPrinted>
  <dcterms:created xsi:type="dcterms:W3CDTF">2014-06-24T13:01:17Z</dcterms:created>
  <dcterms:modified xsi:type="dcterms:W3CDTF">2015-02-15T10:59:37Z</dcterms:modified>
</cp:coreProperties>
</file>