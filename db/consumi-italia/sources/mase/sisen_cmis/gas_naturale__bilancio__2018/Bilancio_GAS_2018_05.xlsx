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8\"/>
    </mc:Choice>
  </mc:AlternateContent>
  <bookViews>
    <workbookView xWindow="120" yWindow="48" windowWidth="15180" windowHeight="8580"/>
  </bookViews>
  <sheets>
    <sheet name="Preconsuntivo maggio 2018" sheetId="1" r:id="rId1"/>
  </sheets>
  <externalReferences>
    <externalReference r:id="rId2"/>
  </externalReferences>
  <definedNames>
    <definedName name="_xlnm.Print_Area" localSheetId="0">'Preconsuntivo maggio 2018'!#REF!</definedName>
  </definedNames>
  <calcPr calcId="162913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<sst xmlns="http://schemas.openxmlformats.org/spreadsheetml/2006/main" count="30" uniqueCount="29">
  <si>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</si>
  <si>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</si>
  <si>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</si>
  <si>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</si>
  <si>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</si>
  <si>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</si>
  <si>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</si>
  <si>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</si>
  <si>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</si>
  <si>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</si>
  <si>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</si>
  <si>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</si>
  <si>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</si>
  <si>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</si>
  <si>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</si>
  <si>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</si>
  <si>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</si>
  <si>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</si>
  <si>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</si>
  <si>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</si>
  <si>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</si>
  <si>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</si>
  <si>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</si>
  <si>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</si>
  <si>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</si>
  <si>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</si>
  <si>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</si>
  <si>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Maggio</t>
  </si>
  <si>
    <t xml:space="preserve">    Gennaio-Maggio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</si>
</sst>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164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4" fontId="5" fillId="0" borderId="1" xfId="2" applyNumberFormat="1" applyFont="1" applyFill="1" applyBorder="1"/>
    <xf numFmtId="164" fontId="5" fillId="0" borderId="1" xfId="2" applyNumberFormat="1" applyFont="1" applyFill="1" applyBorder="1" applyAlignment="1">
      <alignment horizontal="right"/>
    </xf>
    <xf numFmtId="164" fontId="5" fillId="0" borderId="1" xfId="2" applyFont="1" applyBorder="1"/>
    <xf numFmtId="165" fontId="5" fillId="0" borderId="1" xfId="2" applyNumberFormat="1" applyFont="1" applyBorder="1"/>
    <xf numFmtId="165" fontId="5" fillId="0" borderId="3" xfId="2" applyNumberFormat="1" applyFont="1" applyBorder="1"/>
    <xf numFmtId="165" fontId="2" fillId="0" borderId="1" xfId="2" applyNumberFormat="1" applyFont="1" applyBorder="1"/>
    <xf numFmtId="165" fontId="2" fillId="0" borderId="3" xfId="2" applyNumberFormat="1" applyFont="1" applyBorder="1"/>
    <xf numFmtId="164" fontId="5" fillId="0" borderId="1" xfId="2" applyNumberFormat="1" applyFont="1" applyBorder="1"/>
    <xf numFmtId="164" fontId="5" fillId="0" borderId="5" xfId="2" applyFont="1" applyBorder="1"/>
    <xf numFmtId="164" fontId="5" fillId="0" borderId="5" xfId="2" applyFont="1" applyFill="1" applyBorder="1"/>
    <xf numFmtId="165" fontId="5" fillId="0" borderId="5" xfId="2" applyNumberFormat="1" applyFont="1" applyBorder="1"/>
    <xf numFmtId="165" fontId="5" fillId="0" borderId="6" xfId="2" applyNumberFormat="1" applyFont="1" applyBorder="1"/>
    <xf numFmtId="165" fontId="2" fillId="0" borderId="3" xfId="2" applyNumberFormat="1" applyFont="1" applyBorder="1" applyAlignment="1">
      <alignment horizontal="right"/>
    </xf>
    <xf numFmtId="165" fontId="2" fillId="0" borderId="1" xfId="2" applyNumberFormat="1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7"/>
    </sheetNames>
    <sheetDataSet>
      <sheetData sheetId="0"/>
      <sheetData sheetId="1">
        <row r="6">
          <cell r="G6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41" t="s">
        <v>15</v>
      </c>
      <c r="D2" s="42"/>
      <c r="E2" s="42"/>
      <c r="F2" s="42"/>
      <c r="G2" s="42"/>
      <c r="H2" s="42"/>
      <c r="I2" s="42"/>
      <c r="J2" s="42"/>
      <c r="K2" s="42"/>
      <c r="L2" s="43"/>
    </row>
    <row r="3" spans="3:12" ht="21" x14ac:dyDescent="0.4">
      <c r="C3" s="51" t="s">
        <v>16</v>
      </c>
      <c r="D3" s="52"/>
      <c r="E3" s="52"/>
      <c r="F3" s="52"/>
      <c r="G3" s="52"/>
      <c r="H3" s="52"/>
      <c r="I3" s="52"/>
      <c r="J3" s="52"/>
      <c r="K3" s="52"/>
      <c r="L3" s="53"/>
    </row>
    <row r="4" spans="3:12" ht="21" x14ac:dyDescent="0.4">
      <c r="C4" s="51" t="s">
        <v>22</v>
      </c>
      <c r="D4" s="52"/>
      <c r="E4" s="52"/>
      <c r="F4" s="52"/>
      <c r="G4" s="54"/>
      <c r="H4" s="54"/>
      <c r="I4" s="54"/>
      <c r="J4" s="52"/>
      <c r="K4" s="52"/>
      <c r="L4" s="53"/>
    </row>
    <row r="5" spans="3:12" ht="21" x14ac:dyDescent="0.4">
      <c r="C5" s="6"/>
      <c r="D5" s="1"/>
      <c r="E5" s="1"/>
      <c r="F5" s="20"/>
      <c r="G5" s="44" t="s">
        <v>27</v>
      </c>
      <c r="H5" s="45"/>
      <c r="I5" s="50"/>
      <c r="J5" s="44" t="s">
        <v>28</v>
      </c>
      <c r="K5" s="45"/>
      <c r="L5" s="46"/>
    </row>
    <row r="6" spans="3:12" ht="17.399999999999999" x14ac:dyDescent="0.3">
      <c r="C6" s="7"/>
      <c r="D6" s="2"/>
      <c r="E6" s="2"/>
      <c r="F6" s="21"/>
      <c r="G6" s="3">
        <f>[1]Gennaio!G6</f>
        <v>2018</v>
      </c>
      <c r="H6" s="3">
        <f>G6-1</f>
        <v>2017</v>
      </c>
      <c r="I6" s="1" t="s">
        <v>0</v>
      </c>
      <c r="J6" s="3">
        <f>G6</f>
        <v>2018</v>
      </c>
      <c r="K6" s="3">
        <f>J6-1</f>
        <v>2017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29">
        <v>470.6086403615198</v>
      </c>
      <c r="H7" s="17">
        <v>383.63245041874416</v>
      </c>
      <c r="I7" s="30">
        <v>0.2267174996480068</v>
      </c>
      <c r="J7" s="17">
        <v>2307.3481433553029</v>
      </c>
      <c r="K7" s="17">
        <v>2347.0746657889877</v>
      </c>
      <c r="L7" s="31">
        <v>-1.6925973004923711E-2</v>
      </c>
    </row>
    <row r="8" spans="3:12" ht="15.6" x14ac:dyDescent="0.3">
      <c r="C8" s="6" t="s">
        <v>11</v>
      </c>
      <c r="D8" s="4" t="s">
        <v>1</v>
      </c>
      <c r="E8" s="2"/>
      <c r="F8" s="21"/>
      <c r="G8" s="29">
        <v>6239.7317041030701</v>
      </c>
      <c r="H8" s="17">
        <v>6259.744724413843</v>
      </c>
      <c r="I8" s="30">
        <v>-3.1970984747540232E-3</v>
      </c>
      <c r="J8" s="17">
        <v>29605.721698546338</v>
      </c>
      <c r="K8" s="17">
        <v>29615.513334541094</v>
      </c>
      <c r="L8" s="31">
        <v>-3.3062523293614365E-4</v>
      </c>
    </row>
    <row r="9" spans="3:12" ht="15.75" customHeight="1" x14ac:dyDescent="0.3">
      <c r="C9" s="6"/>
      <c r="D9" s="47" t="s">
        <v>24</v>
      </c>
      <c r="E9" s="5" t="s">
        <v>2</v>
      </c>
      <c r="F9" s="22"/>
      <c r="G9" s="17">
        <v>922.98853779764011</v>
      </c>
      <c r="H9" s="17">
        <v>1291.1706332789483</v>
      </c>
      <c r="I9" s="32">
        <v>-0.2851537093484724</v>
      </c>
      <c r="J9" s="17">
        <v>8235.731396656498</v>
      </c>
      <c r="K9" s="17">
        <v>9171.1043323638587</v>
      </c>
      <c r="L9" s="33">
        <v>-0.10199130898626119</v>
      </c>
    </row>
    <row r="10" spans="3:12" ht="18" customHeight="1" x14ac:dyDescent="0.3">
      <c r="C10" s="6"/>
      <c r="D10" s="48"/>
      <c r="E10" s="5" t="s">
        <v>3</v>
      </c>
      <c r="F10" s="22"/>
      <c r="G10" s="17">
        <v>218.86757986332785</v>
      </c>
      <c r="H10" s="17">
        <v>433.34750381877939</v>
      </c>
      <c r="I10" s="32">
        <v>-0.49493748565618689</v>
      </c>
      <c r="J10" s="17">
        <v>1381.4004519164832</v>
      </c>
      <c r="K10" s="17">
        <v>1928.7273714028988</v>
      </c>
      <c r="L10" s="33">
        <v>-0.28377619750805227</v>
      </c>
    </row>
    <row r="11" spans="3:12" ht="17.25" customHeight="1" x14ac:dyDescent="0.3">
      <c r="C11" s="6"/>
      <c r="D11" s="48"/>
      <c r="E11" s="5" t="s">
        <v>4</v>
      </c>
      <c r="F11" s="22"/>
      <c r="G11" s="17">
        <v>2961.2894008654321</v>
      </c>
      <c r="H11" s="17">
        <v>2944.0990961670327</v>
      </c>
      <c r="I11" s="32">
        <v>5.8389015236544051E-3</v>
      </c>
      <c r="J11" s="17">
        <v>13167.892410300065</v>
      </c>
      <c r="K11" s="17">
        <v>12439.799644179611</v>
      </c>
      <c r="L11" s="33">
        <v>5.8529300064821932E-2</v>
      </c>
    </row>
    <row r="12" spans="3:12" ht="17.25" customHeight="1" x14ac:dyDescent="0.3">
      <c r="C12" s="6"/>
      <c r="D12" s="48"/>
      <c r="E12" s="5" t="s">
        <v>5</v>
      </c>
      <c r="F12" s="22"/>
      <c r="G12" s="17">
        <v>1282.042036367076</v>
      </c>
      <c r="H12" s="17">
        <v>708.76544626516272</v>
      </c>
      <c r="I12" s="32">
        <v>0.80883823149504885</v>
      </c>
      <c r="J12" s="17">
        <v>3613.6015740464877</v>
      </c>
      <c r="K12" s="17">
        <v>2825.3499903052652</v>
      </c>
      <c r="L12" s="33">
        <v>0.27899254479833702</v>
      </c>
    </row>
    <row r="13" spans="3:12" ht="14.25" customHeight="1" x14ac:dyDescent="0.3">
      <c r="C13" s="6"/>
      <c r="D13" s="48"/>
      <c r="E13" s="5" t="s">
        <v>18</v>
      </c>
      <c r="F13" s="22"/>
      <c r="G13" s="27">
        <v>171.3895274981034</v>
      </c>
      <c r="H13" s="17">
        <v>82.863389469208386</v>
      </c>
      <c r="I13" s="40">
        <v>1.0683383650603728</v>
      </c>
      <c r="J13" s="17">
        <v>296.95346559147703</v>
      </c>
      <c r="K13" s="17">
        <v>82.863389473208386</v>
      </c>
      <c r="L13" s="39">
        <v>2.5836509643078118</v>
      </c>
    </row>
    <row r="14" spans="3:12" ht="14.25" customHeight="1" x14ac:dyDescent="0.3">
      <c r="C14" s="6"/>
      <c r="D14" s="48"/>
      <c r="E14" s="5" t="s">
        <v>23</v>
      </c>
      <c r="F14" s="22"/>
      <c r="G14" s="17">
        <v>584.40682708004761</v>
      </c>
      <c r="H14" s="17">
        <v>608.09856886908051</v>
      </c>
      <c r="I14" s="32">
        <v>-3.8960364325628882E-2</v>
      </c>
      <c r="J14" s="17">
        <v>2694.5659048990233</v>
      </c>
      <c r="K14" s="17">
        <v>2750.8226305380476</v>
      </c>
      <c r="L14" s="33">
        <v>-2.0450873500346578E-2</v>
      </c>
    </row>
    <row r="15" spans="3:12" ht="14.25" customHeight="1" x14ac:dyDescent="0.3">
      <c r="C15" s="6"/>
      <c r="D15" s="48"/>
      <c r="E15" s="5" t="s">
        <v>25</v>
      </c>
      <c r="F15" s="22"/>
      <c r="G15" s="17">
        <v>88.184095245851168</v>
      </c>
      <c r="H15" s="17">
        <v>179.49023754563126</v>
      </c>
      <c r="I15" s="40">
        <v>-0.5086969829017447</v>
      </c>
      <c r="J15" s="17">
        <v>148.81323336434338</v>
      </c>
      <c r="K15" s="17">
        <v>353.13445925164814</v>
      </c>
      <c r="L15" s="39">
        <v>-0.57859328234434027</v>
      </c>
    </row>
    <row r="16" spans="3:12" ht="15.6" x14ac:dyDescent="0.3">
      <c r="C16" s="6"/>
      <c r="D16" s="48"/>
      <c r="E16" s="5" t="s">
        <v>6</v>
      </c>
      <c r="F16" s="23">
        <v>0</v>
      </c>
      <c r="G16" s="17">
        <v>1.1850233855903147</v>
      </c>
      <c r="H16" s="17">
        <v>0</v>
      </c>
      <c r="I16" s="17">
        <v>0</v>
      </c>
      <c r="J16" s="17">
        <v>21.15328377196094</v>
      </c>
      <c r="K16" s="17">
        <v>2.4392470265541131</v>
      </c>
      <c r="L16" s="33">
        <v>7.6720547536523434</v>
      </c>
    </row>
    <row r="17" spans="3:12" ht="16.5" customHeight="1" x14ac:dyDescent="0.3">
      <c r="C17" s="6"/>
      <c r="D17" s="49"/>
      <c r="E17" s="5" t="s">
        <v>19</v>
      </c>
      <c r="F17" s="22"/>
      <c r="G17" s="29">
        <v>9.3786759999999987</v>
      </c>
      <c r="H17" s="17">
        <v>11.909849000000001</v>
      </c>
      <c r="I17" s="32">
        <v>-0.21252771550672067</v>
      </c>
      <c r="J17" s="17">
        <v>45.609977999999998</v>
      </c>
      <c r="K17" s="17">
        <v>61.272269999999999</v>
      </c>
      <c r="L17" s="33">
        <v>-0.25561794919626779</v>
      </c>
    </row>
    <row r="18" spans="3:12" ht="15.6" x14ac:dyDescent="0.3">
      <c r="C18" s="6" t="s">
        <v>14</v>
      </c>
      <c r="D18" s="4" t="s">
        <v>7</v>
      </c>
      <c r="E18" s="4"/>
      <c r="F18" s="24"/>
      <c r="G18" s="34">
        <v>18.430568962663454</v>
      </c>
      <c r="H18" s="17">
        <v>13.295040363197842</v>
      </c>
      <c r="I18" s="30">
        <v>0.38627401340437673</v>
      </c>
      <c r="J18" s="17">
        <v>161.19554146272256</v>
      </c>
      <c r="K18" s="17">
        <v>114.22445863186022</v>
      </c>
      <c r="L18" s="31">
        <v>0.41121738192910007</v>
      </c>
    </row>
    <row r="19" spans="3:12" ht="15.6" x14ac:dyDescent="0.3">
      <c r="C19" s="6" t="s">
        <v>12</v>
      </c>
      <c r="D19" s="4" t="s">
        <v>20</v>
      </c>
      <c r="E19" s="4"/>
      <c r="F19" s="24"/>
      <c r="G19" s="28">
        <v>2641.0526563971066</v>
      </c>
      <c r="H19" s="17">
        <v>2119.7183686363528</v>
      </c>
      <c r="I19" s="30">
        <v>0.24594507245608099</v>
      </c>
      <c r="J19" s="17">
        <v>-3074.1247042678101</v>
      </c>
      <c r="K19" s="17">
        <v>-3205.4447433260034</v>
      </c>
      <c r="L19" s="31">
        <v>-4.0967806208986213E-2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35">
        <v>4050.85711910482</v>
      </c>
      <c r="H20" s="36">
        <v>4510.3637658330372</v>
      </c>
      <c r="I20" s="37">
        <v>-0.10187795720803661</v>
      </c>
      <c r="J20" s="36">
        <v>34825.999004706726</v>
      </c>
      <c r="K20" s="36">
        <v>35053.808285024228</v>
      </c>
      <c r="L20" s="38">
        <v>-6.4988453883576547E-3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maggio 2018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2018-07-02T07:09:28Z</cp:lastPrinted>
  <dcterms:created xsi:type="dcterms:W3CDTF">2005-02-22T07:47:00Z</dcterms:created>
  <dcterms:modified xsi:type="dcterms:W3CDTF">2018-07-02T07:09:39Z</dcterms:modified>
</cp:coreProperties>
</file>