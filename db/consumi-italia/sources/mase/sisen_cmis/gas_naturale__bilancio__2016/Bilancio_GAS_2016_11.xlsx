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Novembre  2016" sheetId="1" r:id="rId1"/>
  </sheets>
  <externalReferences>
    <externalReference r:id="rId2"/>
  </externalReferences>
  <definedNames>
    <definedName name="_xlnm.Print_Area" localSheetId="0">'Preconsuntivo Novembre  2016'!#REF!</definedName>
  </definedNames>
  <calcPr calcId="145621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<sst xmlns="http://schemas.openxmlformats.org/spreadsheetml/2006/main" count="30" uniqueCount="29">
  <si>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</si>
  <si>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</si>
  <si>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</si>
  <si>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</si>
  <si>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</si>
  <si>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</si>
  <si>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</si>
  <si>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</si>
  <si>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</si>
  <si>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</si>
  <si>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</si>
  <si>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</si>
  <si>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</si>
  <si>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</si>
  <si>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</si>
  <si>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</si>
  <si>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</si>
  <si>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</si>
  <si>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</si>
  <si>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</si>
  <si>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</si>
  <si>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</si>
  <si>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</si>
  <si>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</si>
  <si>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</si>
  <si>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</si>
  <si>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</si>
  <si>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Novembre</t>
  </si>
  <si>
    <t xml:space="preserve">    Gennaio-Novembre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</si>
</sst>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5" fillId="0" borderId="3" xfId="2" applyNumberFormat="1" applyFont="1" applyFill="1" applyBorder="1"/>
    <xf numFmtId="164" fontId="2" fillId="0" borderId="1" xfId="2" applyNumberFormat="1" applyFont="1" applyFill="1" applyBorder="1"/>
    <xf numFmtId="164" fontId="2" fillId="0" borderId="3" xfId="2" applyNumberFormat="1" applyFont="1" applyFill="1" applyBorder="1"/>
    <xf numFmtId="164" fontId="5" fillId="0" borderId="5" xfId="2" applyNumberFormat="1" applyFont="1" applyFill="1" applyBorder="1"/>
    <xf numFmtId="164" fontId="5" fillId="0" borderId="6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3" xfId="2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41" fontId="5" fillId="0" borderId="5" xfId="2" applyNumberFormat="1" applyFont="1" applyFill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5"/>
    </sheetNames>
    <sheetDataSet>
      <sheetData sheetId="0"/>
      <sheetData sheetId="1">
        <row r="6">
          <cell r="G6">
            <v>2016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7" t="s">
        <v>15</v>
      </c>
      <c r="D2" s="38"/>
      <c r="E2" s="38"/>
      <c r="F2" s="38"/>
      <c r="G2" s="38"/>
      <c r="H2" s="38"/>
      <c r="I2" s="38"/>
      <c r="J2" s="38"/>
      <c r="K2" s="38"/>
      <c r="L2" s="39"/>
    </row>
    <row r="3" spans="3:12" ht="21" x14ac:dyDescent="0.4">
      <c r="C3" s="47" t="s">
        <v>16</v>
      </c>
      <c r="D3" s="48"/>
      <c r="E3" s="48"/>
      <c r="F3" s="48"/>
      <c r="G3" s="48"/>
      <c r="H3" s="48"/>
      <c r="I3" s="48"/>
      <c r="J3" s="48"/>
      <c r="K3" s="48"/>
      <c r="L3" s="49"/>
    </row>
    <row r="4" spans="3:12" ht="21" x14ac:dyDescent="0.4">
      <c r="C4" s="47" t="s">
        <v>22</v>
      </c>
      <c r="D4" s="48"/>
      <c r="E4" s="48"/>
      <c r="F4" s="48"/>
      <c r="G4" s="50"/>
      <c r="H4" s="50"/>
      <c r="I4" s="50"/>
      <c r="J4" s="48"/>
      <c r="K4" s="48"/>
      <c r="L4" s="49"/>
    </row>
    <row r="5" spans="3:12" ht="21" x14ac:dyDescent="0.4">
      <c r="C5" s="6"/>
      <c r="D5" s="1"/>
      <c r="E5" s="1"/>
      <c r="F5" s="20"/>
      <c r="G5" s="40" t="s">
        <v>27</v>
      </c>
      <c r="H5" s="41"/>
      <c r="I5" s="46"/>
      <c r="J5" s="40" t="s">
        <v>28</v>
      </c>
      <c r="K5" s="41"/>
      <c r="L5" s="42"/>
    </row>
    <row r="6" spans="3:12" ht="17.399999999999999" x14ac:dyDescent="0.3">
      <c r="C6" s="7"/>
      <c r="D6" s="2"/>
      <c r="E6" s="2"/>
      <c r="F6" s="21"/>
      <c r="G6" s="3">
        <f>[1]Gennaio!G6</f>
        <v>2016</v>
      </c>
      <c r="H6" s="3">
        <f>G6-1</f>
        <v>2015</v>
      </c>
      <c r="I6" s="1" t="s">
        <v>0</v>
      </c>
      <c r="J6" s="3">
        <f>G6</f>
        <v>2016</v>
      </c>
      <c r="K6" s="3">
        <f>J6-1</f>
        <v>2015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17">
        <v>525.69945719134432</v>
      </c>
      <c r="H7" s="17">
        <v>561.04538104653409</v>
      </c>
      <c r="I7" s="28">
        <v>-6.3000115586475336E-2</v>
      </c>
      <c r="J7" s="17">
        <v>5250.2435190192291</v>
      </c>
      <c r="K7" s="17">
        <v>6218.4785360350725</v>
      </c>
      <c r="L7" s="29">
        <v>-0.15570287995770649</v>
      </c>
    </row>
    <row r="8" spans="3:12" ht="15.6" x14ac:dyDescent="0.3">
      <c r="C8" s="6" t="s">
        <v>11</v>
      </c>
      <c r="D8" s="4" t="s">
        <v>1</v>
      </c>
      <c r="E8" s="2"/>
      <c r="F8" s="21"/>
      <c r="G8" s="17">
        <v>5746.8277629026752</v>
      </c>
      <c r="H8" s="17">
        <v>5100.019825553547</v>
      </c>
      <c r="I8" s="28">
        <v>0.12682459274144575</v>
      </c>
      <c r="J8" s="17">
        <v>59000.458994929293</v>
      </c>
      <c r="K8" s="17">
        <v>55121.931882582983</v>
      </c>
      <c r="L8" s="29">
        <v>7.0362684686162469E-2</v>
      </c>
    </row>
    <row r="9" spans="3:12" ht="15.75" customHeight="1" x14ac:dyDescent="0.3">
      <c r="C9" s="6"/>
      <c r="D9" s="43" t="s">
        <v>24</v>
      </c>
      <c r="E9" s="5" t="s">
        <v>2</v>
      </c>
      <c r="F9" s="22"/>
      <c r="G9" s="17">
        <v>1832.4434490553549</v>
      </c>
      <c r="H9" s="17">
        <v>671.47065976212434</v>
      </c>
      <c r="I9" s="30">
        <v>1.7290000276475483</v>
      </c>
      <c r="J9" s="17">
        <v>16635.590244543753</v>
      </c>
      <c r="K9" s="17">
        <v>6727.252661370032</v>
      </c>
      <c r="L9" s="31">
        <v>1.4728653853110742</v>
      </c>
    </row>
    <row r="10" spans="3:12" ht="18" customHeight="1" x14ac:dyDescent="0.3">
      <c r="C10" s="6"/>
      <c r="D10" s="44"/>
      <c r="E10" s="5" t="s">
        <v>3</v>
      </c>
      <c r="F10" s="22"/>
      <c r="G10" s="17">
        <v>468.27395937669951</v>
      </c>
      <c r="H10" s="17">
        <v>495.18830332694898</v>
      </c>
      <c r="I10" s="30">
        <v>-5.4351736035411213E-2</v>
      </c>
      <c r="J10" s="17">
        <v>4407.2141174339695</v>
      </c>
      <c r="K10" s="17">
        <v>6705.0287963869378</v>
      </c>
      <c r="L10" s="31">
        <v>-0.34270019544005026</v>
      </c>
    </row>
    <row r="11" spans="3:12" ht="17.25" customHeight="1" x14ac:dyDescent="0.3">
      <c r="C11" s="6"/>
      <c r="D11" s="44"/>
      <c r="E11" s="5" t="s">
        <v>4</v>
      </c>
      <c r="F11" s="22"/>
      <c r="G11" s="17">
        <v>2588.6413590598472</v>
      </c>
      <c r="H11" s="17">
        <v>2213.2769279515737</v>
      </c>
      <c r="I11" s="30">
        <v>0.16959668551539098</v>
      </c>
      <c r="J11" s="17">
        <v>25754.108563567148</v>
      </c>
      <c r="K11" s="17">
        <v>27161.16432990471</v>
      </c>
      <c r="L11" s="31">
        <v>-5.1803956165030085E-2</v>
      </c>
    </row>
    <row r="12" spans="3:12" ht="17.25" customHeight="1" x14ac:dyDescent="0.3">
      <c r="C12" s="6"/>
      <c r="D12" s="44"/>
      <c r="E12" s="5" t="s">
        <v>5</v>
      </c>
      <c r="F12" s="22"/>
      <c r="G12" s="17">
        <v>378.4268106216453</v>
      </c>
      <c r="H12" s="17">
        <v>1247.5169205741174</v>
      </c>
      <c r="I12" s="30">
        <v>-0.69665596964609489</v>
      </c>
      <c r="J12" s="17">
        <v>6040.4843325530219</v>
      </c>
      <c r="K12" s="17">
        <v>8879.500444184343</v>
      </c>
      <c r="L12" s="31">
        <v>-0.31972700823397604</v>
      </c>
    </row>
    <row r="13" spans="3:12" ht="14.25" customHeight="1" x14ac:dyDescent="0.3">
      <c r="C13" s="6"/>
      <c r="D13" s="44"/>
      <c r="E13" s="5" t="s">
        <v>18</v>
      </c>
      <c r="F13" s="22"/>
      <c r="G13" s="17">
        <v>40.484346740441239</v>
      </c>
      <c r="H13" s="17">
        <v>0</v>
      </c>
      <c r="I13" s="17">
        <v>0</v>
      </c>
      <c r="J13" s="17">
        <v>207.02111873722066</v>
      </c>
      <c r="K13" s="17">
        <v>0</v>
      </c>
      <c r="L13" s="36">
        <v>0</v>
      </c>
    </row>
    <row r="14" spans="3:12" ht="14.25" customHeight="1" x14ac:dyDescent="0.3">
      <c r="C14" s="6"/>
      <c r="D14" s="44"/>
      <c r="E14" s="5" t="s">
        <v>23</v>
      </c>
      <c r="F14" s="22"/>
      <c r="G14" s="17">
        <v>419.52951464850668</v>
      </c>
      <c r="H14" s="17">
        <v>451.56260253954747</v>
      </c>
      <c r="I14" s="30">
        <v>-7.093831001701556E-2</v>
      </c>
      <c r="J14" s="17">
        <v>5281.7526161583519</v>
      </c>
      <c r="K14" s="17">
        <v>5411.2553311643142</v>
      </c>
      <c r="L14" s="31">
        <v>-2.3932102087316887E-2</v>
      </c>
    </row>
    <row r="15" spans="3:12" ht="14.25" customHeight="1" x14ac:dyDescent="0.3">
      <c r="C15" s="6"/>
      <c r="D15" s="44"/>
      <c r="E15" s="5" t="s">
        <v>25</v>
      </c>
      <c r="F15" s="22"/>
      <c r="G15" s="17">
        <v>0.65259681728973096</v>
      </c>
      <c r="H15" s="17">
        <v>0</v>
      </c>
      <c r="I15" s="17">
        <v>0</v>
      </c>
      <c r="J15" s="17">
        <v>442.87501435293558</v>
      </c>
      <c r="K15" s="17">
        <v>0</v>
      </c>
      <c r="L15" s="36">
        <v>0</v>
      </c>
    </row>
    <row r="16" spans="3:12" ht="15.6" x14ac:dyDescent="0.3">
      <c r="C16" s="6"/>
      <c r="D16" s="44"/>
      <c r="E16" s="5" t="s">
        <v>6</v>
      </c>
      <c r="F16" s="23">
        <v>0</v>
      </c>
      <c r="G16" s="17">
        <v>4.5900395828899763</v>
      </c>
      <c r="H16" s="17">
        <v>1.4030763992338795</v>
      </c>
      <c r="I16" s="30">
        <v>2.271411011828202</v>
      </c>
      <c r="J16" s="17">
        <v>4.5900395828899763</v>
      </c>
      <c r="K16" s="17">
        <v>27.313202572651392</v>
      </c>
      <c r="L16" s="31">
        <v>-0.83194795371649444</v>
      </c>
    </row>
    <row r="17" spans="3:12" ht="16.5" customHeight="1" x14ac:dyDescent="0.3">
      <c r="C17" s="6"/>
      <c r="D17" s="45"/>
      <c r="E17" s="5" t="s">
        <v>19</v>
      </c>
      <c r="F17" s="22"/>
      <c r="G17" s="17">
        <v>13.785687000000001</v>
      </c>
      <c r="H17" s="17">
        <v>19.601334999999999</v>
      </c>
      <c r="I17" s="30">
        <v>-0.29669652602743635</v>
      </c>
      <c r="J17" s="17">
        <v>226.822948</v>
      </c>
      <c r="K17" s="17">
        <v>210.41711699999999</v>
      </c>
      <c r="L17" s="31">
        <v>7.7968138875317949E-2</v>
      </c>
    </row>
    <row r="18" spans="3:12" ht="15.6" x14ac:dyDescent="0.3">
      <c r="C18" s="6" t="s">
        <v>14</v>
      </c>
      <c r="D18" s="4" t="s">
        <v>7</v>
      </c>
      <c r="E18" s="4"/>
      <c r="F18" s="24"/>
      <c r="G18" s="34">
        <v>27.045955687971436</v>
      </c>
      <c r="H18" s="17">
        <v>20.363918185902435</v>
      </c>
      <c r="I18" s="28">
        <v>0.32813122902324632</v>
      </c>
      <c r="J18" s="17">
        <v>184.72661744105204</v>
      </c>
      <c r="K18" s="17">
        <v>197.43618892908657</v>
      </c>
      <c r="L18" s="29">
        <v>-6.4373059250041775E-2</v>
      </c>
    </row>
    <row r="19" spans="3:12" ht="15.6" x14ac:dyDescent="0.3">
      <c r="C19" s="6" t="s">
        <v>12</v>
      </c>
      <c r="D19" s="4" t="s">
        <v>20</v>
      </c>
      <c r="E19" s="4"/>
      <c r="F19" s="24"/>
      <c r="G19" s="35">
        <v>-1217.8619162469554</v>
      </c>
      <c r="H19" s="17">
        <v>-883.89148868553502</v>
      </c>
      <c r="I19" s="28">
        <v>0.37784098142870359</v>
      </c>
      <c r="J19" s="17">
        <v>2589.9604696377205</v>
      </c>
      <c r="K19" s="17">
        <v>2039.0064520934861</v>
      </c>
      <c r="L19" s="29">
        <v>0.27020709864775538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51">
        <v>7463.3431806530043</v>
      </c>
      <c r="H20" s="27">
        <v>6524.5927770997132</v>
      </c>
      <c r="I20" s="32">
        <v>0.14387877307042918</v>
      </c>
      <c r="J20" s="27">
        <v>61476.015426869752</v>
      </c>
      <c r="K20" s="27">
        <v>59103.967777595484</v>
      </c>
      <c r="L20" s="33">
        <v>4.0133475610303115E-2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Novembre  2016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2017-01-02T08:12:57Z</cp:lastPrinted>
  <dcterms:created xsi:type="dcterms:W3CDTF">2005-02-22T07:47:00Z</dcterms:created>
  <dcterms:modified xsi:type="dcterms:W3CDTF">2017-01-02T08:13:25Z</dcterms:modified>
</cp:coreProperties>
</file>