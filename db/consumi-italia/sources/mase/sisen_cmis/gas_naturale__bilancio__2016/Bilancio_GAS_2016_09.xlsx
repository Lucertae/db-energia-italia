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Settembre  2016" sheetId="1" r:id="rId1"/>
  </sheets>
  <externalReferences>
    <externalReference r:id="rId2"/>
  </externalReferences>
  <definedNames>
    <definedName name="_xlnm.Print_Area" localSheetId="0">'Preconsuntivo Settembre  2016'!#REF!</definedName>
  </definedNames>
  <calcPr calcId="145621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<sst xmlns="http://schemas.openxmlformats.org/spreadsheetml/2006/main" count="30" uniqueCount="29">
  <si>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</si>
  <si>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</si>
  <si>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</si>
  <si>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</si>
  <si>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</si>
  <si>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</si>
  <si>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</si>
  <si>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</si>
  <si>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</si>
  <si>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</si>
  <si>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</si>
  <si>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</si>
  <si>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</si>
  <si>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</si>
  <si>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</si>
  <si>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</si>
  <si>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</si>
  <si>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</si>
  <si>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</si>
  <si>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</si>
  <si>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</si>
  <si>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</si>
  <si>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</si>
  <si>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</si>
  <si>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</si>
  <si>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</si>
  <si>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</si>
  <si>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Settembre</t>
  </si>
  <si>
    <t xml:space="preserve">    Gennaio-Settembre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</si>
</sst>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5" fillId="0" borderId="3" xfId="2" applyNumberFormat="1" applyFont="1" applyFill="1" applyBorder="1"/>
    <xf numFmtId="164" fontId="2" fillId="0" borderId="1" xfId="2" applyNumberFormat="1" applyFont="1" applyFill="1" applyBorder="1"/>
    <xf numFmtId="164" fontId="2" fillId="0" borderId="3" xfId="2" applyNumberFormat="1" applyFont="1" applyFill="1" applyBorder="1"/>
    <xf numFmtId="164" fontId="5" fillId="0" borderId="5" xfId="2" applyNumberFormat="1" applyFont="1" applyFill="1" applyBorder="1"/>
    <xf numFmtId="164" fontId="5" fillId="0" borderId="6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5"/>
    </sheetNames>
    <sheetDataSet>
      <sheetData sheetId="0"/>
      <sheetData sheetId="1">
        <row r="6">
          <cell r="G6">
            <v>2016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1" x14ac:dyDescent="0.4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1" x14ac:dyDescent="0.4">
      <c r="C4" s="46" t="s">
        <v>22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1" x14ac:dyDescent="0.4">
      <c r="C5" s="6"/>
      <c r="D5" s="1"/>
      <c r="E5" s="1"/>
      <c r="F5" s="20"/>
      <c r="G5" s="39" t="s">
        <v>27</v>
      </c>
      <c r="H5" s="40"/>
      <c r="I5" s="45"/>
      <c r="J5" s="39" t="s">
        <v>28</v>
      </c>
      <c r="K5" s="40"/>
      <c r="L5" s="41"/>
    </row>
    <row r="6" spans="3:12" ht="17.399999999999999" x14ac:dyDescent="0.3">
      <c r="C6" s="7"/>
      <c r="D6" s="2"/>
      <c r="E6" s="2"/>
      <c r="F6" s="21"/>
      <c r="G6" s="3">
        <f>[1]Gennaio!G6</f>
        <v>2016</v>
      </c>
      <c r="H6" s="3">
        <f>G6-1</f>
        <v>2015</v>
      </c>
      <c r="I6" s="1" t="s">
        <v>0</v>
      </c>
      <c r="J6" s="3">
        <f>G6</f>
        <v>2016</v>
      </c>
      <c r="K6" s="3">
        <f>J6-1</f>
        <v>2015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1"/>
      <c r="G7" s="17">
        <v>507.4583146972451</v>
      </c>
      <c r="H7" s="17">
        <v>549.62249917271822</v>
      </c>
      <c r="I7" s="28">
        <v>-7.671480796171537E-2</v>
      </c>
      <c r="J7" s="17">
        <v>4184.4896770081596</v>
      </c>
      <c r="K7" s="17">
        <v>5079.7978471240513</v>
      </c>
      <c r="L7" s="29">
        <v>-0.17624877939242689</v>
      </c>
    </row>
    <row r="8" spans="3:12" ht="15.6" x14ac:dyDescent="0.3">
      <c r="C8" s="6" t="s">
        <v>11</v>
      </c>
      <c r="D8" s="4" t="s">
        <v>1</v>
      </c>
      <c r="E8" s="2"/>
      <c r="F8" s="21"/>
      <c r="G8" s="17">
        <v>5341.351304615072</v>
      </c>
      <c r="H8" s="17">
        <v>4928.5353711154858</v>
      </c>
      <c r="I8" s="28">
        <v>8.3760367414417614E-2</v>
      </c>
      <c r="J8" s="17">
        <v>47458.165408230343</v>
      </c>
      <c r="K8" s="17">
        <v>45246.89091453806</v>
      </c>
      <c r="L8" s="29">
        <v>4.887130251377747E-2</v>
      </c>
    </row>
    <row r="9" spans="3:12" ht="15.75" customHeight="1" x14ac:dyDescent="0.3">
      <c r="C9" s="6"/>
      <c r="D9" s="42" t="s">
        <v>24</v>
      </c>
      <c r="E9" s="5" t="s">
        <v>2</v>
      </c>
      <c r="F9" s="22"/>
      <c r="G9" s="17">
        <v>1029.7187981367194</v>
      </c>
      <c r="H9" s="17">
        <v>487.37562729658788</v>
      </c>
      <c r="I9" s="30">
        <v>1.1127827089927371</v>
      </c>
      <c r="J9" s="17">
        <v>13212.193579153953</v>
      </c>
      <c r="K9" s="17">
        <v>5386.5190498687671</v>
      </c>
      <c r="L9" s="31">
        <v>1.4528259265092256</v>
      </c>
    </row>
    <row r="10" spans="3:12" ht="18" customHeight="1" x14ac:dyDescent="0.3">
      <c r="C10" s="6"/>
      <c r="D10" s="43"/>
      <c r="E10" s="5" t="s">
        <v>3</v>
      </c>
      <c r="F10" s="22"/>
      <c r="G10" s="17">
        <v>368.39530443829659</v>
      </c>
      <c r="H10" s="17">
        <v>610.15817322834641</v>
      </c>
      <c r="I10" s="30">
        <v>-0.39622982924391992</v>
      </c>
      <c r="J10" s="17">
        <v>3540.9341388096759</v>
      </c>
      <c r="K10" s="17">
        <v>5621.7795380577427</v>
      </c>
      <c r="L10" s="31">
        <v>-0.37013998595309094</v>
      </c>
    </row>
    <row r="11" spans="3:12" ht="17.25" customHeight="1" x14ac:dyDescent="0.3">
      <c r="C11" s="6"/>
      <c r="D11" s="43"/>
      <c r="E11" s="5" t="s">
        <v>4</v>
      </c>
      <c r="F11" s="22"/>
      <c r="G11" s="17">
        <v>2291.4119935683721</v>
      </c>
      <c r="H11" s="17">
        <v>2622.1171601049869</v>
      </c>
      <c r="I11" s="30">
        <v>-0.12612143025804912</v>
      </c>
      <c r="J11" s="17">
        <v>20230.221860391532</v>
      </c>
      <c r="K11" s="17">
        <v>22505.257417322835</v>
      </c>
      <c r="L11" s="31">
        <v>-0.10108907064445105</v>
      </c>
    </row>
    <row r="12" spans="3:12" ht="17.25" customHeight="1" x14ac:dyDescent="0.3">
      <c r="C12" s="6"/>
      <c r="D12" s="43"/>
      <c r="E12" s="5" t="s">
        <v>5</v>
      </c>
      <c r="F12" s="22"/>
      <c r="G12" s="17">
        <v>1056.8225343453689</v>
      </c>
      <c r="H12" s="17">
        <v>733.9870262467191</v>
      </c>
      <c r="I12" s="30">
        <v>0.43983816682630761</v>
      </c>
      <c r="J12" s="17">
        <v>5257.2016713721559</v>
      </c>
      <c r="K12" s="17">
        <v>7105.9997034120743</v>
      </c>
      <c r="L12" s="31">
        <v>-0.26017423433780673</v>
      </c>
    </row>
    <row r="13" spans="3:12" ht="14.25" customHeight="1" x14ac:dyDescent="0.3">
      <c r="C13" s="6"/>
      <c r="D13" s="43"/>
      <c r="E13" s="5" t="s">
        <v>18</v>
      </c>
      <c r="F13" s="22"/>
      <c r="G13" s="17">
        <v>0.10026852048899049</v>
      </c>
      <c r="H13" s="17">
        <v>0</v>
      </c>
      <c r="I13" s="17">
        <v>0</v>
      </c>
      <c r="J13" s="17">
        <v>166.53677199677941</v>
      </c>
      <c r="K13" s="17">
        <v>0</v>
      </c>
      <c r="L13" s="17">
        <v>0</v>
      </c>
    </row>
    <row r="14" spans="3:12" ht="14.25" customHeight="1" x14ac:dyDescent="0.3">
      <c r="C14" s="6"/>
      <c r="D14" s="43"/>
      <c r="E14" s="5" t="s">
        <v>23</v>
      </c>
      <c r="F14" s="22"/>
      <c r="G14" s="17">
        <v>579.16736960582625</v>
      </c>
      <c r="H14" s="17">
        <v>446.9887055643045</v>
      </c>
      <c r="I14" s="30">
        <v>0.29570918100637855</v>
      </c>
      <c r="J14" s="17">
        <v>4415.8119559706047</v>
      </c>
      <c r="K14" s="17">
        <v>4427.3080986089244</v>
      </c>
      <c r="L14" s="31">
        <v>-2.596643915956931E-3</v>
      </c>
    </row>
    <row r="15" spans="3:12" ht="14.25" customHeight="1" x14ac:dyDescent="0.3">
      <c r="C15" s="6"/>
      <c r="D15" s="43"/>
      <c r="E15" s="5" t="s">
        <v>25</v>
      </c>
      <c r="F15" s="22"/>
      <c r="G15" s="17">
        <v>0</v>
      </c>
      <c r="H15" s="17">
        <v>0</v>
      </c>
      <c r="I15" s="17">
        <v>0</v>
      </c>
      <c r="J15" s="17">
        <v>442.22241753564583</v>
      </c>
      <c r="K15" s="17">
        <v>0</v>
      </c>
      <c r="L15" s="17">
        <v>0</v>
      </c>
    </row>
    <row r="16" spans="3:12" ht="15.6" x14ac:dyDescent="0.3">
      <c r="C16" s="6"/>
      <c r="D16" s="43"/>
      <c r="E16" s="5" t="s">
        <v>6</v>
      </c>
      <c r="F16" s="23">
        <v>0</v>
      </c>
      <c r="G16" s="17">
        <v>0</v>
      </c>
      <c r="H16" s="17">
        <v>12.841603674540682</v>
      </c>
      <c r="I16" s="30">
        <v>-1</v>
      </c>
      <c r="J16" s="17">
        <v>0</v>
      </c>
      <c r="K16" s="17">
        <v>24.735858267716537</v>
      </c>
      <c r="L16" s="30">
        <v>-1</v>
      </c>
    </row>
    <row r="17" spans="3:12" ht="16.5" customHeight="1" x14ac:dyDescent="0.3">
      <c r="C17" s="6"/>
      <c r="D17" s="44"/>
      <c r="E17" s="5" t="s">
        <v>19</v>
      </c>
      <c r="F17" s="22"/>
      <c r="G17" s="17">
        <v>15.735035999999999</v>
      </c>
      <c r="H17" s="17">
        <v>15.067074999999999</v>
      </c>
      <c r="I17" s="30">
        <v>4.4332493201235224E-2</v>
      </c>
      <c r="J17" s="17">
        <v>193.043013</v>
      </c>
      <c r="K17" s="17">
        <v>175.29124899999999</v>
      </c>
      <c r="L17" s="31">
        <v>0.10127010961054883</v>
      </c>
    </row>
    <row r="18" spans="3:12" ht="15.6" x14ac:dyDescent="0.3">
      <c r="C18" s="6" t="s">
        <v>14</v>
      </c>
      <c r="D18" s="4" t="s">
        <v>7</v>
      </c>
      <c r="E18" s="4"/>
      <c r="F18" s="24"/>
      <c r="G18" s="34">
        <v>10.080804426473717</v>
      </c>
      <c r="H18" s="17">
        <v>13.841262467191601</v>
      </c>
      <c r="I18" s="28">
        <v>-0.27168461328086368</v>
      </c>
      <c r="J18" s="17">
        <v>139.06893084106625</v>
      </c>
      <c r="K18" s="17">
        <v>155.99069291338583</v>
      </c>
      <c r="L18" s="29">
        <v>-0.10847930576034703</v>
      </c>
    </row>
    <row r="19" spans="3:12" ht="15.6" x14ac:dyDescent="0.3">
      <c r="C19" s="6" t="s">
        <v>12</v>
      </c>
      <c r="D19" s="4" t="s">
        <v>20</v>
      </c>
      <c r="E19" s="4"/>
      <c r="F19" s="24"/>
      <c r="G19" s="35">
        <v>1183.8572545458837</v>
      </c>
      <c r="H19" s="17">
        <v>1335.9202987401579</v>
      </c>
      <c r="I19" s="28">
        <v>-0.11382643435965267</v>
      </c>
      <c r="J19" s="17">
        <v>3126.0828378011593</v>
      </c>
      <c r="K19" s="17">
        <v>2433.1890305249353</v>
      </c>
      <c r="L19" s="29">
        <v>0.28476776714990337</v>
      </c>
    </row>
    <row r="20" spans="3:12" ht="16.2" thickBot="1" x14ac:dyDescent="0.35">
      <c r="C20" s="9" t="s">
        <v>13</v>
      </c>
      <c r="D20" s="10" t="s">
        <v>8</v>
      </c>
      <c r="E20" s="10"/>
      <c r="F20" s="25"/>
      <c r="G20" s="27">
        <v>4654.8715603399596</v>
      </c>
      <c r="H20" s="27">
        <v>4128.3963090808547</v>
      </c>
      <c r="I20" s="32">
        <v>0.12752536623023936</v>
      </c>
      <c r="J20" s="27">
        <v>48377.503316596281</v>
      </c>
      <c r="K20" s="27">
        <v>47737.509038223783</v>
      </c>
      <c r="L20" s="33">
        <v>1.3406528561430653E-2</v>
      </c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Settembre  2016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2016-06-28T09:12:22Z</cp:lastPrinted>
  <dcterms:created xsi:type="dcterms:W3CDTF">2005-02-22T07:47:00Z</dcterms:created>
  <dcterms:modified xsi:type="dcterms:W3CDTF">2016-10-31T12:40:03Z</dcterms:modified>
</cp:coreProperties>
</file>