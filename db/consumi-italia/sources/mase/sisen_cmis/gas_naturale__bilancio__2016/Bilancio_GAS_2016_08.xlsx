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20" yWindow="48" windowWidth="15180" windowHeight="8580"/>
  </bookViews>
  <sheets>
    <sheet name="Preconsuntivo Agosto  2016" sheetId="1" r:id="rId1"/>
  </sheets>
  <externalReferences>
    <externalReference r:id="rId2"/>
  </externalReferences>
  <definedNames>
    <definedName name="_xlnm.Print_Area" localSheetId="0">'Preconsuntivo Agosto  2016'!#REF!</definedName>
  </definedNames>
  <calcPr calcId="145621"/>
</workbook>
</file>

<file path=xl/calcChain.xml><?xml version="1.0" encoding="utf-8"?>
<calcChain xmlns="http://schemas.openxmlformats.org/spreadsheetml/2006/main">
  <c r="G6" i="1" l="1"/>
  <c r="H6" i="1" s="1"/>
  <c r="J6" i="1" l="1"/>
  <c r="K6" i="1" s="1"/>
</calcChain>
</file>

<file path=xl/sharedStrings.xml><?xml version="1.0" encoding="utf-8"?>
<sst xmlns="http://schemas.openxmlformats.org/spreadsheetml/2006/main" count="30" uniqueCount="29">
  <si>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</si>
  <si>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</si>
  <si>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</si>
  <si>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</si>
  <si>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</si>
  <si>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</si>
  <si>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</si>
  <si>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</si>
  <si>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</si>
  <si>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</si>
  <si>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</si>
  <si>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</si>
  <si>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</si>
  <si>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</si>
  <si>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</si>
  <si>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</si>
  <si>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</si>
  <si>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</si>
  <si>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</si>
  <si>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ALTRI</t>
  </si>
  <si>
    <t>Variazione delle scorte (2)</t>
  </si>
  <si>
    <t>(1) Preconsuntivi al netto dei transiti</t>
  </si>
  <si>
    <t>(Milioni di Standard metri cubi a 38,1 MJ/mc)</t>
  </si>
  <si>
    <t>CAVARZERE (2)</t>
  </si>
  <si>
    <t>per punto di ingresso</t>
  </si>
  <si>
    <t>LIVORNO (2)</t>
  </si>
  <si>
    <t>Fonte: Ministero dello sviluppo economico - DGSAIE</t>
  </si>
  <si>
    <t>Agosto</t>
  </si>
  <si>
    <t xml:space="preserve">    Gennaio-Agosto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</si>
</sst>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</font>
    <font>
      <b/>
      <sz val="8"/>
      <name val="Arial"/>
      <family val="2"/>
    </font>
    <font>
      <sz val="8"/>
      <name val="Arial"/>
      <family val="2"/>
    </font>
    <font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2" fillId="0" borderId="2" xfId="0" applyFont="1" applyBorder="1" applyAlignment="1">
      <alignment horizontal="center"/>
    </xf>
    <xf numFmtId="0" fontId="0" fillId="0" borderId="2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41" fontId="5" fillId="0" borderId="1" xfId="2" applyFont="1" applyFill="1" applyBorder="1"/>
    <xf numFmtId="0" fontId="9" fillId="0" borderId="12" xfId="0" applyFont="1" applyBorder="1" applyAlignment="1"/>
    <xf numFmtId="0" fontId="9" fillId="0" borderId="13" xfId="0" applyFont="1" applyBorder="1" applyAlignment="1"/>
    <xf numFmtId="0" fontId="2" fillId="0" borderId="17" xfId="0" applyFont="1" applyBorder="1" applyAlignment="1">
      <alignment horizontal="center"/>
    </xf>
    <xf numFmtId="0" fontId="0" fillId="0" borderId="17" xfId="0" applyBorder="1"/>
    <xf numFmtId="0" fontId="8" fillId="0" borderId="17" xfId="0" applyFont="1" applyBorder="1"/>
    <xf numFmtId="41" fontId="5" fillId="0" borderId="17" xfId="2" applyFont="1" applyFill="1" applyBorder="1"/>
    <xf numFmtId="0" fontId="2" fillId="0" borderId="17" xfId="0" applyFont="1" applyBorder="1"/>
    <xf numFmtId="0" fontId="2" fillId="0" borderId="24" xfId="0" applyFont="1" applyBorder="1"/>
    <xf numFmtId="0" fontId="9" fillId="0" borderId="0" xfId="0" applyFont="1" applyBorder="1" applyAlignment="1"/>
    <xf numFmtId="41" fontId="5" fillId="0" borderId="5" xfId="2" applyFont="1" applyFill="1" applyBorder="1"/>
    <xf numFmtId="164" fontId="5" fillId="0" borderId="1" xfId="2" applyNumberFormat="1" applyFont="1" applyFill="1" applyBorder="1"/>
    <xf numFmtId="164" fontId="5" fillId="0" borderId="3" xfId="2" applyNumberFormat="1" applyFont="1" applyFill="1" applyBorder="1"/>
    <xf numFmtId="164" fontId="2" fillId="0" borderId="1" xfId="2" applyNumberFormat="1" applyFont="1" applyFill="1" applyBorder="1"/>
    <xf numFmtId="164" fontId="2" fillId="0" borderId="3" xfId="2" applyNumberFormat="1" applyFont="1" applyFill="1" applyBorder="1"/>
    <xf numFmtId="164" fontId="5" fillId="0" borderId="5" xfId="2" applyNumberFormat="1" applyFont="1" applyFill="1" applyBorder="1"/>
    <xf numFmtId="164" fontId="5" fillId="0" borderId="6" xfId="2" applyNumberFormat="1" applyFont="1" applyFill="1" applyBorder="1"/>
    <xf numFmtId="41" fontId="5" fillId="0" borderId="1" xfId="2" applyNumberFormat="1" applyFont="1" applyFill="1" applyBorder="1"/>
    <xf numFmtId="41" fontId="5" fillId="0" borderId="1" xfId="2" applyNumberFormat="1" applyFont="1" applyFill="1" applyBorder="1" applyAlignment="1">
      <alignment horizontal="right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 vertical="center" textRotation="90"/>
    </xf>
    <xf numFmtId="0" fontId="2" fillId="0" borderId="21" xfId="0" applyFont="1" applyBorder="1" applyAlignment="1">
      <alignment horizontal="center" vertical="center" textRotation="90"/>
    </xf>
    <xf numFmtId="0" fontId="2" fillId="0" borderId="22" xfId="0" applyFont="1" applyBorder="1" applyAlignment="1">
      <alignment horizontal="center" vertical="center" textRotation="90"/>
    </xf>
    <xf numFmtId="0" fontId="3" fillId="0" borderId="2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Migliaia (0)_BDG ORI rev. 03 - 99" xfId="1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Lavori/Gas_Naturale/Distribuito_Snam/SNAM_Bilancio%20Mensile%20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oggioNew"/>
      <sheetName val="Gennaio"/>
      <sheetName val="Febbraio"/>
      <sheetName val="Marzo"/>
      <sheetName val="Aprile"/>
      <sheetName val="Maggio"/>
      <sheetName val="Giugno"/>
      <sheetName val="Luglio"/>
      <sheetName val="Agosto"/>
      <sheetName val="Settembre"/>
      <sheetName val="Ottobre"/>
      <sheetName val="Novembre"/>
      <sheetName val="Dicembre"/>
      <sheetName val="consuntivo 2015"/>
    </sheetNames>
    <sheetDataSet>
      <sheetData sheetId="0"/>
      <sheetData sheetId="1">
        <row r="6">
          <cell r="G6">
            <v>2016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1:L24"/>
  <sheetViews>
    <sheetView tabSelected="1" topLeftCell="B1" workbookViewId="0">
      <selection activeCell="G22" sqref="G22"/>
    </sheetView>
  </sheetViews>
  <sheetFormatPr defaultRowHeight="13.2" x14ac:dyDescent="0.25"/>
  <cols>
    <col min="3" max="3" width="17.44140625" customWidth="1"/>
    <col min="5" max="5" width="18" customWidth="1"/>
    <col min="6" max="6" width="1.4414062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9.44140625" customWidth="1"/>
    <col min="12" max="12" width="12.6640625" customWidth="1"/>
  </cols>
  <sheetData>
    <row r="1" spans="3:12" ht="13.8" thickBot="1" x14ac:dyDescent="0.3"/>
    <row r="2" spans="3:12" ht="21" x14ac:dyDescent="0.4">
      <c r="C2" s="36" t="s">
        <v>15</v>
      </c>
      <c r="D2" s="37"/>
      <c r="E2" s="37"/>
      <c r="F2" s="37"/>
      <c r="G2" s="37"/>
      <c r="H2" s="37"/>
      <c r="I2" s="37"/>
      <c r="J2" s="37"/>
      <c r="K2" s="37"/>
      <c r="L2" s="38"/>
    </row>
    <row r="3" spans="3:12" ht="21" x14ac:dyDescent="0.4">
      <c r="C3" s="46" t="s">
        <v>16</v>
      </c>
      <c r="D3" s="47"/>
      <c r="E3" s="47"/>
      <c r="F3" s="47"/>
      <c r="G3" s="47"/>
      <c r="H3" s="47"/>
      <c r="I3" s="47"/>
      <c r="J3" s="47"/>
      <c r="K3" s="47"/>
      <c r="L3" s="48"/>
    </row>
    <row r="4" spans="3:12" ht="21" x14ac:dyDescent="0.4">
      <c r="C4" s="46" t="s">
        <v>22</v>
      </c>
      <c r="D4" s="47"/>
      <c r="E4" s="47"/>
      <c r="F4" s="47"/>
      <c r="G4" s="49"/>
      <c r="H4" s="49"/>
      <c r="I4" s="49"/>
      <c r="J4" s="47"/>
      <c r="K4" s="47"/>
      <c r="L4" s="48"/>
    </row>
    <row r="5" spans="3:12" ht="21" x14ac:dyDescent="0.4">
      <c r="C5" s="6"/>
      <c r="D5" s="1"/>
      <c r="E5" s="1"/>
      <c r="F5" s="20"/>
      <c r="G5" s="39" t="s">
        <v>27</v>
      </c>
      <c r="H5" s="40"/>
      <c r="I5" s="45"/>
      <c r="J5" s="39" t="s">
        <v>28</v>
      </c>
      <c r="K5" s="40"/>
      <c r="L5" s="41"/>
    </row>
    <row r="6" spans="3:12" ht="17.399999999999999" x14ac:dyDescent="0.3">
      <c r="C6" s="7"/>
      <c r="D6" s="2"/>
      <c r="E6" s="2"/>
      <c r="F6" s="21"/>
      <c r="G6" s="3">
        <f>[1]Gennaio!G6</f>
        <v>2016</v>
      </c>
      <c r="H6" s="3">
        <f>G6-1</f>
        <v>2015</v>
      </c>
      <c r="I6" s="1" t="s">
        <v>0</v>
      </c>
      <c r="J6" s="3">
        <f>G6</f>
        <v>2016</v>
      </c>
      <c r="K6" s="3">
        <f>J6-1</f>
        <v>2015</v>
      </c>
      <c r="L6" s="8" t="s">
        <v>0</v>
      </c>
    </row>
    <row r="7" spans="3:12" ht="15.6" x14ac:dyDescent="0.3">
      <c r="C7" s="6" t="s">
        <v>10</v>
      </c>
      <c r="D7" s="4" t="s">
        <v>17</v>
      </c>
      <c r="E7" s="2"/>
      <c r="F7" s="21"/>
      <c r="G7" s="17">
        <v>466.73277216668447</v>
      </c>
      <c r="H7" s="17">
        <v>575.73243527401451</v>
      </c>
      <c r="I7" s="28">
        <v>-0.18932347116321957</v>
      </c>
      <c r="J7" s="17">
        <v>3677.0313623109146</v>
      </c>
      <c r="K7" s="17">
        <v>4530.1753479513327</v>
      </c>
      <c r="L7" s="29">
        <v>-0.18832471595745914</v>
      </c>
    </row>
    <row r="8" spans="3:12" ht="15.6" x14ac:dyDescent="0.3">
      <c r="C8" s="6" t="s">
        <v>11</v>
      </c>
      <c r="D8" s="4" t="s">
        <v>1</v>
      </c>
      <c r="E8" s="2"/>
      <c r="F8" s="21"/>
      <c r="G8" s="17">
        <v>4868.7812277516432</v>
      </c>
      <c r="H8" s="17">
        <v>4835.4360957978997</v>
      </c>
      <c r="I8" s="28">
        <v>6.8959926867240284E-3</v>
      </c>
      <c r="J8" s="17">
        <v>42116.814103615274</v>
      </c>
      <c r="K8" s="17">
        <v>40318.355543422571</v>
      </c>
      <c r="L8" s="29">
        <v>4.4606446268766531E-2</v>
      </c>
    </row>
    <row r="9" spans="3:12" ht="15.75" customHeight="1" x14ac:dyDescent="0.3">
      <c r="C9" s="6"/>
      <c r="D9" s="42" t="s">
        <v>24</v>
      </c>
      <c r="E9" s="5" t="s">
        <v>2</v>
      </c>
      <c r="F9" s="22"/>
      <c r="G9" s="17">
        <v>1706.3722688042349</v>
      </c>
      <c r="H9" s="17">
        <v>564.42443832021002</v>
      </c>
      <c r="I9" s="30">
        <v>2.0232076305600599</v>
      </c>
      <c r="J9" s="17">
        <v>12182.474781017234</v>
      </c>
      <c r="K9" s="17">
        <v>4899.1434225721796</v>
      </c>
      <c r="L9" s="31">
        <v>1.4866540393343115</v>
      </c>
    </row>
    <row r="10" spans="3:12" ht="18" customHeight="1" x14ac:dyDescent="0.3">
      <c r="C10" s="6"/>
      <c r="D10" s="43"/>
      <c r="E10" s="5" t="s">
        <v>3</v>
      </c>
      <c r="F10" s="22"/>
      <c r="G10" s="17">
        <v>376.24449448818905</v>
      </c>
      <c r="H10" s="17">
        <v>581.65819685039367</v>
      </c>
      <c r="I10" s="30">
        <v>-0.35315190858565071</v>
      </c>
      <c r="J10" s="17">
        <v>3172.5388343713794</v>
      </c>
      <c r="K10" s="17">
        <v>5011.621364829396</v>
      </c>
      <c r="L10" s="31">
        <v>-0.3669635825572034</v>
      </c>
    </row>
    <row r="11" spans="3:12" ht="17.25" customHeight="1" x14ac:dyDescent="0.3">
      <c r="C11" s="6"/>
      <c r="D11" s="43"/>
      <c r="E11" s="5" t="s">
        <v>4</v>
      </c>
      <c r="F11" s="22"/>
      <c r="G11" s="17">
        <v>1626.4447027929848</v>
      </c>
      <c r="H11" s="17">
        <v>2636.9551784776904</v>
      </c>
      <c r="I11" s="30">
        <v>-0.3832110928286887</v>
      </c>
      <c r="J11" s="17">
        <v>17938.809866823158</v>
      </c>
      <c r="K11" s="17">
        <v>19883.140257217849</v>
      </c>
      <c r="L11" s="31">
        <v>-9.7787892920428998E-2</v>
      </c>
    </row>
    <row r="12" spans="3:12" ht="17.25" customHeight="1" x14ac:dyDescent="0.3">
      <c r="C12" s="6"/>
      <c r="D12" s="43"/>
      <c r="E12" s="5" t="s">
        <v>5</v>
      </c>
      <c r="F12" s="22"/>
      <c r="G12" s="17">
        <v>699.43416547255549</v>
      </c>
      <c r="H12" s="17">
        <v>544.75951443569556</v>
      </c>
      <c r="I12" s="30">
        <v>0.28393198638684458</v>
      </c>
      <c r="J12" s="17">
        <v>4200.3791370267872</v>
      </c>
      <c r="K12" s="17">
        <v>6372.0126771653549</v>
      </c>
      <c r="L12" s="31">
        <v>-0.34080810101348347</v>
      </c>
    </row>
    <row r="13" spans="3:12" ht="14.25" customHeight="1" x14ac:dyDescent="0.3">
      <c r="C13" s="6"/>
      <c r="D13" s="43"/>
      <c r="E13" s="5" t="s">
        <v>18</v>
      </c>
      <c r="F13" s="22"/>
      <c r="G13" s="17">
        <v>1.5038660816646399E-7</v>
      </c>
      <c r="H13" s="17">
        <v>0</v>
      </c>
      <c r="I13" s="17">
        <v>0</v>
      </c>
      <c r="J13" s="17">
        <v>166.43650347629043</v>
      </c>
      <c r="K13" s="17">
        <v>0</v>
      </c>
      <c r="L13" s="17">
        <v>0</v>
      </c>
    </row>
    <row r="14" spans="3:12" ht="14.25" customHeight="1" x14ac:dyDescent="0.3">
      <c r="C14" s="6"/>
      <c r="D14" s="43"/>
      <c r="E14" s="5" t="s">
        <v>23</v>
      </c>
      <c r="F14" s="22"/>
      <c r="G14" s="17">
        <v>267.89426710063265</v>
      </c>
      <c r="H14" s="17">
        <v>489.60661908136484</v>
      </c>
      <c r="I14" s="30">
        <v>-0.45283773409094197</v>
      </c>
      <c r="J14" s="17">
        <v>3836.6445863647787</v>
      </c>
      <c r="K14" s="17">
        <v>3980.3193930446196</v>
      </c>
      <c r="L14" s="31">
        <v>-3.6096300947834559E-2</v>
      </c>
    </row>
    <row r="15" spans="3:12" ht="14.25" customHeight="1" x14ac:dyDescent="0.3">
      <c r="C15" s="6"/>
      <c r="D15" s="43"/>
      <c r="E15" s="5" t="s">
        <v>25</v>
      </c>
      <c r="F15" s="22"/>
      <c r="G15" s="17">
        <v>175.49667494265918</v>
      </c>
      <c r="H15" s="17">
        <v>0</v>
      </c>
      <c r="I15" s="17">
        <v>0</v>
      </c>
      <c r="J15" s="17">
        <v>442.22241753564583</v>
      </c>
      <c r="K15" s="17">
        <v>0</v>
      </c>
      <c r="L15" s="17">
        <v>0</v>
      </c>
    </row>
    <row r="16" spans="3:12" ht="15.6" x14ac:dyDescent="0.3">
      <c r="C16" s="6"/>
      <c r="D16" s="43"/>
      <c r="E16" s="5" t="s">
        <v>6</v>
      </c>
      <c r="F16" s="23">
        <v>0</v>
      </c>
      <c r="G16" s="17">
        <v>0</v>
      </c>
      <c r="H16" s="17">
        <v>3.4029396325459316</v>
      </c>
      <c r="I16" s="17">
        <v>0</v>
      </c>
      <c r="J16" s="17">
        <v>0</v>
      </c>
      <c r="K16" s="17">
        <v>11.894254593175853</v>
      </c>
      <c r="L16" s="17">
        <v>0</v>
      </c>
    </row>
    <row r="17" spans="3:12" ht="16.5" customHeight="1" x14ac:dyDescent="0.3">
      <c r="C17" s="6"/>
      <c r="D17" s="44"/>
      <c r="E17" s="5" t="s">
        <v>19</v>
      </c>
      <c r="F17" s="22"/>
      <c r="G17" s="17">
        <v>16.894653999999999</v>
      </c>
      <c r="H17" s="17">
        <v>14.629208999999999</v>
      </c>
      <c r="I17" s="30">
        <v>0.15485765498325987</v>
      </c>
      <c r="J17" s="17">
        <v>177.30797699999999</v>
      </c>
      <c r="K17" s="17">
        <v>160.224174</v>
      </c>
      <c r="L17" s="31">
        <v>0.10662437866585583</v>
      </c>
    </row>
    <row r="18" spans="3:12" ht="15.6" x14ac:dyDescent="0.3">
      <c r="C18" s="6" t="s">
        <v>14</v>
      </c>
      <c r="D18" s="4" t="s">
        <v>7</v>
      </c>
      <c r="E18" s="4"/>
      <c r="F18" s="24"/>
      <c r="G18" s="34">
        <v>11.371263441383096</v>
      </c>
      <c r="H18" s="17">
        <v>16.29433070866142</v>
      </c>
      <c r="I18" s="28">
        <v>-0.30213375162819156</v>
      </c>
      <c r="J18" s="17">
        <v>128.98812641459253</v>
      </c>
      <c r="K18" s="17">
        <v>142.14943044619423</v>
      </c>
      <c r="L18" s="29">
        <v>-9.2587807002036948E-2</v>
      </c>
    </row>
    <row r="19" spans="3:12" ht="15.6" x14ac:dyDescent="0.3">
      <c r="C19" s="6" t="s">
        <v>12</v>
      </c>
      <c r="D19" s="4" t="s">
        <v>20</v>
      </c>
      <c r="E19" s="4"/>
      <c r="F19" s="24"/>
      <c r="G19" s="35">
        <v>1764.8249515972643</v>
      </c>
      <c r="H19" s="17">
        <v>1875.8249246719165</v>
      </c>
      <c r="I19" s="28">
        <v>-5.917395147847615E-2</v>
      </c>
      <c r="J19" s="17">
        <v>1942.2255832552758</v>
      </c>
      <c r="K19" s="17">
        <v>1097.2687317847774</v>
      </c>
      <c r="L19" s="29">
        <v>0.7700546156055339</v>
      </c>
    </row>
    <row r="20" spans="3:12" ht="16.2" thickBot="1" x14ac:dyDescent="0.35">
      <c r="C20" s="9" t="s">
        <v>13</v>
      </c>
      <c r="D20" s="10" t="s">
        <v>8</v>
      </c>
      <c r="E20" s="10"/>
      <c r="F20" s="25"/>
      <c r="G20" s="27">
        <v>3559.3177848796799</v>
      </c>
      <c r="H20" s="27">
        <v>3519.0492756913359</v>
      </c>
      <c r="I20" s="32">
        <v>1.1443008049506043E-2</v>
      </c>
      <c r="J20" s="27">
        <v>43722.63175625632</v>
      </c>
      <c r="K20" s="27">
        <v>43609.112729142929</v>
      </c>
      <c r="L20" s="33">
        <v>2.6031033426077155E-3</v>
      </c>
    </row>
    <row r="21" spans="3:12" x14ac:dyDescent="0.25">
      <c r="C21" s="19" t="s">
        <v>26</v>
      </c>
      <c r="D21" s="18"/>
      <c r="E21" s="18"/>
      <c r="F21" s="18"/>
      <c r="G21" s="26"/>
      <c r="H21" s="26"/>
      <c r="I21" s="26"/>
      <c r="J21" s="12"/>
      <c r="K21" s="12"/>
      <c r="L21" s="13"/>
    </row>
    <row r="22" spans="3:12" x14ac:dyDescent="0.25">
      <c r="C22" s="11"/>
      <c r="D22" s="12"/>
      <c r="E22" s="12"/>
      <c r="F22" s="12"/>
      <c r="G22" s="12"/>
      <c r="H22" s="12"/>
      <c r="I22" s="12"/>
      <c r="J22" s="12"/>
      <c r="K22" s="12"/>
      <c r="L22" s="13"/>
    </row>
    <row r="23" spans="3:12" x14ac:dyDescent="0.25">
      <c r="C23" s="11" t="s">
        <v>21</v>
      </c>
      <c r="D23" s="12"/>
      <c r="E23" s="12"/>
      <c r="F23" s="12"/>
      <c r="G23" s="12"/>
      <c r="H23" s="12"/>
      <c r="I23" s="12"/>
      <c r="J23" s="12"/>
      <c r="K23" s="12"/>
      <c r="L23" s="13"/>
    </row>
    <row r="24" spans="3:12" ht="13.8" thickBot="1" x14ac:dyDescent="0.3">
      <c r="C24" s="14" t="s">
        <v>9</v>
      </c>
      <c r="D24" s="15"/>
      <c r="E24" s="15"/>
      <c r="F24" s="15"/>
      <c r="G24" s="15"/>
      <c r="H24" s="15"/>
      <c r="I24" s="15"/>
      <c r="J24" s="15"/>
      <c r="K24" s="15"/>
      <c r="L24" s="16"/>
    </row>
  </sheetData>
  <mergeCells count="6">
    <mergeCell ref="C2:L2"/>
    <mergeCell ref="J5:L5"/>
    <mergeCell ref="D9:D17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6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Agosto  2016</vt:lpstr>
    </vt:vector>
  </TitlesOfParts>
  <Company>MSE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gperrella</cp:lastModifiedBy>
  <cp:lastPrinted>2016-06-28T09:12:22Z</cp:lastPrinted>
  <dcterms:created xsi:type="dcterms:W3CDTF">2005-02-22T07:47:00Z</dcterms:created>
  <dcterms:modified xsi:type="dcterms:W3CDTF">2016-09-30T07:57:12Z</dcterms:modified>
</cp:coreProperties>
</file>