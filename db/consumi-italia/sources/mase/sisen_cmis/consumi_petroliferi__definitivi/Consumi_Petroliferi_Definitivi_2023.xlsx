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neenergieperlamobilita-my.sharepoint.com/personal/anselmi_unem_it/Documents/Anselmi/Documents/Riunione consumi/aggiornamento consumi 2023/DEF 2023/"/>
    </mc:Choice>
  </mc:AlternateContent>
  <xr:revisionPtr revIDLastSave="0" documentId="8_{3F884D70-EBCD-450C-A112-0CE7D000C2E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ONSUMI PETROLIFERI 21" sheetId="1" r:id="rId1"/>
    <sheet name="2022" sheetId="2" r:id="rId2"/>
    <sheet name="2023" sheetId="3" r:id="rId3"/>
  </sheets>
  <definedNames>
    <definedName name="_xlnm.Print_Area" localSheetId="1">'2022'!$A$1:$AA$73</definedName>
    <definedName name="_xlnm.Print_Area" localSheetId="0">'CONSUMI PETROLIFERI 21'!$A$1:$AA$81</definedName>
    <definedName name="primosem">'CONSUMI PETROLIFERI 21'!$A$1:$M$84</definedName>
    <definedName name="secsem">'CONSUMI PETROLIFERI 21'!$N$1:$AA$84</definedName>
    <definedName name="STP">'CONSUMI PETROLIFERI 21'!#REF!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75" i="2" l="1"/>
  <c r="E73" i="2"/>
  <c r="G73" i="2" s="1"/>
  <c r="I73" i="2" s="1"/>
  <c r="K73" i="2" s="1"/>
  <c r="M73" i="2" s="1"/>
  <c r="Q73" i="2" s="1"/>
  <c r="S73" i="2" s="1"/>
  <c r="U73" i="2" s="1"/>
  <c r="W73" i="2" s="1"/>
  <c r="Y73" i="2" s="1"/>
  <c r="AA73" i="2" s="1"/>
  <c r="AA72" i="2"/>
  <c r="Y72" i="2"/>
  <c r="W72" i="2"/>
  <c r="U72" i="2"/>
  <c r="S72" i="2"/>
  <c r="Q72" i="2"/>
  <c r="M72" i="2"/>
  <c r="K72" i="2"/>
  <c r="I72" i="2"/>
  <c r="G72" i="2"/>
  <c r="E72" i="2"/>
  <c r="E71" i="2"/>
  <c r="G71" i="2" s="1"/>
  <c r="I71" i="2" s="1"/>
  <c r="K71" i="2" s="1"/>
  <c r="M71" i="2" s="1"/>
  <c r="Q71" i="2" s="1"/>
  <c r="S71" i="2" s="1"/>
  <c r="U71" i="2" s="1"/>
  <c r="W71" i="2" s="1"/>
  <c r="Y71" i="2" s="1"/>
  <c r="AA71" i="2" s="1"/>
  <c r="AA70" i="2"/>
  <c r="Y70" i="2"/>
  <c r="W70" i="2"/>
  <c r="U70" i="2"/>
  <c r="S70" i="2"/>
  <c r="Q70" i="2"/>
  <c r="M70" i="2"/>
  <c r="K70" i="2"/>
  <c r="I70" i="2"/>
  <c r="G70" i="2"/>
  <c r="E70" i="2"/>
  <c r="E69" i="2"/>
  <c r="G69" i="2" s="1"/>
  <c r="I69" i="2" s="1"/>
  <c r="K69" i="2" s="1"/>
  <c r="M69" i="2" s="1"/>
  <c r="Q69" i="2" s="1"/>
  <c r="S69" i="2" s="1"/>
  <c r="U69" i="2" s="1"/>
  <c r="W69" i="2" s="1"/>
  <c r="Y69" i="2" s="1"/>
  <c r="AA69" i="2" s="1"/>
  <c r="AA68" i="2"/>
  <c r="Y68" i="2"/>
  <c r="W68" i="2"/>
  <c r="U68" i="2"/>
  <c r="S68" i="2"/>
  <c r="Q68" i="2"/>
  <c r="M68" i="2"/>
  <c r="K68" i="2"/>
  <c r="I68" i="2"/>
  <c r="G68" i="2"/>
  <c r="E68" i="2"/>
  <c r="AA67" i="2"/>
  <c r="Y67" i="2"/>
  <c r="W67" i="2"/>
  <c r="U67" i="2"/>
  <c r="S67" i="2"/>
  <c r="Q67" i="2"/>
  <c r="M67" i="2"/>
  <c r="K67" i="2"/>
  <c r="I67" i="2"/>
  <c r="G67" i="2"/>
  <c r="E67" i="2"/>
  <c r="E66" i="2"/>
  <c r="G66" i="2" s="1"/>
  <c r="I66" i="2" s="1"/>
  <c r="K66" i="2" s="1"/>
  <c r="M66" i="2" s="1"/>
  <c r="Q66" i="2" s="1"/>
  <c r="S66" i="2" s="1"/>
  <c r="U66" i="2" s="1"/>
  <c r="W66" i="2" s="1"/>
  <c r="Y66" i="2" s="1"/>
  <c r="AA66" i="2" s="1"/>
  <c r="E61" i="2"/>
  <c r="G61" i="2" s="1"/>
  <c r="I61" i="2" s="1"/>
  <c r="K61" i="2" s="1"/>
  <c r="M61" i="2" s="1"/>
  <c r="Q61" i="2" s="1"/>
  <c r="S61" i="2" s="1"/>
  <c r="U61" i="2" s="1"/>
  <c r="W61" i="2" s="1"/>
  <c r="Y61" i="2" s="1"/>
  <c r="AA61" i="2" s="1"/>
  <c r="Q60" i="2"/>
  <c r="G59" i="2"/>
  <c r="I59" i="2" s="1"/>
  <c r="K59" i="2" s="1"/>
  <c r="M59" i="2" s="1"/>
  <c r="Q59" i="2" s="1"/>
  <c r="S59" i="2" s="1"/>
  <c r="U59" i="2" s="1"/>
  <c r="W59" i="2" s="1"/>
  <c r="Y59" i="2" s="1"/>
  <c r="AA59" i="2" s="1"/>
  <c r="E59" i="2"/>
  <c r="Q58" i="2"/>
  <c r="E57" i="2"/>
  <c r="G57" i="2" s="1"/>
  <c r="I57" i="2" s="1"/>
  <c r="K57" i="2" s="1"/>
  <c r="M57" i="2" s="1"/>
  <c r="Q57" i="2" s="1"/>
  <c r="S57" i="2" s="1"/>
  <c r="U57" i="2" s="1"/>
  <c r="W57" i="2" s="1"/>
  <c r="Y57" i="2" s="1"/>
  <c r="AA57" i="2" s="1"/>
  <c r="E56" i="2"/>
  <c r="G56" i="2" s="1"/>
  <c r="I56" i="2" s="1"/>
  <c r="K56" i="2" s="1"/>
  <c r="M56" i="2" s="1"/>
  <c r="Q56" i="2" s="1"/>
  <c r="S56" i="2" s="1"/>
  <c r="U56" i="2" s="1"/>
  <c r="W56" i="2" s="1"/>
  <c r="Y56" i="2" s="1"/>
  <c r="AA56" i="2" s="1"/>
  <c r="AA55" i="2"/>
  <c r="Y55" i="2"/>
  <c r="U55" i="2"/>
  <c r="S55" i="2"/>
  <c r="Q55" i="2"/>
  <c r="M55" i="2"/>
  <c r="K55" i="2"/>
  <c r="I55" i="2"/>
  <c r="G55" i="2"/>
  <c r="E55" i="2"/>
  <c r="Z51" i="2"/>
  <c r="X51" i="2"/>
  <c r="V51" i="2"/>
  <c r="T51" i="2"/>
  <c r="R51" i="2"/>
  <c r="P51" i="2"/>
  <c r="L51" i="2"/>
  <c r="J51" i="2"/>
  <c r="H51" i="2"/>
  <c r="F51" i="2"/>
  <c r="D51" i="2"/>
  <c r="C51" i="2"/>
  <c r="E51" i="2" s="1"/>
  <c r="E50" i="2"/>
  <c r="G50" i="2" s="1"/>
  <c r="I50" i="2" s="1"/>
  <c r="K50" i="2" s="1"/>
  <c r="M50" i="2" s="1"/>
  <c r="Q50" i="2" s="1"/>
  <c r="S50" i="2" s="1"/>
  <c r="U50" i="2" s="1"/>
  <c r="W50" i="2" s="1"/>
  <c r="Y50" i="2" s="1"/>
  <c r="AA50" i="2" s="1"/>
  <c r="E49" i="2"/>
  <c r="G49" i="2" s="1"/>
  <c r="I49" i="2" s="1"/>
  <c r="K49" i="2" s="1"/>
  <c r="M49" i="2" s="1"/>
  <c r="Q49" i="2" s="1"/>
  <c r="S49" i="2" s="1"/>
  <c r="U49" i="2" s="1"/>
  <c r="W49" i="2" s="1"/>
  <c r="Y49" i="2" s="1"/>
  <c r="AA49" i="2" s="1"/>
  <c r="E48" i="2"/>
  <c r="G48" i="2" s="1"/>
  <c r="I48" i="2" s="1"/>
  <c r="K48" i="2" s="1"/>
  <c r="M48" i="2" s="1"/>
  <c r="Q48" i="2" s="1"/>
  <c r="S48" i="2" s="1"/>
  <c r="U48" i="2" s="1"/>
  <c r="W48" i="2" s="1"/>
  <c r="Y48" i="2" s="1"/>
  <c r="AA48" i="2" s="1"/>
  <c r="Q47" i="2"/>
  <c r="E46" i="2"/>
  <c r="G46" i="2" s="1"/>
  <c r="I46" i="2" s="1"/>
  <c r="K46" i="2" s="1"/>
  <c r="M46" i="2" s="1"/>
  <c r="Q46" i="2" s="1"/>
  <c r="S46" i="2" s="1"/>
  <c r="U46" i="2" s="1"/>
  <c r="W46" i="2" s="1"/>
  <c r="Y46" i="2" s="1"/>
  <c r="AA46" i="2" s="1"/>
  <c r="Q45" i="2"/>
  <c r="E44" i="2"/>
  <c r="G44" i="2" s="1"/>
  <c r="I44" i="2" s="1"/>
  <c r="K44" i="2" s="1"/>
  <c r="M44" i="2" s="1"/>
  <c r="Q44" i="2" s="1"/>
  <c r="S44" i="2" s="1"/>
  <c r="U44" i="2" s="1"/>
  <c r="W44" i="2" s="1"/>
  <c r="Y44" i="2" s="1"/>
  <c r="AA44" i="2" s="1"/>
  <c r="J42" i="2"/>
  <c r="AA41" i="2"/>
  <c r="Y41" i="2"/>
  <c r="W41" i="2"/>
  <c r="U41" i="2"/>
  <c r="S41" i="2"/>
  <c r="Q41" i="2"/>
  <c r="M41" i="2"/>
  <c r="K41" i="2"/>
  <c r="I41" i="2"/>
  <c r="G41" i="2"/>
  <c r="E41" i="2"/>
  <c r="E40" i="2"/>
  <c r="G40" i="2" s="1"/>
  <c r="I40" i="2" s="1"/>
  <c r="K40" i="2" s="1"/>
  <c r="M40" i="2" s="1"/>
  <c r="Q40" i="2" s="1"/>
  <c r="S40" i="2" s="1"/>
  <c r="U40" i="2" s="1"/>
  <c r="W40" i="2" s="1"/>
  <c r="Y40" i="2" s="1"/>
  <c r="AA40" i="2" s="1"/>
  <c r="Q39" i="2"/>
  <c r="E38" i="2"/>
  <c r="G38" i="2" s="1"/>
  <c r="I38" i="2" s="1"/>
  <c r="K38" i="2" s="1"/>
  <c r="M38" i="2" s="1"/>
  <c r="Q38" i="2" s="1"/>
  <c r="S38" i="2" s="1"/>
  <c r="U38" i="2" s="1"/>
  <c r="W38" i="2" s="1"/>
  <c r="Y38" i="2" s="1"/>
  <c r="AA38" i="2" s="1"/>
  <c r="E37" i="2"/>
  <c r="G37" i="2" s="1"/>
  <c r="I37" i="2" s="1"/>
  <c r="K37" i="2" s="1"/>
  <c r="M37" i="2" s="1"/>
  <c r="Q37" i="2" s="1"/>
  <c r="S37" i="2" s="1"/>
  <c r="U37" i="2" s="1"/>
  <c r="W37" i="2" s="1"/>
  <c r="Y37" i="2" s="1"/>
  <c r="AA37" i="2" s="1"/>
  <c r="E35" i="2"/>
  <c r="G35" i="2" s="1"/>
  <c r="I35" i="2" s="1"/>
  <c r="K35" i="2" s="1"/>
  <c r="M35" i="2" s="1"/>
  <c r="Q35" i="2" s="1"/>
  <c r="S35" i="2" s="1"/>
  <c r="U35" i="2" s="1"/>
  <c r="W35" i="2" s="1"/>
  <c r="Y35" i="2" s="1"/>
  <c r="AA35" i="2" s="1"/>
  <c r="E34" i="2"/>
  <c r="G34" i="2" s="1"/>
  <c r="I34" i="2" s="1"/>
  <c r="K34" i="2" s="1"/>
  <c r="M34" i="2" s="1"/>
  <c r="Q34" i="2" s="1"/>
  <c r="S34" i="2" s="1"/>
  <c r="U34" i="2" s="1"/>
  <c r="W34" i="2" s="1"/>
  <c r="Y34" i="2" s="1"/>
  <c r="AA34" i="2" s="1"/>
  <c r="X32" i="2"/>
  <c r="R32" i="2"/>
  <c r="E31" i="2"/>
  <c r="G31" i="2" s="1"/>
  <c r="I31" i="2" s="1"/>
  <c r="K31" i="2" s="1"/>
  <c r="M31" i="2" s="1"/>
  <c r="Q31" i="2" s="1"/>
  <c r="S31" i="2" s="1"/>
  <c r="U31" i="2" s="1"/>
  <c r="W31" i="2" s="1"/>
  <c r="Y31" i="2" s="1"/>
  <c r="AA31" i="2" s="1"/>
  <c r="AA30" i="2"/>
  <c r="Y30" i="2"/>
  <c r="W30" i="2"/>
  <c r="U30" i="2"/>
  <c r="S30" i="2"/>
  <c r="M30" i="2"/>
  <c r="K30" i="2"/>
  <c r="I30" i="2"/>
  <c r="G30" i="2"/>
  <c r="E30" i="2"/>
  <c r="Z29" i="2"/>
  <c r="Z32" i="2" s="1"/>
  <c r="X29" i="2"/>
  <c r="V29" i="2"/>
  <c r="V32" i="2" s="1"/>
  <c r="T29" i="2"/>
  <c r="T32" i="2" s="1"/>
  <c r="R29" i="2"/>
  <c r="P29" i="2"/>
  <c r="P32" i="2" s="1"/>
  <c r="L29" i="2"/>
  <c r="L32" i="2" s="1"/>
  <c r="J29" i="2"/>
  <c r="J32" i="2" s="1"/>
  <c r="H29" i="2"/>
  <c r="H32" i="2" s="1"/>
  <c r="F29" i="2"/>
  <c r="F32" i="2" s="1"/>
  <c r="D29" i="2"/>
  <c r="D32" i="2" s="1"/>
  <c r="C29" i="2"/>
  <c r="C32" i="2" s="1"/>
  <c r="E28" i="2"/>
  <c r="G28" i="2" s="1"/>
  <c r="I28" i="2" s="1"/>
  <c r="K28" i="2" s="1"/>
  <c r="M28" i="2" s="1"/>
  <c r="Q28" i="2" s="1"/>
  <c r="S28" i="2" s="1"/>
  <c r="U28" i="2" s="1"/>
  <c r="W28" i="2" s="1"/>
  <c r="Y28" i="2" s="1"/>
  <c r="AA28" i="2" s="1"/>
  <c r="E27" i="2"/>
  <c r="G27" i="2" s="1"/>
  <c r="I27" i="2" s="1"/>
  <c r="K27" i="2" s="1"/>
  <c r="M27" i="2" s="1"/>
  <c r="Q27" i="2" s="1"/>
  <c r="S27" i="2" s="1"/>
  <c r="U27" i="2" s="1"/>
  <c r="W27" i="2" s="1"/>
  <c r="Y27" i="2" s="1"/>
  <c r="AA27" i="2" s="1"/>
  <c r="E26" i="2"/>
  <c r="G26" i="2" s="1"/>
  <c r="I26" i="2" s="1"/>
  <c r="K26" i="2" s="1"/>
  <c r="M26" i="2" s="1"/>
  <c r="Q26" i="2" s="1"/>
  <c r="S26" i="2" s="1"/>
  <c r="U26" i="2" s="1"/>
  <c r="W26" i="2" s="1"/>
  <c r="Y26" i="2" s="1"/>
  <c r="AA26" i="2" s="1"/>
  <c r="Z24" i="2"/>
  <c r="X24" i="2"/>
  <c r="V24" i="2"/>
  <c r="T24" i="2"/>
  <c r="R24" i="2"/>
  <c r="P24" i="2"/>
  <c r="L24" i="2"/>
  <c r="J24" i="2"/>
  <c r="H24" i="2"/>
  <c r="F24" i="2"/>
  <c r="D24" i="2"/>
  <c r="E24" i="2" s="1"/>
  <c r="G24" i="2" s="1"/>
  <c r="C24" i="2"/>
  <c r="E23" i="2"/>
  <c r="G23" i="2" s="1"/>
  <c r="I23" i="2" s="1"/>
  <c r="K23" i="2" s="1"/>
  <c r="M23" i="2" s="1"/>
  <c r="Q23" i="2" s="1"/>
  <c r="S23" i="2" s="1"/>
  <c r="U23" i="2" s="1"/>
  <c r="W23" i="2" s="1"/>
  <c r="Y23" i="2" s="1"/>
  <c r="AA23" i="2" s="1"/>
  <c r="G22" i="2"/>
  <c r="I22" i="2" s="1"/>
  <c r="K22" i="2" s="1"/>
  <c r="M22" i="2" s="1"/>
  <c r="Q22" i="2" s="1"/>
  <c r="S22" i="2" s="1"/>
  <c r="U22" i="2" s="1"/>
  <c r="W22" i="2" s="1"/>
  <c r="Y22" i="2" s="1"/>
  <c r="AA22" i="2" s="1"/>
  <c r="E22" i="2"/>
  <c r="E21" i="2"/>
  <c r="G21" i="2" s="1"/>
  <c r="I21" i="2" s="1"/>
  <c r="K21" i="2" s="1"/>
  <c r="M21" i="2" s="1"/>
  <c r="Q21" i="2" s="1"/>
  <c r="S21" i="2" s="1"/>
  <c r="U21" i="2" s="1"/>
  <c r="W21" i="2" s="1"/>
  <c r="Y21" i="2" s="1"/>
  <c r="AA21" i="2" s="1"/>
  <c r="AA20" i="2"/>
  <c r="Y20" i="2"/>
  <c r="W20" i="2"/>
  <c r="U20" i="2"/>
  <c r="S20" i="2"/>
  <c r="Q20" i="2"/>
  <c r="M20" i="2"/>
  <c r="K20" i="2"/>
  <c r="I20" i="2"/>
  <c r="G20" i="2"/>
  <c r="E20" i="2"/>
  <c r="E19" i="2"/>
  <c r="G19" i="2" s="1"/>
  <c r="I19" i="2" s="1"/>
  <c r="K19" i="2" s="1"/>
  <c r="M19" i="2" s="1"/>
  <c r="Q19" i="2" s="1"/>
  <c r="S19" i="2" s="1"/>
  <c r="U19" i="2" s="1"/>
  <c r="W19" i="2" s="1"/>
  <c r="Y19" i="2" s="1"/>
  <c r="AA19" i="2" s="1"/>
  <c r="E18" i="2"/>
  <c r="G18" i="2" s="1"/>
  <c r="I18" i="2" s="1"/>
  <c r="K18" i="2" s="1"/>
  <c r="M18" i="2" s="1"/>
  <c r="Q18" i="2" s="1"/>
  <c r="S18" i="2" s="1"/>
  <c r="U18" i="2" s="1"/>
  <c r="W18" i="2" s="1"/>
  <c r="Y18" i="2" s="1"/>
  <c r="AA18" i="2" s="1"/>
  <c r="E17" i="2"/>
  <c r="G17" i="2" s="1"/>
  <c r="I17" i="2" s="1"/>
  <c r="K17" i="2" s="1"/>
  <c r="M17" i="2" s="1"/>
  <c r="Q17" i="2" s="1"/>
  <c r="S17" i="2" s="1"/>
  <c r="U17" i="2" s="1"/>
  <c r="W17" i="2" s="1"/>
  <c r="Y17" i="2" s="1"/>
  <c r="AA17" i="2" s="1"/>
  <c r="E16" i="2"/>
  <c r="G16" i="2" s="1"/>
  <c r="I16" i="2" s="1"/>
  <c r="K16" i="2" s="1"/>
  <c r="M16" i="2" s="1"/>
  <c r="Q16" i="2" s="1"/>
  <c r="S16" i="2" s="1"/>
  <c r="U16" i="2" s="1"/>
  <c r="W16" i="2" s="1"/>
  <c r="Y16" i="2" s="1"/>
  <c r="AA16" i="2" s="1"/>
  <c r="E14" i="2"/>
  <c r="G14" i="2" s="1"/>
  <c r="I14" i="2" s="1"/>
  <c r="K14" i="2" s="1"/>
  <c r="M14" i="2" s="1"/>
  <c r="Q14" i="2" s="1"/>
  <c r="S14" i="2" s="1"/>
  <c r="U14" i="2" s="1"/>
  <c r="W14" i="2" s="1"/>
  <c r="Y14" i="2" s="1"/>
  <c r="AA14" i="2" s="1"/>
  <c r="AA13" i="2"/>
  <c r="Y13" i="2"/>
  <c r="W13" i="2"/>
  <c r="U13" i="2"/>
  <c r="S13" i="2"/>
  <c r="Q13" i="2"/>
  <c r="M13" i="2"/>
  <c r="K13" i="2"/>
  <c r="I13" i="2"/>
  <c r="G13" i="2"/>
  <c r="E13" i="2"/>
  <c r="Z12" i="2"/>
  <c r="X12" i="2"/>
  <c r="V12" i="2"/>
  <c r="T12" i="2"/>
  <c r="R12" i="2"/>
  <c r="P12" i="2"/>
  <c r="P42" i="2" s="1"/>
  <c r="L12" i="2"/>
  <c r="J12" i="2"/>
  <c r="H12" i="2"/>
  <c r="H42" i="2" s="1"/>
  <c r="F12" i="2"/>
  <c r="D12" i="2"/>
  <c r="C12" i="2"/>
  <c r="C42" i="2" s="1"/>
  <c r="C53" i="2" s="1"/>
  <c r="C63" i="2" s="1"/>
  <c r="E11" i="2"/>
  <c r="G11" i="2" s="1"/>
  <c r="I11" i="2" s="1"/>
  <c r="K11" i="2" s="1"/>
  <c r="M11" i="2" s="1"/>
  <c r="Q11" i="2" s="1"/>
  <c r="S11" i="2" s="1"/>
  <c r="U11" i="2" s="1"/>
  <c r="W11" i="2" s="1"/>
  <c r="Y11" i="2" s="1"/>
  <c r="AA11" i="2" s="1"/>
  <c r="E10" i="2"/>
  <c r="G10" i="2" s="1"/>
  <c r="I10" i="2" s="1"/>
  <c r="K10" i="2" s="1"/>
  <c r="M10" i="2" s="1"/>
  <c r="Q10" i="2" s="1"/>
  <c r="S10" i="2" s="1"/>
  <c r="U10" i="2" s="1"/>
  <c r="W10" i="2" s="1"/>
  <c r="Y10" i="2" s="1"/>
  <c r="AA10" i="2" s="1"/>
  <c r="E8" i="2"/>
  <c r="G8" i="2" s="1"/>
  <c r="I8" i="2" s="1"/>
  <c r="K8" i="2" s="1"/>
  <c r="M8" i="2" s="1"/>
  <c r="Q8" i="2" s="1"/>
  <c r="S8" i="2" s="1"/>
  <c r="U8" i="2" s="1"/>
  <c r="W8" i="2" s="1"/>
  <c r="Y8" i="2" s="1"/>
  <c r="AA8" i="2" s="1"/>
  <c r="AA7" i="2"/>
  <c r="Y7" i="2"/>
  <c r="W7" i="2"/>
  <c r="U7" i="2"/>
  <c r="S7" i="2"/>
  <c r="Q7" i="2"/>
  <c r="M7" i="2"/>
  <c r="K7" i="2"/>
  <c r="I7" i="2"/>
  <c r="G7" i="2"/>
  <c r="E7" i="2"/>
  <c r="E6" i="2"/>
  <c r="G6" i="2" s="1"/>
  <c r="I6" i="2" s="1"/>
  <c r="K6" i="2" s="1"/>
  <c r="M6" i="2" s="1"/>
  <c r="Q6" i="2" s="1"/>
  <c r="S6" i="2" s="1"/>
  <c r="U6" i="2" s="1"/>
  <c r="W6" i="2" s="1"/>
  <c r="Y6" i="2" s="1"/>
  <c r="AA6" i="2" s="1"/>
  <c r="E5" i="2"/>
  <c r="G5" i="2" s="1"/>
  <c r="I5" i="2" s="1"/>
  <c r="K5" i="2" s="1"/>
  <c r="M5" i="2" s="1"/>
  <c r="Q5" i="2" s="1"/>
  <c r="S5" i="2" s="1"/>
  <c r="U5" i="2" s="1"/>
  <c r="W5" i="2" s="1"/>
  <c r="Y5" i="2" s="1"/>
  <c r="AA5" i="2" s="1"/>
  <c r="AA2" i="2"/>
  <c r="M2" i="2"/>
  <c r="D42" i="2" l="1"/>
  <c r="L42" i="2"/>
  <c r="X42" i="2"/>
  <c r="Z42" i="2"/>
  <c r="Z53" i="2" s="1"/>
  <c r="L53" i="2"/>
  <c r="L63" i="2" s="1"/>
  <c r="J53" i="2"/>
  <c r="J63" i="2" s="1"/>
  <c r="T42" i="2"/>
  <c r="T53" i="2" s="1"/>
  <c r="T63" i="2" s="1"/>
  <c r="R42" i="2"/>
  <c r="E32" i="2"/>
  <c r="G32" i="2"/>
  <c r="G51" i="2"/>
  <c r="I51" i="2" s="1"/>
  <c r="K51" i="2" s="1"/>
  <c r="M51" i="2" s="1"/>
  <c r="Q51" i="2" s="1"/>
  <c r="S51" i="2" s="1"/>
  <c r="U51" i="2" s="1"/>
  <c r="W51" i="2" s="1"/>
  <c r="Y51" i="2" s="1"/>
  <c r="AA51" i="2" s="1"/>
  <c r="D53" i="2"/>
  <c r="E42" i="2"/>
  <c r="H53" i="2"/>
  <c r="I32" i="2"/>
  <c r="K32" i="2" s="1"/>
  <c r="M32" i="2" s="1"/>
  <c r="Q32" i="2" s="1"/>
  <c r="S32" i="2" s="1"/>
  <c r="U32" i="2" s="1"/>
  <c r="W32" i="2" s="1"/>
  <c r="Y32" i="2" s="1"/>
  <c r="AA32" i="2" s="1"/>
  <c r="R53" i="2"/>
  <c r="P53" i="2"/>
  <c r="I24" i="2"/>
  <c r="K24" i="2" s="1"/>
  <c r="M24" i="2" s="1"/>
  <c r="Q24" i="2" s="1"/>
  <c r="S24" i="2" s="1"/>
  <c r="U24" i="2" s="1"/>
  <c r="W24" i="2" s="1"/>
  <c r="Y24" i="2" s="1"/>
  <c r="AA24" i="2" s="1"/>
  <c r="X53" i="2"/>
  <c r="V42" i="2"/>
  <c r="E12" i="2"/>
  <c r="G12" i="2" s="1"/>
  <c r="I12" i="2" s="1"/>
  <c r="K12" i="2" s="1"/>
  <c r="M12" i="2" s="1"/>
  <c r="Q12" i="2" s="1"/>
  <c r="S12" i="2" s="1"/>
  <c r="U12" i="2" s="1"/>
  <c r="W12" i="2" s="1"/>
  <c r="Y12" i="2" s="1"/>
  <c r="AA12" i="2" s="1"/>
  <c r="F42" i="2"/>
  <c r="E29" i="2"/>
  <c r="G29" i="2"/>
  <c r="I29" i="2" s="1"/>
  <c r="K29" i="2" s="1"/>
  <c r="M29" i="2" s="1"/>
  <c r="Q29" i="2" s="1"/>
  <c r="S29" i="2" s="1"/>
  <c r="U29" i="2" s="1"/>
  <c r="W29" i="2" s="1"/>
  <c r="Y29" i="2" s="1"/>
  <c r="AA29" i="2" s="1"/>
  <c r="R63" i="2" l="1"/>
  <c r="Z63" i="2"/>
  <c r="H63" i="2"/>
  <c r="E53" i="2"/>
  <c r="D63" i="2"/>
  <c r="E63" i="2" s="1"/>
  <c r="V53" i="2"/>
  <c r="X63" i="2"/>
  <c r="F53" i="2"/>
  <c r="G42" i="2"/>
  <c r="I42" i="2" s="1"/>
  <c r="K42" i="2" s="1"/>
  <c r="M42" i="2" s="1"/>
  <c r="Q42" i="2" s="1"/>
  <c r="S42" i="2" s="1"/>
  <c r="U42" i="2" s="1"/>
  <c r="W42" i="2" s="1"/>
  <c r="Y42" i="2" s="1"/>
  <c r="AA42" i="2" s="1"/>
  <c r="P63" i="2"/>
  <c r="G53" i="2" l="1"/>
  <c r="I53" i="2" s="1"/>
  <c r="K53" i="2" s="1"/>
  <c r="M53" i="2" s="1"/>
  <c r="Q53" i="2" s="1"/>
  <c r="S53" i="2" s="1"/>
  <c r="U53" i="2" s="1"/>
  <c r="W53" i="2" s="1"/>
  <c r="Y53" i="2" s="1"/>
  <c r="AA53" i="2" s="1"/>
  <c r="F63" i="2"/>
  <c r="G63" i="2" s="1"/>
  <c r="I63" i="2" s="1"/>
  <c r="K63" i="2" s="1"/>
  <c r="M63" i="2" s="1"/>
  <c r="Q63" i="2" s="1"/>
  <c r="S63" i="2" s="1"/>
  <c r="U63" i="2" s="1"/>
  <c r="V63" i="2"/>
  <c r="W63" i="2" l="1"/>
  <c r="Y63" i="2" s="1"/>
  <c r="AA63" i="2" s="1"/>
  <c r="E5" i="1" l="1"/>
  <c r="V12" i="1" l="1"/>
  <c r="F24" i="1" l="1"/>
  <c r="R29" i="1" l="1"/>
  <c r="R32" i="1" s="1"/>
  <c r="P24" i="1"/>
  <c r="J12" i="1"/>
  <c r="E71" i="1"/>
  <c r="G71" i="1" s="1"/>
  <c r="I71" i="1" s="1"/>
  <c r="K71" i="1" s="1"/>
  <c r="M71" i="1" s="1"/>
  <c r="Q71" i="1" s="1"/>
  <c r="S71" i="1" s="1"/>
  <c r="U71" i="1" s="1"/>
  <c r="W71" i="1" s="1"/>
  <c r="Y71" i="1" s="1"/>
  <c r="AA71" i="1" s="1"/>
  <c r="E66" i="1"/>
  <c r="G66" i="1" s="1"/>
  <c r="I66" i="1" s="1"/>
  <c r="K66" i="1" s="1"/>
  <c r="M66" i="1" s="1"/>
  <c r="Q66" i="1" s="1"/>
  <c r="E69" i="1"/>
  <c r="G69" i="1"/>
  <c r="I69" i="1" s="1"/>
  <c r="K69" i="1" s="1"/>
  <c r="M69" i="1" s="1"/>
  <c r="Q69" i="1" s="1"/>
  <c r="S69" i="1" s="1"/>
  <c r="U69" i="1" s="1"/>
  <c r="W69" i="1" s="1"/>
  <c r="Y69" i="1" s="1"/>
  <c r="AA69" i="1" s="1"/>
  <c r="E73" i="1"/>
  <c r="G73" i="1" s="1"/>
  <c r="I73" i="1" s="1"/>
  <c r="K73" i="1" s="1"/>
  <c r="M73" i="1" s="1"/>
  <c r="Q73" i="1" s="1"/>
  <c r="S73" i="1" s="1"/>
  <c r="U73" i="1" s="1"/>
  <c r="W73" i="1" s="1"/>
  <c r="Y73" i="1" s="1"/>
  <c r="AA73" i="1" s="1"/>
  <c r="C29" i="1"/>
  <c r="C32" i="1" s="1"/>
  <c r="R12" i="1"/>
  <c r="E7" i="1"/>
  <c r="G7" i="1"/>
  <c r="I7" i="1" s="1"/>
  <c r="K7" i="1" s="1"/>
  <c r="M7" i="1" s="1"/>
  <c r="T12" i="1"/>
  <c r="P12" i="1"/>
  <c r="E31" i="1"/>
  <c r="G31" i="1" s="1"/>
  <c r="I31" i="1" s="1"/>
  <c r="K31" i="1" s="1"/>
  <c r="G5" i="1"/>
  <c r="C12" i="1"/>
  <c r="D12" i="1"/>
  <c r="E14" i="1"/>
  <c r="G14" i="1" s="1"/>
  <c r="I14" i="1" s="1"/>
  <c r="K14" i="1" s="1"/>
  <c r="M14" i="1" s="1"/>
  <c r="Q14" i="1" s="1"/>
  <c r="S14" i="1" s="1"/>
  <c r="U14" i="1" s="1"/>
  <c r="W14" i="1" s="1"/>
  <c r="Y14" i="1" s="1"/>
  <c r="AA14" i="1" s="1"/>
  <c r="C24" i="1"/>
  <c r="D24" i="1"/>
  <c r="H29" i="1"/>
  <c r="H32" i="1" s="1"/>
  <c r="F29" i="1"/>
  <c r="F32" i="1" s="1"/>
  <c r="D29" i="1"/>
  <c r="E29" i="1" s="1"/>
  <c r="E37" i="1"/>
  <c r="G37" i="1" s="1"/>
  <c r="I37" i="1" s="1"/>
  <c r="K37" i="1" s="1"/>
  <c r="M37" i="1" s="1"/>
  <c r="Q37" i="1" s="1"/>
  <c r="S37" i="1" s="1"/>
  <c r="U37" i="1" s="1"/>
  <c r="E40" i="1"/>
  <c r="E44" i="1"/>
  <c r="G44" i="1" s="1"/>
  <c r="I44" i="1" s="1"/>
  <c r="K44" i="1" s="1"/>
  <c r="M44" i="1" s="1"/>
  <c r="Q44" i="1" s="1"/>
  <c r="S44" i="1" s="1"/>
  <c r="U44" i="1" s="1"/>
  <c r="W44" i="1" s="1"/>
  <c r="E46" i="1"/>
  <c r="G46" i="1" s="1"/>
  <c r="I46" i="1" s="1"/>
  <c r="K46" i="1" s="1"/>
  <c r="M46" i="1" s="1"/>
  <c r="Q46" i="1" s="1"/>
  <c r="C51" i="1"/>
  <c r="D51" i="1"/>
  <c r="E59" i="1"/>
  <c r="E61" i="1"/>
  <c r="G61" i="1" s="1"/>
  <c r="I61" i="1" s="1"/>
  <c r="K61" i="1" s="1"/>
  <c r="M61" i="1" s="1"/>
  <c r="Q61" i="1" s="1"/>
  <c r="S61" i="1" s="1"/>
  <c r="U61" i="1" s="1"/>
  <c r="W61" i="1" s="1"/>
  <c r="J24" i="1"/>
  <c r="J29" i="1"/>
  <c r="J32" i="1" s="1"/>
  <c r="J51" i="1"/>
  <c r="E57" i="1"/>
  <c r="G57" i="1" s="1"/>
  <c r="I57" i="1" s="1"/>
  <c r="K57" i="1" s="1"/>
  <c r="M57" i="1" s="1"/>
  <c r="Q57" i="1" s="1"/>
  <c r="E26" i="1"/>
  <c r="G26" i="1" s="1"/>
  <c r="I26" i="1" s="1"/>
  <c r="K26" i="1" s="1"/>
  <c r="M26" i="1" s="1"/>
  <c r="Q26" i="1" s="1"/>
  <c r="S26" i="1" s="1"/>
  <c r="U26" i="1" s="1"/>
  <c r="W26" i="1" s="1"/>
  <c r="Y26" i="1" s="1"/>
  <c r="AA26" i="1" s="1"/>
  <c r="E27" i="1"/>
  <c r="G27" i="1" s="1"/>
  <c r="I27" i="1" s="1"/>
  <c r="K27" i="1" s="1"/>
  <c r="M27" i="1" s="1"/>
  <c r="Q27" i="1" s="1"/>
  <c r="S27" i="1" s="1"/>
  <c r="U27" i="1" s="1"/>
  <c r="E28" i="1"/>
  <c r="G28" i="1" s="1"/>
  <c r="I28" i="1" s="1"/>
  <c r="K28" i="1" s="1"/>
  <c r="M28" i="1" s="1"/>
  <c r="Q28" i="1" s="1"/>
  <c r="S28" i="1" s="1"/>
  <c r="U28" i="1" s="1"/>
  <c r="W28" i="1" s="1"/>
  <c r="Y28" i="1" s="1"/>
  <c r="L29" i="1"/>
  <c r="L32" i="1" s="1"/>
  <c r="T29" i="1"/>
  <c r="T32" i="1" s="1"/>
  <c r="Z51" i="1"/>
  <c r="Z29" i="1"/>
  <c r="Z32" i="1" s="1"/>
  <c r="Z24" i="1"/>
  <c r="Z12" i="1"/>
  <c r="X51" i="1"/>
  <c r="X29" i="1"/>
  <c r="X32" i="1" s="1"/>
  <c r="X24" i="1"/>
  <c r="X12" i="1"/>
  <c r="Q13" i="1"/>
  <c r="S13" i="1"/>
  <c r="U13" i="1"/>
  <c r="W13" i="1"/>
  <c r="Y13" i="1"/>
  <c r="AA13" i="1"/>
  <c r="Q7" i="1"/>
  <c r="S7" i="1" s="1"/>
  <c r="U7" i="1" s="1"/>
  <c r="W7" i="1" s="1"/>
  <c r="Y7" i="1" s="1"/>
  <c r="AA7" i="1" s="1"/>
  <c r="Q58" i="1"/>
  <c r="Q60" i="1"/>
  <c r="Q55" i="1"/>
  <c r="S55" i="1"/>
  <c r="U55" i="1"/>
  <c r="W55" i="1"/>
  <c r="Y55" i="1"/>
  <c r="AA55" i="1"/>
  <c r="P51" i="1"/>
  <c r="Q45" i="1"/>
  <c r="Q47" i="1"/>
  <c r="Q41" i="1"/>
  <c r="S41" i="1"/>
  <c r="Q39" i="1"/>
  <c r="AA28" i="1"/>
  <c r="V29" i="1"/>
  <c r="V32" i="1" s="1"/>
  <c r="E30" i="1"/>
  <c r="G30" i="1"/>
  <c r="I30" i="1"/>
  <c r="K30" i="1"/>
  <c r="M30" i="1"/>
  <c r="V51" i="1"/>
  <c r="T51" i="1"/>
  <c r="R51" i="1"/>
  <c r="L51" i="1"/>
  <c r="H51" i="1"/>
  <c r="F51" i="1"/>
  <c r="P29" i="1"/>
  <c r="P32" i="1" s="1"/>
  <c r="V24" i="1"/>
  <c r="T24" i="1"/>
  <c r="R24" i="1"/>
  <c r="L24" i="1"/>
  <c r="H24" i="1"/>
  <c r="L12" i="1"/>
  <c r="H12" i="1"/>
  <c r="Z42" i="1"/>
  <c r="U41" i="1"/>
  <c r="W41" i="1"/>
  <c r="Y41" i="1"/>
  <c r="AA41" i="1"/>
  <c r="S30" i="1"/>
  <c r="U30" i="1"/>
  <c r="W30" i="1"/>
  <c r="Y30" i="1"/>
  <c r="AA30" i="1"/>
  <c r="E56" i="1"/>
  <c r="G56" i="1" s="1"/>
  <c r="I56" i="1" s="1"/>
  <c r="K56" i="1" s="1"/>
  <c r="M56" i="1" s="1"/>
  <c r="Q56" i="1" s="1"/>
  <c r="S56" i="1" s="1"/>
  <c r="U56" i="1" s="1"/>
  <c r="W56" i="1" s="1"/>
  <c r="Y56" i="1" s="1"/>
  <c r="AA56" i="1" s="1"/>
  <c r="E50" i="1"/>
  <c r="G50" i="1" s="1"/>
  <c r="I50" i="1" s="1"/>
  <c r="K50" i="1" s="1"/>
  <c r="M50" i="1" s="1"/>
  <c r="Q50" i="1" s="1"/>
  <c r="S50" i="1" s="1"/>
  <c r="U50" i="1" s="1"/>
  <c r="W50" i="1" s="1"/>
  <c r="Y50" i="1" s="1"/>
  <c r="AA50" i="1" s="1"/>
  <c r="E49" i="1"/>
  <c r="G49" i="1" s="1"/>
  <c r="I49" i="1" s="1"/>
  <c r="K49" i="1" s="1"/>
  <c r="M49" i="1" s="1"/>
  <c r="Q49" i="1" s="1"/>
  <c r="S49" i="1" s="1"/>
  <c r="U49" i="1" s="1"/>
  <c r="W49" i="1" s="1"/>
  <c r="Y49" i="1" s="1"/>
  <c r="AA49" i="1" s="1"/>
  <c r="E48" i="1"/>
  <c r="G48" i="1" s="1"/>
  <c r="I48" i="1" s="1"/>
  <c r="K48" i="1" s="1"/>
  <c r="M48" i="1" s="1"/>
  <c r="Q48" i="1" s="1"/>
  <c r="S48" i="1" s="1"/>
  <c r="U48" i="1" s="1"/>
  <c r="W48" i="1" s="1"/>
  <c r="Y48" i="1" s="1"/>
  <c r="AA48" i="1" s="1"/>
  <c r="E38" i="1"/>
  <c r="G38" i="1" s="1"/>
  <c r="I38" i="1" s="1"/>
  <c r="K38" i="1" s="1"/>
  <c r="M38" i="1" s="1"/>
  <c r="Q38" i="1" s="1"/>
  <c r="S38" i="1" s="1"/>
  <c r="U38" i="1" s="1"/>
  <c r="W38" i="1" s="1"/>
  <c r="Y38" i="1" s="1"/>
  <c r="AA38" i="1" s="1"/>
  <c r="E35" i="1"/>
  <c r="G35" i="1" s="1"/>
  <c r="I35" i="1" s="1"/>
  <c r="K35" i="1" s="1"/>
  <c r="M35" i="1" s="1"/>
  <c r="Q35" i="1" s="1"/>
  <c r="S35" i="1" s="1"/>
  <c r="U35" i="1" s="1"/>
  <c r="W35" i="1" s="1"/>
  <c r="Y35" i="1" s="1"/>
  <c r="AA35" i="1" s="1"/>
  <c r="E34" i="1"/>
  <c r="G34" i="1" s="1"/>
  <c r="I34" i="1" s="1"/>
  <c r="E23" i="1"/>
  <c r="E22" i="1"/>
  <c r="G22" i="1" s="1"/>
  <c r="I22" i="1" s="1"/>
  <c r="K22" i="1" s="1"/>
  <c r="M22" i="1" s="1"/>
  <c r="Q22" i="1" s="1"/>
  <c r="S22" i="1" s="1"/>
  <c r="U22" i="1" s="1"/>
  <c r="W22" i="1" s="1"/>
  <c r="Y22" i="1" s="1"/>
  <c r="AA22" i="1" s="1"/>
  <c r="E21" i="1"/>
  <c r="G21" i="1" s="1"/>
  <c r="I21" i="1" s="1"/>
  <c r="K21" i="1" s="1"/>
  <c r="M21" i="1" s="1"/>
  <c r="Q21" i="1" s="1"/>
  <c r="S21" i="1" s="1"/>
  <c r="U21" i="1" s="1"/>
  <c r="W21" i="1" s="1"/>
  <c r="Y21" i="1" s="1"/>
  <c r="AA21" i="1" s="1"/>
  <c r="E18" i="1"/>
  <c r="G18" i="1" s="1"/>
  <c r="I18" i="1" s="1"/>
  <c r="K18" i="1" s="1"/>
  <c r="M18" i="1" s="1"/>
  <c r="Q18" i="1" s="1"/>
  <c r="S18" i="1" s="1"/>
  <c r="U18" i="1" s="1"/>
  <c r="W18" i="1" s="1"/>
  <c r="Y18" i="1" s="1"/>
  <c r="AA18" i="1" s="1"/>
  <c r="E17" i="1"/>
  <c r="G17" i="1" s="1"/>
  <c r="I17" i="1" s="1"/>
  <c r="K17" i="1" s="1"/>
  <c r="M17" i="1" s="1"/>
  <c r="Q17" i="1" s="1"/>
  <c r="S17" i="1" s="1"/>
  <c r="U17" i="1" s="1"/>
  <c r="W17" i="1" s="1"/>
  <c r="Y17" i="1" s="1"/>
  <c r="AA17" i="1" s="1"/>
  <c r="E16" i="1"/>
  <c r="G16" i="1" s="1"/>
  <c r="I16" i="1" s="1"/>
  <c r="K16" i="1" s="1"/>
  <c r="M16" i="1" s="1"/>
  <c r="Q16" i="1" s="1"/>
  <c r="S16" i="1" s="1"/>
  <c r="U16" i="1" s="1"/>
  <c r="W16" i="1" s="1"/>
  <c r="Y16" i="1" s="1"/>
  <c r="AA16" i="1" s="1"/>
  <c r="E11" i="1"/>
  <c r="G11" i="1" s="1"/>
  <c r="I11" i="1" s="1"/>
  <c r="K11" i="1" s="1"/>
  <c r="M11" i="1" s="1"/>
  <c r="Q11" i="1" s="1"/>
  <c r="S11" i="1" s="1"/>
  <c r="U11" i="1" s="1"/>
  <c r="W11" i="1" s="1"/>
  <c r="Y11" i="1" s="1"/>
  <c r="AA11" i="1" s="1"/>
  <c r="E10" i="1"/>
  <c r="G10" i="1" s="1"/>
  <c r="I10" i="1" s="1"/>
  <c r="K10" i="1" s="1"/>
  <c r="M10" i="1" s="1"/>
  <c r="Q10" i="1" s="1"/>
  <c r="S10" i="1" s="1"/>
  <c r="U10" i="1" s="1"/>
  <c r="W10" i="1" s="1"/>
  <c r="Y10" i="1" s="1"/>
  <c r="AA10" i="1" s="1"/>
  <c r="E8" i="1"/>
  <c r="G8" i="1" s="1"/>
  <c r="I8" i="1" s="1"/>
  <c r="K8" i="1" s="1"/>
  <c r="M8" i="1" s="1"/>
  <c r="Q8" i="1" s="1"/>
  <c r="S8" i="1" s="1"/>
  <c r="U8" i="1" s="1"/>
  <c r="W8" i="1" s="1"/>
  <c r="Y8" i="1" s="1"/>
  <c r="AA8" i="1" s="1"/>
  <c r="E6" i="1"/>
  <c r="G6" i="1" s="1"/>
  <c r="I6" i="1" s="1"/>
  <c r="K6" i="1" s="1"/>
  <c r="M6" i="1" s="1"/>
  <c r="Q6" i="1" s="1"/>
  <c r="S6" i="1" s="1"/>
  <c r="E19" i="1"/>
  <c r="G19" i="1" s="1"/>
  <c r="I19" i="1" s="1"/>
  <c r="K19" i="1" s="1"/>
  <c r="M19" i="1" s="1"/>
  <c r="Q19" i="1" s="1"/>
  <c r="S19" i="1" s="1"/>
  <c r="U19" i="1" s="1"/>
  <c r="W19" i="1" s="1"/>
  <c r="Y19" i="1" s="1"/>
  <c r="AA19" i="1" s="1"/>
  <c r="E41" i="1"/>
  <c r="G41" i="1"/>
  <c r="I41" i="1"/>
  <c r="K41" i="1"/>
  <c r="M41" i="1"/>
  <c r="E72" i="1"/>
  <c r="G72" i="1"/>
  <c r="I72" i="1"/>
  <c r="K72" i="1"/>
  <c r="M72" i="1"/>
  <c r="Q72" i="1"/>
  <c r="S72" i="1"/>
  <c r="U72" i="1"/>
  <c r="W72" i="1"/>
  <c r="Y72" i="1"/>
  <c r="AA72" i="1"/>
  <c r="E70" i="1"/>
  <c r="G70" i="1"/>
  <c r="I70" i="1"/>
  <c r="K70" i="1"/>
  <c r="M70" i="1"/>
  <c r="Q70" i="1"/>
  <c r="S70" i="1"/>
  <c r="U70" i="1" s="1"/>
  <c r="W70" i="1" s="1"/>
  <c r="Y70" i="1" s="1"/>
  <c r="AA70" i="1" s="1"/>
  <c r="E68" i="1"/>
  <c r="G68" i="1" s="1"/>
  <c r="I68" i="1" s="1"/>
  <c r="K68" i="1" s="1"/>
  <c r="M68" i="1" s="1"/>
  <c r="Q68" i="1" s="1"/>
  <c r="S68" i="1" s="1"/>
  <c r="U68" i="1" s="1"/>
  <c r="W68" i="1" s="1"/>
  <c r="Y68" i="1" s="1"/>
  <c r="AA68" i="1" s="1"/>
  <c r="E67" i="1"/>
  <c r="G67" i="1"/>
  <c r="I67" i="1"/>
  <c r="K67" i="1" s="1"/>
  <c r="M67" i="1" s="1"/>
  <c r="Q67" i="1" s="1"/>
  <c r="S67" i="1" s="1"/>
  <c r="U67" i="1" s="1"/>
  <c r="W67" i="1" s="1"/>
  <c r="Y67" i="1" s="1"/>
  <c r="AA67" i="1" s="1"/>
  <c r="E20" i="1"/>
  <c r="G20" i="1"/>
  <c r="I20" i="1"/>
  <c r="K20" i="1"/>
  <c r="M20" i="1"/>
  <c r="E13" i="1"/>
  <c r="G13" i="1"/>
  <c r="I13" i="1"/>
  <c r="K13" i="1"/>
  <c r="M13" i="1"/>
  <c r="N75" i="1"/>
  <c r="AA2" i="1"/>
  <c r="M2" i="1"/>
  <c r="E55" i="1"/>
  <c r="G55" i="1"/>
  <c r="I55" i="1"/>
  <c r="K55" i="1"/>
  <c r="M55" i="1"/>
  <c r="F12" i="1"/>
  <c r="Q20" i="1"/>
  <c r="S20" i="1"/>
  <c r="U20" i="1"/>
  <c r="W20" i="1"/>
  <c r="Y20" i="1"/>
  <c r="AA20" i="1"/>
  <c r="S66" i="1" l="1"/>
  <c r="U66" i="1" s="1"/>
  <c r="W66" i="1" s="1"/>
  <c r="Y66" i="1" s="1"/>
  <c r="AA66" i="1" s="1"/>
  <c r="Z53" i="1"/>
  <c r="Y61" i="1"/>
  <c r="AA61" i="1" s="1"/>
  <c r="G59" i="1"/>
  <c r="W37" i="1"/>
  <c r="Y37" i="1" s="1"/>
  <c r="AA37" i="1" s="1"/>
  <c r="S57" i="1"/>
  <c r="S46" i="1"/>
  <c r="U46" i="1" s="1"/>
  <c r="W46" i="1" s="1"/>
  <c r="Y46" i="1" s="1"/>
  <c r="AA46" i="1" s="1"/>
  <c r="U6" i="1"/>
  <c r="W6" i="1" s="1"/>
  <c r="Y6" i="1" s="1"/>
  <c r="AA6" i="1" s="1"/>
  <c r="M31" i="1"/>
  <c r="Q31" i="1" s="1"/>
  <c r="K34" i="1"/>
  <c r="M34" i="1" s="1"/>
  <c r="Q34" i="1" s="1"/>
  <c r="S34" i="1" s="1"/>
  <c r="U34" i="1" s="1"/>
  <c r="W34" i="1" s="1"/>
  <c r="Y34" i="1" s="1"/>
  <c r="AA34" i="1" s="1"/>
  <c r="I5" i="1"/>
  <c r="K5" i="1" s="1"/>
  <c r="G23" i="1"/>
  <c r="I23" i="1" s="1"/>
  <c r="K23" i="1" s="1"/>
  <c r="M23" i="1" s="1"/>
  <c r="Q23" i="1" s="1"/>
  <c r="S23" i="1" s="1"/>
  <c r="U23" i="1" s="1"/>
  <c r="W23" i="1" s="1"/>
  <c r="Y23" i="1" s="1"/>
  <c r="AA23" i="1" s="1"/>
  <c r="F42" i="1"/>
  <c r="F53" i="1" s="1"/>
  <c r="F63" i="1" s="1"/>
  <c r="W27" i="1"/>
  <c r="Y27" i="1" s="1"/>
  <c r="AA27" i="1" s="1"/>
  <c r="H42" i="1"/>
  <c r="H53" i="1" s="1"/>
  <c r="H63" i="1" s="1"/>
  <c r="R42" i="1"/>
  <c r="R53" i="1" s="1"/>
  <c r="R63" i="1" s="1"/>
  <c r="X42" i="1"/>
  <c r="X53" i="1" s="1"/>
  <c r="X63" i="1" s="1"/>
  <c r="T42" i="1"/>
  <c r="Y44" i="1"/>
  <c r="AA44" i="1" s="1"/>
  <c r="M5" i="1"/>
  <c r="G40" i="1"/>
  <c r="I40" i="1" s="1"/>
  <c r="K40" i="1" s="1"/>
  <c r="M40" i="1" s="1"/>
  <c r="Q40" i="1" s="1"/>
  <c r="S40" i="1" s="1"/>
  <c r="U40" i="1" s="1"/>
  <c r="W40" i="1" s="1"/>
  <c r="Y40" i="1" s="1"/>
  <c r="AA40" i="1" s="1"/>
  <c r="D32" i="1"/>
  <c r="E51" i="1"/>
  <c r="C42" i="1"/>
  <c r="V42" i="1"/>
  <c r="V53" i="1" s="1"/>
  <c r="V63" i="1" s="1"/>
  <c r="P42" i="1"/>
  <c r="L42" i="1"/>
  <c r="L53" i="1" s="1"/>
  <c r="L63" i="1" s="1"/>
  <c r="G29" i="1"/>
  <c r="I29" i="1" s="1"/>
  <c r="K29" i="1" s="1"/>
  <c r="M29" i="1" s="1"/>
  <c r="Q29" i="1" s="1"/>
  <c r="S29" i="1" s="1"/>
  <c r="U29" i="1" s="1"/>
  <c r="W29" i="1" s="1"/>
  <c r="Y29" i="1" s="1"/>
  <c r="AA29" i="1" s="1"/>
  <c r="D42" i="1"/>
  <c r="D53" i="1" s="1"/>
  <c r="D63" i="1" s="1"/>
  <c r="J42" i="1"/>
  <c r="J53" i="1" s="1"/>
  <c r="J63" i="1" s="1"/>
  <c r="E24" i="1"/>
  <c r="G24" i="1" s="1"/>
  <c r="I24" i="1" s="1"/>
  <c r="E12" i="1"/>
  <c r="Z63" i="1" l="1"/>
  <c r="I59" i="1"/>
  <c r="U57" i="1"/>
  <c r="W57" i="1" s="1"/>
  <c r="S31" i="1"/>
  <c r="U31" i="1" s="1"/>
  <c r="W31" i="1" s="1"/>
  <c r="Y31" i="1" s="1"/>
  <c r="AA31" i="1" s="1"/>
  <c r="G51" i="1"/>
  <c r="P53" i="1"/>
  <c r="P63" i="1" s="1"/>
  <c r="Q5" i="1"/>
  <c r="K24" i="1"/>
  <c r="E32" i="1"/>
  <c r="G32" i="1" s="1"/>
  <c r="I32" i="1" s="1"/>
  <c r="K32" i="1" s="1"/>
  <c r="M32" i="1" s="1"/>
  <c r="Q32" i="1" s="1"/>
  <c r="S32" i="1" s="1"/>
  <c r="C53" i="1"/>
  <c r="E42" i="1"/>
  <c r="G42" i="1" s="1"/>
  <c r="I42" i="1" s="1"/>
  <c r="K42" i="1" s="1"/>
  <c r="M42" i="1" s="1"/>
  <c r="Q42" i="1" s="1"/>
  <c r="S42" i="1" s="1"/>
  <c r="U42" i="1" s="1"/>
  <c r="W42" i="1" s="1"/>
  <c r="Y42" i="1" s="1"/>
  <c r="AA42" i="1" s="1"/>
  <c r="G12" i="1"/>
  <c r="I51" i="1"/>
  <c r="K51" i="1" s="1"/>
  <c r="M51" i="1" s="1"/>
  <c r="Q51" i="1" s="1"/>
  <c r="S51" i="1" s="1"/>
  <c r="U51" i="1" s="1"/>
  <c r="W51" i="1" s="1"/>
  <c r="Y51" i="1" s="1"/>
  <c r="AA51" i="1" s="1"/>
  <c r="T53" i="1"/>
  <c r="T63" i="1" s="1"/>
  <c r="K59" i="1" l="1"/>
  <c r="Y57" i="1"/>
  <c r="AA57" i="1" s="1"/>
  <c r="U32" i="1"/>
  <c r="C63" i="1"/>
  <c r="E63" i="1" s="1"/>
  <c r="G63" i="1" s="1"/>
  <c r="I63" i="1" s="1"/>
  <c r="K63" i="1" s="1"/>
  <c r="M63" i="1" s="1"/>
  <c r="Q63" i="1" s="1"/>
  <c r="S63" i="1" s="1"/>
  <c r="S5" i="1"/>
  <c r="M24" i="1"/>
  <c r="E53" i="1"/>
  <c r="G53" i="1" s="1"/>
  <c r="I53" i="1" s="1"/>
  <c r="K53" i="1" s="1"/>
  <c r="M53" i="1" s="1"/>
  <c r="Q53" i="1" s="1"/>
  <c r="S53" i="1" s="1"/>
  <c r="U53" i="1" s="1"/>
  <c r="W53" i="1" s="1"/>
  <c r="Y53" i="1" s="1"/>
  <c r="AA53" i="1" s="1"/>
  <c r="I12" i="1"/>
  <c r="M59" i="1" l="1"/>
  <c r="W32" i="1"/>
  <c r="Y32" i="1" s="1"/>
  <c r="AA32" i="1" s="1"/>
  <c r="U63" i="1"/>
  <c r="W63" i="1" s="1"/>
  <c r="Y63" i="1" s="1"/>
  <c r="AA63" i="1" s="1"/>
  <c r="U5" i="1"/>
  <c r="Q24" i="1"/>
  <c r="K12" i="1"/>
  <c r="Q59" i="1" l="1"/>
  <c r="W5" i="1"/>
  <c r="S24" i="1"/>
  <c r="M12" i="1"/>
  <c r="S59" i="1" l="1"/>
  <c r="U24" i="1"/>
  <c r="Y5" i="1"/>
  <c r="Q12" i="1"/>
  <c r="U59" i="1" l="1"/>
  <c r="W24" i="1"/>
  <c r="AA5" i="1"/>
  <c r="S12" i="1"/>
  <c r="W59" i="1" l="1"/>
  <c r="Y24" i="1"/>
  <c r="AA24" i="1" s="1"/>
  <c r="U12" i="1"/>
  <c r="Y59" i="1" l="1"/>
  <c r="AA59" i="1" s="1"/>
  <c r="W12" i="1"/>
  <c r="Y12" i="1" l="1"/>
  <c r="AA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Riccardo Anselmi</author>
  </authors>
  <commentList>
    <comment ref="B3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Riccardo Anselmi:</t>
        </r>
        <r>
          <rPr>
            <sz val="9"/>
            <color indexed="81"/>
            <rFont val="Tahoma"/>
            <family val="2"/>
          </rPr>
          <t xml:space="preserve">
cella U22 definitivi</t>
        </r>
      </text>
    </comment>
    <comment ref="C5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Riccardo Anselmi:</t>
        </r>
        <r>
          <rPr>
            <sz val="9"/>
            <color indexed="81"/>
            <rFont val="Tahoma"/>
            <family val="2"/>
          </rPr>
          <t xml:space="preserve">
cella S22 file definitivi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Riccardo Anselmi</author>
  </authors>
  <commentList>
    <comment ref="B31" authorId="0" shapeId="0" xr:uid="{40F4E7A4-DB47-4E8F-AA60-43D95DFEDC45}">
      <text>
        <r>
          <rPr>
            <b/>
            <sz val="9"/>
            <color indexed="81"/>
            <rFont val="Tahoma"/>
            <family val="2"/>
          </rPr>
          <t>Riccardo Anselmi:</t>
        </r>
        <r>
          <rPr>
            <sz val="9"/>
            <color indexed="81"/>
            <rFont val="Tahoma"/>
            <family val="2"/>
          </rPr>
          <t xml:space="preserve">
cella U22 definitivi</t>
        </r>
      </text>
    </comment>
    <comment ref="C57" authorId="0" shapeId="0" xr:uid="{6AC38C79-7C82-4E7C-89C6-EEC73489EAC5}">
      <text>
        <r>
          <rPr>
            <b/>
            <sz val="9"/>
            <color indexed="81"/>
            <rFont val="Tahoma"/>
            <family val="2"/>
          </rPr>
          <t>Riccardo Anselmi:</t>
        </r>
        <r>
          <rPr>
            <sz val="9"/>
            <color indexed="81"/>
            <rFont val="Tahoma"/>
            <family val="2"/>
          </rPr>
          <t xml:space="preserve">
cella S22 file definitivi</t>
        </r>
      </text>
    </comment>
  </commentList>
</comments>
</file>

<file path=xl/sharedStrings.xml><?xml version="1.0" encoding="utf-8"?>
<sst xmlns="http://schemas.openxmlformats.org/spreadsheetml/2006/main" count="611" uniqueCount="95">
  <si>
    <t>(PAG.1)</t>
  </si>
  <si>
    <t>(PAG.2)</t>
  </si>
  <si>
    <t>I° SEMESTRE</t>
  </si>
  <si>
    <t xml:space="preserve">    (,000 tonn.)</t>
  </si>
  <si>
    <t>2°SEMESTRE</t>
  </si>
  <si>
    <t>PRODOTTO</t>
  </si>
  <si>
    <t xml:space="preserve">GEN. </t>
  </si>
  <si>
    <t xml:space="preserve">FEB. </t>
  </si>
  <si>
    <t xml:space="preserve">GEN.FEB </t>
  </si>
  <si>
    <t xml:space="preserve">MAR. </t>
  </si>
  <si>
    <t xml:space="preserve">GEN.MAR </t>
  </si>
  <si>
    <t xml:space="preserve">APR. </t>
  </si>
  <si>
    <t xml:space="preserve">GEN.APR </t>
  </si>
  <si>
    <t xml:space="preserve">MAG. </t>
  </si>
  <si>
    <t xml:space="preserve">GEN.MAG </t>
  </si>
  <si>
    <t xml:space="preserve">GIU. </t>
  </si>
  <si>
    <t xml:space="preserve">GEN.GIU </t>
  </si>
  <si>
    <t>LUG.</t>
  </si>
  <si>
    <t>AGO.</t>
  </si>
  <si>
    <t>SET.</t>
  </si>
  <si>
    <t>OTT.</t>
  </si>
  <si>
    <t>NOV.</t>
  </si>
  <si>
    <t>DIC.</t>
  </si>
  <si>
    <t>BENZINA</t>
  </si>
  <si>
    <t>AUTO  TOTALE</t>
  </si>
  <si>
    <t xml:space="preserve">DI CUI: </t>
  </si>
  <si>
    <t>RETE TOTALE</t>
  </si>
  <si>
    <t xml:space="preserve">   =</t>
  </si>
  <si>
    <t>EXTRARETE</t>
  </si>
  <si>
    <t>CIVILE</t>
  </si>
  <si>
    <t>MILITARE</t>
  </si>
  <si>
    <t>TOTALE (A)</t>
  </si>
  <si>
    <t>PETROLIO</t>
  </si>
  <si>
    <t>TOTALE</t>
  </si>
  <si>
    <t>GASOLIO</t>
  </si>
  <si>
    <t>MOTORI</t>
  </si>
  <si>
    <t>DI CUI :</t>
  </si>
  <si>
    <t>GASOLIO RETE</t>
  </si>
  <si>
    <t>RISCALDAMENTO</t>
  </si>
  <si>
    <t>AGRICOLO</t>
  </si>
  <si>
    <t>MARINA</t>
  </si>
  <si>
    <t>A.T.Z.</t>
  </si>
  <si>
    <t>B.T.Z.</t>
  </si>
  <si>
    <t>TERMOELETTRICA</t>
  </si>
  <si>
    <t>ALTRI USI</t>
  </si>
  <si>
    <t>LUBRIFICANTI TOTALE</t>
  </si>
  <si>
    <t>RETE</t>
  </si>
  <si>
    <t>AUTOTRAZIONE</t>
  </si>
  <si>
    <t>BITUMI</t>
  </si>
  <si>
    <t>TOTALE PRODOTTI PRINCIPALI</t>
  </si>
  <si>
    <t>BUNKERS</t>
  </si>
  <si>
    <t>LUBRIFICANTI</t>
  </si>
  <si>
    <t>T O T A L E</t>
  </si>
  <si>
    <t>DELTA SCORTE CONSUMATORI</t>
  </si>
  <si>
    <t xml:space="preserve">    GASOLIO RISCALDAMENTO</t>
  </si>
  <si>
    <t xml:space="preserve">    OLIO COMBUSTIBILE</t>
  </si>
  <si>
    <t>CONSUMI</t>
  </si>
  <si>
    <t xml:space="preserve">Consuntivi aggiornati al mese di: </t>
  </si>
  <si>
    <t>Val. Consumi O.C. Termoel.:</t>
  </si>
  <si>
    <t>TOTALE  CONSUMI:</t>
  </si>
  <si>
    <t xml:space="preserve"> LUBRIFICANTI MOTORI</t>
  </si>
  <si>
    <t>(*) Riguarda le col. 13-14-15 del mod. 109 Istat.</t>
  </si>
  <si>
    <t xml:space="preserve">ALTRI PRODOTTI  </t>
  </si>
  <si>
    <t xml:space="preserve">FLUIDO 3/5  </t>
  </si>
  <si>
    <t xml:space="preserve">FLUIDO 3/5 </t>
  </si>
  <si>
    <t>B.T.Z. + FLUIDO</t>
  </si>
  <si>
    <t>CONSUMI E PERDITE DI RAFFINERIA</t>
  </si>
  <si>
    <t>CARBOTURBO</t>
  </si>
  <si>
    <t>OLIO COMB.LE</t>
  </si>
  <si>
    <t>GPL</t>
  </si>
  <si>
    <t>CARICA PETROLCHIMICA NETTA</t>
  </si>
  <si>
    <t>TOTALE  IMMISSIONI AL CONSUMO</t>
  </si>
  <si>
    <t>CONSUMI  PROD.NE  EN. EL. (*)</t>
  </si>
  <si>
    <t>CARICA PETROLCHIMICA LORDA</t>
  </si>
  <si>
    <t>TERMOELETTICA</t>
  </si>
  <si>
    <t>RETE AUTOSTRADALE</t>
  </si>
  <si>
    <t>GEN.LUG</t>
  </si>
  <si>
    <t>GEN.AGO</t>
  </si>
  <si>
    <t>GEN.SET</t>
  </si>
  <si>
    <t>GEN.OTT</t>
  </si>
  <si>
    <t>GEN.NOV</t>
  </si>
  <si>
    <t>GEN.DIC</t>
  </si>
  <si>
    <t xml:space="preserve">  CONSUMI PETROLIFERI  ANNO 2021</t>
  </si>
  <si>
    <t xml:space="preserve">DATI PROVVISORI </t>
  </si>
  <si>
    <t>TOTALE  GASOLI</t>
  </si>
  <si>
    <t>DICEMBRE</t>
  </si>
  <si>
    <t>BOZZA DATI DEFINITIVI --- PRECONSUNTIVI</t>
  </si>
  <si>
    <t xml:space="preserve">  CONSUMI PETROLIFERI  ANNO 2022</t>
  </si>
  <si>
    <t xml:space="preserve"> CONSUMI PETROLIFERI  ANNO 2022</t>
  </si>
  <si>
    <t>DATI DEFINITIVI</t>
  </si>
  <si>
    <t>Anno 2022</t>
  </si>
  <si>
    <t xml:space="preserve">  CONSUMI PETROLIFERI  ANNO 2023</t>
  </si>
  <si>
    <t>Dicembre</t>
  </si>
  <si>
    <t xml:space="preserve"> 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</si>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</sst>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0.0"/>
    <numFmt numFmtId="166" formatCode="0.0%"/>
  </numFmts>
  <fonts count="25" x14ac:knownFonts="1">
    <font>
      <sz val="10"/>
      <name val="Courier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u/>
      <sz val="10"/>
      <name val="Arial"/>
      <family val="2"/>
    </font>
    <font>
      <u/>
      <sz val="9"/>
      <name val="Arial"/>
      <family val="2"/>
    </font>
    <font>
      <b/>
      <sz val="13"/>
      <color indexed="13"/>
      <name val="Arial"/>
      <family val="2"/>
    </font>
    <font>
      <sz val="13"/>
      <name val="Arial"/>
      <family val="2"/>
    </font>
    <font>
      <b/>
      <u/>
      <sz val="10"/>
      <name val="Arial"/>
      <family val="2"/>
    </font>
    <font>
      <b/>
      <sz val="13"/>
      <name val="Arial"/>
      <family val="2"/>
    </font>
    <font>
      <sz val="10"/>
      <color indexed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MS Sans Serif"/>
      <family val="2"/>
    </font>
    <font>
      <b/>
      <sz val="11"/>
      <name val="Arial"/>
      <family val="2"/>
    </font>
    <font>
      <sz val="8"/>
      <name val="Arial"/>
      <family val="2"/>
    </font>
    <font>
      <b/>
      <sz val="13"/>
      <color rgb="FFFF0000"/>
      <name val="Arial"/>
      <family val="2"/>
    </font>
    <font>
      <i/>
      <sz val="10"/>
      <name val="Arial"/>
      <family val="2"/>
    </font>
    <font>
      <b/>
      <sz val="16"/>
      <name val="Calibri"/>
      <family val="2"/>
      <scheme val="minor"/>
    </font>
    <font>
      <sz val="11"/>
      <name val="Arial"/>
      <family val="2"/>
    </font>
    <font>
      <sz val="10"/>
      <name val="Courier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7" fillId="0" borderId="0"/>
    <xf numFmtId="9" fontId="24" fillId="0" borderId="0" applyFont="0" applyFill="0" applyBorder="0" applyAlignment="0" applyProtection="0"/>
  </cellStyleXfs>
  <cellXfs count="117">
    <xf numFmtId="0" fontId="0" fillId="0" borderId="0" xfId="0"/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vertical="center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165" fontId="3" fillId="0" borderId="1" xfId="0" applyNumberFormat="1" applyFont="1" applyBorder="1" applyProtection="1">
      <protection locked="0"/>
    </xf>
    <xf numFmtId="165" fontId="3" fillId="0" borderId="1" xfId="0" applyNumberFormat="1" applyFont="1" applyBorder="1"/>
    <xf numFmtId="165" fontId="3" fillId="0" borderId="0" xfId="0" applyNumberFormat="1" applyFont="1"/>
    <xf numFmtId="0" fontId="3" fillId="0" borderId="0" xfId="0" applyFont="1"/>
    <xf numFmtId="165" fontId="3" fillId="0" borderId="0" xfId="0" applyNumberFormat="1" applyFont="1" applyProtection="1">
      <protection locked="0"/>
    </xf>
    <xf numFmtId="2" fontId="3" fillId="0" borderId="0" xfId="0" applyNumberFormat="1" applyFont="1" applyProtection="1">
      <protection locked="0"/>
    </xf>
    <xf numFmtId="0" fontId="3" fillId="0" borderId="0" xfId="0" applyFont="1" applyProtection="1">
      <protection locked="0"/>
    </xf>
    <xf numFmtId="0" fontId="7" fillId="0" borderId="2" xfId="0" applyFont="1" applyBorder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65" fontId="7" fillId="0" borderId="0" xfId="0" applyNumberFormat="1" applyFont="1" applyAlignment="1">
      <alignment vertical="center"/>
    </xf>
    <xf numFmtId="0" fontId="7" fillId="0" borderId="2" xfId="0" applyFont="1" applyBorder="1" applyAlignment="1" applyProtection="1">
      <alignment vertical="center"/>
      <protection locked="0"/>
    </xf>
    <xf numFmtId="0" fontId="2" fillId="0" borderId="2" xfId="0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5" fontId="10" fillId="0" borderId="0" xfId="0" applyNumberFormat="1" applyFont="1" applyAlignment="1" applyProtection="1">
      <alignment vertical="center"/>
      <protection locked="0"/>
    </xf>
    <xf numFmtId="0" fontId="11" fillId="0" borderId="0" xfId="0" applyFont="1" applyAlignment="1">
      <alignment vertical="center"/>
    </xf>
    <xf numFmtId="165" fontId="6" fillId="0" borderId="0" xfId="0" applyNumberFormat="1" applyFont="1" applyAlignment="1" applyProtection="1">
      <alignment vertical="center"/>
      <protection locked="0"/>
    </xf>
    <xf numFmtId="165" fontId="6" fillId="0" borderId="2" xfId="0" applyNumberFormat="1" applyFont="1" applyBorder="1" applyAlignment="1" applyProtection="1">
      <alignment vertical="center"/>
      <protection locked="0"/>
    </xf>
    <xf numFmtId="165" fontId="6" fillId="0" borderId="0" xfId="0" applyNumberFormat="1" applyFont="1" applyAlignment="1">
      <alignment vertical="center"/>
    </xf>
    <xf numFmtId="165" fontId="6" fillId="0" borderId="1" xfId="0" applyNumberFormat="1" applyFont="1" applyBorder="1" applyAlignment="1" applyProtection="1">
      <alignment vertical="center"/>
      <protection locked="0"/>
    </xf>
    <xf numFmtId="0" fontId="13" fillId="0" borderId="0" xfId="0" applyFont="1" applyAlignment="1">
      <alignment vertical="center"/>
    </xf>
    <xf numFmtId="165" fontId="7" fillId="2" borderId="0" xfId="0" applyNumberFormat="1" applyFont="1" applyFill="1" applyAlignment="1" applyProtection="1">
      <alignment vertical="center"/>
      <protection locked="0"/>
    </xf>
    <xf numFmtId="165" fontId="7" fillId="2" borderId="0" xfId="0" applyNumberFormat="1" applyFont="1" applyFill="1" applyAlignment="1">
      <alignment vertical="center"/>
    </xf>
    <xf numFmtId="165" fontId="6" fillId="3" borderId="3" xfId="0" applyNumberFormat="1" applyFont="1" applyFill="1" applyBorder="1" applyAlignment="1" applyProtection="1">
      <alignment vertical="center"/>
      <protection locked="0"/>
    </xf>
    <xf numFmtId="165" fontId="13" fillId="3" borderId="4" xfId="0" applyNumberFormat="1" applyFont="1" applyFill="1" applyBorder="1" applyAlignment="1" applyProtection="1">
      <alignment vertical="center"/>
      <protection locked="0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7" fillId="0" borderId="0" xfId="0" applyNumberFormat="1" applyFont="1" applyAlignment="1" applyProtection="1">
      <alignment vertical="center"/>
      <protection locked="0"/>
    </xf>
    <xf numFmtId="165" fontId="7" fillId="0" borderId="2" xfId="0" applyNumberFormat="1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165" fontId="7" fillId="0" borderId="1" xfId="0" applyNumberFormat="1" applyFont="1" applyBorder="1" applyAlignment="1" applyProtection="1">
      <alignment vertical="center"/>
      <protection locked="0"/>
    </xf>
    <xf numFmtId="0" fontId="5" fillId="0" borderId="0" xfId="0" applyFont="1" applyAlignment="1" applyProtection="1">
      <alignment horizontal="centerContinuous" vertical="center"/>
      <protection locked="0"/>
    </xf>
    <xf numFmtId="0" fontId="4" fillId="0" borderId="0" xfId="0" applyFont="1" applyAlignment="1" applyProtection="1">
      <alignment vertical="center"/>
      <protection locked="0"/>
    </xf>
    <xf numFmtId="164" fontId="4" fillId="0" borderId="0" xfId="0" applyNumberFormat="1" applyFont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3" fillId="0" borderId="5" xfId="0" applyFont="1" applyBorder="1" applyAlignment="1" applyProtection="1">
      <alignment vertical="center"/>
      <protection locked="0"/>
    </xf>
    <xf numFmtId="0" fontId="3" fillId="0" borderId="1" xfId="0" applyFont="1" applyBorder="1" applyProtection="1">
      <protection locked="0"/>
    </xf>
    <xf numFmtId="1" fontId="4" fillId="0" borderId="0" xfId="0" applyNumberFormat="1" applyFont="1" applyAlignment="1" applyProtection="1">
      <alignment horizontal="left"/>
      <protection locked="0"/>
    </xf>
    <xf numFmtId="0" fontId="13" fillId="0" borderId="6" xfId="0" applyFont="1" applyBorder="1" applyAlignment="1" applyProtection="1">
      <alignment horizontal="left" vertical="center"/>
      <protection locked="0"/>
    </xf>
    <xf numFmtId="0" fontId="13" fillId="0" borderId="4" xfId="0" applyFont="1" applyBorder="1" applyAlignment="1" applyProtection="1">
      <alignment horizontal="left" vertical="center"/>
      <protection locked="0"/>
    </xf>
    <xf numFmtId="0" fontId="8" fillId="0" borderId="0" xfId="0" applyFont="1" applyProtection="1">
      <protection locked="0"/>
    </xf>
    <xf numFmtId="0" fontId="9" fillId="0" borderId="0" xfId="0" applyFont="1"/>
    <xf numFmtId="0" fontId="2" fillId="0" borderId="0" xfId="0" applyFont="1"/>
    <xf numFmtId="0" fontId="2" fillId="0" borderId="0" xfId="0" applyFont="1" applyProtection="1">
      <protection locked="0"/>
    </xf>
    <xf numFmtId="164" fontId="2" fillId="0" borderId="0" xfId="0" applyNumberFormat="1" applyFont="1" applyAlignment="1" applyProtection="1">
      <alignment horizontal="left"/>
      <protection locked="0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vertical="center"/>
    </xf>
    <xf numFmtId="165" fontId="7" fillId="0" borderId="5" xfId="0" applyNumberFormat="1" applyFont="1" applyBorder="1" applyAlignment="1" applyProtection="1">
      <alignment vertical="center"/>
      <protection locked="0"/>
    </xf>
    <xf numFmtId="2" fontId="3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5" fontId="7" fillId="4" borderId="0" xfId="0" applyNumberFormat="1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165" fontId="1" fillId="0" borderId="1" xfId="0" applyNumberFormat="1" applyFont="1" applyBorder="1" applyProtection="1">
      <protection locked="0"/>
    </xf>
    <xf numFmtId="165" fontId="1" fillId="0" borderId="0" xfId="0" applyNumberFormat="1" applyFont="1" applyProtection="1">
      <protection locked="0"/>
    </xf>
    <xf numFmtId="0" fontId="1" fillId="0" borderId="0" xfId="0" applyFont="1"/>
    <xf numFmtId="165" fontId="13" fillId="0" borderId="0" xfId="0" applyNumberFormat="1" applyFont="1" applyAlignment="1" applyProtection="1">
      <alignment vertical="center"/>
      <protection locked="0"/>
    </xf>
    <xf numFmtId="165" fontId="1" fillId="0" borderId="0" xfId="0" applyNumberFormat="1" applyFont="1"/>
    <xf numFmtId="0" fontId="1" fillId="0" borderId="0" xfId="0" applyFont="1" applyProtection="1">
      <protection locked="0"/>
    </xf>
    <xf numFmtId="2" fontId="1" fillId="0" borderId="0" xfId="0" applyNumberFormat="1" applyFont="1" applyProtection="1">
      <protection locked="0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2" xfId="0" applyFont="1" applyBorder="1" applyAlignment="1" applyProtection="1">
      <alignment horizontal="center" vertical="center"/>
      <protection locked="0"/>
    </xf>
    <xf numFmtId="14" fontId="1" fillId="0" borderId="0" xfId="0" applyNumberFormat="1" applyFont="1" applyAlignment="1" applyProtection="1">
      <alignment vertical="center"/>
      <protection locked="0"/>
    </xf>
    <xf numFmtId="14" fontId="1" fillId="0" borderId="0" xfId="0" applyNumberFormat="1" applyFont="1" applyAlignment="1" applyProtection="1">
      <alignment horizontal="left" vertical="center"/>
      <protection locked="0"/>
    </xf>
    <xf numFmtId="0" fontId="18" fillId="6" borderId="0" xfId="0" applyFont="1" applyFill="1" applyAlignment="1" applyProtection="1">
      <alignment vertical="center"/>
      <protection locked="0"/>
    </xf>
    <xf numFmtId="0" fontId="2" fillId="6" borderId="0" xfId="0" applyFont="1" applyFill="1" applyAlignment="1" applyProtection="1">
      <alignment vertical="center"/>
      <protection locked="0"/>
    </xf>
    <xf numFmtId="0" fontId="12" fillId="0" borderId="1" xfId="0" applyFont="1" applyBorder="1" applyProtection="1">
      <protection locked="0"/>
    </xf>
    <xf numFmtId="165" fontId="12" fillId="0" borderId="1" xfId="0" applyNumberFormat="1" applyFont="1" applyBorder="1" applyProtection="1">
      <protection locked="0"/>
    </xf>
    <xf numFmtId="165" fontId="3" fillId="0" borderId="0" xfId="0" applyNumberFormat="1" applyFont="1" applyAlignment="1" applyProtection="1">
      <alignment vertical="center"/>
      <protection locked="0"/>
    </xf>
    <xf numFmtId="49" fontId="12" fillId="0" borderId="1" xfId="0" applyNumberFormat="1" applyFont="1" applyBorder="1" applyProtection="1">
      <protection locked="0"/>
    </xf>
    <xf numFmtId="1" fontId="19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vertical="center"/>
      <protection locked="0"/>
    </xf>
    <xf numFmtId="165" fontId="20" fillId="0" borderId="0" xfId="0" applyNumberFormat="1" applyFont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2" fillId="5" borderId="6" xfId="0" applyFont="1" applyFill="1" applyBorder="1" applyAlignment="1">
      <alignment vertical="center"/>
    </xf>
    <xf numFmtId="0" fontId="22" fillId="5" borderId="4" xfId="0" applyFont="1" applyFill="1" applyBorder="1" applyAlignment="1">
      <alignment vertical="center"/>
    </xf>
    <xf numFmtId="0" fontId="22" fillId="5" borderId="7" xfId="0" applyFont="1" applyFill="1" applyBorder="1" applyAlignment="1">
      <alignment vertical="center"/>
    </xf>
    <xf numFmtId="0" fontId="18" fillId="0" borderId="3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5" fontId="2" fillId="0" borderId="0" xfId="0" applyNumberFormat="1" applyFont="1"/>
    <xf numFmtId="165" fontId="23" fillId="0" borderId="0" xfId="0" applyNumberFormat="1" applyFont="1" applyProtection="1">
      <protection locked="0"/>
    </xf>
    <xf numFmtId="165" fontId="23" fillId="0" borderId="0" xfId="0" applyNumberFormat="1" applyFont="1"/>
    <xf numFmtId="2" fontId="3" fillId="0" borderId="0" xfId="0" applyNumberFormat="1" applyFont="1"/>
    <xf numFmtId="165" fontId="7" fillId="7" borderId="0" xfId="0" applyNumberFormat="1" applyFont="1" applyFill="1" applyAlignment="1" applyProtection="1">
      <alignment vertical="center"/>
      <protection locked="0"/>
    </xf>
    <xf numFmtId="165" fontId="7" fillId="7" borderId="0" xfId="0" applyNumberFormat="1" applyFont="1" applyFill="1" applyAlignment="1">
      <alignment vertical="center"/>
    </xf>
    <xf numFmtId="165" fontId="7" fillId="8" borderId="0" xfId="0" applyNumberFormat="1" applyFont="1" applyFill="1" applyAlignment="1">
      <alignment vertical="center"/>
    </xf>
    <xf numFmtId="165" fontId="7" fillId="8" borderId="0" xfId="0" applyNumberFormat="1" applyFont="1" applyFill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2" fontId="1" fillId="0" borderId="0" xfId="0" applyNumberFormat="1" applyFont="1" applyAlignment="1">
      <alignment vertical="center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165" fontId="1" fillId="0" borderId="1" xfId="0" applyNumberFormat="1" applyFont="1" applyBorder="1"/>
    <xf numFmtId="0" fontId="1" fillId="0" borderId="1" xfId="0" applyFont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165" fontId="1" fillId="0" borderId="0" xfId="0" applyNumberFormat="1" applyFont="1" applyAlignment="1" applyProtection="1">
      <alignment horizontal="right"/>
      <protection locked="0"/>
    </xf>
    <xf numFmtId="2" fontId="1" fillId="9" borderId="0" xfId="0" applyNumberFormat="1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 applyProtection="1">
      <alignment vertical="center"/>
      <protection locked="0"/>
    </xf>
    <xf numFmtId="0" fontId="22" fillId="0" borderId="6" xfId="0" applyFont="1" applyBorder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1" fontId="7" fillId="0" borderId="0" xfId="0" applyNumberFormat="1" applyFont="1" applyAlignment="1" applyProtection="1">
      <alignment vertical="center"/>
      <protection locked="0"/>
    </xf>
    <xf numFmtId="165" fontId="6" fillId="0" borderId="3" xfId="0" applyNumberFormat="1" applyFont="1" applyBorder="1" applyAlignment="1" applyProtection="1">
      <alignment vertical="center"/>
      <protection locked="0"/>
    </xf>
    <xf numFmtId="165" fontId="13" fillId="0" borderId="4" xfId="0" applyNumberFormat="1" applyFont="1" applyBorder="1" applyAlignment="1" applyProtection="1">
      <alignment vertical="center"/>
      <protection locked="0"/>
    </xf>
    <xf numFmtId="166" fontId="1" fillId="0" borderId="0" xfId="2" applyNumberFormat="1" applyFont="1" applyFill="1"/>
  </cellXfs>
  <cellStyles count="3">
    <cellStyle name="Normale" xfId="0" builtinId="0"/>
    <cellStyle name="Normale 6" xfId="1" xr:uid="{00000000-0005-0000-0000-000001000000}"/>
    <cellStyle name="Percentuale" xfId="2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7"/>
  <sheetViews>
    <sheetView zoomScaleNormal="100" workbookViewId="0">
      <selection activeCell="A29" sqref="A29"/>
    </sheetView>
  </sheetViews>
  <sheetFormatPr defaultColWidth="11" defaultRowHeight="12.75" x14ac:dyDescent="0.2"/>
  <cols>
    <col min="1" max="1" width="10.5" style="50" customWidth="1"/>
    <col min="2" max="2" width="19.75" style="50" customWidth="1"/>
    <col min="3" max="3" width="10.125" style="63" customWidth="1"/>
    <col min="4" max="4" width="9.125" style="63" customWidth="1"/>
    <col min="5" max="5" width="9.75" style="63" customWidth="1"/>
    <col min="6" max="6" width="12.75" style="63" customWidth="1"/>
    <col min="7" max="7" width="11.375" style="8" bestFit="1" customWidth="1"/>
    <col min="8" max="8" width="9.375" style="8" customWidth="1"/>
    <col min="9" max="9" width="11.5" style="8" bestFit="1" customWidth="1"/>
    <col min="10" max="10" width="9" style="8" customWidth="1"/>
    <col min="11" max="11" width="11.625" style="8" customWidth="1"/>
    <col min="12" max="12" width="9" style="8" customWidth="1"/>
    <col min="13" max="13" width="11.375" style="8" bestFit="1" customWidth="1"/>
    <col min="14" max="14" width="12.25" style="50" customWidth="1"/>
    <col min="15" max="15" width="18.5" style="50" customWidth="1"/>
    <col min="16" max="16" width="8.5" style="8" customWidth="1"/>
    <col min="17" max="17" width="12" style="8" bestFit="1" customWidth="1"/>
    <col min="18" max="18" width="8.5" style="8" customWidth="1"/>
    <col min="19" max="19" width="12" style="8" bestFit="1" customWidth="1"/>
    <col min="20" max="20" width="8.5" style="8" customWidth="1"/>
    <col min="21" max="21" width="13.375" style="8" bestFit="1" customWidth="1"/>
    <col min="22" max="22" width="11.75" style="8" bestFit="1" customWidth="1"/>
    <col min="23" max="23" width="11.375" style="8" bestFit="1" customWidth="1"/>
    <col min="24" max="24" width="11.75" style="8" bestFit="1" customWidth="1"/>
    <col min="25" max="25" width="11.5" style="8" customWidth="1"/>
    <col min="26" max="26" width="8.5" style="8" customWidth="1"/>
    <col min="27" max="27" width="13.375" style="8" bestFit="1" customWidth="1"/>
    <col min="28" max="28" width="13.75" style="8" bestFit="1" customWidth="1"/>
    <col min="29" max="29" width="11.75" style="8" bestFit="1" customWidth="1"/>
    <col min="30" max="30" width="11" style="8"/>
    <col min="31" max="31" width="11" style="70"/>
    <col min="32" max="16384" width="11" style="8"/>
  </cols>
  <sheetData>
    <row r="1" spans="1:31" s="2" customFormat="1" ht="12.95" customHeight="1" thickBot="1" x14ac:dyDescent="0.2">
      <c r="A1" s="74" t="s">
        <v>86</v>
      </c>
      <c r="B1" s="75"/>
      <c r="C1" s="80"/>
      <c r="D1" s="59"/>
      <c r="E1" s="59"/>
      <c r="F1" s="83"/>
      <c r="G1" s="1"/>
      <c r="H1" s="83"/>
      <c r="I1" s="78"/>
      <c r="J1" s="1"/>
      <c r="K1" s="1"/>
      <c r="L1" s="1"/>
      <c r="M1" s="1" t="s">
        <v>0</v>
      </c>
      <c r="N1" s="74" t="s">
        <v>83</v>
      </c>
      <c r="O1" s="75"/>
      <c r="P1" s="54"/>
      <c r="AA1" s="1" t="s">
        <v>1</v>
      </c>
      <c r="AE1" s="68"/>
    </row>
    <row r="2" spans="1:31" s="54" customFormat="1" ht="20.25" customHeight="1" thickBot="1" x14ac:dyDescent="0.2">
      <c r="C2" s="80"/>
      <c r="D2" s="80"/>
      <c r="E2" s="86" t="s">
        <v>82</v>
      </c>
      <c r="F2" s="87"/>
      <c r="G2" s="87"/>
      <c r="H2" s="88"/>
      <c r="I2" s="1"/>
      <c r="J2" s="38"/>
      <c r="K2" s="38"/>
      <c r="L2" s="38"/>
      <c r="M2" s="72">
        <f ca="1">NOW()</f>
        <v>45425.654161458333</v>
      </c>
      <c r="R2" s="86" t="s">
        <v>82</v>
      </c>
      <c r="S2" s="87"/>
      <c r="T2" s="87"/>
      <c r="U2" s="88"/>
      <c r="V2" s="2"/>
      <c r="W2" s="53"/>
      <c r="X2" s="53"/>
      <c r="Y2" s="53"/>
      <c r="Z2" s="53"/>
      <c r="AA2" s="73">
        <f ca="1">NOW()</f>
        <v>45425.654161458333</v>
      </c>
      <c r="AE2" s="69"/>
    </row>
    <row r="3" spans="1:31" s="2" customFormat="1" ht="12.95" customHeight="1" x14ac:dyDescent="0.15">
      <c r="A3" s="17" t="s">
        <v>2</v>
      </c>
      <c r="B3" s="18"/>
      <c r="C3" s="81"/>
      <c r="D3" s="82"/>
      <c r="E3" s="60"/>
      <c r="F3" s="60"/>
      <c r="J3" s="1" t="s">
        <v>3</v>
      </c>
      <c r="K3" s="1"/>
      <c r="L3" s="1"/>
      <c r="N3" s="17" t="s">
        <v>4</v>
      </c>
      <c r="O3" s="18"/>
      <c r="X3" s="1" t="s">
        <v>3</v>
      </c>
      <c r="AE3" s="68"/>
    </row>
    <row r="4" spans="1:31" s="2" customFormat="1" ht="21" customHeight="1" x14ac:dyDescent="0.15">
      <c r="A4" s="15" t="s">
        <v>5</v>
      </c>
      <c r="B4" s="16"/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2" t="s">
        <v>13</v>
      </c>
      <c r="K4" s="13" t="s">
        <v>14</v>
      </c>
      <c r="L4" s="12" t="s">
        <v>15</v>
      </c>
      <c r="M4" s="13" t="s">
        <v>16</v>
      </c>
      <c r="N4" s="15" t="s">
        <v>5</v>
      </c>
      <c r="O4" s="36"/>
      <c r="P4" s="12" t="s">
        <v>17</v>
      </c>
      <c r="Q4" s="13" t="s">
        <v>76</v>
      </c>
      <c r="R4" s="12" t="s">
        <v>18</v>
      </c>
      <c r="S4" s="13" t="s">
        <v>77</v>
      </c>
      <c r="T4" s="12" t="s">
        <v>19</v>
      </c>
      <c r="U4" s="13" t="s">
        <v>78</v>
      </c>
      <c r="V4" s="71" t="s">
        <v>20</v>
      </c>
      <c r="W4" s="13" t="s">
        <v>79</v>
      </c>
      <c r="X4" s="12" t="s">
        <v>21</v>
      </c>
      <c r="Y4" s="13" t="s">
        <v>80</v>
      </c>
      <c r="Z4" s="12" t="s">
        <v>22</v>
      </c>
      <c r="AA4" s="13" t="s">
        <v>81</v>
      </c>
      <c r="AB4" s="1"/>
      <c r="AC4" s="1"/>
      <c r="AE4" s="68"/>
    </row>
    <row r="5" spans="1:31" s="2" customFormat="1" ht="12.95" customHeight="1" x14ac:dyDescent="0.15">
      <c r="A5" s="39" t="s">
        <v>23</v>
      </c>
      <c r="B5" s="39" t="s">
        <v>24</v>
      </c>
      <c r="C5" s="28">
        <v>396</v>
      </c>
      <c r="D5" s="28">
        <v>457</v>
      </c>
      <c r="E5" s="23">
        <f>IF(D5&gt;0,D5+C5," ")</f>
        <v>853</v>
      </c>
      <c r="F5" s="28">
        <v>466</v>
      </c>
      <c r="G5" s="23">
        <f>IF(F5&gt;0,F5+E5," ")</f>
        <v>1319</v>
      </c>
      <c r="H5" s="28">
        <v>486</v>
      </c>
      <c r="I5" s="23">
        <f>IF(H5&gt;0,H5+G5," ")</f>
        <v>1805</v>
      </c>
      <c r="J5" s="28">
        <v>587</v>
      </c>
      <c r="K5" s="23">
        <f>IF(J5&gt;0,J5+I5," ")</f>
        <v>2392</v>
      </c>
      <c r="L5" s="28">
        <v>670</v>
      </c>
      <c r="M5" s="23">
        <f>IF(L5&gt;0,L5+K5," ")</f>
        <v>3062</v>
      </c>
      <c r="N5" s="39" t="s">
        <v>23</v>
      </c>
      <c r="O5" s="39" t="s">
        <v>24</v>
      </c>
      <c r="P5" s="28">
        <v>747</v>
      </c>
      <c r="Q5" s="23">
        <f>IF(P5&gt;0,P5+M5," ")</f>
        <v>3809</v>
      </c>
      <c r="R5" s="28">
        <v>700</v>
      </c>
      <c r="S5" s="23">
        <f>IF(R5&gt;0,R5+Q5," ")</f>
        <v>4509</v>
      </c>
      <c r="T5" s="28">
        <v>672</v>
      </c>
      <c r="U5" s="23">
        <f>IF(T5&gt;0,T5+S5," ")</f>
        <v>5181</v>
      </c>
      <c r="V5" s="28">
        <v>637</v>
      </c>
      <c r="W5" s="23">
        <f>IF(V5&gt;0,V5+U5," ")</f>
        <v>5818</v>
      </c>
      <c r="X5" s="28">
        <v>591</v>
      </c>
      <c r="Y5" s="23">
        <f>IF(X5&gt;0,X5+W5," ")</f>
        <v>6409</v>
      </c>
      <c r="Z5" s="28">
        <v>645</v>
      </c>
      <c r="AA5" s="23">
        <f>IF(Z5&gt;0,Z5+Y5," ")</f>
        <v>7054</v>
      </c>
      <c r="AC5" s="56"/>
      <c r="AE5" s="68"/>
    </row>
    <row r="6" spans="1:31" s="2" customFormat="1" ht="12.95" customHeight="1" x14ac:dyDescent="0.15">
      <c r="A6" s="85" t="s">
        <v>25</v>
      </c>
      <c r="B6" s="1" t="s">
        <v>26</v>
      </c>
      <c r="C6" s="28">
        <v>394</v>
      </c>
      <c r="D6" s="95">
        <v>454</v>
      </c>
      <c r="E6" s="23">
        <f>IF(D6&gt;0,D6+C6," ")</f>
        <v>848</v>
      </c>
      <c r="F6" s="28">
        <v>464</v>
      </c>
      <c r="G6" s="23">
        <f>IF(F6&gt;0,F6+E6," ")</f>
        <v>1312</v>
      </c>
      <c r="H6" s="95">
        <v>483</v>
      </c>
      <c r="I6" s="23">
        <f>IF(H6&gt;0,H6+G6," ")</f>
        <v>1795</v>
      </c>
      <c r="J6" s="28">
        <v>582</v>
      </c>
      <c r="K6" s="23">
        <f>IF(J6&gt;0,J6+I6," ")</f>
        <v>2377</v>
      </c>
      <c r="L6" s="28">
        <v>664</v>
      </c>
      <c r="M6" s="23">
        <f>IF(L6&gt;0,L6+K6," ")</f>
        <v>3041</v>
      </c>
      <c r="N6" s="85" t="s">
        <v>25</v>
      </c>
      <c r="O6" s="1" t="s">
        <v>26</v>
      </c>
      <c r="P6" s="28">
        <v>739</v>
      </c>
      <c r="Q6" s="23">
        <f>IF(P6&gt;0,P6+M6," ")</f>
        <v>3780</v>
      </c>
      <c r="R6" s="28">
        <v>696</v>
      </c>
      <c r="S6" s="23">
        <f>IF(R6&gt;0,R6+Q6," ")</f>
        <v>4476</v>
      </c>
      <c r="T6" s="28">
        <v>667</v>
      </c>
      <c r="U6" s="23">
        <f>IF(T6&gt;0,T6+S6," ")</f>
        <v>5143</v>
      </c>
      <c r="V6" s="28">
        <v>633</v>
      </c>
      <c r="W6" s="23">
        <f>IF(V6&gt;0,V6+U6," ")</f>
        <v>5776</v>
      </c>
      <c r="X6" s="28">
        <v>588</v>
      </c>
      <c r="Y6" s="23">
        <f>IF(X6&gt;0,X6+W6," ")</f>
        <v>6364</v>
      </c>
      <c r="Z6" s="95">
        <v>641</v>
      </c>
      <c r="AA6" s="23">
        <f>IF(Z6&gt;0,Z6+Y6," ")</f>
        <v>7005</v>
      </c>
      <c r="AC6" s="56"/>
      <c r="AE6" s="68"/>
    </row>
    <row r="7" spans="1:31" s="2" customFormat="1" ht="12.95" customHeight="1" x14ac:dyDescent="0.15">
      <c r="A7" s="1"/>
      <c r="B7" s="1"/>
      <c r="C7" s="34"/>
      <c r="D7" s="34"/>
      <c r="E7" s="23" t="str">
        <f>IF(D7&gt;0,D7+C7," ")</f>
        <v xml:space="preserve"> </v>
      </c>
      <c r="F7" s="34"/>
      <c r="G7" s="23" t="str">
        <f>IF(F7&gt;0,F7+E7," ")</f>
        <v xml:space="preserve"> </v>
      </c>
      <c r="H7" s="34"/>
      <c r="I7" s="23" t="str">
        <f>IF(H7&gt;0,H7+G7," ")</f>
        <v xml:space="preserve"> </v>
      </c>
      <c r="J7" s="34"/>
      <c r="K7" s="23" t="str">
        <f>IF(J7&gt;0,J7+I7," ")</f>
        <v xml:space="preserve"> </v>
      </c>
      <c r="L7" s="34"/>
      <c r="M7" s="23" t="str">
        <f>IF(L7&gt;0,L7+K7," ")</f>
        <v xml:space="preserve"> </v>
      </c>
      <c r="N7" s="1"/>
      <c r="O7" s="1"/>
      <c r="P7" s="34"/>
      <c r="Q7" s="23" t="str">
        <f>IF(P7&gt;0,P7+M7," ")</f>
        <v xml:space="preserve"> </v>
      </c>
      <c r="R7" s="34"/>
      <c r="S7" s="23" t="str">
        <f>IF(R7&gt;0,R7+Q7," ")</f>
        <v xml:space="preserve"> </v>
      </c>
      <c r="T7" s="34"/>
      <c r="U7" s="23" t="str">
        <f>IF(T7&gt;0,T7+S7," ")</f>
        <v xml:space="preserve"> </v>
      </c>
      <c r="V7" s="34"/>
      <c r="W7" s="23" t="str">
        <f>IF(V7&gt;0,V7+U7," ")</f>
        <v xml:space="preserve"> </v>
      </c>
      <c r="X7" s="34"/>
      <c r="Y7" s="23" t="str">
        <f>IF(X7&gt;0,X7+W7," ")</f>
        <v xml:space="preserve"> </v>
      </c>
      <c r="Z7" s="34"/>
      <c r="AA7" s="23" t="str">
        <f>IF(Z7&gt;0,Z7+Y7," ")</f>
        <v xml:space="preserve"> </v>
      </c>
      <c r="AC7" s="56"/>
      <c r="AE7" s="68"/>
    </row>
    <row r="8" spans="1:31" s="2" customFormat="1" ht="12.95" customHeight="1" x14ac:dyDescent="0.15">
      <c r="A8" s="1" t="s">
        <v>27</v>
      </c>
      <c r="B8" s="1" t="s">
        <v>28</v>
      </c>
      <c r="C8" s="28">
        <v>113</v>
      </c>
      <c r="D8" s="28">
        <v>131</v>
      </c>
      <c r="E8" s="23">
        <f>IF(D8&gt;0,D8+C8," ")</f>
        <v>244</v>
      </c>
      <c r="F8" s="28">
        <v>128</v>
      </c>
      <c r="G8" s="23">
        <f>IF(F8&gt;0,F8+E8," ")</f>
        <v>372</v>
      </c>
      <c r="H8" s="28">
        <v>135</v>
      </c>
      <c r="I8" s="23">
        <f>IF(H8&gt;0,H8+G8," ")</f>
        <v>507</v>
      </c>
      <c r="J8" s="28">
        <v>167</v>
      </c>
      <c r="K8" s="23">
        <f>IF(J8&gt;0,J8+I8," ")</f>
        <v>674</v>
      </c>
      <c r="L8" s="28">
        <v>190</v>
      </c>
      <c r="M8" s="23">
        <f>IF(L8&gt;0,L8+K8," ")</f>
        <v>864</v>
      </c>
      <c r="N8" s="1" t="s">
        <v>27</v>
      </c>
      <c r="O8" s="1" t="s">
        <v>28</v>
      </c>
      <c r="P8" s="28">
        <v>229</v>
      </c>
      <c r="Q8" s="23">
        <f>IF(P8&gt;0,P8+M8," ")</f>
        <v>1093</v>
      </c>
      <c r="R8" s="28">
        <v>192</v>
      </c>
      <c r="S8" s="23">
        <f>IF(R8&gt;0,R8+Q8," ")</f>
        <v>1285</v>
      </c>
      <c r="T8" s="28">
        <v>189</v>
      </c>
      <c r="U8" s="23">
        <f>IF(T8&gt;0,T8+S8," ")</f>
        <v>1474</v>
      </c>
      <c r="V8" s="28">
        <v>183</v>
      </c>
      <c r="W8" s="23">
        <f>IF(V8&gt;0,V8+U8," ")</f>
        <v>1657</v>
      </c>
      <c r="X8" s="95">
        <v>169</v>
      </c>
      <c r="Y8" s="23">
        <f>IF(X8&gt;0,X8+W8," ")</f>
        <v>1826</v>
      </c>
      <c r="Z8" s="28">
        <v>185</v>
      </c>
      <c r="AA8" s="23">
        <f>IF(Z8&gt;0,Z8+Y8," ")</f>
        <v>2011</v>
      </c>
      <c r="AC8" s="56"/>
      <c r="AE8" s="68"/>
    </row>
    <row r="9" spans="1:31" s="2" customFormat="1" ht="12.95" customHeight="1" x14ac:dyDescent="0.15">
      <c r="A9" s="36"/>
      <c r="B9" s="36"/>
      <c r="C9" s="35"/>
      <c r="D9" s="35"/>
      <c r="E9" s="24"/>
      <c r="F9" s="35"/>
      <c r="G9" s="24"/>
      <c r="H9" s="35"/>
      <c r="I9" s="24"/>
      <c r="J9" s="35"/>
      <c r="K9" s="24"/>
      <c r="L9" s="35"/>
      <c r="M9" s="24"/>
      <c r="N9" s="36"/>
      <c r="O9" s="36"/>
      <c r="P9" s="35"/>
      <c r="Q9" s="24"/>
      <c r="R9" s="35"/>
      <c r="S9" s="24"/>
      <c r="T9" s="35"/>
      <c r="U9" s="24"/>
      <c r="V9" s="35"/>
      <c r="W9" s="24"/>
      <c r="X9" s="35"/>
      <c r="Y9" s="24"/>
      <c r="Z9" s="35"/>
      <c r="AA9" s="24"/>
      <c r="AC9" s="56"/>
      <c r="AE9" s="68"/>
    </row>
    <row r="10" spans="1:31" s="2" customFormat="1" ht="12.95" customHeight="1" x14ac:dyDescent="0.15">
      <c r="A10" s="39" t="s">
        <v>67</v>
      </c>
      <c r="B10" s="1" t="s">
        <v>29</v>
      </c>
      <c r="C10" s="28">
        <v>79.3</v>
      </c>
      <c r="D10" s="95">
        <v>74.7</v>
      </c>
      <c r="E10" s="23">
        <f>IF(D10&gt;0,D10+C10," ")</f>
        <v>154</v>
      </c>
      <c r="F10" s="28">
        <v>88.3</v>
      </c>
      <c r="G10" s="23">
        <f>IF(F10&gt;0,F10+E10," ")</f>
        <v>242.3</v>
      </c>
      <c r="H10" s="28">
        <v>98.8</v>
      </c>
      <c r="I10" s="23">
        <f>IF(H10&gt;0,H10+G10," ")</f>
        <v>341.1</v>
      </c>
      <c r="J10" s="28">
        <v>114.4</v>
      </c>
      <c r="K10" s="23">
        <f>IF(J10&gt;0,J10+I10," ")</f>
        <v>455.5</v>
      </c>
      <c r="L10" s="28">
        <v>167.7</v>
      </c>
      <c r="M10" s="23">
        <f>IF(L10&gt;0,L10+K10," ")</f>
        <v>623.20000000000005</v>
      </c>
      <c r="N10" s="39" t="s">
        <v>67</v>
      </c>
      <c r="O10" s="1" t="s">
        <v>29</v>
      </c>
      <c r="P10" s="28">
        <v>245.2</v>
      </c>
      <c r="Q10" s="23">
        <f>IF(P10&gt;0,P10+M10," ")</f>
        <v>868.40000000000009</v>
      </c>
      <c r="R10" s="28">
        <v>276.3</v>
      </c>
      <c r="S10" s="23">
        <f>IF(R10&gt;0,R10+Q10," ")</f>
        <v>1144.7</v>
      </c>
      <c r="T10" s="28">
        <v>249.2</v>
      </c>
      <c r="U10" s="23">
        <f>IF(T10&gt;0,T10+S10," ")</f>
        <v>1393.9</v>
      </c>
      <c r="V10" s="28">
        <v>234.2</v>
      </c>
      <c r="W10" s="23">
        <f>IF(V10&gt;0,V10+U10," ")</f>
        <v>1628.1000000000001</v>
      </c>
      <c r="X10" s="28">
        <v>202.6</v>
      </c>
      <c r="Y10" s="23">
        <f>IF(X10&gt;0,X10+W10," ")</f>
        <v>1830.7</v>
      </c>
      <c r="Z10" s="28">
        <v>215.8</v>
      </c>
      <c r="AA10" s="23">
        <f>IF(Z10&gt;0,Z10+Y10," ")</f>
        <v>2046.5</v>
      </c>
      <c r="AC10" s="56"/>
      <c r="AE10" s="68"/>
    </row>
    <row r="11" spans="1:31" s="2" customFormat="1" ht="12.95" customHeight="1" x14ac:dyDescent="0.15">
      <c r="B11" s="1" t="s">
        <v>30</v>
      </c>
      <c r="C11" s="28">
        <v>2.7</v>
      </c>
      <c r="D11" s="28">
        <v>4.3</v>
      </c>
      <c r="E11" s="23">
        <f>IF(D11&gt;0,D11+C11," ")</f>
        <v>7</v>
      </c>
      <c r="F11" s="28">
        <v>4.7</v>
      </c>
      <c r="G11" s="23">
        <f>IF(F11&gt;0,F11+E11," ")</f>
        <v>11.7</v>
      </c>
      <c r="H11" s="28">
        <v>15.2</v>
      </c>
      <c r="I11" s="23">
        <f>IF(H11&gt;0,H11+G11," ")</f>
        <v>26.9</v>
      </c>
      <c r="J11" s="28">
        <v>12.6</v>
      </c>
      <c r="K11" s="23">
        <f>IF(J11&gt;0,J11+I11," ")</f>
        <v>39.5</v>
      </c>
      <c r="L11" s="28">
        <v>0.3</v>
      </c>
      <c r="M11" s="23">
        <f>IF(L11&gt;0,L11+K11," ")</f>
        <v>39.799999999999997</v>
      </c>
      <c r="O11" s="1" t="s">
        <v>30</v>
      </c>
      <c r="P11" s="28">
        <v>5.8</v>
      </c>
      <c r="Q11" s="23">
        <f>IF(P11&gt;0,P11+M11," ")</f>
        <v>45.599999999999994</v>
      </c>
      <c r="R11" s="28">
        <v>15.7</v>
      </c>
      <c r="S11" s="23">
        <f>IF(R11&gt;0,R11+Q11," ")</f>
        <v>61.3</v>
      </c>
      <c r="T11" s="28">
        <v>0.8</v>
      </c>
      <c r="U11" s="23">
        <f>IF(T11&gt;0,T11+S11," ")</f>
        <v>62.099999999999994</v>
      </c>
      <c r="V11" s="28">
        <v>9.8000000000000007</v>
      </c>
      <c r="W11" s="23">
        <f>IF(V11&gt;0,V11+U11," ")</f>
        <v>71.899999999999991</v>
      </c>
      <c r="X11" s="28">
        <v>17.399999999999999</v>
      </c>
      <c r="Y11" s="23">
        <f>IF(X11&gt;0,X11+W11," ")</f>
        <v>89.299999999999983</v>
      </c>
      <c r="Z11" s="28">
        <v>1.2</v>
      </c>
      <c r="AA11" s="23">
        <f>IF(Z11&gt;0,Z11+Y11," ")</f>
        <v>90.499999999999986</v>
      </c>
      <c r="AB11" s="32"/>
      <c r="AC11" s="56"/>
      <c r="AE11" s="68"/>
    </row>
    <row r="12" spans="1:31" s="2" customFormat="1" ht="12.95" customHeight="1" x14ac:dyDescent="0.15">
      <c r="B12" s="1" t="s">
        <v>31</v>
      </c>
      <c r="C12" s="34">
        <f>IF(C11="","",C11+C10)</f>
        <v>82</v>
      </c>
      <c r="D12" s="95">
        <f>IF(D11="","",D11+D10)</f>
        <v>79</v>
      </c>
      <c r="E12" s="23">
        <f>IF(D12="","",IF(D12&gt;0,D12+C12," "))</f>
        <v>161</v>
      </c>
      <c r="F12" s="34">
        <f>IF(F11="","",F11+F10)</f>
        <v>93</v>
      </c>
      <c r="G12" s="23">
        <f>IF(F12="","",IF(F12&gt;0,F12+E12," "))</f>
        <v>254</v>
      </c>
      <c r="H12" s="34">
        <f>IF(H11="","",H11+H10)</f>
        <v>114</v>
      </c>
      <c r="I12" s="23">
        <f>IF(H12="","",IF(H12&gt;0,H12+G12," "))</f>
        <v>368</v>
      </c>
      <c r="J12" s="34">
        <f>IF(J11="","",J11+J10)</f>
        <v>127</v>
      </c>
      <c r="K12" s="23">
        <f>IF(J12="","",IF(J12&gt;0,J12+I12," "))</f>
        <v>495</v>
      </c>
      <c r="L12" s="34">
        <f>IF(L11="","",L11+L10)</f>
        <v>168</v>
      </c>
      <c r="M12" s="23">
        <f>IF(L12="","",IF(L12&gt;0,L12+K12," "))</f>
        <v>663</v>
      </c>
      <c r="O12" s="1" t="s">
        <v>31</v>
      </c>
      <c r="P12" s="34">
        <f>IF(P11="","",P11+P10)</f>
        <v>251</v>
      </c>
      <c r="Q12" s="23">
        <f>IF(P12="","",IF(P12&gt;0,P12+M12," "))</f>
        <v>914</v>
      </c>
      <c r="R12" s="34">
        <f>IF(R11="","",R11+R10)</f>
        <v>292</v>
      </c>
      <c r="S12" s="23">
        <f>IF(R12="","",IF(R12&gt;0,R12+Q12," "))</f>
        <v>1206</v>
      </c>
      <c r="T12" s="34">
        <f>IF(T11="","",T11+T10)</f>
        <v>250</v>
      </c>
      <c r="U12" s="23">
        <f>IF(T12="","",IF(T12&gt;0,T12+S12," "))</f>
        <v>1456</v>
      </c>
      <c r="V12" s="34">
        <f>IF(V11="","",V11+V10)</f>
        <v>244</v>
      </c>
      <c r="W12" s="23">
        <f>IF(V12="","",IF(V12&gt;0,V12+U12," "))</f>
        <v>1700</v>
      </c>
      <c r="X12" s="34">
        <f>IF(X11="","",X11+X10)</f>
        <v>220</v>
      </c>
      <c r="Y12" s="23">
        <f>IF(X12="","",IF(X12&gt;0,X12+W12," "))</f>
        <v>1920</v>
      </c>
      <c r="Z12" s="34">
        <f>IF(Z11="","",Z11+Z10)</f>
        <v>217</v>
      </c>
      <c r="AA12" s="23">
        <f>IF(Z12="","",IF(Z12&gt;0,Z12+Y12," "))</f>
        <v>2137</v>
      </c>
      <c r="AC12" s="56"/>
      <c r="AE12" s="68"/>
    </row>
    <row r="13" spans="1:31" s="2" customFormat="1" ht="12.95" customHeight="1" x14ac:dyDescent="0.15">
      <c r="C13" s="14"/>
      <c r="D13" s="14"/>
      <c r="E13" s="23" t="str">
        <f>IF(D13&gt;0,D13+C13," ")</f>
        <v xml:space="preserve"> </v>
      </c>
      <c r="F13" s="14"/>
      <c r="G13" s="23" t="str">
        <f>IF(F13&gt;0,F13+E13," ")</f>
        <v xml:space="preserve"> </v>
      </c>
      <c r="H13" s="14"/>
      <c r="I13" s="23" t="str">
        <f>IF(H13&gt;0,H13+G13," ")</f>
        <v xml:space="preserve"> </v>
      </c>
      <c r="J13" s="14"/>
      <c r="K13" s="23" t="str">
        <f>IF(J13&gt;0,J13+I13," ")</f>
        <v xml:space="preserve"> </v>
      </c>
      <c r="L13" s="14"/>
      <c r="M13" s="23" t="str">
        <f>IF(L13&gt;0,L13+K13," ")</f>
        <v xml:space="preserve"> </v>
      </c>
      <c r="P13" s="14"/>
      <c r="Q13" s="23" t="str">
        <f>IF(P13&gt;0,P13+M13," ")</f>
        <v xml:space="preserve"> </v>
      </c>
      <c r="R13" s="14"/>
      <c r="S13" s="23" t="str">
        <f>IF(R13&gt;0,R13+Q13," ")</f>
        <v xml:space="preserve"> </v>
      </c>
      <c r="T13" s="14"/>
      <c r="U13" s="23" t="str">
        <f>IF(T13&gt;0,T13+S13," ")</f>
        <v xml:space="preserve"> </v>
      </c>
      <c r="V13" s="14"/>
      <c r="W13" s="23" t="str">
        <f>IF(V13&gt;0,V13+U13," ")</f>
        <v xml:space="preserve"> </v>
      </c>
      <c r="X13" s="14"/>
      <c r="Y13" s="23" t="str">
        <f>IF(X13&gt;0,X13+W13," ")</f>
        <v xml:space="preserve"> </v>
      </c>
      <c r="Z13" s="14"/>
      <c r="AA13" s="23" t="str">
        <f>IF(Z13&gt;0,Z13+Y13," ")</f>
        <v xml:space="preserve"> </v>
      </c>
      <c r="AC13" s="56"/>
      <c r="AE13" s="68"/>
    </row>
    <row r="14" spans="1:31" s="2" customFormat="1" ht="12.95" customHeight="1" x14ac:dyDescent="0.15">
      <c r="A14" s="39" t="s">
        <v>32</v>
      </c>
      <c r="B14" s="1" t="s">
        <v>33</v>
      </c>
      <c r="C14" s="28">
        <v>0.6</v>
      </c>
      <c r="D14" s="28">
        <v>0.3</v>
      </c>
      <c r="E14" s="23">
        <f>IF(D14&gt;0,D14+C14," ")</f>
        <v>0.89999999999999991</v>
      </c>
      <c r="F14" s="28">
        <v>0.3</v>
      </c>
      <c r="G14" s="23">
        <f>IF(F14&gt;0,F14+E14," ")</f>
        <v>1.2</v>
      </c>
      <c r="H14" s="28">
        <v>0.2</v>
      </c>
      <c r="I14" s="23">
        <f>IF(H14&gt;0,H14+G14," ")</f>
        <v>1.4</v>
      </c>
      <c r="J14" s="28">
        <v>0.1</v>
      </c>
      <c r="K14" s="23">
        <f>IF(J14&gt;0,J14+I14," ")</f>
        <v>1.5</v>
      </c>
      <c r="L14" s="28">
        <v>0.1</v>
      </c>
      <c r="M14" s="23">
        <f>IF(L14&gt;0,L14+K14," ")</f>
        <v>1.6</v>
      </c>
      <c r="N14" s="39" t="s">
        <v>32</v>
      </c>
      <c r="O14" s="1" t="s">
        <v>33</v>
      </c>
      <c r="P14" s="28">
        <v>0.1</v>
      </c>
      <c r="Q14" s="23">
        <f>IF(P14&gt;0,P14+M14," ")</f>
        <v>1.7000000000000002</v>
      </c>
      <c r="R14" s="28">
        <v>0.1</v>
      </c>
      <c r="S14" s="23">
        <f>IF(R14&gt;0,R14+Q14," ")</f>
        <v>1.8000000000000003</v>
      </c>
      <c r="T14" s="28">
        <v>0.2</v>
      </c>
      <c r="U14" s="23">
        <f>IF(T14&gt;0,T14+S14," ")</f>
        <v>2.0000000000000004</v>
      </c>
      <c r="V14" s="28">
        <v>0.3</v>
      </c>
      <c r="W14" s="23">
        <f>IF(V14&gt;0,V14+U14," ")</f>
        <v>2.3000000000000003</v>
      </c>
      <c r="X14" s="28">
        <v>0.5</v>
      </c>
      <c r="Y14" s="23">
        <f>IF(X14&gt;0,X14+W14," ")</f>
        <v>2.8000000000000003</v>
      </c>
      <c r="Z14" s="28">
        <v>0.5</v>
      </c>
      <c r="AA14" s="23">
        <f>IF(Z14&gt;0,Z14+Y14," ")</f>
        <v>3.3000000000000003</v>
      </c>
      <c r="AC14" s="56"/>
      <c r="AE14" s="68"/>
    </row>
    <row r="15" spans="1:31" s="2" customFormat="1" ht="12.95" customHeight="1" x14ac:dyDescent="0.15">
      <c r="A15" s="36"/>
      <c r="B15" s="36"/>
      <c r="C15" s="35"/>
      <c r="D15" s="35"/>
      <c r="E15" s="24"/>
      <c r="F15" s="35"/>
      <c r="G15" s="24"/>
      <c r="H15" s="35"/>
      <c r="I15" s="24"/>
      <c r="J15" s="35"/>
      <c r="K15" s="24"/>
      <c r="L15" s="35"/>
      <c r="M15" s="24"/>
      <c r="N15" s="36"/>
      <c r="O15" s="36"/>
      <c r="P15" s="35"/>
      <c r="Q15" s="24"/>
      <c r="R15" s="35"/>
      <c r="S15" s="24"/>
      <c r="T15" s="35"/>
      <c r="U15" s="24"/>
      <c r="V15" s="35"/>
      <c r="W15" s="24"/>
      <c r="X15" s="35"/>
      <c r="Y15" s="24"/>
      <c r="Z15" s="35"/>
      <c r="AA15" s="24"/>
      <c r="AC15" s="56"/>
      <c r="AE15" s="68"/>
    </row>
    <row r="16" spans="1:31" s="2" customFormat="1" ht="12.95" customHeight="1" x14ac:dyDescent="0.15">
      <c r="A16" s="39" t="s">
        <v>34</v>
      </c>
      <c r="B16" s="39" t="s">
        <v>35</v>
      </c>
      <c r="C16" s="28">
        <v>1499</v>
      </c>
      <c r="D16" s="95">
        <v>1689</v>
      </c>
      <c r="E16" s="23">
        <f t="shared" ref="E16:E23" si="0">IF(D16&gt;0,D16+C16," ")</f>
        <v>3188</v>
      </c>
      <c r="F16" s="28">
        <v>1797</v>
      </c>
      <c r="G16" s="23">
        <f t="shared" ref="G16:G23" si="1">IF(F16&gt;0,F16+E16," ")</f>
        <v>4985</v>
      </c>
      <c r="H16" s="28">
        <v>1772</v>
      </c>
      <c r="I16" s="23">
        <f t="shared" ref="I16:I23" si="2">IF(H16&gt;0,H16+G16," ")</f>
        <v>6757</v>
      </c>
      <c r="J16" s="28">
        <v>1939</v>
      </c>
      <c r="K16" s="23">
        <f t="shared" ref="K16:K23" si="3">IF(J16&gt;0,J16+I16," ")</f>
        <v>8696</v>
      </c>
      <c r="L16" s="28">
        <v>2072</v>
      </c>
      <c r="M16" s="23">
        <f t="shared" ref="M16:M23" si="4">IF(L16&gt;0,L16+K16," ")</f>
        <v>10768</v>
      </c>
      <c r="N16" s="39" t="s">
        <v>34</v>
      </c>
      <c r="O16" s="39" t="s">
        <v>35</v>
      </c>
      <c r="P16" s="28">
        <v>2196</v>
      </c>
      <c r="Q16" s="23">
        <f>IF(P16&gt;0,P16+M16," ")</f>
        <v>12964</v>
      </c>
      <c r="R16" s="28">
        <v>1969</v>
      </c>
      <c r="S16" s="23">
        <f t="shared" ref="S16:S23" si="5">IF(R16&gt;0,R16+Q16," ")</f>
        <v>14933</v>
      </c>
      <c r="T16" s="95">
        <v>2107</v>
      </c>
      <c r="U16" s="23">
        <f t="shared" ref="U16:U23" si="6">IF(T16&gt;0,T16+S16," ")</f>
        <v>17040</v>
      </c>
      <c r="V16" s="95">
        <v>2039</v>
      </c>
      <c r="W16" s="23">
        <f t="shared" ref="W16:W23" si="7">IF(V16&gt;0,V16+U16," ")</f>
        <v>19079</v>
      </c>
      <c r="X16" s="28">
        <v>1968</v>
      </c>
      <c r="Y16" s="23">
        <f t="shared" ref="Y16:Y23" si="8">IF(X16&gt;0,X16+W16," ")</f>
        <v>21047</v>
      </c>
      <c r="Z16" s="95">
        <v>2083</v>
      </c>
      <c r="AA16" s="23">
        <f t="shared" ref="AA16:AA23" si="9">IF(Z16&gt;0,Z16+Y16," ")</f>
        <v>23130</v>
      </c>
      <c r="AC16" s="56"/>
      <c r="AE16" s="68"/>
    </row>
    <row r="17" spans="1:31" s="2" customFormat="1" ht="12.95" customHeight="1" x14ac:dyDescent="0.15">
      <c r="A17" s="85" t="s">
        <v>36</v>
      </c>
      <c r="B17" s="1" t="s">
        <v>37</v>
      </c>
      <c r="C17" s="28">
        <v>903</v>
      </c>
      <c r="D17" s="95">
        <v>1021</v>
      </c>
      <c r="E17" s="23">
        <f t="shared" si="0"/>
        <v>1924</v>
      </c>
      <c r="F17" s="28">
        <v>1070</v>
      </c>
      <c r="G17" s="23">
        <f t="shared" si="1"/>
        <v>2994</v>
      </c>
      <c r="H17" s="28">
        <v>1054</v>
      </c>
      <c r="I17" s="23">
        <f t="shared" si="2"/>
        <v>4048</v>
      </c>
      <c r="J17" s="28">
        <v>1191</v>
      </c>
      <c r="K17" s="23">
        <f t="shared" si="3"/>
        <v>5239</v>
      </c>
      <c r="L17" s="28">
        <v>1300</v>
      </c>
      <c r="M17" s="23">
        <f t="shared" si="4"/>
        <v>6539</v>
      </c>
      <c r="N17" s="85" t="s">
        <v>36</v>
      </c>
      <c r="O17" s="1" t="s">
        <v>37</v>
      </c>
      <c r="P17" s="28">
        <v>1415</v>
      </c>
      <c r="Q17" s="23">
        <f>IF(P17&gt;0,P17+M17," ")</f>
        <v>7954</v>
      </c>
      <c r="R17" s="28">
        <v>1295</v>
      </c>
      <c r="S17" s="23">
        <f t="shared" si="5"/>
        <v>9249</v>
      </c>
      <c r="T17" s="28">
        <v>1313</v>
      </c>
      <c r="U17" s="23">
        <f t="shared" si="6"/>
        <v>10562</v>
      </c>
      <c r="V17" s="28">
        <v>1284</v>
      </c>
      <c r="W17" s="23">
        <f>IF(V17&gt;0,V17+U17," ")</f>
        <v>11846</v>
      </c>
      <c r="X17" s="28">
        <v>1231</v>
      </c>
      <c r="Y17" s="23">
        <f t="shared" si="8"/>
        <v>13077</v>
      </c>
      <c r="Z17" s="95">
        <v>1315</v>
      </c>
      <c r="AA17" s="23">
        <f t="shared" si="9"/>
        <v>14392</v>
      </c>
      <c r="AC17" s="56"/>
      <c r="AE17" s="68"/>
    </row>
    <row r="18" spans="1:31" s="2" customFormat="1" ht="12.95" customHeight="1" x14ac:dyDescent="0.15">
      <c r="A18" s="1" t="s">
        <v>27</v>
      </c>
      <c r="B18" s="1" t="s">
        <v>28</v>
      </c>
      <c r="C18" s="28">
        <v>761</v>
      </c>
      <c r="D18" s="95">
        <v>851</v>
      </c>
      <c r="E18" s="23">
        <f t="shared" si="0"/>
        <v>1612</v>
      </c>
      <c r="F18" s="28">
        <v>910</v>
      </c>
      <c r="G18" s="23">
        <f t="shared" si="1"/>
        <v>2522</v>
      </c>
      <c r="H18" s="28">
        <v>903</v>
      </c>
      <c r="I18" s="23">
        <f t="shared" si="2"/>
        <v>3425</v>
      </c>
      <c r="J18" s="28">
        <v>970</v>
      </c>
      <c r="K18" s="23">
        <f t="shared" si="3"/>
        <v>4395</v>
      </c>
      <c r="L18" s="28">
        <v>1014</v>
      </c>
      <c r="M18" s="23">
        <f t="shared" si="4"/>
        <v>5409</v>
      </c>
      <c r="N18" s="1" t="s">
        <v>27</v>
      </c>
      <c r="O18" s="1" t="s">
        <v>28</v>
      </c>
      <c r="P18" s="28">
        <v>1057</v>
      </c>
      <c r="Q18" s="23">
        <f t="shared" ref="Q18:Q23" si="10">IF(P18&gt;0,P18+M18," ")</f>
        <v>6466</v>
      </c>
      <c r="R18" s="28">
        <v>919</v>
      </c>
      <c r="S18" s="23">
        <f t="shared" si="5"/>
        <v>7385</v>
      </c>
      <c r="T18" s="95">
        <v>1039</v>
      </c>
      <c r="U18" s="23">
        <f t="shared" si="6"/>
        <v>8424</v>
      </c>
      <c r="V18" s="95">
        <v>994</v>
      </c>
      <c r="W18" s="23">
        <f t="shared" si="7"/>
        <v>9418</v>
      </c>
      <c r="X18" s="28">
        <v>960</v>
      </c>
      <c r="Y18" s="23">
        <f t="shared" si="8"/>
        <v>10378</v>
      </c>
      <c r="Z18" s="95">
        <v>1010</v>
      </c>
      <c r="AA18" s="23">
        <f t="shared" si="9"/>
        <v>11388</v>
      </c>
      <c r="AC18" s="56"/>
      <c r="AE18" s="68"/>
    </row>
    <row r="19" spans="1:31" s="2" customFormat="1" ht="12.95" customHeight="1" x14ac:dyDescent="0.15">
      <c r="A19" s="1" t="s">
        <v>27</v>
      </c>
      <c r="B19" s="59" t="s">
        <v>74</v>
      </c>
      <c r="C19" s="28">
        <v>3</v>
      </c>
      <c r="D19" s="28">
        <v>3</v>
      </c>
      <c r="E19" s="23">
        <f t="shared" si="0"/>
        <v>6</v>
      </c>
      <c r="F19" s="28">
        <v>4</v>
      </c>
      <c r="G19" s="23">
        <f t="shared" si="1"/>
        <v>10</v>
      </c>
      <c r="H19" s="28">
        <v>3</v>
      </c>
      <c r="I19" s="23">
        <f t="shared" si="2"/>
        <v>13</v>
      </c>
      <c r="J19" s="28">
        <v>2</v>
      </c>
      <c r="K19" s="23">
        <f t="shared" si="3"/>
        <v>15</v>
      </c>
      <c r="L19" s="28">
        <v>3</v>
      </c>
      <c r="M19" s="23">
        <f t="shared" si="4"/>
        <v>18</v>
      </c>
      <c r="N19" s="1" t="s">
        <v>27</v>
      </c>
      <c r="O19" s="59" t="s">
        <v>74</v>
      </c>
      <c r="P19" s="28">
        <v>4</v>
      </c>
      <c r="Q19" s="23">
        <f t="shared" si="10"/>
        <v>22</v>
      </c>
      <c r="R19" s="28">
        <v>3</v>
      </c>
      <c r="S19" s="23">
        <f t="shared" si="5"/>
        <v>25</v>
      </c>
      <c r="T19" s="28">
        <v>4</v>
      </c>
      <c r="U19" s="23">
        <f t="shared" si="6"/>
        <v>29</v>
      </c>
      <c r="V19" s="28">
        <v>2</v>
      </c>
      <c r="W19" s="23">
        <f t="shared" si="7"/>
        <v>31</v>
      </c>
      <c r="X19" s="28">
        <v>2</v>
      </c>
      <c r="Y19" s="23">
        <f t="shared" si="8"/>
        <v>33</v>
      </c>
      <c r="Z19" s="28">
        <v>2</v>
      </c>
      <c r="AA19" s="23">
        <f t="shared" si="9"/>
        <v>35</v>
      </c>
      <c r="AC19" s="56"/>
      <c r="AE19" s="68"/>
    </row>
    <row r="20" spans="1:31" s="2" customFormat="1" ht="12.95" customHeight="1" x14ac:dyDescent="0.15">
      <c r="C20" s="14"/>
      <c r="D20" s="14"/>
      <c r="E20" s="23" t="str">
        <f t="shared" si="0"/>
        <v xml:space="preserve"> </v>
      </c>
      <c r="F20" s="14"/>
      <c r="G20" s="23" t="str">
        <f t="shared" si="1"/>
        <v xml:space="preserve"> </v>
      </c>
      <c r="H20" s="14"/>
      <c r="I20" s="23" t="str">
        <f t="shared" si="2"/>
        <v xml:space="preserve"> </v>
      </c>
      <c r="J20" s="14"/>
      <c r="K20" s="23" t="str">
        <f t="shared" si="3"/>
        <v xml:space="preserve"> </v>
      </c>
      <c r="L20" s="14"/>
      <c r="M20" s="23" t="str">
        <f t="shared" si="4"/>
        <v xml:space="preserve"> </v>
      </c>
      <c r="P20" s="14"/>
      <c r="Q20" s="23" t="str">
        <f t="shared" si="10"/>
        <v xml:space="preserve"> </v>
      </c>
      <c r="R20" s="14"/>
      <c r="S20" s="23" t="str">
        <f t="shared" si="5"/>
        <v xml:space="preserve"> </v>
      </c>
      <c r="T20" s="14"/>
      <c r="U20" s="23" t="str">
        <f t="shared" si="6"/>
        <v xml:space="preserve"> </v>
      </c>
      <c r="V20" s="14"/>
      <c r="W20" s="23" t="str">
        <f t="shared" si="7"/>
        <v xml:space="preserve"> </v>
      </c>
      <c r="X20" s="14"/>
      <c r="Y20" s="23" t="str">
        <f t="shared" si="8"/>
        <v xml:space="preserve"> </v>
      </c>
      <c r="Z20" s="14"/>
      <c r="AA20" s="23" t="str">
        <f t="shared" si="9"/>
        <v xml:space="preserve"> </v>
      </c>
      <c r="AB20" s="32"/>
      <c r="AC20" s="56"/>
      <c r="AE20" s="68"/>
    </row>
    <row r="21" spans="1:31" s="2" customFormat="1" ht="12.95" customHeight="1" x14ac:dyDescent="0.15">
      <c r="B21" s="39" t="s">
        <v>38</v>
      </c>
      <c r="C21" s="28">
        <v>109</v>
      </c>
      <c r="D21" s="28">
        <v>97</v>
      </c>
      <c r="E21" s="23">
        <f t="shared" si="0"/>
        <v>206</v>
      </c>
      <c r="F21" s="28">
        <v>71</v>
      </c>
      <c r="G21" s="23">
        <f t="shared" si="1"/>
        <v>277</v>
      </c>
      <c r="H21" s="28">
        <v>45</v>
      </c>
      <c r="I21" s="23">
        <f t="shared" si="2"/>
        <v>322</v>
      </c>
      <c r="J21" s="28">
        <v>29</v>
      </c>
      <c r="K21" s="23">
        <f t="shared" si="3"/>
        <v>351</v>
      </c>
      <c r="L21" s="28">
        <v>25</v>
      </c>
      <c r="M21" s="23">
        <f t="shared" si="4"/>
        <v>376</v>
      </c>
      <c r="O21" s="39" t="s">
        <v>38</v>
      </c>
      <c r="P21" s="28">
        <v>27</v>
      </c>
      <c r="Q21" s="23">
        <f t="shared" si="10"/>
        <v>403</v>
      </c>
      <c r="R21" s="28">
        <v>28</v>
      </c>
      <c r="S21" s="23">
        <f t="shared" si="5"/>
        <v>431</v>
      </c>
      <c r="T21" s="28">
        <v>62</v>
      </c>
      <c r="U21" s="23">
        <f t="shared" si="6"/>
        <v>493</v>
      </c>
      <c r="V21" s="28">
        <v>94</v>
      </c>
      <c r="W21" s="23">
        <f t="shared" si="7"/>
        <v>587</v>
      </c>
      <c r="X21" s="28">
        <v>83</v>
      </c>
      <c r="Y21" s="23">
        <f t="shared" si="8"/>
        <v>670</v>
      </c>
      <c r="Z21" s="28">
        <v>118</v>
      </c>
      <c r="AA21" s="23">
        <f t="shared" si="9"/>
        <v>788</v>
      </c>
      <c r="AC21" s="56"/>
      <c r="AE21" s="68"/>
    </row>
    <row r="22" spans="1:31" s="2" customFormat="1" ht="12.95" customHeight="1" x14ac:dyDescent="0.15">
      <c r="B22" s="39" t="s">
        <v>39</v>
      </c>
      <c r="C22" s="28">
        <v>42</v>
      </c>
      <c r="D22" s="28">
        <v>91</v>
      </c>
      <c r="E22" s="23">
        <f t="shared" si="0"/>
        <v>133</v>
      </c>
      <c r="F22" s="95">
        <v>167</v>
      </c>
      <c r="G22" s="23">
        <f t="shared" si="1"/>
        <v>300</v>
      </c>
      <c r="H22" s="28">
        <v>153</v>
      </c>
      <c r="I22" s="23">
        <f t="shared" si="2"/>
        <v>453</v>
      </c>
      <c r="J22" s="28">
        <v>173</v>
      </c>
      <c r="K22" s="23">
        <f t="shared" si="3"/>
        <v>626</v>
      </c>
      <c r="L22" s="28">
        <v>227</v>
      </c>
      <c r="M22" s="23">
        <f t="shared" si="4"/>
        <v>853</v>
      </c>
      <c r="O22" s="39" t="s">
        <v>39</v>
      </c>
      <c r="P22" s="28">
        <v>222</v>
      </c>
      <c r="Q22" s="23">
        <f t="shared" si="10"/>
        <v>1075</v>
      </c>
      <c r="R22" s="28">
        <v>198</v>
      </c>
      <c r="S22" s="23">
        <f t="shared" si="5"/>
        <v>1273</v>
      </c>
      <c r="T22" s="28">
        <v>238</v>
      </c>
      <c r="U22" s="23">
        <f t="shared" si="6"/>
        <v>1511</v>
      </c>
      <c r="V22" s="28">
        <v>228</v>
      </c>
      <c r="W22" s="23">
        <f t="shared" si="7"/>
        <v>1739</v>
      </c>
      <c r="X22" s="28">
        <v>166</v>
      </c>
      <c r="Y22" s="23">
        <f t="shared" si="8"/>
        <v>1905</v>
      </c>
      <c r="Z22" s="28">
        <v>180</v>
      </c>
      <c r="AA22" s="23">
        <f t="shared" si="9"/>
        <v>2085</v>
      </c>
      <c r="AC22" s="56"/>
      <c r="AE22" s="68"/>
    </row>
    <row r="23" spans="1:31" s="2" customFormat="1" ht="12.95" customHeight="1" x14ac:dyDescent="0.15">
      <c r="B23" s="39" t="s">
        <v>40</v>
      </c>
      <c r="C23" s="28">
        <v>12</v>
      </c>
      <c r="D23" s="28">
        <v>15</v>
      </c>
      <c r="E23" s="23">
        <f t="shared" si="0"/>
        <v>27</v>
      </c>
      <c r="F23" s="28">
        <v>17</v>
      </c>
      <c r="G23" s="23">
        <f t="shared" si="1"/>
        <v>44</v>
      </c>
      <c r="H23" s="28">
        <v>16</v>
      </c>
      <c r="I23" s="23">
        <f t="shared" si="2"/>
        <v>60</v>
      </c>
      <c r="J23" s="28">
        <v>18</v>
      </c>
      <c r="K23" s="23">
        <f t="shared" si="3"/>
        <v>78</v>
      </c>
      <c r="L23" s="28">
        <v>23</v>
      </c>
      <c r="M23" s="23">
        <f t="shared" si="4"/>
        <v>101</v>
      </c>
      <c r="O23" s="39" t="s">
        <v>40</v>
      </c>
      <c r="P23" s="28">
        <v>24</v>
      </c>
      <c r="Q23" s="23">
        <f t="shared" si="10"/>
        <v>125</v>
      </c>
      <c r="R23" s="28">
        <v>22</v>
      </c>
      <c r="S23" s="23">
        <f t="shared" si="5"/>
        <v>147</v>
      </c>
      <c r="T23" s="28">
        <v>21</v>
      </c>
      <c r="U23" s="23">
        <f t="shared" si="6"/>
        <v>168</v>
      </c>
      <c r="V23" s="28">
        <v>16</v>
      </c>
      <c r="W23" s="23">
        <f t="shared" si="7"/>
        <v>184</v>
      </c>
      <c r="X23" s="28">
        <v>15</v>
      </c>
      <c r="Y23" s="23">
        <f t="shared" si="8"/>
        <v>199</v>
      </c>
      <c r="Z23" s="28">
        <v>17</v>
      </c>
      <c r="AA23" s="23">
        <f t="shared" si="9"/>
        <v>216</v>
      </c>
      <c r="AC23" s="56"/>
      <c r="AE23" s="68"/>
    </row>
    <row r="24" spans="1:31" s="2" customFormat="1" ht="12.95" customHeight="1" x14ac:dyDescent="0.15">
      <c r="B24" s="39" t="s">
        <v>84</v>
      </c>
      <c r="C24" s="14">
        <f>IF(C16="","",C16+C21+C22+C23)</f>
        <v>1662</v>
      </c>
      <c r="D24" s="14">
        <f>IF(D16="","",D16+D21+D22+D23)</f>
        <v>1892</v>
      </c>
      <c r="E24" s="23">
        <f>IF(D24="","",IF(D24&gt;0,D24+C24," "))</f>
        <v>3554</v>
      </c>
      <c r="F24" s="14">
        <f>IF(F16="","",F16+F21+F22+F23)</f>
        <v>2052</v>
      </c>
      <c r="G24" s="23">
        <f>IF(F24="","",IF(F24&gt;0,F24+E24," "))</f>
        <v>5606</v>
      </c>
      <c r="H24" s="14">
        <f>IF(H16="","",H16+H21+H22+H23)</f>
        <v>1986</v>
      </c>
      <c r="I24" s="23">
        <f>IF(H24="","",IF(H24&gt;0,H24+G24," "))</f>
        <v>7592</v>
      </c>
      <c r="J24" s="14">
        <f>IF(J16="","",J16+J21+J22+J23)</f>
        <v>2159</v>
      </c>
      <c r="K24" s="23">
        <f>IF(J24="","",IF(J24&gt;0,J24+I24," "))</f>
        <v>9751</v>
      </c>
      <c r="L24" s="14">
        <f>IF(L16="","",L16+L21+L22+L23)</f>
        <v>2347</v>
      </c>
      <c r="M24" s="23">
        <f>IF(L24="","",IF(L24&gt;0,L24+K24," "))</f>
        <v>12098</v>
      </c>
      <c r="O24" s="39" t="s">
        <v>84</v>
      </c>
      <c r="P24" s="14">
        <f>IF(P16="","",P16+P21+P22+P23)</f>
        <v>2469</v>
      </c>
      <c r="Q24" s="23">
        <f>IF(P24="","",IF(P24&gt;0,P24+M24," "))</f>
        <v>14567</v>
      </c>
      <c r="R24" s="14">
        <f>IF(R16="","",R16+R21+R22+R23)</f>
        <v>2217</v>
      </c>
      <c r="S24" s="23">
        <f>IF(R24="","",IF(R24&gt;0,R24+Q24," "))</f>
        <v>16784</v>
      </c>
      <c r="T24" s="14">
        <f>IF(T16="","",T16+T21+T22+T23)</f>
        <v>2428</v>
      </c>
      <c r="U24" s="23">
        <f>IF(T24="","",IF(T24&gt;0,T24+S24," "))</f>
        <v>19212</v>
      </c>
      <c r="V24" s="14">
        <f>IF(V16="","",V16+V21+V22+V23)</f>
        <v>2377</v>
      </c>
      <c r="W24" s="23">
        <f>IF(V24="","",IF(V24&gt;0,V24+U24," "))</f>
        <v>21589</v>
      </c>
      <c r="X24" s="14">
        <f>IF(X16="","",X16+X21+X22+X23)</f>
        <v>2232</v>
      </c>
      <c r="Y24" s="23">
        <f>IF(X24="","",IF(X24&gt;0,X24+W24," "))</f>
        <v>23821</v>
      </c>
      <c r="Z24" s="14">
        <f>IF(Z16="","",Z16+Z21+Z22+Z23)</f>
        <v>2398</v>
      </c>
      <c r="AA24" s="23">
        <f>IF(Z24="","",IF(Z24&gt;0,Z24+Y24," "))</f>
        <v>26219</v>
      </c>
      <c r="AC24" s="56"/>
      <c r="AE24" s="68"/>
    </row>
    <row r="25" spans="1:31" s="2" customFormat="1" ht="12.95" customHeight="1" x14ac:dyDescent="0.15">
      <c r="A25" s="36"/>
      <c r="B25" s="36"/>
      <c r="C25" s="35"/>
      <c r="D25" s="35"/>
      <c r="E25" s="24"/>
      <c r="F25" s="35"/>
      <c r="G25" s="24"/>
      <c r="H25" s="35"/>
      <c r="I25" s="24"/>
      <c r="J25" s="35"/>
      <c r="K25" s="24"/>
      <c r="L25" s="35"/>
      <c r="M25" s="24"/>
      <c r="N25" s="36"/>
      <c r="O25" s="36"/>
      <c r="P25" s="35"/>
      <c r="Q25" s="24"/>
      <c r="R25" s="35"/>
      <c r="S25" s="24"/>
      <c r="T25" s="35"/>
      <c r="U25" s="24"/>
      <c r="V25" s="35"/>
      <c r="W25" s="24"/>
      <c r="X25" s="35"/>
      <c r="Y25" s="24"/>
      <c r="Z25" s="35"/>
      <c r="AA25" s="24"/>
      <c r="AC25" s="56"/>
      <c r="AE25" s="68"/>
    </row>
    <row r="26" spans="1:31" s="2" customFormat="1" ht="12.95" customHeight="1" x14ac:dyDescent="0.15">
      <c r="A26" s="39" t="s">
        <v>68</v>
      </c>
      <c r="B26" s="39" t="s">
        <v>41</v>
      </c>
      <c r="C26" s="58">
        <v>41</v>
      </c>
      <c r="D26" s="58">
        <v>36</v>
      </c>
      <c r="E26" s="23">
        <f>IF(D31&gt;0,D26+C26," ")</f>
        <v>77</v>
      </c>
      <c r="F26" s="58">
        <v>16</v>
      </c>
      <c r="G26" s="23">
        <f>IF(F31&gt;0,F26+E26," ")</f>
        <v>93</v>
      </c>
      <c r="H26" s="58">
        <v>9</v>
      </c>
      <c r="I26" s="23">
        <f>IF(H31&gt;0,H26+G26," ")</f>
        <v>102</v>
      </c>
      <c r="J26" s="58">
        <v>5</v>
      </c>
      <c r="K26" s="23">
        <f>IF(J31&gt;0,J26+I26," ")</f>
        <v>107</v>
      </c>
      <c r="L26" s="58">
        <v>26</v>
      </c>
      <c r="M26" s="23">
        <f>IF(L31&gt;0,L26+K26," ")</f>
        <v>133</v>
      </c>
      <c r="N26" s="39" t="s">
        <v>68</v>
      </c>
      <c r="O26" s="39" t="s">
        <v>41</v>
      </c>
      <c r="P26" s="58">
        <v>30</v>
      </c>
      <c r="Q26" s="23">
        <f>IF(P31&gt;0,P26+M26," ")</f>
        <v>163</v>
      </c>
      <c r="R26" s="58">
        <v>19</v>
      </c>
      <c r="S26" s="23">
        <f>IF(R31&gt;0,R26+Q26," ")</f>
        <v>182</v>
      </c>
      <c r="T26" s="58">
        <v>8</v>
      </c>
      <c r="U26" s="23">
        <f>IF(T31&gt;0,T26+S26," ")</f>
        <v>190</v>
      </c>
      <c r="V26" s="58">
        <v>18</v>
      </c>
      <c r="W26" s="23">
        <f>IF(V31&gt;0,V26+U26," ")</f>
        <v>208</v>
      </c>
      <c r="X26" s="58">
        <v>10</v>
      </c>
      <c r="Y26" s="23">
        <f>IF(X31&gt;0,X26+W26," ")</f>
        <v>218</v>
      </c>
      <c r="Z26" s="58">
        <v>3</v>
      </c>
      <c r="AA26" s="23">
        <f>IF(Z31&gt;0,Z26+Y26," ")</f>
        <v>221</v>
      </c>
      <c r="AC26" s="56"/>
      <c r="AE26" s="68"/>
    </row>
    <row r="27" spans="1:31" s="2" customFormat="1" ht="12.95" customHeight="1" x14ac:dyDescent="0.15">
      <c r="B27" s="39" t="s">
        <v>65</v>
      </c>
      <c r="C27" s="58">
        <v>32</v>
      </c>
      <c r="D27" s="58">
        <v>30</v>
      </c>
      <c r="E27" s="23">
        <f>IF(D31&gt;0,D27+C27," ")</f>
        <v>62</v>
      </c>
      <c r="F27" s="58">
        <v>36</v>
      </c>
      <c r="G27" s="23">
        <f>IF(F31&gt;0,F27+E27," ")</f>
        <v>98</v>
      </c>
      <c r="H27" s="58">
        <v>30</v>
      </c>
      <c r="I27" s="23">
        <f>IF(H31&gt;0,H27+G27," ")</f>
        <v>128</v>
      </c>
      <c r="J27" s="58">
        <v>36</v>
      </c>
      <c r="K27" s="23">
        <f>IF(J31&gt;0,J27+I27," ")</f>
        <v>164</v>
      </c>
      <c r="L27" s="58">
        <v>36</v>
      </c>
      <c r="M27" s="23">
        <f>IF(L31&gt;0,L27+K27," ")</f>
        <v>200</v>
      </c>
      <c r="O27" s="39" t="s">
        <v>42</v>
      </c>
      <c r="P27" s="58">
        <v>65</v>
      </c>
      <c r="Q27" s="23">
        <f>IF(P31&gt;0,P27+M27," ")</f>
        <v>265</v>
      </c>
      <c r="R27" s="58">
        <v>84</v>
      </c>
      <c r="S27" s="23">
        <f>IF(R31&gt;0,R27+Q27," ")</f>
        <v>349</v>
      </c>
      <c r="T27" s="58">
        <v>73</v>
      </c>
      <c r="U27" s="23">
        <f>IF(T31&gt;0,T27+S27," ")</f>
        <v>422</v>
      </c>
      <c r="V27" s="58">
        <v>61</v>
      </c>
      <c r="W27" s="23">
        <f>IF(V31&gt;0,V27+U27," ")</f>
        <v>483</v>
      </c>
      <c r="X27" s="58">
        <v>66</v>
      </c>
      <c r="Y27" s="23">
        <f>IF(X31&gt;0,X27+W27," ")</f>
        <v>549</v>
      </c>
      <c r="Z27" s="58">
        <v>62</v>
      </c>
      <c r="AA27" s="23">
        <f>IF(Z31&gt;0,Z27+Y27," ")</f>
        <v>611</v>
      </c>
      <c r="AC27" s="56"/>
      <c r="AE27" s="68"/>
    </row>
    <row r="28" spans="1:31" s="2" customFormat="1" ht="12.95" hidden="1" customHeight="1" x14ac:dyDescent="0.15">
      <c r="B28" s="40" t="s">
        <v>63</v>
      </c>
      <c r="C28" s="58"/>
      <c r="D28" s="58"/>
      <c r="E28" s="23">
        <f>IF(D31&gt;0,D28+C28," ")</f>
        <v>0</v>
      </c>
      <c r="F28" s="58"/>
      <c r="G28" s="23">
        <f>IF(F31&gt;0,F28+E28," ")</f>
        <v>0</v>
      </c>
      <c r="H28" s="58"/>
      <c r="I28" s="23">
        <f>IF(H31&gt;0,H28+G28," ")</f>
        <v>0</v>
      </c>
      <c r="J28" s="58"/>
      <c r="K28" s="23">
        <f>IF(J31&gt;0,J28+I28," ")</f>
        <v>0</v>
      </c>
      <c r="L28" s="58"/>
      <c r="M28" s="23">
        <f>IF(L31&gt;0,L28+K28," ")</f>
        <v>0</v>
      </c>
      <c r="O28" s="40" t="s">
        <v>64</v>
      </c>
      <c r="P28" s="58"/>
      <c r="Q28" s="23">
        <f>IF(P31&gt;0,P28+M28," ")</f>
        <v>0</v>
      </c>
      <c r="R28" s="58"/>
      <c r="S28" s="23">
        <f>IF(R31&gt;0,R28+Q28," ")</f>
        <v>0</v>
      </c>
      <c r="T28" s="58"/>
      <c r="U28" s="23">
        <f>IF(T31&gt;0,T28+S28," ")</f>
        <v>0</v>
      </c>
      <c r="V28" s="58"/>
      <c r="W28" s="23">
        <f>IF(V31&gt;0,V28+U28," ")</f>
        <v>0</v>
      </c>
      <c r="X28" s="58"/>
      <c r="Y28" s="23">
        <f>IF(X31&gt;0,X28+W28," ")</f>
        <v>0</v>
      </c>
      <c r="Z28" s="58"/>
      <c r="AA28" s="23">
        <f>IF(Z31&gt;0,Z28+Y28," ")</f>
        <v>0</v>
      </c>
      <c r="AC28" s="56"/>
      <c r="AE28" s="68"/>
    </row>
    <row r="29" spans="1:31" s="2" customFormat="1" ht="12.95" customHeight="1" x14ac:dyDescent="0.15">
      <c r="B29" s="39" t="s">
        <v>33</v>
      </c>
      <c r="C29" s="14">
        <f>IF(C26="","",C26+C27+C28)</f>
        <v>73</v>
      </c>
      <c r="D29" s="14">
        <f>IF(D26="","",D26+D27+D28)</f>
        <v>66</v>
      </c>
      <c r="E29" s="23">
        <f>IF(D31="","",IF(D29&gt;0,D29+C29," "))</f>
        <v>139</v>
      </c>
      <c r="F29" s="14">
        <f>IF(F26="","",F26+F27+F28)</f>
        <v>52</v>
      </c>
      <c r="G29" s="23">
        <f>IF(F31="","",IF(F29&gt;0,F29+E29," "))</f>
        <v>191</v>
      </c>
      <c r="H29" s="14">
        <f>IF(H26="","",H26+H27+H28)</f>
        <v>39</v>
      </c>
      <c r="I29" s="23">
        <f>IF(H31="","",IF(H29&gt;0,H29+G29," "))</f>
        <v>230</v>
      </c>
      <c r="J29" s="14">
        <f>IF(J26="","",J26+J27+J28)</f>
        <v>41</v>
      </c>
      <c r="K29" s="23">
        <f>IF(J31="","",IF(J29&gt;0,J29+I29," "))</f>
        <v>271</v>
      </c>
      <c r="L29" s="14">
        <f>IF(L26="","",L26+L27+L28)</f>
        <v>62</v>
      </c>
      <c r="M29" s="23">
        <f>IF(L31="","",IF(L29&gt;0,L29+K29," "))</f>
        <v>333</v>
      </c>
      <c r="O29" s="39" t="s">
        <v>33</v>
      </c>
      <c r="P29" s="14">
        <f>IF(P26="","",P26+P27+P28)</f>
        <v>95</v>
      </c>
      <c r="Q29" s="23">
        <f>IF(P31&gt;0,P29+M29," ")</f>
        <v>428</v>
      </c>
      <c r="R29" s="14">
        <f>IF(R26="","",R26+R27+R28)</f>
        <v>103</v>
      </c>
      <c r="S29" s="23">
        <f>IF(R31="","",IF(R29&gt;0,R29+Q29," "))</f>
        <v>531</v>
      </c>
      <c r="T29" s="14">
        <f>IF(T26="","",T26+T27+T28)</f>
        <v>81</v>
      </c>
      <c r="U29" s="23">
        <f>IF(T31="","",IF(T29&gt;0,T29+S29," "))</f>
        <v>612</v>
      </c>
      <c r="V29" s="14">
        <f>IF(V26="","",V26+V27+V28)</f>
        <v>79</v>
      </c>
      <c r="W29" s="23">
        <f>IF(V31="","",IF(V29&gt;0,V29+U29," "))</f>
        <v>691</v>
      </c>
      <c r="X29" s="14">
        <f>IF(X26="","",X26+X27+X28)</f>
        <v>76</v>
      </c>
      <c r="Y29" s="23">
        <f>IF(X31="","",IF(X29&gt;0,X29+W29," "))</f>
        <v>767</v>
      </c>
      <c r="Z29" s="14">
        <f>IF(Z26="","",Z26+Z27+Z28)</f>
        <v>65</v>
      </c>
      <c r="AA29" s="23">
        <f>IF(Z31="","",IF(Z29&gt;0,Z29+Y29," "))</f>
        <v>832</v>
      </c>
      <c r="AC29" s="56"/>
      <c r="AE29" s="68"/>
    </row>
    <row r="30" spans="1:31" s="2" customFormat="1" ht="12.95" customHeight="1" x14ac:dyDescent="0.15">
      <c r="C30" s="14"/>
      <c r="D30" s="14"/>
      <c r="E30" s="23" t="str">
        <f>IF(D301&gt;0,D30+C30," ")</f>
        <v xml:space="preserve"> </v>
      </c>
      <c r="F30" s="14"/>
      <c r="G30" s="23" t="str">
        <f>IF(F301&gt;0,F30+E30," ")</f>
        <v xml:space="preserve"> </v>
      </c>
      <c r="H30" s="14"/>
      <c r="I30" s="23" t="str">
        <f>IF(H301&gt;0,H30+G30," ")</f>
        <v xml:space="preserve"> </v>
      </c>
      <c r="J30" s="14"/>
      <c r="K30" s="23" t="str">
        <f>IF(J301&gt;0,J30+I30," ")</f>
        <v xml:space="preserve"> </v>
      </c>
      <c r="L30" s="14"/>
      <c r="M30" s="23" t="str">
        <f>IF(L30&gt;0,L30+K30," ")</f>
        <v xml:space="preserve"> </v>
      </c>
      <c r="P30" s="14"/>
      <c r="Q30" s="23"/>
      <c r="R30" s="14"/>
      <c r="S30" s="23" t="str">
        <f>IF(R30&gt;0,R30+Q30," ")</f>
        <v xml:space="preserve"> </v>
      </c>
      <c r="T30" s="14"/>
      <c r="U30" s="23" t="str">
        <f>IF(T30&gt;0,T30+S30," ")</f>
        <v xml:space="preserve"> </v>
      </c>
      <c r="V30" s="14"/>
      <c r="W30" s="23" t="str">
        <f>IF(V30&gt;0,V30+U30," ")</f>
        <v xml:space="preserve"> </v>
      </c>
      <c r="X30" s="14"/>
      <c r="Y30" s="23" t="str">
        <f>IF(X30&gt;0,X30+W30," ")</f>
        <v xml:space="preserve"> </v>
      </c>
      <c r="Z30" s="14"/>
      <c r="AA30" s="23" t="str">
        <f>IF(Z30&gt;0,Z30+Y30," ")</f>
        <v xml:space="preserve"> </v>
      </c>
      <c r="AC30" s="56"/>
      <c r="AE30" s="68"/>
    </row>
    <row r="31" spans="1:31" s="2" customFormat="1" ht="12.95" customHeight="1" x14ac:dyDescent="0.15">
      <c r="A31" s="85" t="s">
        <v>36</v>
      </c>
      <c r="B31" s="1" t="s">
        <v>43</v>
      </c>
      <c r="C31" s="28">
        <v>35</v>
      </c>
      <c r="D31" s="28">
        <v>30</v>
      </c>
      <c r="E31" s="25">
        <f>IF(D31&gt;0,D31+C31," ")</f>
        <v>65</v>
      </c>
      <c r="F31" s="28">
        <v>15</v>
      </c>
      <c r="G31" s="25">
        <f>IF(F31&gt;0,F31+E31," ")</f>
        <v>80</v>
      </c>
      <c r="H31" s="28">
        <v>5</v>
      </c>
      <c r="I31" s="25">
        <f>IF(H31&gt;0,H31+G31," ")</f>
        <v>85</v>
      </c>
      <c r="J31" s="28">
        <v>1E-8</v>
      </c>
      <c r="K31" s="25">
        <f>IF(J31&gt;0,J31+I31," ")</f>
        <v>85.000000009999994</v>
      </c>
      <c r="L31" s="28">
        <v>20</v>
      </c>
      <c r="M31" s="25">
        <f>IF(L31&gt;0,L31+K31," ")</f>
        <v>105.00000000999999</v>
      </c>
      <c r="N31" s="85" t="s">
        <v>36</v>
      </c>
      <c r="O31" s="1" t="s">
        <v>43</v>
      </c>
      <c r="P31" s="28">
        <v>52</v>
      </c>
      <c r="Q31" s="25">
        <f>IF(P31&gt;0,P31+M31," ")</f>
        <v>157.00000001000001</v>
      </c>
      <c r="R31" s="28">
        <v>69</v>
      </c>
      <c r="S31" s="25">
        <f>IF(R31&gt;0,R31+Q31," ")</f>
        <v>226.00000001000001</v>
      </c>
      <c r="T31" s="28">
        <v>30</v>
      </c>
      <c r="U31" s="25">
        <f>IF(T31&gt;0,T31+S31," ")</f>
        <v>256.00000001000001</v>
      </c>
      <c r="V31" s="28">
        <v>40</v>
      </c>
      <c r="W31" s="25">
        <f>IF(V31&gt;0,V31+U31," ")</f>
        <v>296.00000001000001</v>
      </c>
      <c r="X31" s="28">
        <v>35</v>
      </c>
      <c r="Y31" s="25">
        <f>IF(X31&gt;0,X31+W31," ")</f>
        <v>331.00000001000001</v>
      </c>
      <c r="Z31" s="28">
        <v>30</v>
      </c>
      <c r="AA31" s="25">
        <f>IF(Z31&gt;0,Z31+Y31," ")</f>
        <v>361.00000001000001</v>
      </c>
      <c r="AB31" s="3"/>
      <c r="AC31" s="56"/>
      <c r="AE31" s="68"/>
    </row>
    <row r="32" spans="1:31" s="2" customFormat="1" ht="12.95" customHeight="1" x14ac:dyDescent="0.15">
      <c r="A32" s="1" t="s">
        <v>27</v>
      </c>
      <c r="B32" s="1" t="s">
        <v>44</v>
      </c>
      <c r="C32" s="14">
        <f>IF(C29="","",C29-C31)</f>
        <v>38</v>
      </c>
      <c r="D32" s="14">
        <f>IF(D29="","",D29-D31)</f>
        <v>36</v>
      </c>
      <c r="E32" s="23">
        <f>IF(D32="","",IF(D32&gt;0,D32+C32," "))</f>
        <v>74</v>
      </c>
      <c r="F32" s="14">
        <f>IF(F29="","",F29-F31)</f>
        <v>37</v>
      </c>
      <c r="G32" s="23">
        <f>IF(F32="","",IF(F32&gt;0,F32+E32," "))</f>
        <v>111</v>
      </c>
      <c r="H32" s="14">
        <f>IF(H29="","",H29-H31)</f>
        <v>34</v>
      </c>
      <c r="I32" s="23">
        <f>IF(H32="","",IF(H32&gt;0,H32+G32," "))</f>
        <v>145</v>
      </c>
      <c r="J32" s="14">
        <f>IF(J29="","",J29-J31)</f>
        <v>40.999999989999999</v>
      </c>
      <c r="K32" s="23">
        <f>IF(J32="","",IF(J32&gt;0,J32+I32," "))</f>
        <v>185.99999998999999</v>
      </c>
      <c r="L32" s="14">
        <f>IF(L29="","",L29-L31)</f>
        <v>42</v>
      </c>
      <c r="M32" s="23">
        <f>IF(L32="","",IF(L32&gt;0,L32+K32," "))</f>
        <v>227.99999998999999</v>
      </c>
      <c r="N32" s="1" t="s">
        <v>27</v>
      </c>
      <c r="O32" s="1" t="s">
        <v>44</v>
      </c>
      <c r="P32" s="14">
        <f>IF(P29="","",P29-P31)</f>
        <v>43</v>
      </c>
      <c r="Q32" s="23">
        <f>IF(P32="","",IF(P32&gt;0,P32+M32," "))</f>
        <v>270.99999998999999</v>
      </c>
      <c r="R32" s="14">
        <f>IF(R29="","",R29-R31)</f>
        <v>34</v>
      </c>
      <c r="S32" s="23">
        <f>IF(R32="","",IF(R32&gt;0,R32+Q32," "))</f>
        <v>304.99999998999999</v>
      </c>
      <c r="T32" s="14">
        <f>IF(T29="","",T29-T31)</f>
        <v>51</v>
      </c>
      <c r="U32" s="23">
        <f>IF(T32="","",IF(T32&gt;0,T32+S32," "))</f>
        <v>355.99999998999999</v>
      </c>
      <c r="V32" s="14">
        <f>IF(V29="","",V29-V31)</f>
        <v>39</v>
      </c>
      <c r="W32" s="23">
        <f>IF(V32="","",IF(V32&gt;0,V32+U32," "))</f>
        <v>394.99999998999999</v>
      </c>
      <c r="X32" s="14">
        <f>IF(X29="","",X29-X31)</f>
        <v>41</v>
      </c>
      <c r="Y32" s="23">
        <f>IF(X32="","",IF(X32&gt;0,X32+W32," "))</f>
        <v>435.99999998999999</v>
      </c>
      <c r="Z32" s="14">
        <f>IF(Z29="","",Z29-Z31)</f>
        <v>35</v>
      </c>
      <c r="AA32" s="23">
        <f>IF(Z32="","",IF(Z32&gt;0,Z32+Y32," "))</f>
        <v>470.99999998999999</v>
      </c>
      <c r="AC32" s="56"/>
      <c r="AE32" s="68"/>
    </row>
    <row r="33" spans="1:31" s="2" customFormat="1" ht="12.95" customHeight="1" x14ac:dyDescent="0.15">
      <c r="A33" s="36"/>
      <c r="B33" s="36"/>
      <c r="C33" s="35"/>
      <c r="D33" s="35"/>
      <c r="E33" s="24"/>
      <c r="F33" s="35"/>
      <c r="G33" s="24"/>
      <c r="H33" s="35"/>
      <c r="I33" s="24"/>
      <c r="J33" s="35"/>
      <c r="K33" s="24"/>
      <c r="L33" s="35"/>
      <c r="M33" s="24"/>
      <c r="N33" s="36"/>
      <c r="O33" s="36"/>
      <c r="P33" s="35"/>
      <c r="Q33" s="24"/>
      <c r="R33" s="35"/>
      <c r="S33" s="24"/>
      <c r="T33" s="35"/>
      <c r="U33" s="24"/>
      <c r="V33" s="35"/>
      <c r="W33" s="24"/>
      <c r="X33" s="35"/>
      <c r="Y33" s="24"/>
      <c r="Z33" s="35"/>
      <c r="AA33" s="24"/>
      <c r="AC33" s="56"/>
      <c r="AE33" s="68"/>
    </row>
    <row r="34" spans="1:31" s="2" customFormat="1" ht="12.95" customHeight="1" x14ac:dyDescent="0.15">
      <c r="A34" s="39" t="s">
        <v>45</v>
      </c>
      <c r="B34" s="39"/>
      <c r="C34" s="29">
        <v>31.3</v>
      </c>
      <c r="D34" s="29">
        <v>35</v>
      </c>
      <c r="E34" s="23">
        <f>IF(D34&gt;0,D34+C34," ")</f>
        <v>66.3</v>
      </c>
      <c r="F34" s="96">
        <v>41.5</v>
      </c>
      <c r="G34" s="23">
        <f>IF(F34&gt;0,F34+E34," ")</f>
        <v>107.8</v>
      </c>
      <c r="H34" s="29">
        <v>36.5</v>
      </c>
      <c r="I34" s="23">
        <f>IF(H34&gt;0,H34+G34," ")</f>
        <v>144.30000000000001</v>
      </c>
      <c r="J34" s="29">
        <v>35.299999999999997</v>
      </c>
      <c r="K34" s="23">
        <f>IF(J34&gt;0,J34+I34," ")</f>
        <v>179.60000000000002</v>
      </c>
      <c r="L34" s="97">
        <v>33</v>
      </c>
      <c r="M34" s="23">
        <f>IF(L34&gt;0,L34+K34," ")</f>
        <v>212.60000000000002</v>
      </c>
      <c r="N34" s="39" t="s">
        <v>45</v>
      </c>
      <c r="O34" s="39"/>
      <c r="P34" s="29">
        <v>34</v>
      </c>
      <c r="Q34" s="23">
        <f>IF(P34&gt;0,P34+M34," ")</f>
        <v>246.60000000000002</v>
      </c>
      <c r="R34" s="97">
        <v>20.9</v>
      </c>
      <c r="S34" s="23">
        <f>IF(R34&gt;0,R34+Q34," ")</f>
        <v>267.5</v>
      </c>
      <c r="T34" s="97">
        <v>36</v>
      </c>
      <c r="U34" s="23">
        <f>IF(T34&gt;0,T34+S34," ")</f>
        <v>303.5</v>
      </c>
      <c r="V34" s="29">
        <v>34.700000000000003</v>
      </c>
      <c r="W34" s="23">
        <f>IF(V34&gt;0,V34+U34," ")</f>
        <v>338.2</v>
      </c>
      <c r="X34" s="29">
        <v>35.200000000000003</v>
      </c>
      <c r="Y34" s="23">
        <f>IF(X34&gt;0,X34+W34," ")</f>
        <v>373.4</v>
      </c>
      <c r="Z34" s="29">
        <v>29.3</v>
      </c>
      <c r="AA34" s="23">
        <f>IF(Z34&gt;0,Z34+Y34," ")</f>
        <v>402.7</v>
      </c>
      <c r="AC34" s="56"/>
      <c r="AE34" s="68"/>
    </row>
    <row r="35" spans="1:31" s="2" customFormat="1" ht="12.95" customHeight="1" x14ac:dyDescent="0.15">
      <c r="A35" s="85" t="s">
        <v>36</v>
      </c>
      <c r="B35" s="1" t="s">
        <v>46</v>
      </c>
      <c r="C35" s="28">
        <v>0.2</v>
      </c>
      <c r="D35" s="28">
        <v>0.1</v>
      </c>
      <c r="E35" s="23">
        <f>IF(D35&gt;0,D35+C35," ")</f>
        <v>0.30000000000000004</v>
      </c>
      <c r="F35" s="28">
        <v>0.1</v>
      </c>
      <c r="G35" s="23">
        <f>IF(F35&gt;0,F35+E35," ")</f>
        <v>0.4</v>
      </c>
      <c r="H35" s="28">
        <v>0.2</v>
      </c>
      <c r="I35" s="23">
        <f>IF(H35&gt;0,H35+G35," ")</f>
        <v>0.60000000000000009</v>
      </c>
      <c r="J35" s="28">
        <v>0.2</v>
      </c>
      <c r="K35" s="23">
        <f>IF(J35&gt;0,J35+I35," ")</f>
        <v>0.8</v>
      </c>
      <c r="L35" s="28">
        <v>0.2</v>
      </c>
      <c r="M35" s="23">
        <f>IF(L35&gt;0,L35+K35," ")</f>
        <v>1</v>
      </c>
      <c r="N35" s="85" t="s">
        <v>36</v>
      </c>
      <c r="O35" s="1" t="s">
        <v>46</v>
      </c>
      <c r="P35" s="28">
        <v>0.2</v>
      </c>
      <c r="Q35" s="23">
        <f>IF(P35&gt;0,P35+M35," ")</f>
        <v>1.2</v>
      </c>
      <c r="R35" s="28">
        <v>0.1</v>
      </c>
      <c r="S35" s="23">
        <f>IF(R35&gt;0,R35+Q35," ")</f>
        <v>1.3</v>
      </c>
      <c r="T35" s="28">
        <v>0.2</v>
      </c>
      <c r="U35" s="23">
        <f>IF(T35&gt;0,T35+S35," ")</f>
        <v>1.5</v>
      </c>
      <c r="V35" s="28">
        <v>0.2</v>
      </c>
      <c r="W35" s="23">
        <f>IF(V35&gt;0,V35+U35," ")</f>
        <v>1.7</v>
      </c>
      <c r="X35" s="28">
        <v>0.2</v>
      </c>
      <c r="Y35" s="23">
        <f>IF(X35&gt;0,X35+W35," ")</f>
        <v>1.9</v>
      </c>
      <c r="Z35" s="28">
        <v>0.3</v>
      </c>
      <c r="AA35" s="23">
        <f>IF(Z35&gt;0,Z35+Y35," ")</f>
        <v>2.1999999999999997</v>
      </c>
      <c r="AC35" s="56"/>
      <c r="AE35" s="68"/>
    </row>
    <row r="36" spans="1:31" s="2" customFormat="1" ht="12.95" customHeight="1" x14ac:dyDescent="0.15">
      <c r="A36" s="36"/>
      <c r="B36" s="36"/>
      <c r="C36" s="35"/>
      <c r="D36" s="35"/>
      <c r="E36" s="24"/>
      <c r="F36" s="35"/>
      <c r="G36" s="24"/>
      <c r="H36" s="35"/>
      <c r="I36" s="24"/>
      <c r="J36" s="35"/>
      <c r="K36" s="24"/>
      <c r="L36" s="35"/>
      <c r="M36" s="24"/>
      <c r="N36" s="36"/>
      <c r="O36" s="36"/>
      <c r="P36" s="35"/>
      <c r="Q36" s="24"/>
      <c r="R36" s="35"/>
      <c r="S36" s="24"/>
      <c r="T36" s="35"/>
      <c r="U36" s="24"/>
      <c r="V36" s="35"/>
      <c r="W36" s="24"/>
      <c r="X36" s="35"/>
      <c r="Y36" s="24"/>
      <c r="Z36" s="35"/>
      <c r="AA36" s="24"/>
      <c r="AC36" s="56"/>
      <c r="AE36" s="68"/>
    </row>
    <row r="37" spans="1:31" s="2" customFormat="1" ht="12.95" customHeight="1" x14ac:dyDescent="0.15">
      <c r="A37" s="39" t="s">
        <v>69</v>
      </c>
      <c r="B37" s="1"/>
      <c r="C37" s="29">
        <v>284</v>
      </c>
      <c r="D37" s="29">
        <v>291</v>
      </c>
      <c r="E37" s="23">
        <f>IF(D37&gt;0,D37+C37," ")</f>
        <v>575</v>
      </c>
      <c r="F37" s="29">
        <v>246</v>
      </c>
      <c r="G37" s="23">
        <f>IF(F37&gt;0,F37+E37," ")</f>
        <v>821</v>
      </c>
      <c r="H37" s="29">
        <v>236</v>
      </c>
      <c r="I37" s="23">
        <f>IF(H37&gt;0,H37+G37," ")</f>
        <v>1057</v>
      </c>
      <c r="J37" s="29">
        <v>219</v>
      </c>
      <c r="K37" s="23">
        <f>IF(J37&gt;0,J37+I37," ")</f>
        <v>1276</v>
      </c>
      <c r="L37" s="96">
        <v>235</v>
      </c>
      <c r="M37" s="23">
        <f>IF(L37&gt;0,L37+K37," ")</f>
        <v>1511</v>
      </c>
      <c r="N37" s="39" t="s">
        <v>69</v>
      </c>
      <c r="O37" s="1"/>
      <c r="P37" s="29">
        <v>230</v>
      </c>
      <c r="Q37" s="23">
        <f>IF(P37&gt;0,P37+M37," ")</f>
        <v>1741</v>
      </c>
      <c r="R37" s="29">
        <v>225</v>
      </c>
      <c r="S37" s="23">
        <f>IF(R37&gt;0,R37+Q37," ")</f>
        <v>1966</v>
      </c>
      <c r="T37" s="29">
        <v>258</v>
      </c>
      <c r="U37" s="23">
        <f>IF(T37&gt;0,T37+S37," ")</f>
        <v>2224</v>
      </c>
      <c r="V37" s="29">
        <v>263</v>
      </c>
      <c r="W37" s="23">
        <f>IF(V37&gt;0,V37+U37," ")</f>
        <v>2487</v>
      </c>
      <c r="X37" s="29">
        <v>256</v>
      </c>
      <c r="Y37" s="23">
        <f>IF(X37&gt;0,X37+W37," ")</f>
        <v>2743</v>
      </c>
      <c r="Z37" s="29">
        <v>369</v>
      </c>
      <c r="AA37" s="23">
        <f>IF(Z37&gt;0,Z37+Y37," ")</f>
        <v>3112</v>
      </c>
      <c r="AC37" s="56"/>
      <c r="AE37" s="68"/>
    </row>
    <row r="38" spans="1:31" s="2" customFormat="1" ht="12.95" customHeight="1" x14ac:dyDescent="0.15">
      <c r="A38" s="85" t="s">
        <v>36</v>
      </c>
      <c r="B38" s="1" t="s">
        <v>47</v>
      </c>
      <c r="C38" s="28">
        <v>84</v>
      </c>
      <c r="D38" s="28">
        <v>99</v>
      </c>
      <c r="E38" s="23">
        <f>IF(D38&gt;0,D38+C38," ")</f>
        <v>183</v>
      </c>
      <c r="F38" s="28">
        <v>90</v>
      </c>
      <c r="G38" s="23">
        <f>IF(F38&gt;0,F38+E38," ")</f>
        <v>273</v>
      </c>
      <c r="H38" s="28">
        <v>101</v>
      </c>
      <c r="I38" s="23">
        <f>IF(H38&gt;0,H38+G38," ")</f>
        <v>374</v>
      </c>
      <c r="J38" s="28">
        <v>122</v>
      </c>
      <c r="K38" s="23">
        <f>IF(J38&gt;0,J38+I38," ")</f>
        <v>496</v>
      </c>
      <c r="L38" s="95">
        <v>133</v>
      </c>
      <c r="M38" s="23">
        <f>IF(L38&gt;0,L38+K38," ")</f>
        <v>629</v>
      </c>
      <c r="N38" s="85" t="s">
        <v>36</v>
      </c>
      <c r="O38" s="1" t="s">
        <v>47</v>
      </c>
      <c r="P38" s="28">
        <v>138</v>
      </c>
      <c r="Q38" s="23">
        <f>IF(P38&gt;0,P38+M38," ")</f>
        <v>767</v>
      </c>
      <c r="R38" s="28">
        <v>133</v>
      </c>
      <c r="S38" s="23">
        <f>IF(R38&gt;0,R38+Q38," ")</f>
        <v>900</v>
      </c>
      <c r="T38" s="28">
        <v>133</v>
      </c>
      <c r="U38" s="23">
        <f>IF(T38&gt;0,T38+S38," ")</f>
        <v>1033</v>
      </c>
      <c r="V38" s="28">
        <v>126</v>
      </c>
      <c r="W38" s="23">
        <f>IF(V38&gt;0,V38+U38," ")</f>
        <v>1159</v>
      </c>
      <c r="X38" s="28">
        <v>120</v>
      </c>
      <c r="Y38" s="23">
        <f>IF(X38&gt;0,X38+W38," ")</f>
        <v>1279</v>
      </c>
      <c r="Z38" s="28">
        <v>128</v>
      </c>
      <c r="AA38" s="23">
        <f>IF(Z38&gt;0,Z38+Y38," ")</f>
        <v>1407</v>
      </c>
      <c r="AC38" s="56"/>
      <c r="AE38" s="68"/>
    </row>
    <row r="39" spans="1:31" s="2" customFormat="1" ht="12.95" customHeight="1" x14ac:dyDescent="0.15">
      <c r="C39" s="14"/>
      <c r="D39" s="14"/>
      <c r="E39" s="25"/>
      <c r="F39" s="14"/>
      <c r="G39" s="25"/>
      <c r="H39" s="14"/>
      <c r="I39" s="25"/>
      <c r="J39" s="14"/>
      <c r="K39" s="25"/>
      <c r="L39" s="14"/>
      <c r="M39" s="25"/>
      <c r="P39" s="14"/>
      <c r="Q39" s="23" t="str">
        <f>IF(P39&gt;0,P39+M39," ")</f>
        <v xml:space="preserve"> </v>
      </c>
      <c r="R39" s="14"/>
      <c r="S39" s="25"/>
      <c r="T39" s="14"/>
      <c r="U39" s="25"/>
      <c r="V39" s="14"/>
      <c r="W39" s="25"/>
      <c r="X39" s="14"/>
      <c r="Y39" s="25"/>
      <c r="Z39" s="14"/>
      <c r="AA39" s="25"/>
      <c r="AB39" s="32"/>
      <c r="AC39" s="56"/>
      <c r="AE39" s="68"/>
    </row>
    <row r="40" spans="1:31" s="2" customFormat="1" ht="12.95" customHeight="1" x14ac:dyDescent="0.15">
      <c r="A40" s="39" t="s">
        <v>48</v>
      </c>
      <c r="C40" s="28">
        <v>98</v>
      </c>
      <c r="D40" s="95">
        <v>105</v>
      </c>
      <c r="E40" s="23">
        <f>IF(D40&gt;0,D40+C40," ")</f>
        <v>203</v>
      </c>
      <c r="F40" s="95">
        <v>179</v>
      </c>
      <c r="G40" s="23">
        <f>IF(F40&gt;0,F40+E40," ")</f>
        <v>382</v>
      </c>
      <c r="H40" s="95">
        <v>175</v>
      </c>
      <c r="I40" s="23">
        <f>IF(H40&gt;0,H40+G40," ")</f>
        <v>557</v>
      </c>
      <c r="J40" s="28">
        <v>202</v>
      </c>
      <c r="K40" s="23">
        <f>IF(J40&gt;0,J40+I40," ")</f>
        <v>759</v>
      </c>
      <c r="L40" s="28">
        <v>198</v>
      </c>
      <c r="M40" s="23">
        <f>IF(L40&gt;0,L40+K40," ")</f>
        <v>957</v>
      </c>
      <c r="N40" s="39" t="s">
        <v>48</v>
      </c>
      <c r="P40" s="28">
        <v>216</v>
      </c>
      <c r="Q40" s="23">
        <f>IF(P40&gt;0,P40+M40," ")</f>
        <v>1173</v>
      </c>
      <c r="R40" s="28">
        <v>100</v>
      </c>
      <c r="S40" s="23">
        <f>IF(R40&gt;0,R40+Q40," ")</f>
        <v>1273</v>
      </c>
      <c r="T40" s="95">
        <v>188</v>
      </c>
      <c r="U40" s="23">
        <f>IF(T40&gt;0,T40+S40," ")</f>
        <v>1461</v>
      </c>
      <c r="V40" s="28">
        <v>182</v>
      </c>
      <c r="W40" s="23">
        <f>IF(V40&gt;0,V40+U40," ")</f>
        <v>1643</v>
      </c>
      <c r="X40" s="28">
        <v>132</v>
      </c>
      <c r="Y40" s="23">
        <f>IF(X40&gt;0,X40+W40," ")</f>
        <v>1775</v>
      </c>
      <c r="Z40" s="28">
        <v>82</v>
      </c>
      <c r="AA40" s="23">
        <f>IF(Z40&gt;0,Z40+Y40," ")</f>
        <v>1857</v>
      </c>
      <c r="AC40" s="56"/>
      <c r="AE40" s="68"/>
    </row>
    <row r="41" spans="1:31" s="2" customFormat="1" ht="12.95" customHeight="1" x14ac:dyDescent="0.15">
      <c r="A41" s="36"/>
      <c r="B41" s="36"/>
      <c r="C41" s="35"/>
      <c r="D41" s="35"/>
      <c r="E41" s="24" t="str">
        <f>IF(D41&gt;0,D41+C41," ")</f>
        <v xml:space="preserve"> </v>
      </c>
      <c r="F41" s="35"/>
      <c r="G41" s="24" t="str">
        <f>IF(F41&gt;0,F41+E41," ")</f>
        <v xml:space="preserve"> </v>
      </c>
      <c r="H41" s="35"/>
      <c r="I41" s="24" t="str">
        <f>IF(H41&gt;0,H41+G41," ")</f>
        <v xml:space="preserve"> </v>
      </c>
      <c r="J41" s="35"/>
      <c r="K41" s="24" t="str">
        <f>IF(J41&gt;0,J41+I41," ")</f>
        <v xml:space="preserve"> </v>
      </c>
      <c r="L41" s="35"/>
      <c r="M41" s="24" t="str">
        <f>IF(L41&gt;0,L41+K41," ")</f>
        <v xml:space="preserve"> </v>
      </c>
      <c r="N41" s="36"/>
      <c r="O41" s="36"/>
      <c r="P41" s="35"/>
      <c r="Q41" s="24" t="str">
        <f>IF(P41&gt;0,P41+M41," ")</f>
        <v xml:space="preserve"> </v>
      </c>
      <c r="R41" s="35"/>
      <c r="S41" s="24" t="str">
        <f>IF(R41&gt;0,R41+Q41," ")</f>
        <v xml:space="preserve"> </v>
      </c>
      <c r="T41" s="35"/>
      <c r="U41" s="24" t="str">
        <f>IF(T41&gt;0,T41+S41," ")</f>
        <v xml:space="preserve"> </v>
      </c>
      <c r="V41" s="35"/>
      <c r="W41" s="24" t="str">
        <f>IF(V41&gt;0,V41+U41," ")</f>
        <v xml:space="preserve"> </v>
      </c>
      <c r="X41" s="35"/>
      <c r="Y41" s="24" t="str">
        <f>IF(X41&gt;0,X41+W41," ")</f>
        <v xml:space="preserve"> </v>
      </c>
      <c r="Z41" s="35"/>
      <c r="AA41" s="24" t="str">
        <f>IF(Z41&gt;0,Z41+Y41," ")</f>
        <v xml:space="preserve"> </v>
      </c>
      <c r="AC41" s="56"/>
      <c r="AE41" s="68"/>
    </row>
    <row r="42" spans="1:31" s="2" customFormat="1" ht="15.95" customHeight="1" x14ac:dyDescent="0.15">
      <c r="A42" s="39" t="s">
        <v>49</v>
      </c>
      <c r="B42" s="1"/>
      <c r="C42" s="34">
        <f>IF(C31="","",C5+C12+C14+C24+C29+C34+C37+C40)</f>
        <v>2626.9</v>
      </c>
      <c r="D42" s="34">
        <f>IF(D31="","",D5+D12+D14+D24+D29+D34+D37+D40)</f>
        <v>2925.3</v>
      </c>
      <c r="E42" s="23">
        <f>IF(D42="","",IF(D42&gt;0,D42+C42," "))</f>
        <v>5552.2000000000007</v>
      </c>
      <c r="F42" s="34">
        <f>IF(F31="","",F5+F12+F14+F24+F29+F34+F37+F40)</f>
        <v>3129.8</v>
      </c>
      <c r="G42" s="23">
        <f>IF(F42="","",IF(F42&gt;0,F42+E42," "))</f>
        <v>8682</v>
      </c>
      <c r="H42" s="34">
        <f>IF(H31="","",H5+H12+H14+H24+H29+H34+H37+H40)</f>
        <v>3072.7</v>
      </c>
      <c r="I42" s="23">
        <f>IF(H42="","",IF(H42&gt;0,H42+G42," "))</f>
        <v>11754.7</v>
      </c>
      <c r="J42" s="34">
        <f>IF(J31="","",J5+J12+J14+J24+J29+J34+J37+J40)</f>
        <v>3370.4</v>
      </c>
      <c r="K42" s="23">
        <f>IF(J42="","",IF(J42&gt;0,J42+I42," "))</f>
        <v>15125.1</v>
      </c>
      <c r="L42" s="34">
        <f>IF(L31="","",L5+L12+L14+L24+L29+L34+L37+L40)</f>
        <v>3713.1</v>
      </c>
      <c r="M42" s="23">
        <f>IF(L42="","",IF(L42&gt;0,L42+K42," "))</f>
        <v>18838.2</v>
      </c>
      <c r="N42" s="39" t="s">
        <v>49</v>
      </c>
      <c r="O42" s="1"/>
      <c r="P42" s="34">
        <f>IF(P31="","",P5+P12+P14+P24+P29+P34+P37+P40)</f>
        <v>4042.1</v>
      </c>
      <c r="Q42" s="23">
        <f>IF(P42="","",IF(P42&gt;0,P42+M42," "))</f>
        <v>22880.3</v>
      </c>
      <c r="R42" s="34">
        <f>IF(R31="","",R5+R12+R14+R24+R29+R34+R37+R40)</f>
        <v>3658</v>
      </c>
      <c r="S42" s="23">
        <f>IF(R42="","",IF(R42&gt;0,R42+Q42," "))</f>
        <v>26538.3</v>
      </c>
      <c r="T42" s="34">
        <f>IF(T31="","",T5+T12+T14+T24+T29+T34+T37+T40)</f>
        <v>3913.2</v>
      </c>
      <c r="U42" s="23">
        <f>IF(T42="","",IF(T42&gt;0,T42+S42," "))</f>
        <v>30451.5</v>
      </c>
      <c r="V42" s="34">
        <f>IF(V31="","",V5+V12+V14+V24+V29+V34+V37+V40)</f>
        <v>3817</v>
      </c>
      <c r="W42" s="23">
        <f>IF(V42="","",IF(V42&gt;0,V42+U42," "))</f>
        <v>34268.5</v>
      </c>
      <c r="X42" s="34">
        <f>IF(X31="","",X5+X12+X14+X24+X29+X34+X37+X40)</f>
        <v>3542.7</v>
      </c>
      <c r="Y42" s="23">
        <f>IF(X42="","",IF(X42&gt;0,X42+W42," "))</f>
        <v>37811.199999999997</v>
      </c>
      <c r="Z42" s="34">
        <f>IF(Z31="","",Z5+Z12+Z14+Z24+Z29+Z34+Z37+Z40)</f>
        <v>3805.8</v>
      </c>
      <c r="AA42" s="23">
        <f>IF(Z42="","",IF(Z42&gt;0,Z42+Y42," "))</f>
        <v>41617</v>
      </c>
      <c r="AC42" s="56"/>
      <c r="AE42" s="68"/>
    </row>
    <row r="43" spans="1:31" s="2" customFormat="1" ht="12.95" customHeight="1" x14ac:dyDescent="0.15">
      <c r="A43" s="41"/>
      <c r="B43" s="41"/>
      <c r="C43" s="37"/>
      <c r="D43" s="37"/>
      <c r="E43" s="26"/>
      <c r="F43" s="37"/>
      <c r="G43" s="26"/>
      <c r="H43" s="37"/>
      <c r="I43" s="26"/>
      <c r="J43" s="37"/>
      <c r="K43" s="26"/>
      <c r="L43" s="37"/>
      <c r="M43" s="26"/>
      <c r="N43" s="41"/>
      <c r="O43" s="41"/>
      <c r="P43" s="37"/>
      <c r="Q43" s="26"/>
      <c r="R43" s="37"/>
      <c r="S43" s="26"/>
      <c r="T43" s="37"/>
      <c r="U43" s="26"/>
      <c r="V43" s="37"/>
      <c r="W43" s="26"/>
      <c r="X43" s="37"/>
      <c r="Y43" s="26"/>
      <c r="Z43" s="37"/>
      <c r="AA43" s="26"/>
      <c r="AC43" s="56"/>
      <c r="AE43" s="68"/>
    </row>
    <row r="44" spans="1:31" s="2" customFormat="1" ht="12.95" customHeight="1" x14ac:dyDescent="0.15">
      <c r="A44" s="39" t="s">
        <v>62</v>
      </c>
      <c r="B44" s="1"/>
      <c r="C44" s="28">
        <v>180.9</v>
      </c>
      <c r="D44" s="28">
        <v>56.9</v>
      </c>
      <c r="E44" s="23">
        <f>IF(D44&gt;0,D44+C44," ")</f>
        <v>237.8</v>
      </c>
      <c r="F44" s="95">
        <v>186.2</v>
      </c>
      <c r="G44" s="23">
        <f>IF(F44&gt;0,F44+E44," ")</f>
        <v>424</v>
      </c>
      <c r="H44" s="28">
        <v>102</v>
      </c>
      <c r="I44" s="23">
        <f>IF(H44&gt;0,H44+G44," ")</f>
        <v>526</v>
      </c>
      <c r="J44" s="28">
        <v>151.9</v>
      </c>
      <c r="K44" s="23">
        <f>IF(J44&gt;0,J44+I44," ")</f>
        <v>677.9</v>
      </c>
      <c r="L44" s="28">
        <v>137.9</v>
      </c>
      <c r="M44" s="23">
        <f>IF(L44&gt;0,L44+K44," ")</f>
        <v>815.8</v>
      </c>
      <c r="N44" s="39" t="s">
        <v>62</v>
      </c>
      <c r="O44" s="1"/>
      <c r="P44" s="28">
        <v>85.9</v>
      </c>
      <c r="Q44" s="23">
        <f>IF(P44&gt;0,P44+M44," ")</f>
        <v>901.69999999999993</v>
      </c>
      <c r="R44" s="98">
        <v>168.3</v>
      </c>
      <c r="S44" s="23">
        <f>IF(R44&gt;0,R44+Q44," ")</f>
        <v>1070</v>
      </c>
      <c r="T44" s="98">
        <v>137.80000000000001</v>
      </c>
      <c r="U44" s="23">
        <f>IF(T44&gt;0,T44+S44," ")</f>
        <v>1207.8</v>
      </c>
      <c r="V44" s="28">
        <v>114.4</v>
      </c>
      <c r="W44" s="23">
        <f>IF(V44&gt;0,V44+U44," ")</f>
        <v>1322.2</v>
      </c>
      <c r="X44" s="28">
        <v>185</v>
      </c>
      <c r="Y44" s="23">
        <f>IF(X44&gt;0,X44+W44," ")</f>
        <v>1507.2</v>
      </c>
      <c r="Z44" s="28">
        <v>135.6</v>
      </c>
      <c r="AA44" s="23">
        <f>IF(Z44&gt;0,Z44+Y44," ")</f>
        <v>1642.8</v>
      </c>
      <c r="AC44" s="56"/>
      <c r="AE44" s="68"/>
    </row>
    <row r="45" spans="1:31" s="2" customFormat="1" ht="12.95" customHeight="1" x14ac:dyDescent="0.15">
      <c r="A45" s="1"/>
      <c r="B45" s="1"/>
      <c r="C45" s="34"/>
      <c r="D45" s="34"/>
      <c r="E45" s="23"/>
      <c r="F45" s="34"/>
      <c r="G45" s="23"/>
      <c r="H45" s="34"/>
      <c r="I45" s="23"/>
      <c r="J45" s="34"/>
      <c r="K45" s="23"/>
      <c r="L45" s="34"/>
      <c r="M45" s="23"/>
      <c r="N45" s="1"/>
      <c r="O45" s="1"/>
      <c r="P45" s="34"/>
      <c r="Q45" s="23" t="str">
        <f t="shared" ref="Q45:Q50" si="11">IF(P45&gt;0,P45+M45," ")</f>
        <v xml:space="preserve"> </v>
      </c>
      <c r="R45" s="34"/>
      <c r="S45" s="23"/>
      <c r="T45" s="34"/>
      <c r="U45" s="23"/>
      <c r="V45" s="34"/>
      <c r="W45" s="23"/>
      <c r="X45" s="34"/>
      <c r="Y45" s="23"/>
      <c r="Z45" s="34"/>
      <c r="AA45" s="23"/>
      <c r="AC45" s="56"/>
      <c r="AE45" s="68"/>
    </row>
    <row r="46" spans="1:31" s="2" customFormat="1" ht="12.95" customHeight="1" x14ac:dyDescent="0.15">
      <c r="A46" s="39" t="s">
        <v>70</v>
      </c>
      <c r="B46" s="1"/>
      <c r="C46" s="28">
        <v>453</v>
      </c>
      <c r="D46" s="28">
        <v>364</v>
      </c>
      <c r="E46" s="23">
        <f>IF(D46&gt;0,D46+C46," ")</f>
        <v>817</v>
      </c>
      <c r="F46" s="28">
        <v>381</v>
      </c>
      <c r="G46" s="23">
        <f>IF(F46&gt;0,F46+E46," ")</f>
        <v>1198</v>
      </c>
      <c r="H46" s="28">
        <v>371</v>
      </c>
      <c r="I46" s="23">
        <f>IF(H46&gt;0,H46+G46," ")</f>
        <v>1569</v>
      </c>
      <c r="J46" s="28">
        <v>375</v>
      </c>
      <c r="K46" s="23">
        <f>IF(J46&gt;0,J46+I46," ")</f>
        <v>1944</v>
      </c>
      <c r="L46" s="28">
        <v>358</v>
      </c>
      <c r="M46" s="23">
        <f>IF(L46&gt;0,L46+K46," ")</f>
        <v>2302</v>
      </c>
      <c r="N46" s="39" t="s">
        <v>70</v>
      </c>
      <c r="O46" s="1"/>
      <c r="P46" s="28">
        <v>342</v>
      </c>
      <c r="Q46" s="23">
        <f t="shared" si="11"/>
        <v>2644</v>
      </c>
      <c r="R46" s="28">
        <v>366</v>
      </c>
      <c r="S46" s="23">
        <f>IF(R46&gt;0,R46+Q46," ")</f>
        <v>3010</v>
      </c>
      <c r="T46" s="28">
        <v>293</v>
      </c>
      <c r="U46" s="23">
        <f>IF(T46&gt;0,T46+S46," ")</f>
        <v>3303</v>
      </c>
      <c r="V46" s="28">
        <v>346</v>
      </c>
      <c r="W46" s="23">
        <f>IF(V46&gt;0,V46+U46," ")</f>
        <v>3649</v>
      </c>
      <c r="X46" s="28">
        <v>388</v>
      </c>
      <c r="Y46" s="23">
        <f>IF(X46&gt;0,X46+W46," ")</f>
        <v>4037</v>
      </c>
      <c r="Z46" s="28">
        <v>331</v>
      </c>
      <c r="AA46" s="23">
        <f>IF(Z46&gt;0,Z46+Y46," ")</f>
        <v>4368</v>
      </c>
      <c r="AC46" s="56"/>
      <c r="AE46" s="68"/>
    </row>
    <row r="47" spans="1:31" s="2" customFormat="1" ht="12.95" customHeight="1" x14ac:dyDescent="0.15">
      <c r="A47" s="1"/>
      <c r="B47" s="1"/>
      <c r="C47" s="34"/>
      <c r="D47" s="34"/>
      <c r="E47" s="23"/>
      <c r="F47" s="34"/>
      <c r="G47" s="23"/>
      <c r="H47" s="34"/>
      <c r="I47" s="23"/>
      <c r="J47" s="34"/>
      <c r="K47" s="23"/>
      <c r="L47" s="34"/>
      <c r="M47" s="23"/>
      <c r="N47" s="1"/>
      <c r="O47" s="1"/>
      <c r="P47" s="34"/>
      <c r="Q47" s="23" t="str">
        <f t="shared" si="11"/>
        <v xml:space="preserve"> </v>
      </c>
      <c r="R47" s="34"/>
      <c r="S47" s="23"/>
      <c r="T47" s="34"/>
      <c r="U47" s="23"/>
      <c r="V47" s="34"/>
      <c r="W47" s="23"/>
      <c r="X47" s="34"/>
      <c r="Y47" s="23"/>
      <c r="Z47" s="34"/>
      <c r="AA47" s="23"/>
      <c r="AC47" s="56"/>
      <c r="AE47" s="68"/>
    </row>
    <row r="48" spans="1:31" s="2" customFormat="1" ht="12.95" customHeight="1" x14ac:dyDescent="0.15">
      <c r="A48" s="39" t="s">
        <v>50</v>
      </c>
      <c r="B48" s="1" t="s">
        <v>34</v>
      </c>
      <c r="C48" s="28">
        <v>55</v>
      </c>
      <c r="D48" s="95">
        <v>51</v>
      </c>
      <c r="E48" s="23">
        <f>IF(D48&gt;0,D48+C48," ")</f>
        <v>106</v>
      </c>
      <c r="F48" s="28">
        <v>65</v>
      </c>
      <c r="G48" s="23">
        <f>IF(F48&gt;0,F48+E48," ")</f>
        <v>171</v>
      </c>
      <c r="H48" s="28">
        <v>56</v>
      </c>
      <c r="I48" s="23">
        <f>IF(H48&gt;0,H48+G48," ")</f>
        <v>227</v>
      </c>
      <c r="J48" s="28">
        <v>51</v>
      </c>
      <c r="K48" s="23">
        <f>IF(J48&gt;0,J48+I48," ")</f>
        <v>278</v>
      </c>
      <c r="L48" s="95">
        <v>60</v>
      </c>
      <c r="M48" s="23">
        <f>IF(L48&gt;0,L48+K48," ")</f>
        <v>338</v>
      </c>
      <c r="N48" s="39" t="s">
        <v>50</v>
      </c>
      <c r="O48" s="1" t="s">
        <v>34</v>
      </c>
      <c r="P48" s="28">
        <v>66</v>
      </c>
      <c r="Q48" s="23">
        <f t="shared" si="11"/>
        <v>404</v>
      </c>
      <c r="R48" s="28">
        <v>67</v>
      </c>
      <c r="S48" s="23">
        <f>IF(R48&gt;0,R48+Q48," ")</f>
        <v>471</v>
      </c>
      <c r="T48" s="28">
        <v>66</v>
      </c>
      <c r="U48" s="23">
        <f>IF(T48&gt;0,T48+S48," ")</f>
        <v>537</v>
      </c>
      <c r="V48" s="28">
        <v>63</v>
      </c>
      <c r="W48" s="23">
        <f>IF(V48&gt;0,V48+U48," ")</f>
        <v>600</v>
      </c>
      <c r="X48" s="28">
        <v>49</v>
      </c>
      <c r="Y48" s="23">
        <f>IF(X48&gt;0,X48+W48," ")</f>
        <v>649</v>
      </c>
      <c r="Z48" s="28">
        <v>50</v>
      </c>
      <c r="AA48" s="23">
        <f>IF(Z48&gt;0,Z48+Y48," ")</f>
        <v>699</v>
      </c>
      <c r="AC48" s="56"/>
      <c r="AE48" s="68"/>
    </row>
    <row r="49" spans="1:32" s="2" customFormat="1" ht="12.95" customHeight="1" x14ac:dyDescent="0.15">
      <c r="A49" s="1"/>
      <c r="B49" s="59" t="s">
        <v>68</v>
      </c>
      <c r="C49" s="28">
        <v>161</v>
      </c>
      <c r="D49" s="28">
        <v>144</v>
      </c>
      <c r="E49" s="23">
        <f>IF(D49&gt;0,D49+C49," ")</f>
        <v>305</v>
      </c>
      <c r="F49" s="28">
        <v>179</v>
      </c>
      <c r="G49" s="23">
        <f>IF(F49&gt;0,F49+E49," ")</f>
        <v>484</v>
      </c>
      <c r="H49" s="28">
        <v>180</v>
      </c>
      <c r="I49" s="23">
        <f>IF(H49&gt;0,H49+G49," ")</f>
        <v>664</v>
      </c>
      <c r="J49" s="28">
        <v>192</v>
      </c>
      <c r="K49" s="23">
        <f>IF(J49&gt;0,J49+I49," ")</f>
        <v>856</v>
      </c>
      <c r="L49" s="28">
        <v>210</v>
      </c>
      <c r="M49" s="23">
        <f>IF(L49&gt;0,L49+K49," ")</f>
        <v>1066</v>
      </c>
      <c r="N49" s="1"/>
      <c r="O49" s="59" t="s">
        <v>68</v>
      </c>
      <c r="P49" s="28">
        <v>225</v>
      </c>
      <c r="Q49" s="23">
        <f t="shared" si="11"/>
        <v>1291</v>
      </c>
      <c r="R49" s="28">
        <v>203</v>
      </c>
      <c r="S49" s="23">
        <f>IF(R49&gt;0,R49+Q49," ")</f>
        <v>1494</v>
      </c>
      <c r="T49" s="28">
        <v>192</v>
      </c>
      <c r="U49" s="23">
        <f>IF(T49&gt;0,T49+S49," ")</f>
        <v>1686</v>
      </c>
      <c r="V49" s="95">
        <v>172</v>
      </c>
      <c r="W49" s="23">
        <f>IF(V49&gt;0,V49+U49," ")</f>
        <v>1858</v>
      </c>
      <c r="X49" s="28">
        <v>182</v>
      </c>
      <c r="Y49" s="23">
        <f>IF(X49&gt;0,X49+W49," ")</f>
        <v>2040</v>
      </c>
      <c r="Z49" s="28">
        <v>155</v>
      </c>
      <c r="AA49" s="23">
        <f>IF(Z49&gt;0,Z49+Y49," ")</f>
        <v>2195</v>
      </c>
      <c r="AC49" s="56"/>
      <c r="AE49" s="68"/>
    </row>
    <row r="50" spans="1:32" s="2" customFormat="1" ht="12.95" customHeight="1" x14ac:dyDescent="0.15">
      <c r="A50" s="1"/>
      <c r="B50" s="1" t="s">
        <v>51</v>
      </c>
      <c r="C50" s="28">
        <v>2.2000000000000002</v>
      </c>
      <c r="D50" s="28">
        <v>1.8</v>
      </c>
      <c r="E50" s="23">
        <f>IF(D50&gt;0,D50+C50," ")</f>
        <v>4</v>
      </c>
      <c r="F50" s="95">
        <v>3</v>
      </c>
      <c r="G50" s="23">
        <f>IF(F50&gt;0,F50+E50," ")</f>
        <v>7</v>
      </c>
      <c r="H50" s="28">
        <v>2.2999999999999998</v>
      </c>
      <c r="I50" s="23">
        <f>IF(H50&gt;0,H50+G50," ")</f>
        <v>9.3000000000000007</v>
      </c>
      <c r="J50" s="28">
        <v>1.7</v>
      </c>
      <c r="K50" s="23">
        <f>IF(J50&gt;0,J50+I50," ")</f>
        <v>11</v>
      </c>
      <c r="L50" s="28">
        <v>2</v>
      </c>
      <c r="M50" s="23">
        <f>IF(L50&gt;0,L50+K50," ")</f>
        <v>13</v>
      </c>
      <c r="N50" s="1"/>
      <c r="O50" s="1" t="s">
        <v>51</v>
      </c>
      <c r="P50" s="28">
        <v>2</v>
      </c>
      <c r="Q50" s="23">
        <f t="shared" si="11"/>
        <v>15</v>
      </c>
      <c r="R50" s="28">
        <v>1.7</v>
      </c>
      <c r="S50" s="23">
        <f>IF(R50&gt;0,R50+Q50," ")</f>
        <v>16.7</v>
      </c>
      <c r="T50" s="28">
        <v>2</v>
      </c>
      <c r="U50" s="23">
        <f>IF(T50&gt;0,T50+S50," ")</f>
        <v>18.7</v>
      </c>
      <c r="V50" s="28">
        <v>1.6</v>
      </c>
      <c r="W50" s="23">
        <f>IF(V50&gt;0,V50+U50," ")</f>
        <v>20.3</v>
      </c>
      <c r="X50" s="28">
        <v>2.2999999999999998</v>
      </c>
      <c r="Y50" s="23">
        <f>IF(X50&gt;0,X50+W50," ")</f>
        <v>22.6</v>
      </c>
      <c r="Z50" s="28">
        <v>1.6</v>
      </c>
      <c r="AA50" s="23">
        <f>IF(Z50&gt;0,Z50+Y50," ")</f>
        <v>24.200000000000003</v>
      </c>
      <c r="AC50" s="56"/>
      <c r="AE50" s="68"/>
    </row>
    <row r="51" spans="1:32" s="2" customFormat="1" ht="12.95" customHeight="1" x14ac:dyDescent="0.15">
      <c r="A51" s="1"/>
      <c r="B51" s="1" t="s">
        <v>52</v>
      </c>
      <c r="C51" s="14">
        <f>IF(C48="","",C48+C49+C50)</f>
        <v>218.2</v>
      </c>
      <c r="D51" s="96">
        <f>IF(D48="","",D48+D49+D50)</f>
        <v>196.8</v>
      </c>
      <c r="E51" s="23">
        <f>IF(D51="","",IF(D51&gt;0,D51+C51," "))</f>
        <v>415</v>
      </c>
      <c r="F51" s="96">
        <f>IF(F48="","",F48+F49+F50)</f>
        <v>247</v>
      </c>
      <c r="G51" s="23">
        <f>IF(F51="","",IF(F51&gt;0,F51+E51," "))</f>
        <v>662</v>
      </c>
      <c r="H51" s="14">
        <f>IF(H48="","",H48+H49+H50)</f>
        <v>238.3</v>
      </c>
      <c r="I51" s="23">
        <f>IF(H51="","",IF(H51&gt;0,H51+G51," "))</f>
        <v>900.3</v>
      </c>
      <c r="J51" s="14">
        <f>IF(J48="","",J48+J49+J50)</f>
        <v>244.7</v>
      </c>
      <c r="K51" s="23">
        <f>IF(J51="","",IF(J51&gt;0,J51+I51," "))</f>
        <v>1145</v>
      </c>
      <c r="L51" s="96">
        <f>IF(L48="","",L48+L49+L50)</f>
        <v>272</v>
      </c>
      <c r="M51" s="23">
        <f>IF(L51="","",IF(L51&gt;0,L51+K51," "))</f>
        <v>1417</v>
      </c>
      <c r="N51" s="1"/>
      <c r="O51" s="1" t="s">
        <v>52</v>
      </c>
      <c r="P51" s="14">
        <f>IF(P48="","",P48+P49+P50)</f>
        <v>293</v>
      </c>
      <c r="Q51" s="23">
        <f>IF(P51="","",IF(P51&gt;0,P51+M51," "))</f>
        <v>1710</v>
      </c>
      <c r="R51" s="14">
        <f>IF(R48="","",R48+R49+R50)</f>
        <v>271.7</v>
      </c>
      <c r="S51" s="23">
        <f>IF(R51="","",IF(R51&gt;0,R51+Q51," "))</f>
        <v>1981.7</v>
      </c>
      <c r="T51" s="14">
        <f>IF(T48="","",T48+T49+T50)</f>
        <v>260</v>
      </c>
      <c r="U51" s="23">
        <f>IF(T51="","",IF(T51&gt;0,T51+S51," "))</f>
        <v>2241.6999999999998</v>
      </c>
      <c r="V51" s="96">
        <f>IF(V48="","",V48+V49+V50)</f>
        <v>236.6</v>
      </c>
      <c r="W51" s="23">
        <f>IF(V51="","",IF(V51&gt;0,V51+U51," "))</f>
        <v>2478.2999999999997</v>
      </c>
      <c r="X51" s="14">
        <f>IF(X48="","",X48+X49+X50)</f>
        <v>233.3</v>
      </c>
      <c r="Y51" s="23">
        <f>IF(X51="","",IF(X51&gt;0,X51+W51," "))</f>
        <v>2711.6</v>
      </c>
      <c r="Z51" s="14">
        <f>IF(Z48="","",Z48+Z49+Z50)</f>
        <v>206.6</v>
      </c>
      <c r="AA51" s="23">
        <f>IF(Z51="","",IF(Z51&gt;0,Z51+Y51," "))</f>
        <v>2918.2</v>
      </c>
      <c r="AC51" s="56"/>
      <c r="AE51" s="68"/>
    </row>
    <row r="52" spans="1:32" s="2" customFormat="1" ht="12.95" customHeight="1" x14ac:dyDescent="0.15">
      <c r="A52" s="1"/>
      <c r="B52" s="1"/>
      <c r="C52" s="34"/>
      <c r="D52" s="34"/>
      <c r="E52" s="24"/>
      <c r="F52" s="34"/>
      <c r="G52" s="24"/>
      <c r="H52" s="34"/>
      <c r="I52" s="24"/>
      <c r="J52" s="34"/>
      <c r="K52" s="24"/>
      <c r="L52" s="34"/>
      <c r="M52" s="24"/>
      <c r="N52" s="1"/>
      <c r="O52" s="1"/>
      <c r="P52" s="34"/>
      <c r="Q52" s="24"/>
      <c r="R52" s="34"/>
      <c r="S52" s="24"/>
      <c r="T52" s="34"/>
      <c r="U52" s="24"/>
      <c r="V52" s="34"/>
      <c r="W52" s="24"/>
      <c r="X52" s="34"/>
      <c r="Y52" s="24"/>
      <c r="Z52" s="34"/>
      <c r="AA52" s="24"/>
      <c r="AC52" s="56"/>
      <c r="AE52" s="68"/>
    </row>
    <row r="53" spans="1:32" s="2" customFormat="1" ht="15.95" customHeight="1" x14ac:dyDescent="0.15">
      <c r="A53" s="42" t="s">
        <v>71</v>
      </c>
      <c r="B53" s="43"/>
      <c r="C53" s="55">
        <f>IF(C31=0,"",C42+C44+C46+C51)</f>
        <v>3479</v>
      </c>
      <c r="D53" s="55">
        <f>IF(D31=0,"",D42+D44+D46+D51)</f>
        <v>3543.0000000000005</v>
      </c>
      <c r="E53" s="23">
        <f>IF(D53="","",IF(D53&gt;0,D53+C53," "))</f>
        <v>7022</v>
      </c>
      <c r="F53" s="55">
        <f>IF(F31=0,"",F42+F44+F46+F51)</f>
        <v>3944</v>
      </c>
      <c r="G53" s="23">
        <f>IF(F53="","",IF(F53&gt;0,F53+E53," "))</f>
        <v>10966</v>
      </c>
      <c r="H53" s="55">
        <f>IF(H31=0,"",H42+H44+H46+H51)</f>
        <v>3784</v>
      </c>
      <c r="I53" s="23">
        <f>IF(H53="","",IF(H53&gt;0,H53+G53," "))</f>
        <v>14750</v>
      </c>
      <c r="J53" s="55">
        <f>IF(J31=0,"",J42+J44+J46+J51)</f>
        <v>4142</v>
      </c>
      <c r="K53" s="23">
        <f>IF(J53="","",IF(J53&gt;0,J53+I53," "))</f>
        <v>18892</v>
      </c>
      <c r="L53" s="55">
        <f>IF(L31=0,"",L42+L44+L46+L51)</f>
        <v>4481</v>
      </c>
      <c r="M53" s="23">
        <f>IF(L53="","",IF(L53&gt;0,L53+K53," "))</f>
        <v>23373</v>
      </c>
      <c r="N53" s="42" t="s">
        <v>71</v>
      </c>
      <c r="O53" s="43"/>
      <c r="P53" s="55">
        <f>IF(P31=0,"",P42+P44+P46+P51)</f>
        <v>4763</v>
      </c>
      <c r="Q53" s="23">
        <f>IF(P53="","",IF(P53&gt;0,P53+M53," "))</f>
        <v>28136</v>
      </c>
      <c r="R53" s="55">
        <f>IF(R31=0,"",R42+R44+R46+R51)</f>
        <v>4464</v>
      </c>
      <c r="S53" s="23">
        <f>IF(R53="","",IF(R53&gt;0,R53+Q53," "))</f>
        <v>32600</v>
      </c>
      <c r="T53" s="55">
        <f>IF(T31=0,"",T42+T44+T46+T51)</f>
        <v>4604</v>
      </c>
      <c r="U53" s="23">
        <f>IF(T53="","",IF(T53&gt;0,T53+S53," "))</f>
        <v>37204</v>
      </c>
      <c r="V53" s="55">
        <f>IF(V31=0,"",V42+V44+V46+V51)</f>
        <v>4514</v>
      </c>
      <c r="W53" s="23">
        <f>IF(V53="","",IF(V53&gt;0,V53+U53," "))</f>
        <v>41718</v>
      </c>
      <c r="X53" s="55">
        <f>IF(X31=0,"",X42+X44+X46+X51)</f>
        <v>4349</v>
      </c>
      <c r="Y53" s="23">
        <f>IF(X53="","",IF(X53&gt;0,X53+W53," "))</f>
        <v>46067</v>
      </c>
      <c r="Z53" s="55">
        <f>IF(Z31=0,"",Z42+Z44+Z46+Z51)</f>
        <v>4479</v>
      </c>
      <c r="AA53" s="23">
        <f>IF(Z53="","",IF(Z53&gt;0,Z53+Y53," "))</f>
        <v>50546</v>
      </c>
      <c r="AC53" s="56"/>
      <c r="AE53" s="68"/>
    </row>
    <row r="54" spans="1:32" s="2" customFormat="1" ht="12.95" customHeight="1" x14ac:dyDescent="0.15">
      <c r="A54" s="1"/>
      <c r="B54" s="1"/>
      <c r="C54" s="34"/>
      <c r="D54" s="34"/>
      <c r="E54" s="26"/>
      <c r="F54" s="34"/>
      <c r="G54" s="26"/>
      <c r="H54" s="34"/>
      <c r="I54" s="26"/>
      <c r="J54" s="34"/>
      <c r="K54" s="26"/>
      <c r="L54" s="34"/>
      <c r="M54" s="26"/>
      <c r="N54" s="1"/>
      <c r="O54" s="1"/>
      <c r="P54" s="34"/>
      <c r="Q54" s="26"/>
      <c r="R54" s="34"/>
      <c r="S54" s="26"/>
      <c r="T54" s="34"/>
      <c r="U54" s="26"/>
      <c r="V54" s="34"/>
      <c r="W54" s="26"/>
      <c r="X54" s="34"/>
      <c r="Y54" s="26"/>
      <c r="Z54" s="34"/>
      <c r="AA54" s="26"/>
      <c r="AC54" s="56"/>
      <c r="AE54" s="68"/>
    </row>
    <row r="55" spans="1:32" s="2" customFormat="1" ht="12.95" customHeight="1" x14ac:dyDescent="0.15">
      <c r="A55" s="39" t="s">
        <v>53</v>
      </c>
      <c r="B55" s="1"/>
      <c r="C55" s="34"/>
      <c r="D55" s="34"/>
      <c r="E55" s="23" t="str">
        <f>IF(D55&gt;0,D55+C55," ")</f>
        <v xml:space="preserve"> </v>
      </c>
      <c r="F55" s="34"/>
      <c r="G55" s="23" t="str">
        <f>IF(F55&gt;0,F55+E55," ")</f>
        <v xml:space="preserve"> </v>
      </c>
      <c r="H55" s="34"/>
      <c r="I55" s="23" t="str">
        <f>IF(H55&gt;0,H55+G55," ")</f>
        <v xml:space="preserve"> </v>
      </c>
      <c r="J55" s="34"/>
      <c r="K55" s="23" t="str">
        <f>IF(J55&gt;0,J55+I55," ")</f>
        <v xml:space="preserve"> </v>
      </c>
      <c r="L55" s="34"/>
      <c r="M55" s="23" t="str">
        <f>IF(L55&gt;0,L55+K55," ")</f>
        <v xml:space="preserve"> </v>
      </c>
      <c r="N55" s="39" t="s">
        <v>53</v>
      </c>
      <c r="O55" s="1"/>
      <c r="P55" s="34"/>
      <c r="Q55" s="23" t="str">
        <f>IF(P55&gt;0,P55+M55," ")</f>
        <v xml:space="preserve"> </v>
      </c>
      <c r="R55" s="34"/>
      <c r="S55" s="23" t="str">
        <f>IF(R55&gt;0,R55+Q55," ")</f>
        <v xml:space="preserve"> </v>
      </c>
      <c r="T55" s="34"/>
      <c r="U55" s="23" t="str">
        <f>IF(T55&gt;0,T55+S55," ")</f>
        <v xml:space="preserve"> </v>
      </c>
      <c r="V55" s="34"/>
      <c r="W55" s="23" t="str">
        <f>IF(V55&gt;0,V55+U55," ")</f>
        <v xml:space="preserve"> </v>
      </c>
      <c r="X55" s="34"/>
      <c r="Y55" s="23" t="str">
        <f>IF(X55&gt;0,X55+W55," ")</f>
        <v xml:space="preserve"> </v>
      </c>
      <c r="Z55" s="34"/>
      <c r="AA55" s="23" t="str">
        <f>IF(Z55&gt;0,Z55+Y55," ")</f>
        <v xml:space="preserve"> </v>
      </c>
      <c r="AC55" s="56"/>
      <c r="AE55" s="68"/>
    </row>
    <row r="56" spans="1:32" s="2" customFormat="1" ht="12.95" customHeight="1" x14ac:dyDescent="0.15">
      <c r="A56" s="1" t="s">
        <v>54</v>
      </c>
      <c r="B56" s="1"/>
      <c r="C56" s="28">
        <v>-47</v>
      </c>
      <c r="D56" s="28">
        <v>-26</v>
      </c>
      <c r="E56" s="23">
        <f>IF(D56&lt;&gt;0,D56+C56," ")</f>
        <v>-73</v>
      </c>
      <c r="F56" s="28">
        <v>-15</v>
      </c>
      <c r="G56" s="23">
        <f>IF(F56&lt;&gt;0,F56+E56," ")</f>
        <v>-88</v>
      </c>
      <c r="H56" s="28">
        <v>-10</v>
      </c>
      <c r="I56" s="23">
        <f>IF(H56&lt;&gt;0,H56+G56," ")</f>
        <v>-98</v>
      </c>
      <c r="J56" s="28">
        <v>-8</v>
      </c>
      <c r="K56" s="23">
        <f>IF(J56&lt;&gt;0,J56+I56," ")</f>
        <v>-106</v>
      </c>
      <c r="L56" s="28">
        <v>-8</v>
      </c>
      <c r="M56" s="23">
        <f>IF(L56&lt;&gt;0,L56+K56," ")</f>
        <v>-114</v>
      </c>
      <c r="N56" s="1" t="s">
        <v>54</v>
      </c>
      <c r="O56" s="1"/>
      <c r="P56" s="28">
        <v>6</v>
      </c>
      <c r="Q56" s="23">
        <f>IF(P56&gt;0,P56+M56," ")</f>
        <v>-108</v>
      </c>
      <c r="R56" s="28">
        <v>7</v>
      </c>
      <c r="S56" s="23">
        <f>IF(R56&lt;&gt;0,R56+Q56," ")</f>
        <v>-101</v>
      </c>
      <c r="T56" s="28">
        <v>0</v>
      </c>
      <c r="U56" s="23">
        <f>IF(ISBLANK(T56)," ",T56+S56)</f>
        <v>-101</v>
      </c>
      <c r="V56" s="28">
        <v>22</v>
      </c>
      <c r="W56" s="23">
        <f>IF(ISBLANK(V56)," ",V56+U56)</f>
        <v>-79</v>
      </c>
      <c r="X56" s="28">
        <v>-46</v>
      </c>
      <c r="Y56" s="23">
        <f>IF(ISBLANK(X56)," ",X56+W56)</f>
        <v>-125</v>
      </c>
      <c r="Z56" s="28">
        <v>-38</v>
      </c>
      <c r="AA56" s="23">
        <f>IF(ISBLANK(Z56)," ",Z56+Y56)</f>
        <v>-163</v>
      </c>
      <c r="AB56" s="57"/>
      <c r="AC56" s="56"/>
      <c r="AE56" s="68"/>
    </row>
    <row r="57" spans="1:32" s="2" customFormat="1" ht="12.95" customHeight="1" x14ac:dyDescent="0.15">
      <c r="A57" s="1" t="s">
        <v>55</v>
      </c>
      <c r="B57" s="1"/>
      <c r="C57" s="28">
        <v>14</v>
      </c>
      <c r="D57" s="28">
        <v>10</v>
      </c>
      <c r="E57" s="23">
        <f>IF(D57&lt;&gt;0,D57+C57," ")</f>
        <v>24</v>
      </c>
      <c r="F57" s="28">
        <v>2</v>
      </c>
      <c r="G57" s="23">
        <f>IF(F57&lt;&gt;0,F57+E57," ")</f>
        <v>26</v>
      </c>
      <c r="H57" s="28">
        <v>-12</v>
      </c>
      <c r="I57" s="23">
        <f>IF(H57&lt;&gt;0,H57+G57," ")</f>
        <v>14</v>
      </c>
      <c r="J57" s="28">
        <v>-19</v>
      </c>
      <c r="K57" s="23">
        <f>IF(J57&lt;&gt;0,J57+I57," ")</f>
        <v>-5</v>
      </c>
      <c r="L57" s="28">
        <v>-18</v>
      </c>
      <c r="M57" s="23">
        <f>IF(L57&lt;&gt;0,L57+K57," ")</f>
        <v>-23</v>
      </c>
      <c r="N57" s="1" t="s">
        <v>55</v>
      </c>
      <c r="O57" s="1"/>
      <c r="P57" s="28">
        <v>3</v>
      </c>
      <c r="Q57" s="23">
        <f>IF(P57&lt;&gt;0,P57+M57," ")</f>
        <v>-20</v>
      </c>
      <c r="R57" s="28">
        <v>14</v>
      </c>
      <c r="S57" s="23">
        <f>IF(R57&lt;&gt;0,R57+Q57," ")</f>
        <v>-6</v>
      </c>
      <c r="T57" s="28">
        <v>-26</v>
      </c>
      <c r="U57" s="23">
        <f>IF(T57&lt;&gt;0,T57+S57," ")</f>
        <v>-32</v>
      </c>
      <c r="V57" s="28">
        <v>-15</v>
      </c>
      <c r="W57" s="23">
        <f>IF(V57&lt;&gt;0,V57+U57," ")</f>
        <v>-47</v>
      </c>
      <c r="X57" s="28">
        <v>-9</v>
      </c>
      <c r="Y57" s="23">
        <f>IF(X57&lt;&gt;0,X57+W57," ")</f>
        <v>-56</v>
      </c>
      <c r="Z57" s="28">
        <v>-21</v>
      </c>
      <c r="AA57" s="23">
        <f>IF(Z57&lt;&gt;0,Z57+Y57," ")</f>
        <v>-77</v>
      </c>
      <c r="AC57" s="56"/>
      <c r="AE57" s="68"/>
    </row>
    <row r="58" spans="1:32" s="2" customFormat="1" ht="12.95" customHeight="1" x14ac:dyDescent="0.15">
      <c r="A58" s="1"/>
      <c r="B58" s="1"/>
      <c r="C58" s="34"/>
      <c r="D58" s="34"/>
      <c r="E58" s="23"/>
      <c r="F58" s="34"/>
      <c r="G58" s="23"/>
      <c r="H58" s="34"/>
      <c r="I58" s="23"/>
      <c r="J58" s="34"/>
      <c r="K58" s="23"/>
      <c r="L58" s="34"/>
      <c r="M58" s="23"/>
      <c r="N58" s="1"/>
      <c r="O58" s="1"/>
      <c r="P58" s="34"/>
      <c r="Q58" s="23" t="str">
        <f t="shared" ref="Q58:Q61" si="12">IF(P58&gt;0,P58+M58," ")</f>
        <v xml:space="preserve"> </v>
      </c>
      <c r="R58" s="34"/>
      <c r="S58" s="23"/>
      <c r="T58" s="34"/>
      <c r="U58" s="23"/>
      <c r="V58" s="34"/>
      <c r="W58" s="23"/>
      <c r="X58" s="34"/>
      <c r="Y58" s="23"/>
      <c r="Z58" s="34"/>
      <c r="AA58" s="23"/>
      <c r="AC58" s="56"/>
      <c r="AE58" s="68"/>
    </row>
    <row r="59" spans="1:32" s="2" customFormat="1" ht="12.95" customHeight="1" x14ac:dyDescent="0.15">
      <c r="A59" s="39" t="s">
        <v>66</v>
      </c>
      <c r="B59" s="1"/>
      <c r="C59" s="28">
        <v>231</v>
      </c>
      <c r="D59" s="28">
        <v>207</v>
      </c>
      <c r="E59" s="23">
        <f>IF(D59&gt;0,D59+C59," ")</f>
        <v>438</v>
      </c>
      <c r="F59" s="28">
        <v>241</v>
      </c>
      <c r="G59" s="23">
        <f>IF(F59&gt;0,F59+E59," ")</f>
        <v>679</v>
      </c>
      <c r="H59" s="28">
        <v>249</v>
      </c>
      <c r="I59" s="23">
        <f>IF(H59&gt;0,H59+G59," ")</f>
        <v>928</v>
      </c>
      <c r="J59" s="28">
        <v>249</v>
      </c>
      <c r="K59" s="23">
        <f>IF(J59&gt;0,J59+I59," ")</f>
        <v>1177</v>
      </c>
      <c r="L59" s="28">
        <v>270</v>
      </c>
      <c r="M59" s="23">
        <f>IF(L59&gt;0,L59+K59," ")</f>
        <v>1447</v>
      </c>
      <c r="N59" s="39" t="s">
        <v>66</v>
      </c>
      <c r="O59" s="1"/>
      <c r="P59" s="28">
        <v>266</v>
      </c>
      <c r="Q59" s="23">
        <f t="shared" si="12"/>
        <v>1713</v>
      </c>
      <c r="R59" s="28">
        <v>278</v>
      </c>
      <c r="S59" s="23">
        <f>IF(R59&gt;0,R59+Q59," ")</f>
        <v>1991</v>
      </c>
      <c r="T59" s="28">
        <v>302</v>
      </c>
      <c r="U59" s="23">
        <f>IF(T59&gt;0,T59+S59," ")</f>
        <v>2293</v>
      </c>
      <c r="V59" s="95">
        <v>308</v>
      </c>
      <c r="W59" s="23">
        <f>IF(V59&gt;0,V59+U59," ")</f>
        <v>2601</v>
      </c>
      <c r="X59" s="28">
        <v>316</v>
      </c>
      <c r="Y59" s="23">
        <f>IF(X59&gt;0,X59+W59," ")</f>
        <v>2917</v>
      </c>
      <c r="Z59" s="28">
        <v>329</v>
      </c>
      <c r="AA59" s="23">
        <f>IF(Z59&gt;0,Z59+Y59," ")</f>
        <v>3246</v>
      </c>
      <c r="AC59" s="56"/>
      <c r="AE59" s="68"/>
    </row>
    <row r="60" spans="1:32" s="2" customFormat="1" ht="12.95" customHeight="1" x14ac:dyDescent="0.15">
      <c r="A60" s="39"/>
      <c r="B60" s="1"/>
      <c r="C60" s="34"/>
      <c r="D60" s="34"/>
      <c r="E60" s="23"/>
      <c r="F60" s="34"/>
      <c r="G60" s="23"/>
      <c r="H60" s="34"/>
      <c r="I60" s="23"/>
      <c r="J60" s="34"/>
      <c r="K60" s="23"/>
      <c r="L60" s="34"/>
      <c r="M60" s="23"/>
      <c r="N60" s="39"/>
      <c r="O60" s="1"/>
      <c r="P60" s="34"/>
      <c r="Q60" s="23" t="str">
        <f t="shared" si="12"/>
        <v xml:space="preserve"> </v>
      </c>
      <c r="R60" s="34"/>
      <c r="S60" s="23"/>
      <c r="T60" s="34"/>
      <c r="U60" s="23"/>
      <c r="V60" s="34"/>
      <c r="W60" s="23"/>
      <c r="X60" s="34"/>
      <c r="Y60" s="23"/>
      <c r="Z60" s="34"/>
      <c r="AA60" s="23"/>
      <c r="AC60" s="56"/>
      <c r="AE60" s="68"/>
    </row>
    <row r="61" spans="1:32" s="2" customFormat="1" ht="12.95" customHeight="1" x14ac:dyDescent="0.15">
      <c r="A61" s="39" t="s">
        <v>72</v>
      </c>
      <c r="B61" s="1"/>
      <c r="C61" s="28">
        <v>125</v>
      </c>
      <c r="D61" s="28">
        <v>71</v>
      </c>
      <c r="E61" s="23">
        <f>IF(D61&gt;0,D61+C61," ")</f>
        <v>196</v>
      </c>
      <c r="F61" s="28">
        <v>72</v>
      </c>
      <c r="G61" s="23">
        <f>IF(F61&gt;0,F61+E61," ")</f>
        <v>268</v>
      </c>
      <c r="H61" s="95">
        <v>106</v>
      </c>
      <c r="I61" s="23">
        <f>IF(H61&gt;0,H61+G61," ")</f>
        <v>374</v>
      </c>
      <c r="J61" s="28">
        <v>131</v>
      </c>
      <c r="K61" s="23">
        <f>IF(J61&gt;0,J61+I61," ")</f>
        <v>505</v>
      </c>
      <c r="L61" s="28">
        <v>119</v>
      </c>
      <c r="M61" s="23">
        <f>IF(L61&gt;0,L61+K61," ")</f>
        <v>624</v>
      </c>
      <c r="N61" s="39" t="s">
        <v>72</v>
      </c>
      <c r="O61" s="1"/>
      <c r="P61" s="28">
        <v>111</v>
      </c>
      <c r="Q61" s="23">
        <f t="shared" si="12"/>
        <v>735</v>
      </c>
      <c r="R61" s="28">
        <v>127</v>
      </c>
      <c r="S61" s="23">
        <f>IF(R61&gt;0,R61+Q61," ")</f>
        <v>862</v>
      </c>
      <c r="T61" s="28">
        <v>117</v>
      </c>
      <c r="U61" s="23">
        <f>IF(T61&gt;0,T61+S61," ")</f>
        <v>979</v>
      </c>
      <c r="V61" s="28">
        <v>130</v>
      </c>
      <c r="W61" s="23">
        <f>IF(V61&gt;0,V61+U61," ")</f>
        <v>1109</v>
      </c>
      <c r="X61" s="28">
        <v>129</v>
      </c>
      <c r="Y61" s="23">
        <f>IF(X61&gt;0,X61+W61," ")</f>
        <v>1238</v>
      </c>
      <c r="Z61" s="28">
        <v>142</v>
      </c>
      <c r="AA61" s="23">
        <f>IF(Z61&gt;0,Z61+Y61," ")</f>
        <v>1380</v>
      </c>
      <c r="AC61" s="56"/>
      <c r="AE61" s="68"/>
      <c r="AF61" s="32"/>
    </row>
    <row r="62" spans="1:32" s="2" customFormat="1" ht="12.95" customHeight="1" thickBot="1" x14ac:dyDescent="0.2">
      <c r="A62" s="1"/>
      <c r="B62" s="1"/>
      <c r="C62" s="34"/>
      <c r="D62" s="34"/>
      <c r="E62" s="23"/>
      <c r="F62" s="34"/>
      <c r="G62" s="23"/>
      <c r="H62" s="34"/>
      <c r="I62" s="23"/>
      <c r="J62" s="34"/>
      <c r="K62" s="23"/>
      <c r="L62" s="34"/>
      <c r="M62" s="23"/>
      <c r="N62" s="1"/>
      <c r="O62" s="1"/>
      <c r="P62" s="34"/>
      <c r="Q62" s="23"/>
      <c r="R62" s="34"/>
      <c r="S62" s="23"/>
      <c r="T62" s="34"/>
      <c r="U62" s="23"/>
      <c r="V62" s="34"/>
      <c r="W62" s="23"/>
      <c r="X62" s="34"/>
      <c r="Y62" s="23"/>
      <c r="Z62" s="34"/>
      <c r="AA62" s="23"/>
      <c r="AC62" s="56"/>
      <c r="AE62" s="68"/>
    </row>
    <row r="63" spans="1:32" s="4" customFormat="1" ht="24.75" customHeight="1" thickTop="1" thickBot="1" x14ac:dyDescent="0.2">
      <c r="A63" s="89" t="s">
        <v>33</v>
      </c>
      <c r="B63" s="89" t="s">
        <v>56</v>
      </c>
      <c r="C63" s="30">
        <f>IF(C31=0,"",C53-C56-C57+C59+C61)</f>
        <v>3868</v>
      </c>
      <c r="D63" s="30">
        <f>IF(D31=0,"",D53-D56-D57+D59+D61)</f>
        <v>3837.0000000000005</v>
      </c>
      <c r="E63" s="30">
        <f>IF(D63="","",IF(D63&gt;0,D63+C63," "))</f>
        <v>7705</v>
      </c>
      <c r="F63" s="30">
        <f>IF(F31=0,"",F53-F56-F57+F59+F61)</f>
        <v>4270</v>
      </c>
      <c r="G63" s="30">
        <f>IF(F63="","",IF(F63&gt;0,F63+E63," "))</f>
        <v>11975</v>
      </c>
      <c r="H63" s="30">
        <f>IF(H31=0,"",H53-H56-H57+H59+H61)</f>
        <v>4161</v>
      </c>
      <c r="I63" s="30">
        <f>IF(H63="","",IF(H63&gt;0,H63+G63," "))</f>
        <v>16136</v>
      </c>
      <c r="J63" s="30">
        <f>IF(J31=0,"",J53-J56-J57+J59+J61)</f>
        <v>4549</v>
      </c>
      <c r="K63" s="30">
        <f>IF(J63="","",IF(J63&gt;0,J63+I63," "))</f>
        <v>20685</v>
      </c>
      <c r="L63" s="30">
        <f>IF(L31=0,"",L53-L56-L57+L59+L61)</f>
        <v>4896</v>
      </c>
      <c r="M63" s="30">
        <f>IF(L63="","",IF(L63&gt;0,L63+K63," "))</f>
        <v>25581</v>
      </c>
      <c r="N63" s="89" t="s">
        <v>33</v>
      </c>
      <c r="O63" s="89" t="s">
        <v>56</v>
      </c>
      <c r="P63" s="30">
        <f>IF(P31=0,"",P53-P56-P57+P59+P61)</f>
        <v>5131</v>
      </c>
      <c r="Q63" s="30">
        <f>IF(P63="","",IF(P63&gt;0,P63+M63," "))</f>
        <v>30712</v>
      </c>
      <c r="R63" s="30">
        <f>IF(R31=0,"",R53-R56-R57+R59+R61)</f>
        <v>4848</v>
      </c>
      <c r="S63" s="30">
        <f>IF(R63="","",IF(R63&gt;0,R63+Q63," "))</f>
        <v>35560</v>
      </c>
      <c r="T63" s="30">
        <f>IF(T31=0,"",T53-T56-T57+T59+T61)</f>
        <v>5049</v>
      </c>
      <c r="U63" s="30">
        <f>IF(T63="","",IF(T63&gt;0,T63+S63," "))</f>
        <v>40609</v>
      </c>
      <c r="V63" s="30">
        <f>IF(V31=0,"",V53-V56-V57+V59+V61)</f>
        <v>4945</v>
      </c>
      <c r="W63" s="30">
        <f>IF(V63="","",IF(V63&gt;0,V63+U63," "))</f>
        <v>45554</v>
      </c>
      <c r="X63" s="30">
        <f>IF(X31=0,"",X53-X56-X57+X59+X61)</f>
        <v>4849</v>
      </c>
      <c r="Y63" s="30">
        <f>IF(X63="","",IF(X63&gt;0,X63+W63," "))</f>
        <v>50403</v>
      </c>
      <c r="Z63" s="30">
        <f>IF(Z31=0,"",Z53-Z56-Z57+Z59+Z61)</f>
        <v>5009</v>
      </c>
      <c r="AA63" s="30">
        <f>IF(Z63="","",IF(Z63&gt;0,Z63+Y63," "))</f>
        <v>55412</v>
      </c>
      <c r="AB63" s="33"/>
      <c r="AC63" s="56"/>
      <c r="AE63" s="68"/>
    </row>
    <row r="64" spans="1:32" s="2" customFormat="1" ht="12.95" customHeight="1" thickTop="1" x14ac:dyDescent="0.15">
      <c r="A64" s="1"/>
      <c r="B64" s="1"/>
      <c r="C64" s="34"/>
      <c r="D64" s="34"/>
      <c r="E64" s="23"/>
      <c r="F64" s="34"/>
      <c r="G64" s="23"/>
      <c r="H64" s="34"/>
      <c r="I64" s="23"/>
      <c r="J64" s="34"/>
      <c r="K64" s="23"/>
      <c r="L64" s="34"/>
      <c r="M64" s="23"/>
      <c r="N64" s="1"/>
      <c r="O64" s="1"/>
      <c r="P64" s="34"/>
      <c r="Q64" s="23"/>
      <c r="R64" s="34"/>
      <c r="S64" s="23"/>
      <c r="T64" s="34"/>
      <c r="U64" s="23"/>
      <c r="V64" s="34"/>
      <c r="W64" s="23"/>
      <c r="X64" s="34"/>
      <c r="Y64" s="23"/>
      <c r="Z64" s="34"/>
      <c r="AA64" s="23"/>
      <c r="AC64" s="56"/>
      <c r="AE64" s="68"/>
    </row>
    <row r="65" spans="1:31" s="2" customFormat="1" ht="12.95" customHeight="1" x14ac:dyDescent="0.15">
      <c r="A65" s="1"/>
      <c r="B65" s="1"/>
      <c r="C65" s="34"/>
      <c r="D65" s="34"/>
      <c r="E65" s="23"/>
      <c r="F65" s="34"/>
      <c r="G65" s="23"/>
      <c r="H65" s="34"/>
      <c r="I65" s="23"/>
      <c r="J65" s="34"/>
      <c r="K65" s="23"/>
      <c r="L65" s="34"/>
      <c r="M65" s="23"/>
      <c r="N65" s="1"/>
      <c r="O65" s="1"/>
      <c r="P65" s="34"/>
      <c r="Q65" s="23"/>
      <c r="R65" s="34"/>
      <c r="S65" s="23"/>
      <c r="T65" s="34"/>
      <c r="U65" s="23"/>
      <c r="V65" s="34"/>
      <c r="W65" s="23"/>
      <c r="X65" s="34"/>
      <c r="Y65" s="23"/>
      <c r="Z65" s="34"/>
      <c r="AA65" s="23"/>
      <c r="AC65" s="56"/>
      <c r="AE65" s="68"/>
    </row>
    <row r="66" spans="1:31" s="2" customFormat="1" ht="12.95" customHeight="1" x14ac:dyDescent="0.15">
      <c r="A66" s="39" t="s">
        <v>23</v>
      </c>
      <c r="B66" s="39" t="s">
        <v>75</v>
      </c>
      <c r="C66" s="28">
        <v>6.2</v>
      </c>
      <c r="D66" s="95">
        <v>8.1999999999999993</v>
      </c>
      <c r="E66" s="23">
        <f>IF(D66&gt;0,D66+C66," ")</f>
        <v>14.399999999999999</v>
      </c>
      <c r="F66" s="28">
        <v>8.1</v>
      </c>
      <c r="G66" s="23">
        <f t="shared" ref="G66:G72" si="13">IF(F66&gt;0,F66+E66," ")</f>
        <v>22.5</v>
      </c>
      <c r="H66" s="28">
        <v>9.6999999999999993</v>
      </c>
      <c r="I66" s="23">
        <f t="shared" ref="I66:I73" si="14">IF(H66&gt;0,H66+G66," ")</f>
        <v>32.200000000000003</v>
      </c>
      <c r="J66" s="28">
        <v>15.1</v>
      </c>
      <c r="K66" s="23">
        <f t="shared" ref="K66:K73" si="15">IF(J66&gt;0,J66+I66," ")</f>
        <v>47.300000000000004</v>
      </c>
      <c r="L66" s="28">
        <v>20.9</v>
      </c>
      <c r="M66" s="23">
        <f t="shared" ref="M66:M73" si="16">IF(L66&gt;0,L66+K66," ")</f>
        <v>68.2</v>
      </c>
      <c r="N66" s="39" t="s">
        <v>23</v>
      </c>
      <c r="O66" s="90" t="s">
        <v>75</v>
      </c>
      <c r="P66" s="28">
        <v>31.6</v>
      </c>
      <c r="Q66" s="23">
        <f t="shared" ref="Q66:Q73" si="17">IF(P66&gt;0,P66+M66," ")</f>
        <v>99.800000000000011</v>
      </c>
      <c r="R66" s="28">
        <v>39.200000000000003</v>
      </c>
      <c r="S66" s="23">
        <f t="shared" ref="S66:S73" si="18">IF(R66&gt;0,R66+Q66," ")</f>
        <v>139</v>
      </c>
      <c r="T66" s="28">
        <v>24.3</v>
      </c>
      <c r="U66" s="23">
        <f t="shared" ref="U66:U73" si="19">IF(T66&gt;0,T66+S66," ")</f>
        <v>163.30000000000001</v>
      </c>
      <c r="V66" s="28">
        <v>18.8</v>
      </c>
      <c r="W66" s="23">
        <f t="shared" ref="W66:AA73" si="20">IF(V66&gt;0,V66+U66," ")</f>
        <v>182.10000000000002</v>
      </c>
      <c r="X66" s="28">
        <v>13.5</v>
      </c>
      <c r="Y66" s="23">
        <f t="shared" si="20"/>
        <v>195.60000000000002</v>
      </c>
      <c r="Z66" s="28">
        <v>17.8</v>
      </c>
      <c r="AA66" s="23">
        <f t="shared" si="20"/>
        <v>213.40000000000003</v>
      </c>
      <c r="AC66" s="56"/>
      <c r="AE66" s="68"/>
    </row>
    <row r="67" spans="1:31" s="2" customFormat="1" ht="12.95" customHeight="1" x14ac:dyDescent="0.15">
      <c r="A67" s="1"/>
      <c r="B67" s="1"/>
      <c r="C67" s="34"/>
      <c r="D67" s="34"/>
      <c r="E67" s="23" t="str">
        <f t="shared" ref="E67:E72" si="21">IF(D67&gt;0,D67+C67," ")</f>
        <v xml:space="preserve"> </v>
      </c>
      <c r="F67" s="34"/>
      <c r="G67" s="23" t="str">
        <f t="shared" si="13"/>
        <v xml:space="preserve"> </v>
      </c>
      <c r="H67" s="34"/>
      <c r="I67" s="23" t="str">
        <f t="shared" si="14"/>
        <v xml:space="preserve"> </v>
      </c>
      <c r="J67" s="34"/>
      <c r="K67" s="23" t="str">
        <f t="shared" si="15"/>
        <v xml:space="preserve"> </v>
      </c>
      <c r="L67" s="34"/>
      <c r="M67" s="23" t="str">
        <f t="shared" si="16"/>
        <v xml:space="preserve"> </v>
      </c>
      <c r="N67" s="1"/>
      <c r="O67" s="1"/>
      <c r="P67" s="34"/>
      <c r="Q67" s="23" t="str">
        <f t="shared" si="17"/>
        <v xml:space="preserve"> </v>
      </c>
      <c r="R67" s="34"/>
      <c r="S67" s="23" t="str">
        <f t="shared" si="18"/>
        <v xml:space="preserve"> </v>
      </c>
      <c r="T67" s="34"/>
      <c r="U67" s="23" t="str">
        <f t="shared" si="19"/>
        <v xml:space="preserve"> </v>
      </c>
      <c r="V67" s="34"/>
      <c r="W67" s="23" t="str">
        <f t="shared" si="20"/>
        <v xml:space="preserve"> </v>
      </c>
      <c r="X67" s="34"/>
      <c r="Y67" s="23" t="str">
        <f t="shared" si="20"/>
        <v xml:space="preserve"> </v>
      </c>
      <c r="Z67" s="34"/>
      <c r="AA67" s="23" t="str">
        <f t="shared" si="20"/>
        <v xml:space="preserve"> </v>
      </c>
      <c r="AC67" s="56"/>
      <c r="AE67" s="68"/>
    </row>
    <row r="68" spans="1:31" s="2" customFormat="1" ht="12.95" customHeight="1" x14ac:dyDescent="0.15">
      <c r="C68" s="34"/>
      <c r="D68" s="34"/>
      <c r="E68" s="23" t="str">
        <f t="shared" si="21"/>
        <v xml:space="preserve"> </v>
      </c>
      <c r="F68" s="34"/>
      <c r="G68" s="23" t="str">
        <f t="shared" si="13"/>
        <v xml:space="preserve"> </v>
      </c>
      <c r="H68" s="34"/>
      <c r="I68" s="23" t="str">
        <f t="shared" si="14"/>
        <v xml:space="preserve"> </v>
      </c>
      <c r="J68" s="34"/>
      <c r="K68" s="23" t="str">
        <f t="shared" si="15"/>
        <v xml:space="preserve"> </v>
      </c>
      <c r="L68" s="34"/>
      <c r="M68" s="23" t="str">
        <f t="shared" si="16"/>
        <v xml:space="preserve"> </v>
      </c>
      <c r="P68" s="34"/>
      <c r="Q68" s="23" t="str">
        <f t="shared" si="17"/>
        <v xml:space="preserve"> </v>
      </c>
      <c r="R68" s="34"/>
      <c r="S68" s="23" t="str">
        <f t="shared" si="18"/>
        <v xml:space="preserve"> </v>
      </c>
      <c r="T68" s="34"/>
      <c r="U68" s="23" t="str">
        <f t="shared" si="19"/>
        <v xml:space="preserve"> </v>
      </c>
      <c r="V68" s="34"/>
      <c r="W68" s="23" t="str">
        <f t="shared" si="20"/>
        <v xml:space="preserve"> </v>
      </c>
      <c r="X68" s="34"/>
      <c r="Y68" s="23" t="str">
        <f t="shared" si="20"/>
        <v xml:space="preserve"> </v>
      </c>
      <c r="Z68" s="34"/>
      <c r="AA68" s="23" t="str">
        <f t="shared" si="20"/>
        <v xml:space="preserve"> </v>
      </c>
      <c r="AC68" s="56"/>
      <c r="AE68" s="68"/>
    </row>
    <row r="69" spans="1:31" s="2" customFormat="1" ht="12.95" customHeight="1" x14ac:dyDescent="0.15">
      <c r="A69" s="1" t="s">
        <v>60</v>
      </c>
      <c r="B69" s="1"/>
      <c r="C69" s="28">
        <v>12.4</v>
      </c>
      <c r="D69" s="28">
        <v>14.7</v>
      </c>
      <c r="E69" s="23">
        <f>IF(D69&gt;0,D69+C69," ")</f>
        <v>27.1</v>
      </c>
      <c r="F69" s="95">
        <v>17.8</v>
      </c>
      <c r="G69" s="23">
        <f>IF(F69&gt;0,F69+E69," ")</f>
        <v>44.900000000000006</v>
      </c>
      <c r="H69" s="28">
        <v>16.3</v>
      </c>
      <c r="I69" s="23">
        <f t="shared" si="14"/>
        <v>61.2</v>
      </c>
      <c r="J69" s="28">
        <v>16</v>
      </c>
      <c r="K69" s="23">
        <f t="shared" si="15"/>
        <v>77.2</v>
      </c>
      <c r="L69" s="28">
        <v>15.5</v>
      </c>
      <c r="M69" s="23">
        <f t="shared" si="16"/>
        <v>92.7</v>
      </c>
      <c r="N69" s="1" t="s">
        <v>60</v>
      </c>
      <c r="O69" s="1"/>
      <c r="P69" s="98">
        <v>15.5</v>
      </c>
      <c r="Q69" s="23">
        <f t="shared" si="17"/>
        <v>108.2</v>
      </c>
      <c r="R69" s="28">
        <v>9.3000000000000007</v>
      </c>
      <c r="S69" s="23">
        <f t="shared" si="18"/>
        <v>117.5</v>
      </c>
      <c r="T69" s="98">
        <v>16.5</v>
      </c>
      <c r="U69" s="23">
        <f t="shared" si="19"/>
        <v>134</v>
      </c>
      <c r="V69" s="28">
        <v>16.100000000000001</v>
      </c>
      <c r="W69" s="23">
        <f t="shared" si="20"/>
        <v>150.1</v>
      </c>
      <c r="X69" s="28">
        <v>15.8</v>
      </c>
      <c r="Y69" s="23">
        <f t="shared" si="20"/>
        <v>165.9</v>
      </c>
      <c r="Z69" s="28">
        <v>13.4</v>
      </c>
      <c r="AA69" s="23">
        <f t="shared" si="20"/>
        <v>179.3</v>
      </c>
      <c r="AC69" s="56"/>
      <c r="AE69" s="68"/>
    </row>
    <row r="70" spans="1:31" s="2" customFormat="1" ht="12.95" customHeight="1" x14ac:dyDescent="0.15">
      <c r="A70" s="1"/>
      <c r="B70" s="1"/>
      <c r="C70" s="34"/>
      <c r="D70" s="34"/>
      <c r="E70" s="23" t="str">
        <f t="shared" si="21"/>
        <v xml:space="preserve"> </v>
      </c>
      <c r="F70" s="34"/>
      <c r="G70" s="23" t="str">
        <f t="shared" si="13"/>
        <v xml:space="preserve"> </v>
      </c>
      <c r="H70" s="34"/>
      <c r="I70" s="23" t="str">
        <f t="shared" si="14"/>
        <v xml:space="preserve"> </v>
      </c>
      <c r="J70" s="34"/>
      <c r="K70" s="23" t="str">
        <f t="shared" si="15"/>
        <v xml:space="preserve"> </v>
      </c>
      <c r="L70" s="34"/>
      <c r="M70" s="23" t="str">
        <f t="shared" si="16"/>
        <v xml:space="preserve"> </v>
      </c>
      <c r="N70" s="1"/>
      <c r="O70" s="1"/>
      <c r="P70" s="34"/>
      <c r="Q70" s="23" t="str">
        <f t="shared" si="17"/>
        <v xml:space="preserve"> </v>
      </c>
      <c r="R70" s="34"/>
      <c r="S70" s="23" t="str">
        <f t="shared" si="18"/>
        <v xml:space="preserve"> </v>
      </c>
      <c r="T70" s="34"/>
      <c r="U70" s="23" t="str">
        <f t="shared" si="19"/>
        <v xml:space="preserve"> </v>
      </c>
      <c r="V70" s="34"/>
      <c r="W70" s="23" t="str">
        <f t="shared" si="20"/>
        <v xml:space="preserve"> </v>
      </c>
      <c r="X70" s="34"/>
      <c r="Y70" s="23" t="str">
        <f t="shared" si="20"/>
        <v xml:space="preserve"> </v>
      </c>
      <c r="Z70" s="34"/>
      <c r="AA70" s="23" t="str">
        <f t="shared" si="20"/>
        <v xml:space="preserve"> </v>
      </c>
      <c r="AC70" s="56"/>
      <c r="AE70" s="68"/>
    </row>
    <row r="71" spans="1:31" s="2" customFormat="1" ht="12.95" customHeight="1" x14ac:dyDescent="0.15">
      <c r="A71" s="39" t="s">
        <v>34</v>
      </c>
      <c r="B71" s="39" t="s">
        <v>75</v>
      </c>
      <c r="C71" s="28">
        <v>38.200000000000003</v>
      </c>
      <c r="D71" s="95">
        <v>47.3</v>
      </c>
      <c r="E71" s="23">
        <f>IF(D71&gt;0,D71+C71," ")</f>
        <v>85.5</v>
      </c>
      <c r="F71" s="28">
        <v>48</v>
      </c>
      <c r="G71" s="23">
        <f t="shared" si="13"/>
        <v>133.5</v>
      </c>
      <c r="H71" s="28">
        <v>49.3</v>
      </c>
      <c r="I71" s="23">
        <f t="shared" si="14"/>
        <v>182.8</v>
      </c>
      <c r="J71" s="28">
        <v>58.5</v>
      </c>
      <c r="K71" s="23">
        <f t="shared" si="15"/>
        <v>241.3</v>
      </c>
      <c r="L71" s="28">
        <v>66.5</v>
      </c>
      <c r="M71" s="23">
        <f t="shared" si="16"/>
        <v>307.8</v>
      </c>
      <c r="N71" s="39" t="s">
        <v>34</v>
      </c>
      <c r="O71" s="90" t="s">
        <v>75</v>
      </c>
      <c r="P71" s="28">
        <v>81.900000000000006</v>
      </c>
      <c r="Q71" s="23">
        <f t="shared" si="17"/>
        <v>389.70000000000005</v>
      </c>
      <c r="R71" s="28">
        <v>85</v>
      </c>
      <c r="S71" s="23">
        <f t="shared" si="18"/>
        <v>474.70000000000005</v>
      </c>
      <c r="T71" s="28">
        <v>70.8</v>
      </c>
      <c r="U71" s="23">
        <f t="shared" si="19"/>
        <v>545.5</v>
      </c>
      <c r="V71" s="28">
        <v>64.900000000000006</v>
      </c>
      <c r="W71" s="23">
        <f t="shared" si="20"/>
        <v>610.4</v>
      </c>
      <c r="X71" s="28">
        <v>54.5</v>
      </c>
      <c r="Y71" s="23">
        <f t="shared" si="20"/>
        <v>664.9</v>
      </c>
      <c r="Z71" s="28">
        <v>64</v>
      </c>
      <c r="AA71" s="23">
        <f t="shared" si="20"/>
        <v>728.9</v>
      </c>
      <c r="AC71" s="56"/>
      <c r="AE71" s="68"/>
    </row>
    <row r="72" spans="1:31" s="2" customFormat="1" ht="12.95" customHeight="1" x14ac:dyDescent="0.15">
      <c r="C72" s="14"/>
      <c r="D72" s="14"/>
      <c r="E72" s="23" t="str">
        <f t="shared" si="21"/>
        <v xml:space="preserve"> </v>
      </c>
      <c r="F72" s="14"/>
      <c r="G72" s="23" t="str">
        <f t="shared" si="13"/>
        <v xml:space="preserve"> </v>
      </c>
      <c r="H72" s="14"/>
      <c r="I72" s="23" t="str">
        <f t="shared" si="14"/>
        <v xml:space="preserve"> </v>
      </c>
      <c r="J72" s="14"/>
      <c r="K72" s="23" t="str">
        <f t="shared" si="15"/>
        <v xml:space="preserve"> </v>
      </c>
      <c r="L72" s="14"/>
      <c r="M72" s="23" t="str">
        <f t="shared" si="16"/>
        <v xml:space="preserve"> </v>
      </c>
      <c r="P72" s="14"/>
      <c r="Q72" s="23" t="str">
        <f t="shared" si="17"/>
        <v xml:space="preserve"> </v>
      </c>
      <c r="R72" s="14"/>
      <c r="S72" s="23" t="str">
        <f t="shared" si="18"/>
        <v xml:space="preserve"> </v>
      </c>
      <c r="T72" s="14"/>
      <c r="U72" s="23" t="str">
        <f t="shared" si="19"/>
        <v xml:space="preserve"> </v>
      </c>
      <c r="V72" s="14"/>
      <c r="W72" s="23" t="str">
        <f t="shared" si="20"/>
        <v xml:space="preserve"> </v>
      </c>
      <c r="X72" s="14"/>
      <c r="Y72" s="23" t="str">
        <f t="shared" si="20"/>
        <v xml:space="preserve"> </v>
      </c>
      <c r="Z72" s="14"/>
      <c r="AA72" s="23" t="str">
        <f t="shared" si="20"/>
        <v xml:space="preserve"> </v>
      </c>
      <c r="AC72" s="56"/>
      <c r="AE72" s="68"/>
    </row>
    <row r="73" spans="1:31" s="2" customFormat="1" ht="12.95" customHeight="1" x14ac:dyDescent="0.15">
      <c r="A73" s="39" t="s">
        <v>73</v>
      </c>
      <c r="B73" s="1"/>
      <c r="C73" s="28">
        <v>699</v>
      </c>
      <c r="D73" s="28">
        <v>572</v>
      </c>
      <c r="E73" s="23">
        <f>IF(D73&gt;0,D73+C73," ")</f>
        <v>1271</v>
      </c>
      <c r="F73" s="28">
        <v>690</v>
      </c>
      <c r="G73" s="23">
        <f>IF(F73&gt;0,F73+E73," ")</f>
        <v>1961</v>
      </c>
      <c r="H73" s="28">
        <v>709</v>
      </c>
      <c r="I73" s="23">
        <f t="shared" si="14"/>
        <v>2670</v>
      </c>
      <c r="J73" s="28">
        <v>679</v>
      </c>
      <c r="K73" s="23">
        <f t="shared" si="15"/>
        <v>3349</v>
      </c>
      <c r="L73" s="28">
        <v>579</v>
      </c>
      <c r="M73" s="23">
        <f t="shared" si="16"/>
        <v>3928</v>
      </c>
      <c r="N73" s="39" t="s">
        <v>73</v>
      </c>
      <c r="O73" s="1"/>
      <c r="P73" s="28">
        <v>576</v>
      </c>
      <c r="Q73" s="23">
        <f t="shared" si="17"/>
        <v>4504</v>
      </c>
      <c r="R73" s="28">
        <v>636</v>
      </c>
      <c r="S73" s="23">
        <f t="shared" si="18"/>
        <v>5140</v>
      </c>
      <c r="T73" s="28">
        <v>599</v>
      </c>
      <c r="U73" s="23">
        <f t="shared" si="19"/>
        <v>5739</v>
      </c>
      <c r="V73" s="28">
        <v>628</v>
      </c>
      <c r="W73" s="23">
        <f t="shared" si="20"/>
        <v>6367</v>
      </c>
      <c r="X73" s="28">
        <v>686</v>
      </c>
      <c r="Y73" s="23">
        <f t="shared" si="20"/>
        <v>7053</v>
      </c>
      <c r="Z73" s="28">
        <v>646</v>
      </c>
      <c r="AA73" s="23">
        <f t="shared" si="20"/>
        <v>7699</v>
      </c>
      <c r="AC73" s="56"/>
      <c r="AE73" s="68"/>
    </row>
    <row r="74" spans="1:31" s="2" customFormat="1" ht="12.95" customHeight="1" x14ac:dyDescent="0.15">
      <c r="A74" s="1"/>
      <c r="B74" s="1"/>
      <c r="C74" s="34"/>
      <c r="D74" s="34"/>
      <c r="E74" s="23"/>
      <c r="F74" s="34"/>
      <c r="G74" s="23"/>
      <c r="H74" s="34"/>
      <c r="I74" s="23"/>
      <c r="J74" s="34"/>
      <c r="K74" s="23"/>
      <c r="L74" s="34"/>
      <c r="M74" s="23"/>
      <c r="N74" s="1"/>
      <c r="O74" s="1"/>
      <c r="P74" s="35"/>
      <c r="Q74" s="24"/>
      <c r="R74" s="35"/>
      <c r="S74" s="24"/>
      <c r="T74" s="35"/>
      <c r="U74" s="24"/>
      <c r="V74" s="35"/>
      <c r="W74" s="24"/>
      <c r="X74" s="35"/>
      <c r="Y74" s="24"/>
      <c r="Z74" s="35"/>
      <c r="AA74" s="24"/>
      <c r="AC74" s="56"/>
      <c r="AE74" s="68"/>
    </row>
    <row r="75" spans="1:31" ht="12.95" customHeight="1" x14ac:dyDescent="0.2">
      <c r="A75" s="76" t="s">
        <v>57</v>
      </c>
      <c r="B75" s="76"/>
      <c r="C75" s="79" t="s">
        <v>85</v>
      </c>
      <c r="D75" s="61"/>
      <c r="E75" s="61"/>
      <c r="F75" s="61"/>
      <c r="G75" s="5"/>
      <c r="H75" s="5"/>
      <c r="I75" s="5"/>
      <c r="J75" s="5"/>
      <c r="K75" s="6"/>
      <c r="L75" s="6"/>
      <c r="M75" s="6"/>
      <c r="N75" s="76" t="str">
        <f>A75</f>
        <v xml:space="preserve">Consuntivi aggiornati al mese di: </v>
      </c>
      <c r="O75" s="44"/>
      <c r="P75" s="79" t="s">
        <v>85</v>
      </c>
      <c r="Q75" s="77"/>
      <c r="R75" s="7"/>
      <c r="S75" s="7"/>
      <c r="U75" s="7"/>
      <c r="W75" s="7"/>
      <c r="Y75" s="7"/>
      <c r="AA75" s="7"/>
      <c r="AC75" s="56"/>
      <c r="AE75" s="68"/>
    </row>
    <row r="76" spans="1:31" ht="12.95" customHeight="1" x14ac:dyDescent="0.2">
      <c r="A76" s="8"/>
      <c r="B76" s="8"/>
      <c r="C76" s="62"/>
      <c r="D76" s="62"/>
      <c r="E76" s="62"/>
      <c r="F76" s="62"/>
      <c r="G76" s="9"/>
      <c r="H76" s="9"/>
      <c r="I76" s="9"/>
      <c r="J76" s="9"/>
      <c r="K76" s="9"/>
      <c r="M76" s="9"/>
      <c r="N76" s="8"/>
      <c r="O76" s="8"/>
      <c r="P76" s="9"/>
      <c r="Q76" s="9"/>
      <c r="R76" s="9"/>
      <c r="S76" s="9"/>
      <c r="T76" s="9"/>
      <c r="U76" s="9"/>
      <c r="V76" s="9"/>
      <c r="W76" s="9"/>
      <c r="X76" s="9"/>
      <c r="Y76" s="14"/>
      <c r="AA76" s="10"/>
      <c r="AC76" s="56"/>
      <c r="AE76" s="68"/>
    </row>
    <row r="77" spans="1:31" ht="12.95" customHeight="1" x14ac:dyDescent="0.2">
      <c r="A77" s="11"/>
      <c r="B77" s="11"/>
      <c r="C77" s="62"/>
      <c r="D77" s="8"/>
      <c r="E77" s="8"/>
      <c r="F77" s="8"/>
      <c r="N77" s="8"/>
      <c r="O77" s="8"/>
      <c r="AA77" s="10"/>
      <c r="AB77" s="7"/>
      <c r="AC77" s="56"/>
      <c r="AE77" s="68"/>
    </row>
    <row r="78" spans="1:31" ht="12.95" customHeight="1" x14ac:dyDescent="0.2">
      <c r="A78" s="8"/>
      <c r="B78" s="8"/>
      <c r="C78" s="62"/>
      <c r="D78" s="62"/>
      <c r="E78" s="62"/>
      <c r="F78" s="62"/>
      <c r="G78" s="9"/>
      <c r="H78" s="9"/>
      <c r="I78" s="9"/>
      <c r="J78" s="9"/>
      <c r="K78" s="9"/>
      <c r="L78" s="9"/>
      <c r="M78" s="9"/>
      <c r="N78" s="8"/>
      <c r="O78" s="8"/>
      <c r="P78" s="9"/>
      <c r="Q78" s="9"/>
      <c r="R78" s="9"/>
      <c r="S78" s="9"/>
      <c r="T78" s="9"/>
      <c r="U78" s="9"/>
      <c r="V78" s="7"/>
      <c r="W78" s="9"/>
      <c r="X78" s="7"/>
      <c r="Y78" s="9"/>
      <c r="Z78" s="9"/>
      <c r="AC78" s="56"/>
      <c r="AE78" s="68"/>
    </row>
    <row r="79" spans="1:31" ht="12.95" customHeight="1" x14ac:dyDescent="0.2">
      <c r="A79" s="45" t="s">
        <v>58</v>
      </c>
      <c r="B79" s="45"/>
      <c r="C79" s="62"/>
      <c r="D79" s="62"/>
      <c r="E79" s="62"/>
      <c r="F79" s="62"/>
      <c r="G79" s="62"/>
      <c r="H79" s="9"/>
      <c r="I79" s="62"/>
      <c r="J79" s="62"/>
      <c r="K79" s="62"/>
      <c r="L79" s="62"/>
      <c r="M79" s="62"/>
      <c r="N79" s="45"/>
      <c r="O79" s="45"/>
      <c r="P79" s="62"/>
      <c r="Q79" s="9"/>
      <c r="R79" s="9"/>
      <c r="S79" s="9"/>
      <c r="T79" s="92"/>
      <c r="U79" s="92"/>
      <c r="V79" s="93"/>
      <c r="W79" s="92"/>
      <c r="X79" s="92"/>
      <c r="Y79" s="92"/>
      <c r="Z79" s="92"/>
      <c r="AA79" s="7"/>
      <c r="AB79" s="7"/>
      <c r="AC79" s="56"/>
      <c r="AD79" s="94"/>
      <c r="AE79" s="68"/>
    </row>
    <row r="80" spans="1:31" ht="12.95" customHeight="1" thickBot="1" x14ac:dyDescent="0.25">
      <c r="A80" s="8"/>
      <c r="B80" s="8"/>
      <c r="C80" s="8"/>
      <c r="D80" s="8"/>
      <c r="E80" s="8"/>
      <c r="F80" s="8"/>
      <c r="N80" s="7"/>
      <c r="O80" s="8"/>
      <c r="P80" s="9"/>
      <c r="Q80" s="9"/>
      <c r="R80" s="9"/>
      <c r="S80" s="9"/>
      <c r="T80" s="9"/>
      <c r="U80" s="9"/>
      <c r="V80" s="7"/>
      <c r="W80" s="9"/>
      <c r="X80" s="7"/>
      <c r="Y80" s="9"/>
      <c r="Z80" s="9"/>
      <c r="AC80" s="56"/>
      <c r="AE80" s="68"/>
    </row>
    <row r="81" spans="1:31" s="27" customFormat="1" ht="25.5" customHeight="1" thickBot="1" x14ac:dyDescent="0.25">
      <c r="A81" s="46" t="s">
        <v>59</v>
      </c>
      <c r="B81" s="47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8"/>
      <c r="AC81" s="56"/>
      <c r="AD81" s="8"/>
      <c r="AE81" s="68"/>
    </row>
    <row r="82" spans="1:31" s="22" customFormat="1" ht="12.75" customHeight="1" x14ac:dyDescent="0.2">
      <c r="A82" s="48"/>
      <c r="B82" s="20"/>
      <c r="C82" s="84"/>
      <c r="D82" s="84"/>
      <c r="E82" s="64"/>
      <c r="F82" s="84"/>
      <c r="G82" s="21"/>
      <c r="H82" s="84"/>
      <c r="I82" s="21"/>
      <c r="J82" s="84"/>
      <c r="K82" s="21"/>
      <c r="L82" s="84"/>
      <c r="M82" s="21"/>
      <c r="N82" s="48"/>
      <c r="O82" s="19"/>
      <c r="P82" s="19"/>
      <c r="Q82" s="19"/>
      <c r="R82" s="21"/>
      <c r="S82" s="19"/>
      <c r="T82" s="19"/>
      <c r="U82" s="19"/>
      <c r="V82" s="19"/>
      <c r="W82" s="21"/>
      <c r="X82" s="21"/>
      <c r="Y82" s="21"/>
      <c r="Z82" s="21"/>
      <c r="AA82" s="21"/>
      <c r="AD82" s="8"/>
      <c r="AE82" s="68"/>
    </row>
    <row r="83" spans="1:31" ht="12.95" customHeight="1" x14ac:dyDescent="0.2">
      <c r="A83" s="48" t="s">
        <v>61</v>
      </c>
      <c r="B83" s="8"/>
      <c r="C83" s="64"/>
      <c r="D83" s="64"/>
      <c r="E83" s="64"/>
      <c r="F83" s="64"/>
      <c r="G83" s="21"/>
      <c r="H83" s="64"/>
      <c r="I83" s="7"/>
      <c r="J83" s="64"/>
      <c r="K83" s="7"/>
      <c r="L83" s="7"/>
      <c r="M83" s="7"/>
      <c r="N83" s="7"/>
      <c r="O83" s="8"/>
      <c r="S83" s="7"/>
      <c r="T83" s="7"/>
      <c r="U83" s="7"/>
      <c r="W83" s="7"/>
      <c r="AE83" s="68"/>
    </row>
    <row r="84" spans="1:31" ht="12.95" customHeight="1" x14ac:dyDescent="0.2">
      <c r="A84" s="48"/>
      <c r="B84" s="11"/>
      <c r="C84" s="64"/>
      <c r="D84" s="64"/>
      <c r="E84" s="64"/>
      <c r="F84" s="64"/>
      <c r="G84" s="21"/>
      <c r="H84" s="21"/>
      <c r="I84" s="21"/>
      <c r="J84" s="21"/>
      <c r="K84" s="21"/>
      <c r="L84" s="21"/>
      <c r="M84" s="21"/>
      <c r="N84" s="21"/>
      <c r="O84" s="11"/>
      <c r="P84" s="11"/>
      <c r="Q84" s="11"/>
      <c r="R84" s="11"/>
      <c r="S84" s="9"/>
      <c r="T84" s="11"/>
      <c r="U84" s="11"/>
      <c r="AA84" s="7"/>
      <c r="AE84" s="68"/>
    </row>
    <row r="85" spans="1:31" ht="16.5" x14ac:dyDescent="0.2">
      <c r="A85" s="49"/>
      <c r="C85" s="65"/>
      <c r="D85" s="65"/>
      <c r="E85" s="64"/>
      <c r="F85" s="65"/>
      <c r="G85" s="64"/>
      <c r="H85" s="65"/>
      <c r="I85" s="7"/>
      <c r="J85" s="65"/>
      <c r="K85" s="7"/>
      <c r="L85" s="7"/>
      <c r="M85" s="7"/>
      <c r="N85" s="7"/>
      <c r="P85" s="50"/>
      <c r="Q85" s="50"/>
      <c r="R85" s="50"/>
      <c r="S85" s="91"/>
      <c r="T85" s="50"/>
      <c r="U85" s="50"/>
      <c r="V85" s="50"/>
      <c r="AA85" s="7"/>
      <c r="AE85" s="68"/>
    </row>
    <row r="86" spans="1:31" x14ac:dyDescent="0.2">
      <c r="A86" s="8"/>
      <c r="B86" s="8"/>
      <c r="C86" s="8"/>
      <c r="D86" s="8"/>
      <c r="E86" s="8"/>
      <c r="F86" s="8"/>
      <c r="N86" s="8"/>
      <c r="O86" s="8"/>
      <c r="AE86" s="68"/>
    </row>
    <row r="87" spans="1:31" x14ac:dyDescent="0.2">
      <c r="A87" s="8"/>
      <c r="B87" s="8"/>
      <c r="C87" s="8"/>
      <c r="D87" s="8"/>
      <c r="E87" s="8"/>
      <c r="F87" s="8"/>
      <c r="N87" s="8"/>
      <c r="O87" s="8"/>
      <c r="AE87" s="68"/>
    </row>
    <row r="88" spans="1:31" x14ac:dyDescent="0.2">
      <c r="A88" s="8"/>
      <c r="B88" s="8"/>
      <c r="C88" s="8"/>
      <c r="D88" s="8"/>
      <c r="E88" s="8"/>
      <c r="F88" s="8"/>
      <c r="N88" s="8"/>
      <c r="O88" s="8"/>
      <c r="AE88" s="68"/>
    </row>
    <row r="89" spans="1:31" x14ac:dyDescent="0.2">
      <c r="A89" s="8"/>
      <c r="B89" s="8"/>
      <c r="C89" s="8"/>
      <c r="D89" s="8"/>
      <c r="E89" s="8"/>
      <c r="F89" s="8"/>
      <c r="N89" s="8"/>
      <c r="O89" s="8"/>
      <c r="AE89" s="68"/>
    </row>
    <row r="90" spans="1:31" x14ac:dyDescent="0.2">
      <c r="A90" s="8"/>
      <c r="B90" s="8"/>
      <c r="C90" s="8"/>
      <c r="D90" s="8"/>
      <c r="E90" s="8"/>
      <c r="F90" s="8"/>
      <c r="N90" s="8"/>
      <c r="O90" s="8"/>
      <c r="AE90" s="68"/>
    </row>
    <row r="91" spans="1:31" x14ac:dyDescent="0.2">
      <c r="A91" s="8"/>
      <c r="B91" s="8"/>
      <c r="C91" s="8"/>
      <c r="D91" s="8"/>
      <c r="E91" s="8"/>
      <c r="F91" s="8"/>
      <c r="N91" s="8"/>
      <c r="O91" s="8"/>
      <c r="AE91" s="68"/>
    </row>
    <row r="92" spans="1:31" ht="16.5" x14ac:dyDescent="0.2">
      <c r="A92" s="51"/>
      <c r="B92" s="51"/>
      <c r="C92" s="65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51"/>
      <c r="O92" s="51"/>
      <c r="P92" s="9"/>
      <c r="Q92" s="7"/>
      <c r="R92" s="7"/>
      <c r="S92" s="7"/>
      <c r="AE92" s="68"/>
    </row>
    <row r="93" spans="1:31" ht="16.5" x14ac:dyDescent="0.2">
      <c r="A93" s="51"/>
      <c r="B93" s="51"/>
      <c r="C93" s="65"/>
      <c r="D93" s="64"/>
      <c r="E93" s="64"/>
      <c r="F93" s="64"/>
      <c r="G93" s="64"/>
      <c r="H93" s="7"/>
      <c r="I93" s="7"/>
      <c r="J93" s="7"/>
      <c r="K93" s="9"/>
      <c r="L93" s="9"/>
      <c r="M93" s="9"/>
      <c r="N93" s="51"/>
      <c r="O93" s="51"/>
      <c r="P93" s="9"/>
      <c r="Q93" s="7"/>
      <c r="R93" s="7"/>
      <c r="S93" s="7"/>
      <c r="AE93" s="68"/>
    </row>
    <row r="94" spans="1:31" ht="16.5" x14ac:dyDescent="0.2">
      <c r="A94" s="51"/>
      <c r="B94" s="51"/>
      <c r="C94" s="62"/>
      <c r="D94" s="62"/>
      <c r="E94" s="62"/>
      <c r="F94" s="62"/>
      <c r="G94" s="64"/>
      <c r="H94" s="64"/>
      <c r="I94" s="64"/>
      <c r="J94" s="64"/>
      <c r="K94" s="64"/>
      <c r="L94" s="64"/>
      <c r="M94" s="64"/>
      <c r="N94" s="51"/>
      <c r="O94" s="51"/>
      <c r="P94" s="9"/>
      <c r="Q94" s="7"/>
      <c r="R94" s="7"/>
      <c r="S94" s="7"/>
      <c r="AE94" s="68"/>
    </row>
    <row r="95" spans="1:31" ht="16.5" x14ac:dyDescent="0.2">
      <c r="C95" s="65"/>
      <c r="D95" s="62"/>
      <c r="E95" s="65"/>
      <c r="F95" s="62"/>
      <c r="G95" s="64"/>
      <c r="H95" s="7"/>
      <c r="I95" s="7"/>
      <c r="J95" s="7"/>
      <c r="K95" s="9"/>
      <c r="L95" s="9"/>
      <c r="M95" s="9"/>
      <c r="N95" s="51"/>
      <c r="P95" s="9"/>
      <c r="Q95" s="7"/>
      <c r="R95" s="7"/>
      <c r="S95" s="7"/>
      <c r="AE95" s="68"/>
    </row>
    <row r="96" spans="1:31" ht="16.5" x14ac:dyDescent="0.2">
      <c r="A96" s="51"/>
      <c r="B96" s="51"/>
      <c r="C96" s="62"/>
      <c r="D96" s="62"/>
      <c r="E96" s="62"/>
      <c r="F96" s="62"/>
      <c r="G96" s="64"/>
      <c r="H96" s="64"/>
      <c r="I96" s="64"/>
      <c r="J96" s="64"/>
      <c r="K96" s="64"/>
      <c r="L96" s="64"/>
      <c r="M96" s="64"/>
      <c r="N96" s="51"/>
      <c r="O96" s="51"/>
      <c r="P96" s="9"/>
      <c r="Q96" s="7"/>
      <c r="R96" s="7"/>
      <c r="S96" s="7"/>
      <c r="AE96" s="68"/>
    </row>
    <row r="97" spans="1:31" ht="16.5" x14ac:dyDescent="0.2">
      <c r="A97" s="51"/>
      <c r="B97" s="51"/>
      <c r="C97" s="62"/>
      <c r="D97" s="62"/>
      <c r="E97" s="62"/>
      <c r="F97" s="62"/>
      <c r="G97" s="64"/>
      <c r="H97" s="7"/>
      <c r="I97" s="7"/>
      <c r="J97" s="7"/>
      <c r="K97" s="9"/>
      <c r="L97" s="9"/>
      <c r="M97" s="9"/>
      <c r="N97" s="51"/>
      <c r="O97" s="51"/>
      <c r="P97" s="9"/>
      <c r="Q97" s="7"/>
      <c r="R97" s="7"/>
      <c r="S97" s="7"/>
      <c r="AE97" s="68"/>
    </row>
    <row r="98" spans="1:31" ht="16.5" x14ac:dyDescent="0.2">
      <c r="B98" s="51"/>
      <c r="C98" s="62"/>
      <c r="D98" s="62"/>
      <c r="E98" s="62"/>
      <c r="F98" s="62"/>
      <c r="G98" s="64"/>
      <c r="H98" s="64"/>
      <c r="I98" s="64"/>
      <c r="J98" s="64"/>
      <c r="K98" s="64"/>
      <c r="L98" s="64"/>
      <c r="M98" s="64"/>
      <c r="N98" s="51"/>
      <c r="O98" s="51"/>
      <c r="P98" s="9"/>
      <c r="Q98" s="7"/>
      <c r="R98" s="7"/>
      <c r="S98" s="7"/>
      <c r="AE98" s="68"/>
    </row>
    <row r="99" spans="1:31" ht="16.5" x14ac:dyDescent="0.2">
      <c r="B99" s="51"/>
      <c r="C99" s="62"/>
      <c r="D99" s="62"/>
      <c r="E99" s="62"/>
      <c r="F99" s="62"/>
      <c r="G99" s="64"/>
      <c r="H99" s="7"/>
      <c r="I99" s="7"/>
      <c r="J99" s="7"/>
      <c r="K99" s="9"/>
      <c r="L99" s="9"/>
      <c r="M99" s="9"/>
      <c r="N99" s="51"/>
      <c r="O99" s="51"/>
      <c r="P99" s="9"/>
      <c r="Q99" s="7"/>
      <c r="R99" s="7"/>
      <c r="S99" s="7"/>
      <c r="AE99" s="68"/>
    </row>
    <row r="100" spans="1:31" ht="16.5" x14ac:dyDescent="0.2">
      <c r="C100" s="65"/>
      <c r="D100" s="62"/>
      <c r="E100" s="65"/>
      <c r="F100" s="62"/>
      <c r="G100" s="64"/>
      <c r="H100" s="64"/>
      <c r="I100" s="64"/>
      <c r="J100" s="64"/>
      <c r="K100" s="64"/>
      <c r="L100" s="64"/>
      <c r="M100" s="64"/>
      <c r="N100" s="51"/>
      <c r="P100" s="9"/>
      <c r="Q100" s="7"/>
      <c r="R100" s="7"/>
      <c r="S100" s="7"/>
      <c r="AE100" s="68"/>
    </row>
    <row r="101" spans="1:31" x14ac:dyDescent="0.2">
      <c r="A101" s="51"/>
      <c r="B101" s="51"/>
      <c r="C101" s="62"/>
      <c r="D101" s="62"/>
      <c r="E101" s="62"/>
      <c r="F101" s="62"/>
      <c r="G101" s="9"/>
      <c r="H101" s="9"/>
      <c r="I101" s="9"/>
      <c r="J101" s="9"/>
      <c r="K101" s="9"/>
      <c r="L101" s="9"/>
      <c r="M101" s="9"/>
      <c r="N101" s="51"/>
      <c r="O101" s="51"/>
      <c r="P101" s="9"/>
      <c r="Q101" s="7"/>
      <c r="R101" s="7"/>
      <c r="S101" s="7"/>
      <c r="AE101" s="68"/>
    </row>
    <row r="102" spans="1:31" x14ac:dyDescent="0.2">
      <c r="A102" s="51"/>
      <c r="B102" s="51"/>
      <c r="C102" s="62"/>
      <c r="D102" s="62"/>
      <c r="E102" s="62"/>
      <c r="F102" s="62"/>
      <c r="G102" s="9"/>
      <c r="H102" s="9"/>
      <c r="I102" s="9"/>
      <c r="J102" s="9"/>
      <c r="K102" s="9"/>
      <c r="L102" s="9"/>
      <c r="M102" s="9"/>
      <c r="N102" s="51"/>
      <c r="O102" s="51"/>
      <c r="P102" s="9"/>
      <c r="Q102" s="7"/>
      <c r="R102" s="7"/>
      <c r="S102" s="7"/>
      <c r="AE102" s="68"/>
    </row>
    <row r="103" spans="1:31" x14ac:dyDescent="0.2">
      <c r="A103" s="51"/>
      <c r="B103" s="51"/>
      <c r="C103" s="62"/>
      <c r="D103" s="62"/>
      <c r="E103" s="62"/>
      <c r="F103" s="62"/>
      <c r="G103" s="9"/>
      <c r="H103" s="9"/>
      <c r="I103" s="9"/>
      <c r="J103" s="9"/>
      <c r="K103" s="9"/>
      <c r="L103" s="9"/>
      <c r="M103" s="9"/>
      <c r="N103" s="51"/>
      <c r="O103" s="51"/>
      <c r="P103" s="9"/>
      <c r="Q103" s="7"/>
      <c r="R103" s="7"/>
      <c r="S103" s="7"/>
      <c r="AE103" s="68"/>
    </row>
    <row r="104" spans="1:31" x14ac:dyDescent="0.2">
      <c r="A104" s="51"/>
      <c r="B104" s="51"/>
      <c r="C104" s="62"/>
      <c r="D104" s="62"/>
      <c r="E104" s="62"/>
      <c r="F104" s="62"/>
      <c r="G104" s="9"/>
      <c r="H104" s="9"/>
      <c r="I104" s="9"/>
      <c r="J104" s="9"/>
      <c r="K104" s="9"/>
      <c r="L104" s="9"/>
      <c r="M104" s="9"/>
      <c r="N104" s="51"/>
      <c r="O104" s="51"/>
      <c r="P104" s="9"/>
      <c r="Q104" s="7"/>
      <c r="R104" s="7"/>
      <c r="S104" s="7"/>
      <c r="AE104" s="68"/>
    </row>
    <row r="105" spans="1:31" x14ac:dyDescent="0.2">
      <c r="A105" s="51"/>
      <c r="B105" s="51"/>
      <c r="C105" s="62"/>
      <c r="D105" s="62"/>
      <c r="E105" s="62"/>
      <c r="F105" s="62"/>
      <c r="G105" s="9"/>
      <c r="H105" s="9"/>
      <c r="I105" s="9"/>
      <c r="J105" s="9"/>
      <c r="K105" s="9"/>
      <c r="L105" s="9"/>
      <c r="M105" s="9"/>
      <c r="N105" s="51"/>
      <c r="O105" s="51"/>
      <c r="P105" s="9"/>
      <c r="Q105" s="7"/>
      <c r="R105" s="7"/>
      <c r="S105" s="7"/>
      <c r="AE105" s="68"/>
    </row>
    <row r="106" spans="1:31" x14ac:dyDescent="0.2">
      <c r="A106" s="51"/>
      <c r="B106" s="51"/>
      <c r="C106" s="62"/>
      <c r="D106" s="62"/>
      <c r="E106" s="62"/>
      <c r="F106" s="62"/>
      <c r="G106" s="9"/>
      <c r="H106" s="9"/>
      <c r="I106" s="9"/>
      <c r="J106" s="9"/>
      <c r="K106" s="9"/>
      <c r="L106" s="9"/>
      <c r="M106" s="9"/>
      <c r="N106" s="51"/>
      <c r="O106" s="51"/>
      <c r="P106" s="9"/>
      <c r="Q106" s="7"/>
      <c r="R106" s="7"/>
      <c r="S106" s="7"/>
      <c r="AE106" s="68"/>
    </row>
    <row r="107" spans="1:31" x14ac:dyDescent="0.2">
      <c r="C107" s="65"/>
      <c r="D107" s="62"/>
      <c r="E107" s="65"/>
      <c r="F107" s="62"/>
      <c r="G107" s="7"/>
      <c r="H107" s="9"/>
      <c r="I107" s="7"/>
      <c r="J107" s="9"/>
      <c r="K107" s="7"/>
      <c r="L107" s="9"/>
      <c r="M107" s="7"/>
      <c r="P107" s="9"/>
      <c r="Q107" s="7"/>
      <c r="R107" s="7"/>
      <c r="S107" s="7"/>
      <c r="AE107" s="68"/>
    </row>
    <row r="108" spans="1:31" x14ac:dyDescent="0.2">
      <c r="B108" s="51"/>
      <c r="C108" s="62"/>
      <c r="D108" s="62"/>
      <c r="E108" s="62"/>
      <c r="F108" s="62"/>
      <c r="G108" s="9"/>
      <c r="H108" s="9"/>
      <c r="I108" s="9"/>
      <c r="J108" s="9"/>
      <c r="K108" s="9"/>
      <c r="L108" s="9"/>
      <c r="M108" s="9"/>
      <c r="O108" s="51"/>
      <c r="P108" s="9"/>
      <c r="Q108" s="7"/>
      <c r="R108" s="7"/>
      <c r="S108" s="7"/>
      <c r="AE108" s="68"/>
    </row>
    <row r="109" spans="1:31" x14ac:dyDescent="0.2">
      <c r="B109" s="51"/>
      <c r="C109" s="62"/>
      <c r="D109" s="62"/>
      <c r="E109" s="62"/>
      <c r="F109" s="62"/>
      <c r="G109" s="9"/>
      <c r="H109" s="9"/>
      <c r="I109" s="9"/>
      <c r="J109" s="9"/>
      <c r="K109" s="9"/>
      <c r="L109" s="9"/>
      <c r="M109" s="9"/>
      <c r="O109" s="51"/>
      <c r="P109" s="9"/>
      <c r="Q109" s="7"/>
      <c r="R109" s="7"/>
      <c r="S109" s="7"/>
      <c r="AE109" s="68"/>
    </row>
    <row r="110" spans="1:31" x14ac:dyDescent="0.2">
      <c r="B110" s="51"/>
      <c r="C110" s="62"/>
      <c r="D110" s="62"/>
      <c r="E110" s="62"/>
      <c r="F110" s="62"/>
      <c r="G110" s="9"/>
      <c r="H110" s="9"/>
      <c r="I110" s="9"/>
      <c r="J110" s="9"/>
      <c r="K110" s="9"/>
      <c r="L110" s="9"/>
      <c r="M110" s="9"/>
      <c r="O110" s="51"/>
      <c r="P110" s="9"/>
      <c r="Q110" s="7"/>
      <c r="R110" s="7"/>
      <c r="S110" s="7"/>
      <c r="AE110" s="68"/>
    </row>
    <row r="111" spans="1:31" x14ac:dyDescent="0.2">
      <c r="B111" s="51"/>
      <c r="C111" s="65"/>
      <c r="D111" s="62"/>
      <c r="E111" s="65"/>
      <c r="F111" s="62"/>
      <c r="G111" s="7"/>
      <c r="H111" s="9"/>
      <c r="I111" s="9"/>
      <c r="J111" s="9"/>
      <c r="K111" s="9"/>
      <c r="L111" s="9"/>
      <c r="M111" s="9"/>
      <c r="O111" s="51"/>
      <c r="P111" s="9"/>
      <c r="Q111" s="7"/>
      <c r="R111" s="7"/>
      <c r="S111" s="7"/>
      <c r="AE111" s="68"/>
    </row>
    <row r="112" spans="1:31" x14ac:dyDescent="0.2">
      <c r="A112" s="51"/>
      <c r="B112" s="51"/>
      <c r="C112" s="62"/>
      <c r="D112" s="62"/>
      <c r="E112" s="62"/>
      <c r="F112" s="62"/>
      <c r="G112" s="9"/>
      <c r="H112" s="9"/>
      <c r="I112" s="9"/>
      <c r="J112" s="9"/>
      <c r="K112" s="9"/>
      <c r="L112" s="9"/>
      <c r="M112" s="9"/>
      <c r="N112" s="51"/>
      <c r="O112" s="51"/>
      <c r="P112" s="9"/>
      <c r="Q112" s="7"/>
      <c r="R112" s="7"/>
      <c r="S112" s="7"/>
      <c r="AE112" s="68"/>
    </row>
    <row r="113" spans="1:31" x14ac:dyDescent="0.2">
      <c r="A113" s="51"/>
      <c r="B113" s="51"/>
      <c r="C113" s="62"/>
      <c r="D113" s="62"/>
      <c r="E113" s="62"/>
      <c r="F113" s="62"/>
      <c r="G113" s="9"/>
      <c r="H113" s="9"/>
      <c r="I113" s="9"/>
      <c r="J113" s="9"/>
      <c r="K113" s="9"/>
      <c r="L113" s="9"/>
      <c r="M113" s="9"/>
      <c r="N113" s="51"/>
      <c r="O113" s="51"/>
      <c r="P113" s="9"/>
      <c r="Q113" s="7"/>
      <c r="R113" s="7"/>
      <c r="S113" s="7"/>
      <c r="AE113" s="68"/>
    </row>
    <row r="114" spans="1:31" x14ac:dyDescent="0.2">
      <c r="B114" s="51"/>
      <c r="C114" s="62"/>
      <c r="D114" s="62"/>
      <c r="E114" s="62"/>
      <c r="F114" s="62"/>
      <c r="G114" s="9"/>
      <c r="H114" s="9"/>
      <c r="I114" s="9"/>
      <c r="J114" s="9"/>
      <c r="K114" s="9"/>
      <c r="L114" s="9"/>
      <c r="M114" s="9"/>
      <c r="O114" s="51"/>
      <c r="P114" s="9"/>
      <c r="Q114" s="7"/>
      <c r="R114" s="7"/>
      <c r="S114" s="7"/>
      <c r="AE114" s="68"/>
    </row>
    <row r="115" spans="1:31" x14ac:dyDescent="0.2">
      <c r="B115" s="52"/>
      <c r="C115" s="62"/>
      <c r="D115" s="62"/>
      <c r="E115" s="62"/>
      <c r="F115" s="62"/>
      <c r="G115" s="9"/>
      <c r="H115" s="9"/>
      <c r="I115" s="9"/>
      <c r="J115" s="9"/>
      <c r="K115" s="9"/>
      <c r="L115" s="9"/>
      <c r="M115" s="9"/>
      <c r="O115" s="52"/>
      <c r="P115" s="9"/>
      <c r="Q115" s="7"/>
      <c r="R115" s="7"/>
      <c r="S115" s="7"/>
      <c r="AE115" s="68"/>
    </row>
    <row r="116" spans="1:31" x14ac:dyDescent="0.2">
      <c r="B116" s="51"/>
      <c r="C116" s="65"/>
      <c r="D116" s="62"/>
      <c r="E116" s="65"/>
      <c r="F116" s="62"/>
      <c r="G116" s="7"/>
      <c r="H116" s="9"/>
      <c r="I116" s="9"/>
      <c r="J116" s="9"/>
      <c r="K116" s="9"/>
      <c r="L116" s="9"/>
      <c r="M116" s="9"/>
      <c r="O116" s="51"/>
      <c r="P116" s="9"/>
      <c r="Q116" s="7"/>
      <c r="R116" s="7"/>
      <c r="S116" s="7"/>
      <c r="AE116" s="68"/>
    </row>
    <row r="117" spans="1:31" x14ac:dyDescent="0.2">
      <c r="C117" s="65"/>
      <c r="D117" s="62"/>
      <c r="E117" s="65"/>
      <c r="F117" s="62"/>
      <c r="G117" s="7"/>
      <c r="H117" s="9"/>
      <c r="I117" s="7"/>
      <c r="J117" s="9"/>
      <c r="K117" s="7"/>
      <c r="L117" s="9"/>
      <c r="M117" s="7"/>
      <c r="P117" s="9"/>
      <c r="Q117" s="7"/>
      <c r="R117" s="7"/>
      <c r="S117" s="7"/>
      <c r="AE117" s="68"/>
    </row>
    <row r="118" spans="1:31" x14ac:dyDescent="0.2">
      <c r="A118" s="51"/>
      <c r="B118" s="51"/>
      <c r="C118" s="62"/>
      <c r="D118" s="62"/>
      <c r="E118" s="62"/>
      <c r="F118" s="62"/>
      <c r="G118" s="9"/>
      <c r="H118" s="9"/>
      <c r="I118" s="9"/>
      <c r="J118" s="9"/>
      <c r="K118" s="9"/>
      <c r="L118" s="9"/>
      <c r="M118" s="9"/>
      <c r="N118" s="51"/>
      <c r="O118" s="51"/>
      <c r="P118" s="9"/>
      <c r="Q118" s="7"/>
      <c r="R118" s="7"/>
      <c r="S118" s="7"/>
      <c r="AE118" s="68"/>
    </row>
    <row r="119" spans="1:31" x14ac:dyDescent="0.2">
      <c r="A119" s="51"/>
      <c r="B119" s="51"/>
      <c r="C119" s="65"/>
      <c r="D119" s="62"/>
      <c r="E119" s="65"/>
      <c r="F119" s="62"/>
      <c r="G119" s="7"/>
      <c r="H119" s="9"/>
      <c r="I119" s="9"/>
      <c r="J119" s="9"/>
      <c r="K119" s="9"/>
      <c r="L119" s="9"/>
      <c r="M119" s="9"/>
      <c r="N119" s="51"/>
      <c r="O119" s="51"/>
      <c r="P119" s="9"/>
      <c r="Q119" s="9"/>
      <c r="R119" s="7"/>
      <c r="S119" s="7"/>
      <c r="AE119" s="68"/>
    </row>
    <row r="120" spans="1:31" x14ac:dyDescent="0.2">
      <c r="A120" s="51"/>
      <c r="B120" s="51"/>
      <c r="C120" s="62"/>
      <c r="D120" s="62"/>
      <c r="E120" s="62"/>
      <c r="F120" s="62"/>
      <c r="G120" s="9"/>
      <c r="H120" s="9"/>
      <c r="I120" s="9"/>
      <c r="J120" s="9"/>
      <c r="K120" s="9"/>
      <c r="L120" s="9"/>
      <c r="M120" s="9"/>
      <c r="N120" s="51"/>
      <c r="O120" s="51"/>
      <c r="P120" s="9"/>
      <c r="Q120" s="7"/>
      <c r="R120" s="7"/>
      <c r="S120" s="7"/>
      <c r="AE120" s="68"/>
    </row>
    <row r="121" spans="1:31" x14ac:dyDescent="0.2">
      <c r="A121" s="51"/>
      <c r="B121" s="51"/>
      <c r="C121" s="62"/>
      <c r="D121" s="62"/>
      <c r="E121" s="62"/>
      <c r="F121" s="62"/>
      <c r="G121" s="9"/>
      <c r="H121" s="9"/>
      <c r="I121" s="9"/>
      <c r="J121" s="9"/>
      <c r="K121" s="9"/>
      <c r="L121" s="9"/>
      <c r="M121" s="9"/>
      <c r="N121" s="51"/>
      <c r="O121" s="51"/>
      <c r="P121" s="9"/>
      <c r="Q121" s="7"/>
      <c r="R121" s="7"/>
      <c r="S121" s="7"/>
      <c r="AE121" s="68"/>
    </row>
    <row r="122" spans="1:31" x14ac:dyDescent="0.2">
      <c r="A122" s="51"/>
      <c r="B122" s="51"/>
      <c r="C122" s="62"/>
      <c r="D122" s="62"/>
      <c r="E122" s="62"/>
      <c r="F122" s="62"/>
      <c r="G122" s="9"/>
      <c r="H122" s="9"/>
      <c r="I122" s="9"/>
      <c r="J122" s="9"/>
      <c r="K122" s="9"/>
      <c r="L122" s="9"/>
      <c r="M122" s="9"/>
      <c r="N122" s="51"/>
      <c r="O122" s="51"/>
      <c r="P122" s="9"/>
      <c r="Q122" s="7"/>
      <c r="R122" s="7"/>
      <c r="S122" s="7"/>
      <c r="AE122" s="68"/>
    </row>
    <row r="123" spans="1:31" x14ac:dyDescent="0.2">
      <c r="A123" s="51"/>
      <c r="B123" s="51"/>
      <c r="C123" s="62"/>
      <c r="D123" s="62"/>
      <c r="E123" s="62"/>
      <c r="F123" s="62"/>
      <c r="G123" s="9"/>
      <c r="H123" s="9"/>
      <c r="I123" s="9"/>
      <c r="J123" s="9"/>
      <c r="K123" s="9"/>
      <c r="L123" s="9"/>
      <c r="M123" s="9"/>
      <c r="N123" s="51"/>
      <c r="O123" s="51"/>
      <c r="P123" s="9"/>
      <c r="Q123" s="7"/>
      <c r="R123" s="7"/>
      <c r="S123" s="7"/>
      <c r="AE123" s="68"/>
    </row>
    <row r="124" spans="1:31" x14ac:dyDescent="0.2">
      <c r="A124" s="51"/>
      <c r="C124" s="62"/>
      <c r="D124" s="62"/>
      <c r="E124" s="62"/>
      <c r="F124" s="62"/>
      <c r="G124" s="9"/>
      <c r="H124" s="9"/>
      <c r="I124" s="9"/>
      <c r="J124" s="9"/>
      <c r="K124" s="9"/>
      <c r="L124" s="9"/>
      <c r="M124" s="9"/>
      <c r="N124" s="51"/>
      <c r="P124" s="9"/>
      <c r="Q124" s="7"/>
      <c r="R124" s="7"/>
      <c r="S124" s="7"/>
      <c r="AE124" s="68"/>
    </row>
    <row r="125" spans="1:31" x14ac:dyDescent="0.2">
      <c r="A125" s="51"/>
      <c r="B125" s="51"/>
      <c r="C125" s="62"/>
      <c r="D125" s="62"/>
      <c r="E125" s="62"/>
      <c r="F125" s="62"/>
      <c r="G125" s="9"/>
      <c r="H125" s="9"/>
      <c r="I125" s="9"/>
      <c r="J125" s="9"/>
      <c r="K125" s="9"/>
      <c r="L125" s="9"/>
      <c r="M125" s="9"/>
      <c r="N125" s="51"/>
      <c r="O125" s="51"/>
      <c r="P125" s="9"/>
      <c r="Q125" s="7"/>
      <c r="R125" s="7"/>
      <c r="S125" s="7"/>
      <c r="AE125" s="68"/>
    </row>
    <row r="126" spans="1:31" x14ac:dyDescent="0.2">
      <c r="C126" s="65"/>
      <c r="D126" s="62"/>
      <c r="E126" s="65"/>
      <c r="F126" s="65"/>
      <c r="G126" s="7"/>
      <c r="H126" s="7"/>
      <c r="I126" s="7"/>
      <c r="J126" s="7"/>
      <c r="K126" s="7"/>
      <c r="L126" s="7"/>
      <c r="M126" s="7"/>
      <c r="P126" s="7"/>
      <c r="Q126" s="7"/>
      <c r="R126" s="7"/>
      <c r="S126" s="7"/>
      <c r="AE126" s="68"/>
    </row>
    <row r="127" spans="1:31" x14ac:dyDescent="0.2">
      <c r="A127" s="51"/>
      <c r="C127" s="62"/>
      <c r="D127" s="62"/>
      <c r="E127" s="62"/>
      <c r="F127" s="62"/>
      <c r="G127" s="9"/>
      <c r="H127" s="9"/>
      <c r="I127" s="9"/>
      <c r="J127" s="9"/>
      <c r="K127" s="9"/>
      <c r="L127" s="9"/>
      <c r="M127" s="9"/>
      <c r="N127" s="51"/>
      <c r="P127" s="9"/>
      <c r="Q127" s="7"/>
      <c r="R127" s="7"/>
      <c r="S127" s="7"/>
      <c r="AE127" s="68"/>
    </row>
    <row r="128" spans="1:31" x14ac:dyDescent="0.2">
      <c r="A128" s="51"/>
      <c r="B128" s="51"/>
      <c r="C128" s="62"/>
      <c r="D128" s="62"/>
      <c r="E128" s="62"/>
      <c r="F128" s="62"/>
      <c r="G128" s="9"/>
      <c r="H128" s="9"/>
      <c r="I128" s="9"/>
      <c r="J128" s="9"/>
      <c r="K128" s="9"/>
      <c r="L128" s="9"/>
      <c r="M128" s="9"/>
      <c r="N128" s="51"/>
      <c r="O128" s="51"/>
      <c r="P128" s="9"/>
      <c r="Q128" s="7"/>
      <c r="R128" s="7"/>
      <c r="S128" s="7"/>
      <c r="AE128" s="68"/>
    </row>
    <row r="129" spans="1:31" x14ac:dyDescent="0.2">
      <c r="A129" s="51"/>
      <c r="B129" s="51"/>
      <c r="C129" s="62"/>
      <c r="D129" s="62"/>
      <c r="E129" s="62"/>
      <c r="F129" s="62"/>
      <c r="G129" s="9"/>
      <c r="H129" s="9"/>
      <c r="I129" s="9"/>
      <c r="J129" s="9"/>
      <c r="K129" s="9"/>
      <c r="L129" s="9"/>
      <c r="M129" s="9"/>
      <c r="N129" s="51"/>
      <c r="O129" s="51"/>
      <c r="P129" s="9"/>
      <c r="Q129" s="7"/>
      <c r="R129" s="7"/>
      <c r="S129" s="7"/>
      <c r="AE129" s="68"/>
    </row>
    <row r="130" spans="1:31" x14ac:dyDescent="0.2">
      <c r="A130" s="51"/>
      <c r="B130" s="51"/>
      <c r="C130" s="62"/>
      <c r="D130" s="62"/>
      <c r="E130" s="62"/>
      <c r="F130" s="62"/>
      <c r="G130" s="9"/>
      <c r="H130" s="9"/>
      <c r="I130" s="9"/>
      <c r="J130" s="9"/>
      <c r="K130" s="9"/>
      <c r="L130" s="9"/>
      <c r="M130" s="9"/>
      <c r="N130" s="51"/>
      <c r="O130" s="51"/>
      <c r="P130" s="9"/>
      <c r="Q130" s="7"/>
      <c r="R130" s="7"/>
      <c r="S130" s="7"/>
      <c r="AE130" s="68"/>
    </row>
    <row r="131" spans="1:31" x14ac:dyDescent="0.2">
      <c r="A131" s="51"/>
      <c r="B131" s="51"/>
      <c r="C131" s="62"/>
      <c r="D131" s="62"/>
      <c r="E131" s="62"/>
      <c r="F131" s="62"/>
      <c r="G131" s="9"/>
      <c r="H131" s="9"/>
      <c r="I131" s="9"/>
      <c r="J131" s="9"/>
      <c r="K131" s="9"/>
      <c r="L131" s="9"/>
      <c r="M131" s="9"/>
      <c r="N131" s="51"/>
      <c r="O131" s="51"/>
      <c r="P131" s="9"/>
      <c r="Q131" s="7"/>
      <c r="R131" s="7"/>
      <c r="S131" s="7"/>
      <c r="AE131" s="68"/>
    </row>
    <row r="132" spans="1:31" x14ac:dyDescent="0.2">
      <c r="A132" s="51"/>
      <c r="B132" s="51"/>
      <c r="C132" s="62"/>
      <c r="D132" s="62"/>
      <c r="E132" s="62"/>
      <c r="F132" s="62"/>
      <c r="G132" s="9"/>
      <c r="H132" s="9"/>
      <c r="I132" s="9"/>
      <c r="J132" s="9"/>
      <c r="K132" s="9"/>
      <c r="L132" s="9"/>
      <c r="M132" s="9"/>
      <c r="N132" s="51"/>
      <c r="O132" s="51"/>
      <c r="P132" s="9"/>
      <c r="Q132" s="7"/>
      <c r="R132" s="7"/>
      <c r="S132" s="7"/>
      <c r="AE132" s="68"/>
    </row>
    <row r="133" spans="1:31" x14ac:dyDescent="0.2">
      <c r="A133" s="51"/>
      <c r="B133" s="51"/>
      <c r="C133" s="62"/>
      <c r="D133" s="62"/>
      <c r="E133" s="62"/>
      <c r="F133" s="62"/>
      <c r="G133" s="9"/>
      <c r="H133" s="9"/>
      <c r="I133" s="9"/>
      <c r="J133" s="9"/>
      <c r="K133" s="9"/>
      <c r="L133" s="9"/>
      <c r="M133" s="9"/>
      <c r="N133" s="51"/>
      <c r="O133" s="51"/>
      <c r="P133" s="9"/>
      <c r="Q133" s="7"/>
      <c r="R133" s="7"/>
      <c r="S133" s="7"/>
      <c r="AE133" s="68"/>
    </row>
    <row r="134" spans="1:31" x14ac:dyDescent="0.2">
      <c r="A134" s="51"/>
      <c r="B134" s="51"/>
      <c r="C134" s="62"/>
      <c r="D134" s="62"/>
      <c r="E134" s="62"/>
      <c r="F134" s="62"/>
      <c r="G134" s="9"/>
      <c r="H134" s="9"/>
      <c r="I134" s="9"/>
      <c r="J134" s="9"/>
      <c r="K134" s="9"/>
      <c r="L134" s="9"/>
      <c r="M134" s="9"/>
      <c r="N134" s="51"/>
      <c r="O134" s="51"/>
      <c r="P134" s="9"/>
      <c r="Q134" s="7"/>
      <c r="R134" s="7"/>
      <c r="S134" s="7"/>
      <c r="AE134" s="68"/>
    </row>
    <row r="135" spans="1:31" x14ac:dyDescent="0.2">
      <c r="A135" s="51"/>
      <c r="B135" s="51"/>
      <c r="C135" s="62"/>
      <c r="D135" s="62"/>
      <c r="E135" s="62"/>
      <c r="F135" s="62"/>
      <c r="G135" s="9"/>
      <c r="H135" s="9"/>
      <c r="I135" s="9"/>
      <c r="J135" s="9"/>
      <c r="K135" s="9"/>
      <c r="L135" s="9"/>
      <c r="M135" s="9"/>
      <c r="N135" s="51"/>
      <c r="O135" s="51"/>
      <c r="P135" s="9"/>
      <c r="Q135" s="7"/>
      <c r="R135" s="7"/>
      <c r="S135" s="7"/>
      <c r="AE135" s="68"/>
    </row>
    <row r="136" spans="1:31" x14ac:dyDescent="0.2">
      <c r="A136" s="51"/>
      <c r="B136" s="51"/>
      <c r="C136" s="62"/>
      <c r="D136" s="62"/>
      <c r="E136" s="62"/>
      <c r="F136" s="62"/>
      <c r="G136" s="9"/>
      <c r="H136" s="9"/>
      <c r="I136" s="9"/>
      <c r="J136" s="9"/>
      <c r="K136" s="9"/>
      <c r="L136" s="9"/>
      <c r="M136" s="9"/>
      <c r="N136" s="51"/>
      <c r="O136" s="51"/>
      <c r="P136" s="9"/>
      <c r="Q136" s="7"/>
      <c r="R136" s="7"/>
      <c r="S136" s="7"/>
      <c r="AE136" s="68"/>
    </row>
    <row r="137" spans="1:31" x14ac:dyDescent="0.2">
      <c r="A137" s="51"/>
      <c r="B137" s="51"/>
      <c r="C137" s="62"/>
      <c r="D137" s="62"/>
      <c r="E137" s="62"/>
      <c r="F137" s="62"/>
      <c r="G137" s="9"/>
      <c r="H137" s="9"/>
      <c r="I137" s="9"/>
      <c r="J137" s="9"/>
      <c r="K137" s="9"/>
      <c r="L137" s="9"/>
      <c r="M137" s="9"/>
      <c r="N137" s="51"/>
      <c r="O137" s="51"/>
      <c r="P137" s="9"/>
      <c r="Q137" s="7"/>
      <c r="R137" s="7"/>
      <c r="S137" s="7"/>
      <c r="AE137" s="68"/>
    </row>
    <row r="138" spans="1:31" x14ac:dyDescent="0.2">
      <c r="A138" s="51"/>
      <c r="B138" s="51"/>
      <c r="C138" s="62"/>
      <c r="D138" s="62"/>
      <c r="E138" s="62"/>
      <c r="F138" s="62"/>
      <c r="G138" s="9"/>
      <c r="H138" s="9"/>
      <c r="I138" s="9"/>
      <c r="J138" s="9"/>
      <c r="K138" s="9"/>
      <c r="L138" s="9"/>
      <c r="M138" s="9"/>
      <c r="N138" s="51"/>
      <c r="O138" s="51"/>
      <c r="P138" s="9"/>
      <c r="Q138" s="7"/>
      <c r="R138" s="7"/>
      <c r="S138" s="7"/>
      <c r="AE138" s="68"/>
    </row>
    <row r="139" spans="1:31" x14ac:dyDescent="0.2">
      <c r="A139" s="51"/>
      <c r="B139" s="51"/>
      <c r="C139" s="62"/>
      <c r="D139" s="62"/>
      <c r="E139" s="62"/>
      <c r="F139" s="62"/>
      <c r="G139" s="9"/>
      <c r="H139" s="9"/>
      <c r="I139" s="9"/>
      <c r="J139" s="9"/>
      <c r="K139" s="9"/>
      <c r="L139" s="9"/>
      <c r="M139" s="9"/>
      <c r="N139" s="51"/>
      <c r="O139" s="51"/>
      <c r="P139" s="9"/>
      <c r="Q139" s="7"/>
      <c r="R139" s="7"/>
      <c r="S139" s="7"/>
      <c r="AE139" s="68"/>
    </row>
    <row r="140" spans="1:31" x14ac:dyDescent="0.2">
      <c r="A140" s="51"/>
      <c r="B140" s="51"/>
      <c r="C140" s="65"/>
      <c r="D140" s="62"/>
      <c r="E140" s="65"/>
      <c r="F140" s="62"/>
      <c r="G140" s="7"/>
      <c r="H140" s="9"/>
      <c r="I140" s="9"/>
      <c r="J140" s="9"/>
      <c r="K140" s="9"/>
      <c r="L140" s="9"/>
      <c r="M140" s="9"/>
      <c r="N140" s="51"/>
      <c r="O140" s="51"/>
      <c r="P140" s="9"/>
      <c r="Q140" s="7"/>
      <c r="R140" s="7"/>
      <c r="S140" s="7"/>
      <c r="AE140" s="68"/>
    </row>
    <row r="141" spans="1:31" x14ac:dyDescent="0.2">
      <c r="A141" s="51"/>
      <c r="B141" s="51"/>
      <c r="C141" s="62"/>
      <c r="D141" s="62"/>
      <c r="E141" s="62"/>
      <c r="F141" s="62"/>
      <c r="G141" s="9"/>
      <c r="H141" s="9"/>
      <c r="I141" s="9"/>
      <c r="J141" s="9"/>
      <c r="K141" s="9"/>
      <c r="L141" s="9"/>
      <c r="M141" s="9"/>
      <c r="N141" s="51"/>
      <c r="O141" s="51"/>
      <c r="P141" s="9"/>
      <c r="Q141" s="7"/>
      <c r="R141" s="7"/>
      <c r="S141" s="7"/>
      <c r="AE141" s="68"/>
    </row>
    <row r="142" spans="1:31" x14ac:dyDescent="0.2">
      <c r="A142" s="51"/>
      <c r="B142" s="51"/>
      <c r="C142" s="62"/>
      <c r="D142" s="62"/>
      <c r="E142" s="62"/>
      <c r="F142" s="62"/>
      <c r="G142" s="9"/>
      <c r="H142" s="9"/>
      <c r="I142" s="9"/>
      <c r="J142" s="9"/>
      <c r="K142" s="9"/>
      <c r="L142" s="9"/>
      <c r="M142" s="9"/>
      <c r="N142" s="51"/>
      <c r="O142" s="51"/>
      <c r="P142" s="9"/>
      <c r="Q142" s="7"/>
      <c r="R142" s="7"/>
      <c r="S142" s="7"/>
      <c r="AE142" s="68"/>
    </row>
    <row r="143" spans="1:31" x14ac:dyDescent="0.2">
      <c r="A143" s="51"/>
      <c r="B143" s="51"/>
      <c r="C143" s="62"/>
      <c r="D143" s="62"/>
      <c r="E143" s="62"/>
      <c r="F143" s="62"/>
      <c r="G143" s="9"/>
      <c r="H143" s="9"/>
      <c r="I143" s="9"/>
      <c r="J143" s="9"/>
      <c r="K143" s="9"/>
      <c r="L143" s="9"/>
      <c r="M143" s="9"/>
      <c r="N143" s="51"/>
      <c r="O143" s="51"/>
      <c r="P143" s="9"/>
      <c r="Q143" s="7"/>
      <c r="R143" s="7"/>
      <c r="S143" s="7"/>
      <c r="AE143" s="68"/>
    </row>
    <row r="144" spans="1:31" x14ac:dyDescent="0.2">
      <c r="A144" s="51"/>
      <c r="B144" s="51"/>
      <c r="C144" s="62"/>
      <c r="D144" s="62"/>
      <c r="E144" s="62"/>
      <c r="F144" s="62"/>
      <c r="G144" s="9"/>
      <c r="H144" s="9"/>
      <c r="I144" s="9"/>
      <c r="J144" s="9"/>
      <c r="K144" s="9"/>
      <c r="L144" s="9"/>
      <c r="M144" s="9"/>
      <c r="N144" s="51"/>
      <c r="O144" s="51"/>
      <c r="P144" s="9"/>
      <c r="Q144" s="7"/>
      <c r="R144" s="7"/>
      <c r="S144" s="7"/>
      <c r="AE144" s="68"/>
    </row>
    <row r="145" spans="1:31" x14ac:dyDescent="0.2">
      <c r="A145" s="51"/>
      <c r="B145" s="51"/>
      <c r="C145" s="62"/>
      <c r="D145" s="62"/>
      <c r="E145" s="62"/>
      <c r="F145" s="62"/>
      <c r="G145" s="9"/>
      <c r="H145" s="9"/>
      <c r="I145" s="9"/>
      <c r="J145" s="9"/>
      <c r="K145" s="9"/>
      <c r="L145" s="9"/>
      <c r="M145" s="9"/>
      <c r="N145" s="51"/>
      <c r="O145" s="51"/>
      <c r="P145" s="9"/>
      <c r="Q145" s="7"/>
      <c r="R145" s="7"/>
      <c r="S145" s="7"/>
      <c r="AE145" s="68"/>
    </row>
    <row r="146" spans="1:31" x14ac:dyDescent="0.2">
      <c r="A146" s="51"/>
      <c r="B146" s="51"/>
      <c r="C146" s="62"/>
      <c r="D146" s="62"/>
      <c r="E146" s="62"/>
      <c r="F146" s="62"/>
      <c r="G146" s="9"/>
      <c r="H146" s="9"/>
      <c r="I146" s="9"/>
      <c r="J146" s="9"/>
      <c r="K146" s="9"/>
      <c r="L146" s="9"/>
      <c r="M146" s="9"/>
      <c r="N146" s="51"/>
      <c r="O146" s="51"/>
      <c r="P146" s="9"/>
      <c r="Q146" s="7"/>
      <c r="R146" s="7"/>
      <c r="S146" s="7"/>
      <c r="AE146" s="68"/>
    </row>
    <row r="147" spans="1:31" x14ac:dyDescent="0.2">
      <c r="A147" s="51"/>
      <c r="B147" s="51"/>
      <c r="C147" s="62"/>
      <c r="D147" s="62"/>
      <c r="E147" s="62"/>
      <c r="F147" s="62"/>
      <c r="G147" s="9"/>
      <c r="H147" s="9"/>
      <c r="I147" s="9"/>
      <c r="J147" s="9"/>
      <c r="K147" s="9"/>
      <c r="L147" s="9"/>
      <c r="M147" s="9"/>
      <c r="N147" s="51"/>
      <c r="O147" s="51"/>
      <c r="P147" s="9"/>
      <c r="Q147" s="7"/>
      <c r="R147" s="7"/>
      <c r="S147" s="7"/>
    </row>
    <row r="148" spans="1:31" x14ac:dyDescent="0.2">
      <c r="A148" s="51"/>
      <c r="B148" s="51"/>
      <c r="C148" s="62"/>
      <c r="D148" s="62"/>
      <c r="E148" s="62"/>
      <c r="F148" s="62"/>
      <c r="G148" s="9"/>
      <c r="H148" s="9"/>
      <c r="I148" s="9"/>
      <c r="J148" s="9"/>
      <c r="K148" s="9"/>
      <c r="L148" s="9"/>
      <c r="M148" s="9"/>
      <c r="N148" s="51"/>
      <c r="O148" s="51"/>
      <c r="P148" s="9"/>
      <c r="Q148" s="7"/>
      <c r="R148" s="7"/>
      <c r="S148" s="7"/>
    </row>
    <row r="149" spans="1:31" x14ac:dyDescent="0.2">
      <c r="A149" s="51"/>
      <c r="B149" s="51"/>
      <c r="C149" s="62"/>
      <c r="D149" s="62"/>
      <c r="E149" s="62"/>
      <c r="F149" s="62"/>
      <c r="G149" s="9"/>
      <c r="H149" s="9"/>
      <c r="I149" s="9"/>
      <c r="J149" s="9"/>
      <c r="K149" s="9"/>
      <c r="L149" s="9"/>
      <c r="M149" s="9"/>
      <c r="N149" s="51"/>
      <c r="O149" s="51"/>
      <c r="P149" s="9"/>
      <c r="Q149" s="7"/>
      <c r="R149" s="7"/>
      <c r="S149" s="7"/>
    </row>
    <row r="150" spans="1:31" x14ac:dyDescent="0.2">
      <c r="A150" s="51"/>
      <c r="B150" s="51"/>
      <c r="C150" s="62"/>
      <c r="D150" s="62"/>
      <c r="E150" s="62"/>
      <c r="F150" s="62"/>
      <c r="G150" s="9"/>
      <c r="H150" s="9"/>
      <c r="I150" s="9"/>
      <c r="J150" s="9"/>
      <c r="K150" s="9"/>
      <c r="L150" s="9"/>
      <c r="M150" s="9"/>
      <c r="N150" s="51"/>
      <c r="O150" s="51"/>
      <c r="P150" s="9"/>
      <c r="Q150" s="7"/>
      <c r="R150" s="7"/>
      <c r="S150" s="7"/>
    </row>
    <row r="151" spans="1:31" x14ac:dyDescent="0.2">
      <c r="A151" s="51"/>
      <c r="B151" s="51"/>
      <c r="C151" s="62"/>
      <c r="D151" s="62"/>
      <c r="E151" s="62"/>
      <c r="F151" s="62"/>
      <c r="G151" s="9"/>
      <c r="H151" s="9"/>
      <c r="I151" s="9"/>
      <c r="J151" s="9"/>
      <c r="K151" s="9"/>
      <c r="L151" s="9"/>
      <c r="M151" s="9"/>
      <c r="N151" s="51"/>
      <c r="O151" s="51"/>
      <c r="P151" s="9"/>
      <c r="Q151" s="7"/>
      <c r="R151" s="7"/>
      <c r="S151" s="7"/>
    </row>
    <row r="152" spans="1:31" x14ac:dyDescent="0.2">
      <c r="A152" s="51"/>
      <c r="B152" s="51"/>
      <c r="C152" s="62"/>
      <c r="D152" s="62"/>
      <c r="E152" s="62"/>
      <c r="F152" s="62"/>
      <c r="G152" s="9"/>
      <c r="H152" s="9"/>
      <c r="I152" s="9"/>
      <c r="J152" s="9"/>
      <c r="K152" s="9"/>
      <c r="L152" s="9"/>
      <c r="M152" s="9"/>
      <c r="N152" s="51"/>
      <c r="O152" s="51"/>
      <c r="P152" s="9"/>
      <c r="Q152" s="7"/>
      <c r="R152" s="7"/>
      <c r="S152" s="7"/>
    </row>
    <row r="153" spans="1:31" x14ac:dyDescent="0.2">
      <c r="A153" s="51"/>
      <c r="B153" s="51"/>
      <c r="C153" s="65"/>
      <c r="D153" s="62"/>
      <c r="E153" s="65"/>
      <c r="F153" s="62"/>
      <c r="G153" s="7"/>
      <c r="H153" s="9"/>
      <c r="I153" s="9"/>
      <c r="J153" s="9"/>
      <c r="K153" s="7"/>
      <c r="L153" s="9"/>
      <c r="M153" s="7"/>
      <c r="N153" s="51"/>
      <c r="O153" s="51"/>
      <c r="P153" s="9"/>
      <c r="Q153" s="7"/>
      <c r="R153" s="7"/>
      <c r="S153" s="7"/>
    </row>
    <row r="154" spans="1:31" x14ac:dyDescent="0.2">
      <c r="B154" s="51"/>
      <c r="C154" s="62"/>
      <c r="D154" s="62"/>
      <c r="E154" s="65"/>
      <c r="F154" s="62"/>
      <c r="G154" s="9"/>
      <c r="H154" s="9"/>
      <c r="I154" s="9"/>
      <c r="J154" s="9"/>
      <c r="K154" s="9"/>
      <c r="L154" s="9"/>
      <c r="M154" s="7"/>
      <c r="O154" s="51"/>
      <c r="P154" s="9"/>
      <c r="Q154" s="7"/>
      <c r="R154" s="7"/>
      <c r="S154" s="7"/>
    </row>
    <row r="155" spans="1:31" x14ac:dyDescent="0.2">
      <c r="C155" s="65"/>
      <c r="D155" s="62"/>
      <c r="E155" s="65"/>
      <c r="F155" s="62"/>
      <c r="G155" s="7"/>
      <c r="H155" s="9"/>
      <c r="I155" s="7"/>
      <c r="J155" s="9"/>
      <c r="K155" s="7"/>
      <c r="L155" s="9"/>
      <c r="M155" s="7"/>
      <c r="P155" s="9"/>
      <c r="Q155" s="7"/>
      <c r="R155" s="7"/>
      <c r="S155" s="7"/>
    </row>
    <row r="156" spans="1:31" x14ac:dyDescent="0.2">
      <c r="A156" s="51"/>
      <c r="B156" s="51"/>
      <c r="C156" s="62"/>
      <c r="D156" s="62"/>
      <c r="E156" s="62"/>
      <c r="F156" s="62"/>
      <c r="G156" s="9"/>
      <c r="H156" s="9"/>
      <c r="I156" s="9"/>
      <c r="J156" s="9"/>
      <c r="K156" s="9"/>
      <c r="L156" s="9"/>
      <c r="M156" s="7"/>
      <c r="N156" s="51"/>
      <c r="O156" s="51"/>
      <c r="P156" s="9"/>
      <c r="Q156" s="7"/>
      <c r="R156" s="7"/>
      <c r="S156" s="7"/>
    </row>
    <row r="157" spans="1:31" x14ac:dyDescent="0.2">
      <c r="A157" s="51"/>
      <c r="B157" s="51"/>
      <c r="C157" s="65"/>
      <c r="D157" s="62"/>
      <c r="E157" s="65"/>
      <c r="F157" s="62"/>
      <c r="G157" s="7"/>
      <c r="H157" s="9"/>
      <c r="I157" s="7"/>
      <c r="J157" s="9"/>
      <c r="K157" s="7"/>
      <c r="L157" s="9"/>
      <c r="M157" s="7"/>
      <c r="N157" s="51"/>
      <c r="O157" s="51"/>
      <c r="P157" s="9"/>
      <c r="Q157" s="7"/>
      <c r="R157" s="7"/>
      <c r="S157" s="7"/>
    </row>
    <row r="158" spans="1:31" x14ac:dyDescent="0.2">
      <c r="A158" s="51"/>
      <c r="B158" s="51"/>
      <c r="C158" s="62"/>
      <c r="D158" s="62"/>
      <c r="E158" s="62"/>
      <c r="F158" s="62"/>
      <c r="G158" s="9"/>
      <c r="H158" s="9"/>
      <c r="I158" s="9"/>
      <c r="J158" s="9"/>
      <c r="K158" s="9"/>
      <c r="L158" s="9"/>
      <c r="M158" s="7"/>
      <c r="N158" s="51"/>
      <c r="O158" s="51"/>
      <c r="P158" s="9"/>
      <c r="Q158" s="7"/>
      <c r="R158" s="7"/>
      <c r="S158" s="7"/>
    </row>
    <row r="159" spans="1:31" x14ac:dyDescent="0.2">
      <c r="C159" s="65"/>
      <c r="D159" s="62"/>
      <c r="E159" s="65"/>
      <c r="F159" s="62"/>
      <c r="G159" s="7"/>
      <c r="H159" s="9"/>
      <c r="I159" s="7"/>
      <c r="J159" s="9"/>
      <c r="K159" s="7"/>
      <c r="L159" s="9"/>
      <c r="M159" s="7"/>
      <c r="P159" s="9"/>
      <c r="Q159" s="7"/>
      <c r="R159" s="7"/>
      <c r="S159" s="7"/>
    </row>
    <row r="160" spans="1:31" x14ac:dyDescent="0.2">
      <c r="A160" s="51"/>
      <c r="B160" s="51"/>
      <c r="C160" s="62"/>
      <c r="D160" s="62"/>
      <c r="E160" s="62"/>
      <c r="F160" s="62"/>
      <c r="G160" s="9"/>
      <c r="H160" s="9"/>
      <c r="I160" s="9"/>
      <c r="J160" s="9"/>
      <c r="K160" s="9"/>
      <c r="L160" s="9"/>
      <c r="M160" s="9"/>
      <c r="N160" s="51"/>
      <c r="O160" s="51"/>
      <c r="P160" s="9"/>
      <c r="Q160" s="7"/>
      <c r="R160" s="7"/>
      <c r="S160" s="7"/>
    </row>
    <row r="161" spans="1:19" x14ac:dyDescent="0.2">
      <c r="A161" s="51"/>
      <c r="B161" s="51"/>
      <c r="C161" s="62"/>
      <c r="D161" s="62"/>
      <c r="E161" s="62"/>
      <c r="F161" s="62"/>
      <c r="G161" s="9"/>
      <c r="H161" s="9"/>
      <c r="I161" s="9"/>
      <c r="J161" s="9"/>
      <c r="K161" s="9"/>
      <c r="L161" s="9"/>
      <c r="M161" s="9"/>
      <c r="N161" s="51"/>
      <c r="O161" s="51"/>
      <c r="P161" s="9"/>
      <c r="Q161" s="7"/>
      <c r="R161" s="7"/>
      <c r="S161" s="7"/>
    </row>
    <row r="162" spans="1:19" x14ac:dyDescent="0.2">
      <c r="A162" s="51"/>
      <c r="B162" s="51"/>
      <c r="C162" s="62"/>
      <c r="D162" s="62"/>
      <c r="E162" s="62"/>
      <c r="F162" s="62"/>
      <c r="G162" s="9"/>
      <c r="H162" s="9"/>
      <c r="I162" s="7"/>
      <c r="J162" s="7"/>
      <c r="K162" s="7"/>
      <c r="L162" s="7"/>
      <c r="M162" s="7"/>
      <c r="N162" s="51"/>
      <c r="O162" s="51"/>
      <c r="P162" s="7"/>
      <c r="Q162" s="7"/>
      <c r="R162" s="7"/>
      <c r="S162" s="7"/>
    </row>
    <row r="163" spans="1:19" x14ac:dyDescent="0.2">
      <c r="C163" s="65"/>
      <c r="D163" s="62"/>
      <c r="E163" s="65"/>
      <c r="F163" s="65"/>
      <c r="G163" s="7"/>
      <c r="H163" s="7"/>
      <c r="I163" s="7"/>
      <c r="J163" s="7"/>
      <c r="K163" s="7"/>
      <c r="L163" s="7"/>
      <c r="M163" s="7"/>
      <c r="P163" s="7"/>
      <c r="Q163" s="7"/>
      <c r="R163" s="7"/>
      <c r="S163" s="7"/>
    </row>
    <row r="164" spans="1:19" x14ac:dyDescent="0.2">
      <c r="A164" s="51"/>
      <c r="B164" s="51"/>
      <c r="C164" s="62"/>
      <c r="D164" s="62"/>
      <c r="E164" s="62"/>
      <c r="F164" s="62"/>
      <c r="G164" s="9"/>
      <c r="H164" s="9"/>
      <c r="I164" s="9"/>
      <c r="J164" s="9"/>
      <c r="K164" s="9"/>
      <c r="L164" s="9"/>
      <c r="M164" s="9"/>
      <c r="N164" s="51"/>
      <c r="O164" s="51"/>
      <c r="P164" s="9"/>
      <c r="Q164" s="9"/>
      <c r="R164" s="7"/>
      <c r="S164" s="7"/>
    </row>
    <row r="165" spans="1:19" x14ac:dyDescent="0.2">
      <c r="A165" s="51"/>
      <c r="B165" s="51"/>
      <c r="C165" s="62"/>
      <c r="D165" s="62"/>
      <c r="E165" s="62"/>
      <c r="F165" s="62"/>
      <c r="G165" s="9"/>
      <c r="H165" s="9"/>
      <c r="I165" s="9"/>
      <c r="J165" s="9"/>
      <c r="K165" s="9"/>
      <c r="L165" s="9"/>
      <c r="M165" s="9"/>
      <c r="N165" s="51"/>
      <c r="O165" s="51"/>
      <c r="P165" s="9"/>
      <c r="Q165" s="7"/>
      <c r="R165" s="7"/>
      <c r="S165" s="7"/>
    </row>
    <row r="166" spans="1:19" x14ac:dyDescent="0.2">
      <c r="C166" s="65"/>
      <c r="D166" s="62"/>
      <c r="E166" s="65"/>
      <c r="F166" s="65"/>
      <c r="G166" s="7"/>
      <c r="H166" s="7"/>
      <c r="I166" s="7"/>
      <c r="J166" s="7"/>
      <c r="K166" s="7"/>
      <c r="L166" s="7"/>
      <c r="M166" s="7"/>
      <c r="P166" s="7"/>
      <c r="Q166" s="7"/>
      <c r="R166" s="7"/>
      <c r="S166" s="7"/>
    </row>
    <row r="167" spans="1:19" x14ac:dyDescent="0.2">
      <c r="A167" s="51"/>
      <c r="B167" s="51"/>
      <c r="C167" s="62"/>
      <c r="D167" s="62"/>
      <c r="E167" s="62"/>
      <c r="F167" s="62"/>
      <c r="G167" s="9"/>
      <c r="H167" s="9"/>
      <c r="I167" s="9"/>
      <c r="J167" s="9"/>
      <c r="K167" s="9"/>
      <c r="L167" s="9"/>
      <c r="M167" s="9"/>
      <c r="N167" s="51"/>
      <c r="O167" s="51"/>
      <c r="P167" s="9"/>
      <c r="Q167" s="9"/>
      <c r="R167" s="7"/>
      <c r="S167" s="7"/>
    </row>
    <row r="168" spans="1:19" x14ac:dyDescent="0.2">
      <c r="C168" s="65"/>
      <c r="D168" s="62"/>
      <c r="E168" s="62"/>
      <c r="F168" s="62"/>
      <c r="G168" s="7"/>
      <c r="H168" s="7"/>
      <c r="I168" s="7"/>
      <c r="J168" s="7"/>
      <c r="K168" s="7"/>
      <c r="L168" s="7"/>
      <c r="M168" s="7"/>
      <c r="P168" s="7"/>
      <c r="Q168" s="7"/>
      <c r="R168" s="7"/>
      <c r="S168" s="7"/>
    </row>
    <row r="169" spans="1:19" x14ac:dyDescent="0.2">
      <c r="A169" s="51"/>
      <c r="B169" s="51"/>
      <c r="C169" s="62"/>
      <c r="D169" s="62"/>
      <c r="E169" s="62"/>
      <c r="F169" s="62"/>
      <c r="G169" s="9"/>
      <c r="H169" s="9"/>
      <c r="I169" s="9"/>
      <c r="J169" s="9"/>
      <c r="K169" s="9"/>
      <c r="L169" s="9"/>
      <c r="M169" s="9"/>
      <c r="N169" s="51"/>
      <c r="O169" s="51"/>
      <c r="P169" s="9"/>
      <c r="Q169" s="7"/>
      <c r="R169" s="7"/>
      <c r="S169" s="7"/>
    </row>
    <row r="170" spans="1:19" x14ac:dyDescent="0.2">
      <c r="C170" s="65"/>
      <c r="D170" s="62"/>
      <c r="E170" s="65"/>
      <c r="F170" s="65"/>
      <c r="G170" s="7"/>
      <c r="H170" s="7"/>
      <c r="I170" s="7"/>
      <c r="J170" s="7"/>
      <c r="K170" s="7"/>
      <c r="L170" s="7"/>
      <c r="M170" s="7"/>
      <c r="P170" s="7"/>
      <c r="Q170" s="7"/>
      <c r="R170" s="7"/>
      <c r="S170" s="7"/>
    </row>
    <row r="171" spans="1:19" x14ac:dyDescent="0.2">
      <c r="A171" s="51"/>
      <c r="B171" s="51"/>
      <c r="C171" s="66"/>
      <c r="D171" s="66"/>
      <c r="E171" s="66"/>
      <c r="F171" s="66"/>
      <c r="G171" s="11"/>
      <c r="H171" s="11"/>
      <c r="I171" s="11"/>
      <c r="J171" s="11"/>
      <c r="K171" s="11"/>
      <c r="L171" s="11"/>
      <c r="M171" s="11"/>
      <c r="N171" s="51"/>
      <c r="O171" s="51"/>
      <c r="P171" s="11"/>
    </row>
    <row r="172" spans="1:19" x14ac:dyDescent="0.2">
      <c r="D172" s="67"/>
    </row>
    <row r="173" spans="1:19" x14ac:dyDescent="0.2">
      <c r="D173" s="67"/>
    </row>
    <row r="174" spans="1:19" x14ac:dyDescent="0.2">
      <c r="D174" s="67"/>
    </row>
    <row r="175" spans="1:19" x14ac:dyDescent="0.2">
      <c r="D175" s="67"/>
    </row>
    <row r="176" spans="1:19" x14ac:dyDescent="0.2">
      <c r="D176" s="67"/>
    </row>
    <row r="177" spans="4:4" x14ac:dyDescent="0.2">
      <c r="D177" s="67"/>
    </row>
  </sheetData>
  <sheetProtection selectLockedCells="1" selectUnlockedCells="1"/>
  <phoneticPr fontId="0" type="noConversion"/>
  <printOptions horizontalCentered="1" verticalCentered="1"/>
  <pageMargins left="0" right="0" top="0" bottom="0" header="0" footer="0"/>
  <pageSetup paperSize="9" scale="67" fitToWidth="2" orientation="portrait" blackAndWhite="1" verticalDpi="180" r:id="rId1"/>
  <headerFooter alignWithMargins="0"/>
  <colBreaks count="1" manualBreakCount="1">
    <brk id="13" max="80" man="1"/>
  </colBreaks>
  <ignoredErrors>
    <ignoredError sqref="E12:G12 E24 G24:L24 M12 K12 I12 L12 H12 AA31:AA43 E31:E41 Q43 F41 F62 G31:G43 K31 L29 F29:F30 E51:E65 G51:M52 F51:F52 E67:E68 G67:G68 H29 I66 I36 M59 F32:F33 I39 M34 M35 H41:M43 M37 G58 G56 M38 G60 G59 M40 G62:K62 G61 M56 I34 I35 I37 I38 I40 I56 I59 I61 I69 M61 K34 K35 K37 K38 K40 K59 K61 K69 M69 H32:M33 J30 G57 I57 G66 J29 L30:M30 H30 Q25 S12:S25 K66 U31:U43 R24:R25 S30:S43 T24:T25 W12:W16 M66 U12:U16 V13 Y31:Y43 V29:V30 W31:W43 X24:X25 AA12:AA25 R32:R33 Y12:Y25 Z12:Z13 Z29:Z30 Q64:Q65 Q33 Q36 R41:R43 Q52 Q62 Q15 K57 R13 R15 R29:R30 T41 R51:R55 R62:R63 M31 M57 T15 T29:T30 S51:S56 U51:Z53 T51:T55 T62 V15 V24:V25 V41:V43 U58 X41:X43 U60 U59 U62:Z62 U61 Y59 X12:X13 X15 X29:X30 W59 W61 Y61 Z24:Z25 Z41:Z43 T32:T33 V32:V33 W57 G64:M64 G63 I63 F64:F65 S58:S65 Q54 I67:I68 K67:K68 G65:K65 M65 M67:M68 Y58 Y60 Y57 W58 W60 M58 M60 M62 K58 K60 I58 I60 M36 M39 K36 K39 X32:X33 Z32:Z33 M63 U55:Z55 U54 W54:Z54 F43 F54:F55 U18:U25 W18:W25 E43 G54:M55 G53:K53 M53 T43 T64:T65 U64:Z65 U63:W63 Y63:Z63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793C-EB8F-4C17-8F43-8E28D4F488F8}">
  <dimension ref="A1:AI177"/>
  <sheetViews>
    <sheetView zoomScaleNormal="100" workbookViewId="0">
      <selection activeCell="A62" sqref="A62"/>
    </sheetView>
  </sheetViews>
  <sheetFormatPr defaultColWidth="11" defaultRowHeight="12.75" x14ac:dyDescent="0.2"/>
  <cols>
    <col min="1" max="1" width="10.5" style="50" customWidth="1"/>
    <col min="2" max="2" width="19.75" style="50" customWidth="1"/>
    <col min="3" max="3" width="10.125" style="63" customWidth="1"/>
    <col min="4" max="4" width="9.125" style="63" customWidth="1"/>
    <col min="5" max="5" width="9.75" style="63" customWidth="1"/>
    <col min="6" max="6" width="12.75" style="63" customWidth="1"/>
    <col min="7" max="7" width="11.375" style="63" bestFit="1" customWidth="1"/>
    <col min="8" max="8" width="9.375" style="63" customWidth="1"/>
    <col min="9" max="9" width="11.5" style="63" bestFit="1" customWidth="1"/>
    <col min="10" max="10" width="9" style="63" customWidth="1"/>
    <col min="11" max="11" width="11.625" style="63" customWidth="1"/>
    <col min="12" max="12" width="9" style="63" customWidth="1"/>
    <col min="13" max="13" width="11.375" style="63" bestFit="1" customWidth="1"/>
    <col min="14" max="14" width="12.25" style="50" customWidth="1"/>
    <col min="15" max="15" width="18.25" style="50" customWidth="1"/>
    <col min="16" max="16" width="8.5" style="63" customWidth="1"/>
    <col min="17" max="17" width="12" style="63" bestFit="1" customWidth="1"/>
    <col min="18" max="18" width="8.5" style="63" customWidth="1"/>
    <col min="19" max="19" width="12" style="63" bestFit="1" customWidth="1"/>
    <col min="20" max="20" width="8.5" style="63" customWidth="1"/>
    <col min="21" max="21" width="13.375" style="63" bestFit="1" customWidth="1"/>
    <col min="22" max="22" width="11.75" style="63" bestFit="1" customWidth="1"/>
    <col min="23" max="23" width="11.375" style="63" bestFit="1" customWidth="1"/>
    <col min="24" max="24" width="11.75" style="63" bestFit="1" customWidth="1"/>
    <col min="25" max="25" width="11.5" style="63" customWidth="1"/>
    <col min="26" max="26" width="12" style="63" customWidth="1"/>
    <col min="27" max="27" width="13.375" style="63" bestFit="1" customWidth="1"/>
    <col min="28" max="28" width="7.75" style="63" customWidth="1"/>
    <col min="29" max="29" width="11.75" style="63" bestFit="1" customWidth="1"/>
    <col min="30" max="16384" width="11" style="63"/>
  </cols>
  <sheetData>
    <row r="1" spans="1:35" s="60" customFormat="1" ht="12.95" customHeight="1" thickBot="1" x14ac:dyDescent="0.2">
      <c r="A1" s="74" t="s">
        <v>89</v>
      </c>
      <c r="B1" s="75"/>
      <c r="C1" s="80"/>
      <c r="D1" s="59"/>
      <c r="E1" s="59"/>
      <c r="F1" s="83"/>
      <c r="G1" s="59"/>
      <c r="H1" s="83"/>
      <c r="I1" s="83"/>
      <c r="J1" s="59"/>
      <c r="K1" s="59"/>
      <c r="L1" s="59"/>
      <c r="M1" s="59" t="s">
        <v>0</v>
      </c>
      <c r="N1" s="74" t="s">
        <v>83</v>
      </c>
      <c r="O1" s="75"/>
      <c r="P1" s="54"/>
      <c r="AA1" s="59" t="s">
        <v>1</v>
      </c>
    </row>
    <row r="2" spans="1:35" s="54" customFormat="1" ht="20.25" customHeight="1" thickBot="1" x14ac:dyDescent="0.2">
      <c r="C2" s="80"/>
      <c r="D2" s="80"/>
      <c r="E2" s="86" t="s">
        <v>87</v>
      </c>
      <c r="F2" s="87"/>
      <c r="G2" s="87"/>
      <c r="H2" s="88"/>
      <c r="I2" s="59"/>
      <c r="J2" s="38"/>
      <c r="K2" s="38"/>
      <c r="L2" s="38"/>
      <c r="M2" s="72">
        <f ca="1">NOW()</f>
        <v>45425.654161458333</v>
      </c>
      <c r="R2" s="86" t="s">
        <v>88</v>
      </c>
      <c r="S2" s="87"/>
      <c r="T2" s="87"/>
      <c r="U2" s="88"/>
      <c r="V2" s="60"/>
      <c r="W2" s="53"/>
      <c r="X2" s="53"/>
      <c r="Y2" s="53"/>
      <c r="Z2" s="53"/>
      <c r="AA2" s="73">
        <f ca="1">NOW()</f>
        <v>45425.654161458333</v>
      </c>
    </row>
    <row r="3" spans="1:35" s="60" customFormat="1" ht="12.95" customHeight="1" x14ac:dyDescent="0.15">
      <c r="A3" s="17" t="s">
        <v>2</v>
      </c>
      <c r="B3" s="18"/>
      <c r="C3" s="81"/>
      <c r="D3" s="82"/>
      <c r="J3" s="59" t="s">
        <v>3</v>
      </c>
      <c r="K3" s="59"/>
      <c r="L3" s="59"/>
      <c r="N3" s="17" t="s">
        <v>4</v>
      </c>
      <c r="O3" s="18"/>
      <c r="X3" s="59" t="s">
        <v>3</v>
      </c>
      <c r="AE3" s="54"/>
      <c r="AF3" s="54"/>
      <c r="AG3" s="54"/>
      <c r="AH3" s="54"/>
      <c r="AI3" s="54"/>
    </row>
    <row r="4" spans="1:35" s="60" customFormat="1" ht="21" customHeight="1" x14ac:dyDescent="0.15">
      <c r="A4" s="15" t="s">
        <v>5</v>
      </c>
      <c r="B4" s="16"/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2" t="s">
        <v>13</v>
      </c>
      <c r="K4" s="13" t="s">
        <v>14</v>
      </c>
      <c r="L4" s="12" t="s">
        <v>15</v>
      </c>
      <c r="M4" s="13" t="s">
        <v>16</v>
      </c>
      <c r="N4" s="15" t="s">
        <v>5</v>
      </c>
      <c r="O4" s="99"/>
      <c r="P4" s="12" t="s">
        <v>17</v>
      </c>
      <c r="Q4" s="13" t="s">
        <v>76</v>
      </c>
      <c r="R4" s="12" t="s">
        <v>18</v>
      </c>
      <c r="S4" s="13" t="s">
        <v>77</v>
      </c>
      <c r="T4" s="12" t="s">
        <v>19</v>
      </c>
      <c r="U4" s="13" t="s">
        <v>78</v>
      </c>
      <c r="V4" s="71" t="s">
        <v>20</v>
      </c>
      <c r="W4" s="13" t="s">
        <v>79</v>
      </c>
      <c r="X4" s="12" t="s">
        <v>21</v>
      </c>
      <c r="Y4" s="13" t="s">
        <v>80</v>
      </c>
      <c r="Z4" s="12" t="s">
        <v>22</v>
      </c>
      <c r="AA4" s="13" t="s">
        <v>81</v>
      </c>
      <c r="AB4" s="59"/>
      <c r="AC4" s="59"/>
      <c r="AE4" s="54"/>
      <c r="AF4" s="54"/>
      <c r="AG4" s="54"/>
      <c r="AH4" s="54"/>
      <c r="AI4" s="54"/>
    </row>
    <row r="5" spans="1:35" s="60" customFormat="1" ht="12.95" customHeight="1" x14ac:dyDescent="0.15">
      <c r="A5" s="39" t="s">
        <v>23</v>
      </c>
      <c r="B5" s="39" t="s">
        <v>24</v>
      </c>
      <c r="C5" s="28">
        <v>501</v>
      </c>
      <c r="D5" s="28">
        <v>545</v>
      </c>
      <c r="E5" s="23">
        <f>IF(D5&gt;0,D5+C5," ")</f>
        <v>1046</v>
      </c>
      <c r="F5" s="28">
        <v>613</v>
      </c>
      <c r="G5" s="23">
        <f>IF(F5&gt;0,F5+E5," ")</f>
        <v>1659</v>
      </c>
      <c r="H5" s="28">
        <v>622</v>
      </c>
      <c r="I5" s="23">
        <f>IF(H5&gt;0,H5+G5," ")</f>
        <v>2281</v>
      </c>
      <c r="J5" s="28">
        <v>663</v>
      </c>
      <c r="K5" s="23">
        <f>IF(J5&gt;0,J5+I5," ")</f>
        <v>2944</v>
      </c>
      <c r="L5" s="28">
        <v>698</v>
      </c>
      <c r="M5" s="23">
        <f>IF(L5&gt;0,L5+K5," ")</f>
        <v>3642</v>
      </c>
      <c r="N5" s="39" t="s">
        <v>23</v>
      </c>
      <c r="O5" s="39" t="s">
        <v>24</v>
      </c>
      <c r="P5" s="28">
        <v>728</v>
      </c>
      <c r="Q5" s="23">
        <f>IF(P5&gt;0,P5+M5," ")</f>
        <v>4370</v>
      </c>
      <c r="R5" s="28">
        <v>756</v>
      </c>
      <c r="S5" s="23">
        <f>IF(R5&gt;0,R5+Q5," ")</f>
        <v>5126</v>
      </c>
      <c r="T5" s="28">
        <v>724</v>
      </c>
      <c r="U5" s="23">
        <f>IF(T5&gt;0,T5+S5," ")</f>
        <v>5850</v>
      </c>
      <c r="V5" s="28">
        <v>680</v>
      </c>
      <c r="W5" s="23">
        <f>IF(V5&gt;0,V5+U5," ")</f>
        <v>6530</v>
      </c>
      <c r="X5" s="28">
        <v>675</v>
      </c>
      <c r="Y5" s="23">
        <f>IF(X5&gt;0,X5+W5," ")</f>
        <v>7205</v>
      </c>
      <c r="Z5" s="28">
        <v>673</v>
      </c>
      <c r="AA5" s="23">
        <f>IF(Z5&gt;0,Z5+Y5," ")</f>
        <v>7878</v>
      </c>
      <c r="AC5" s="107"/>
      <c r="AE5" s="54"/>
      <c r="AF5" s="54"/>
      <c r="AG5" s="54"/>
      <c r="AH5" s="54"/>
      <c r="AI5" s="54"/>
    </row>
    <row r="6" spans="1:35" s="60" customFormat="1" ht="12.95" customHeight="1" x14ac:dyDescent="0.15">
      <c r="A6" s="85" t="s">
        <v>25</v>
      </c>
      <c r="B6" s="59" t="s">
        <v>26</v>
      </c>
      <c r="C6" s="28">
        <v>498</v>
      </c>
      <c r="D6" s="28">
        <v>543</v>
      </c>
      <c r="E6" s="23">
        <f>IF(D6&gt;0,D6+C6," ")</f>
        <v>1041</v>
      </c>
      <c r="F6" s="28">
        <v>610</v>
      </c>
      <c r="G6" s="23">
        <f>IF(F6&gt;0,F6+E6," ")</f>
        <v>1651</v>
      </c>
      <c r="H6" s="28">
        <v>620</v>
      </c>
      <c r="I6" s="23">
        <f>IF(H6&gt;0,H6+G6," ")</f>
        <v>2271</v>
      </c>
      <c r="J6" s="28">
        <v>660</v>
      </c>
      <c r="K6" s="23">
        <f>IF(J6&gt;0,J6+I6," ")</f>
        <v>2931</v>
      </c>
      <c r="L6" s="28">
        <v>695</v>
      </c>
      <c r="M6" s="23">
        <f>IF(L6&gt;0,L6+K6," ")</f>
        <v>3626</v>
      </c>
      <c r="N6" s="85" t="s">
        <v>25</v>
      </c>
      <c r="O6" s="59" t="s">
        <v>26</v>
      </c>
      <c r="P6" s="28">
        <v>725</v>
      </c>
      <c r="Q6" s="23">
        <f>IF(P6&gt;0,P6+M6," ")</f>
        <v>4351</v>
      </c>
      <c r="R6" s="28">
        <v>753</v>
      </c>
      <c r="S6" s="23">
        <f>IF(R6&gt;0,R6+Q6," ")</f>
        <v>5104</v>
      </c>
      <c r="T6" s="28">
        <v>721</v>
      </c>
      <c r="U6" s="23">
        <f>IF(T6&gt;0,T6+S6," ")</f>
        <v>5825</v>
      </c>
      <c r="V6" s="28">
        <v>677</v>
      </c>
      <c r="W6" s="23">
        <f>IF(V6&gt;0,V6+U6," ")</f>
        <v>6502</v>
      </c>
      <c r="X6" s="28">
        <v>672</v>
      </c>
      <c r="Y6" s="23">
        <f>IF(X6&gt;0,X6+W6," ")</f>
        <v>7174</v>
      </c>
      <c r="Z6" s="28">
        <v>670</v>
      </c>
      <c r="AA6" s="23">
        <f>IF(Z6&gt;0,Z6+Y6," ")</f>
        <v>7844</v>
      </c>
      <c r="AC6" s="107"/>
      <c r="AE6" s="54"/>
      <c r="AF6" s="54"/>
      <c r="AG6" s="54"/>
      <c r="AH6" s="54"/>
      <c r="AI6" s="54"/>
    </row>
    <row r="7" spans="1:35" s="60" customFormat="1" ht="12.95" customHeight="1" x14ac:dyDescent="0.15">
      <c r="A7" s="59"/>
      <c r="B7" s="59"/>
      <c r="C7" s="34"/>
      <c r="D7" s="34"/>
      <c r="E7" s="23" t="str">
        <f>IF(D7&gt;0,D7+C7," ")</f>
        <v xml:space="preserve"> </v>
      </c>
      <c r="F7" s="34"/>
      <c r="G7" s="23" t="str">
        <f>IF(F7&gt;0,F7+E7," ")</f>
        <v xml:space="preserve"> </v>
      </c>
      <c r="H7" s="34"/>
      <c r="I7" s="23" t="str">
        <f>IF(H7&gt;0,H7+G7," ")</f>
        <v xml:space="preserve"> </v>
      </c>
      <c r="J7" s="34"/>
      <c r="K7" s="23" t="str">
        <f>IF(J7&gt;0,J7+I7," ")</f>
        <v xml:space="preserve"> </v>
      </c>
      <c r="L7" s="34"/>
      <c r="M7" s="23" t="str">
        <f>IF(L7&gt;0,L7+K7," ")</f>
        <v xml:space="preserve"> </v>
      </c>
      <c r="N7" s="59"/>
      <c r="O7" s="59"/>
      <c r="P7" s="34"/>
      <c r="Q7" s="23" t="str">
        <f>IF(P7&gt;0,P7+M7," ")</f>
        <v xml:space="preserve"> </v>
      </c>
      <c r="R7" s="34"/>
      <c r="S7" s="23" t="str">
        <f>IF(R7&gt;0,R7+Q7," ")</f>
        <v xml:space="preserve"> </v>
      </c>
      <c r="T7" s="34"/>
      <c r="U7" s="23" t="str">
        <f>IF(T7&gt;0,T7+S7," ")</f>
        <v xml:space="preserve"> </v>
      </c>
      <c r="V7" s="34"/>
      <c r="W7" s="23" t="str">
        <f>IF(V7&gt;0,V7+U7," ")</f>
        <v xml:space="preserve"> </v>
      </c>
      <c r="X7" s="34"/>
      <c r="Y7" s="23" t="str">
        <f>IF(X7&gt;0,X7+W7," ")</f>
        <v xml:space="preserve"> </v>
      </c>
      <c r="Z7" s="34"/>
      <c r="AA7" s="23" t="str">
        <f>IF(Z7&gt;0,Z7+Y7," ")</f>
        <v xml:space="preserve"> </v>
      </c>
      <c r="AC7" s="100"/>
      <c r="AE7" s="54"/>
      <c r="AF7" s="54"/>
      <c r="AG7" s="54"/>
      <c r="AH7" s="54"/>
      <c r="AI7" s="54"/>
    </row>
    <row r="8" spans="1:35" s="60" customFormat="1" ht="12.95" customHeight="1" x14ac:dyDescent="0.15">
      <c r="A8" s="59" t="s">
        <v>27</v>
      </c>
      <c r="B8" s="59" t="s">
        <v>28</v>
      </c>
      <c r="C8" s="28">
        <v>150</v>
      </c>
      <c r="D8" s="28">
        <v>166</v>
      </c>
      <c r="E8" s="23">
        <f>IF(D8&gt;0,D8+C8," ")</f>
        <v>316</v>
      </c>
      <c r="F8" s="28">
        <v>186</v>
      </c>
      <c r="G8" s="23">
        <f>IF(F8&gt;0,F8+E8," ")</f>
        <v>502</v>
      </c>
      <c r="H8" s="28">
        <v>179</v>
      </c>
      <c r="I8" s="23">
        <f>IF(H8&gt;0,H8+G8," ")</f>
        <v>681</v>
      </c>
      <c r="J8" s="28">
        <v>191</v>
      </c>
      <c r="K8" s="23">
        <f>IF(J8&gt;0,J8+I8," ")</f>
        <v>872</v>
      </c>
      <c r="L8" s="28">
        <v>199</v>
      </c>
      <c r="M8" s="23">
        <f>IF(L8&gt;0,L8+K8," ")</f>
        <v>1071</v>
      </c>
      <c r="N8" s="59" t="s">
        <v>27</v>
      </c>
      <c r="O8" s="59" t="s">
        <v>28</v>
      </c>
      <c r="P8" s="28">
        <v>209</v>
      </c>
      <c r="Q8" s="23">
        <f>IF(P8&gt;0,P8+M8," ")</f>
        <v>1280</v>
      </c>
      <c r="R8" s="28">
        <v>211</v>
      </c>
      <c r="S8" s="23">
        <f>IF(R8&gt;0,R8+Q8," ")</f>
        <v>1491</v>
      </c>
      <c r="T8" s="28">
        <v>205</v>
      </c>
      <c r="U8" s="23">
        <f>IF(T8&gt;0,T8+S8," ")</f>
        <v>1696</v>
      </c>
      <c r="V8" s="28">
        <v>196</v>
      </c>
      <c r="W8" s="23">
        <f>IF(V8&gt;0,V8+U8," ")</f>
        <v>1892</v>
      </c>
      <c r="X8" s="28">
        <v>191</v>
      </c>
      <c r="Y8" s="23">
        <f>IF(X8&gt;0,X8+W8," ")</f>
        <v>2083</v>
      </c>
      <c r="Z8" s="28">
        <v>186</v>
      </c>
      <c r="AA8" s="23">
        <f>IF(Z8&gt;0,Z8+Y8," ")</f>
        <v>2269</v>
      </c>
      <c r="AC8" s="107"/>
      <c r="AE8" s="54"/>
      <c r="AF8" s="54"/>
      <c r="AG8" s="54"/>
      <c r="AH8" s="54"/>
      <c r="AI8" s="54"/>
    </row>
    <row r="9" spans="1:35" s="60" customFormat="1" ht="12.95" customHeight="1" x14ac:dyDescent="0.15">
      <c r="A9" s="99"/>
      <c r="B9" s="99"/>
      <c r="C9" s="35"/>
      <c r="D9" s="35"/>
      <c r="E9" s="24"/>
      <c r="F9" s="35"/>
      <c r="G9" s="24"/>
      <c r="H9" s="35"/>
      <c r="I9" s="24"/>
      <c r="J9" s="35"/>
      <c r="K9" s="24"/>
      <c r="L9" s="35"/>
      <c r="M9" s="24"/>
      <c r="N9" s="99"/>
      <c r="O9" s="99"/>
      <c r="P9" s="35"/>
      <c r="Q9" s="24"/>
      <c r="R9" s="35"/>
      <c r="S9" s="24"/>
      <c r="T9" s="35"/>
      <c r="U9" s="24"/>
      <c r="V9" s="35"/>
      <c r="W9" s="24"/>
      <c r="X9" s="35"/>
      <c r="Y9" s="24"/>
      <c r="Z9" s="35"/>
      <c r="AA9" s="24"/>
      <c r="AC9" s="100"/>
      <c r="AE9" s="54"/>
      <c r="AF9" s="54"/>
      <c r="AG9" s="54"/>
      <c r="AH9" s="54"/>
      <c r="AI9" s="54"/>
    </row>
    <row r="10" spans="1:35" s="60" customFormat="1" ht="12.95" customHeight="1" x14ac:dyDescent="0.15">
      <c r="A10" s="39" t="s">
        <v>67</v>
      </c>
      <c r="B10" s="59" t="s">
        <v>29</v>
      </c>
      <c r="C10" s="28">
        <v>185.6</v>
      </c>
      <c r="D10" s="28">
        <v>176.7</v>
      </c>
      <c r="E10" s="23">
        <f>IF(D10&gt;0,D10+C10," ")</f>
        <v>362.29999999999995</v>
      </c>
      <c r="F10" s="28">
        <v>221.7</v>
      </c>
      <c r="G10" s="23">
        <f>IF(F10&gt;0,F10+E10," ")</f>
        <v>584</v>
      </c>
      <c r="H10" s="28">
        <v>280.3</v>
      </c>
      <c r="I10" s="23">
        <f>IF(H10&gt;0,H10+G10," ")</f>
        <v>864.3</v>
      </c>
      <c r="J10" s="28">
        <v>330</v>
      </c>
      <c r="K10" s="23">
        <f>IF(J10&gt;0,J10+I10," ")</f>
        <v>1194.3</v>
      </c>
      <c r="L10" s="28">
        <v>360.6</v>
      </c>
      <c r="M10" s="23">
        <f>IF(L10&gt;0,L10+K10," ")</f>
        <v>1554.9</v>
      </c>
      <c r="N10" s="39" t="s">
        <v>67</v>
      </c>
      <c r="O10" s="59" t="s">
        <v>29</v>
      </c>
      <c r="P10" s="28">
        <v>392.5</v>
      </c>
      <c r="Q10" s="23">
        <f>IF(P10&gt;0,P10+M10," ")</f>
        <v>1947.4</v>
      </c>
      <c r="R10" s="28">
        <v>389.7</v>
      </c>
      <c r="S10" s="23">
        <f>IF(R10&gt;0,R10+Q10," ")</f>
        <v>2337.1</v>
      </c>
      <c r="T10" s="28">
        <v>370.5</v>
      </c>
      <c r="U10" s="23">
        <f>IF(T10&gt;0,T10+S10," ")</f>
        <v>2707.6</v>
      </c>
      <c r="V10" s="28">
        <v>343.5</v>
      </c>
      <c r="W10" s="23">
        <f>IF(V10&gt;0,V10+U10," ")</f>
        <v>3051.1</v>
      </c>
      <c r="X10" s="28">
        <v>251.1</v>
      </c>
      <c r="Y10" s="23">
        <f>IF(X10&gt;0,X10+W10," ")</f>
        <v>3302.2</v>
      </c>
      <c r="Z10" s="28">
        <v>261.89999999999998</v>
      </c>
      <c r="AA10" s="23">
        <f>IF(Z10&gt;0,Z10+Y10," ")</f>
        <v>3564.1</v>
      </c>
      <c r="AC10" s="107"/>
      <c r="AE10" s="54"/>
      <c r="AF10" s="54"/>
      <c r="AG10" s="54"/>
      <c r="AH10" s="54"/>
      <c r="AI10" s="54"/>
    </row>
    <row r="11" spans="1:35" s="60" customFormat="1" ht="12.95" customHeight="1" x14ac:dyDescent="0.15">
      <c r="B11" s="59" t="s">
        <v>30</v>
      </c>
      <c r="C11" s="28">
        <v>10.4</v>
      </c>
      <c r="D11" s="28">
        <v>0.3</v>
      </c>
      <c r="E11" s="23">
        <f>IF(D11&gt;0,D11+C11," ")</f>
        <v>10.700000000000001</v>
      </c>
      <c r="F11" s="28">
        <v>18.3</v>
      </c>
      <c r="G11" s="23">
        <f>IF(F11&gt;0,F11+E11," ")</f>
        <v>29</v>
      </c>
      <c r="H11" s="28">
        <v>13.7</v>
      </c>
      <c r="I11" s="23">
        <f>IF(H11&gt;0,H11+G11," ")</f>
        <v>42.7</v>
      </c>
      <c r="J11" s="28">
        <v>5</v>
      </c>
      <c r="K11" s="23">
        <f>IF(J11&gt;0,J11+I11," ")</f>
        <v>47.7</v>
      </c>
      <c r="L11" s="28">
        <v>9.4</v>
      </c>
      <c r="M11" s="23">
        <f>IF(L11&gt;0,L11+K11," ")</f>
        <v>57.1</v>
      </c>
      <c r="O11" s="59" t="s">
        <v>30</v>
      </c>
      <c r="P11" s="28">
        <v>8.5</v>
      </c>
      <c r="Q11" s="23">
        <f>IF(P11&gt;0,P11+M11," ")</f>
        <v>65.599999999999994</v>
      </c>
      <c r="R11" s="28">
        <v>10.3</v>
      </c>
      <c r="S11" s="23">
        <f>IF(R11&gt;0,R11+Q11," ")</f>
        <v>75.899999999999991</v>
      </c>
      <c r="T11" s="28">
        <v>6.5</v>
      </c>
      <c r="U11" s="23">
        <f>IF(T11&gt;0,T11+S11," ")</f>
        <v>82.399999999999991</v>
      </c>
      <c r="V11" s="28">
        <v>0.5</v>
      </c>
      <c r="W11" s="23">
        <f>IF(V11&gt;0,V11+U11," ")</f>
        <v>82.899999999999991</v>
      </c>
      <c r="X11" s="28">
        <v>36.9</v>
      </c>
      <c r="Y11" s="23">
        <f>IF(X11&gt;0,X11+W11," ")</f>
        <v>119.79999999999998</v>
      </c>
      <c r="Z11" s="28">
        <v>38.1</v>
      </c>
      <c r="AA11" s="23">
        <f>IF(Z11&gt;0,Z11+Y11," ")</f>
        <v>157.89999999999998</v>
      </c>
      <c r="AB11" s="81"/>
      <c r="AC11" s="107"/>
      <c r="AE11" s="54"/>
      <c r="AF11" s="54"/>
      <c r="AG11" s="54"/>
      <c r="AH11" s="54"/>
      <c r="AI11" s="54"/>
    </row>
    <row r="12" spans="1:35" s="60" customFormat="1" ht="12.95" customHeight="1" x14ac:dyDescent="0.15">
      <c r="B12" s="59" t="s">
        <v>31</v>
      </c>
      <c r="C12" s="34">
        <f>IF(C11="","",C11+C10)</f>
        <v>196</v>
      </c>
      <c r="D12" s="34">
        <f>IF(D11="","",D11+D10)</f>
        <v>177</v>
      </c>
      <c r="E12" s="23">
        <f>IF(D12="","",IF(D12&gt;0,D12+C12," "))</f>
        <v>373</v>
      </c>
      <c r="F12" s="34">
        <f>IF(F11="","",F11+F10)</f>
        <v>240</v>
      </c>
      <c r="G12" s="23">
        <f>IF(F12="","",IF(F12&gt;0,F12+E12," "))</f>
        <v>613</v>
      </c>
      <c r="H12" s="34">
        <f>IF(H11="","",H11+H10)</f>
        <v>294</v>
      </c>
      <c r="I12" s="23">
        <f>IF(H12="","",IF(H12&gt;0,H12+G12," "))</f>
        <v>907</v>
      </c>
      <c r="J12" s="34">
        <f>IF(J11="","",J11+J10)</f>
        <v>335</v>
      </c>
      <c r="K12" s="23">
        <f>IF(J12="","",IF(J12&gt;0,J12+I12," "))</f>
        <v>1242</v>
      </c>
      <c r="L12" s="34">
        <f>IF(L11="","",L11+L10)</f>
        <v>370</v>
      </c>
      <c r="M12" s="23">
        <f>IF(L12="","",IF(L12&gt;0,L12+K12," "))</f>
        <v>1612</v>
      </c>
      <c r="O12" s="59" t="s">
        <v>31</v>
      </c>
      <c r="P12" s="34">
        <f>IF(P11="","",P11+P10)</f>
        <v>401</v>
      </c>
      <c r="Q12" s="23">
        <f>IF(P12="","",IF(P12&gt;0,P12+M12," "))</f>
        <v>2013</v>
      </c>
      <c r="R12" s="34">
        <f>IF(R11="","",R11+R10)</f>
        <v>400</v>
      </c>
      <c r="S12" s="23">
        <f>IF(R12="","",IF(R12&gt;0,R12+Q12," "))</f>
        <v>2413</v>
      </c>
      <c r="T12" s="34">
        <f>IF(T11="","",T11+T10)</f>
        <v>377</v>
      </c>
      <c r="U12" s="23">
        <f>IF(T12="","",IF(T12&gt;0,T12+S12," "))</f>
        <v>2790</v>
      </c>
      <c r="V12" s="34">
        <f>IF(V11="","",V11+V10)</f>
        <v>344</v>
      </c>
      <c r="W12" s="23">
        <f>IF(V12="","",IF(V12&gt;0,V12+U12," "))</f>
        <v>3134</v>
      </c>
      <c r="X12" s="34">
        <f>IF(X11="","",X11+X10)</f>
        <v>288</v>
      </c>
      <c r="Y12" s="23">
        <f>IF(X12="","",IF(X12&gt;0,X12+W12," "))</f>
        <v>3422</v>
      </c>
      <c r="Z12" s="34">
        <f>IF(Z11="","",Z11+Z10)</f>
        <v>300</v>
      </c>
      <c r="AA12" s="23">
        <f>IF(Z12="","",IF(Z12&gt;0,Z12+Y12," "))</f>
        <v>3722</v>
      </c>
      <c r="AC12" s="107"/>
      <c r="AE12" s="54"/>
      <c r="AF12" s="54"/>
      <c r="AG12" s="54"/>
      <c r="AH12" s="54"/>
      <c r="AI12" s="54"/>
    </row>
    <row r="13" spans="1:35" s="60" customFormat="1" ht="12.95" customHeight="1" x14ac:dyDescent="0.15">
      <c r="C13" s="14"/>
      <c r="D13" s="14"/>
      <c r="E13" s="23" t="str">
        <f>IF(D13&gt;0,D13+C13," ")</f>
        <v xml:space="preserve"> </v>
      </c>
      <c r="F13" s="14"/>
      <c r="G13" s="23" t="str">
        <f>IF(F13&gt;0,F13+E13," ")</f>
        <v xml:space="preserve"> </v>
      </c>
      <c r="H13" s="14"/>
      <c r="I13" s="23" t="str">
        <f>IF(H13&gt;0,H13+G13," ")</f>
        <v xml:space="preserve"> </v>
      </c>
      <c r="J13" s="14"/>
      <c r="K13" s="23" t="str">
        <f>IF(J13&gt;0,J13+I13," ")</f>
        <v xml:space="preserve"> </v>
      </c>
      <c r="L13" s="14"/>
      <c r="M13" s="23" t="str">
        <f>IF(L13&gt;0,L13+K13," ")</f>
        <v xml:space="preserve"> </v>
      </c>
      <c r="P13" s="14"/>
      <c r="Q13" s="23" t="str">
        <f>IF(P13&gt;0,P13+M13," ")</f>
        <v xml:space="preserve"> </v>
      </c>
      <c r="R13" s="14"/>
      <c r="S13" s="23" t="str">
        <f>IF(R13&gt;0,R13+Q13," ")</f>
        <v xml:space="preserve"> </v>
      </c>
      <c r="T13" s="14"/>
      <c r="U13" s="23" t="str">
        <f>IF(T13&gt;0,T13+S13," ")</f>
        <v xml:space="preserve"> </v>
      </c>
      <c r="V13" s="14"/>
      <c r="W13" s="23" t="str">
        <f>IF(V13&gt;0,V13+U13," ")</f>
        <v xml:space="preserve"> </v>
      </c>
      <c r="X13" s="14"/>
      <c r="Y13" s="23" t="str">
        <f>IF(X13&gt;0,X13+W13," ")</f>
        <v xml:space="preserve"> </v>
      </c>
      <c r="Z13" s="14"/>
      <c r="AA13" s="23" t="str">
        <f>IF(Z13&gt;0,Z13+Y13," ")</f>
        <v xml:space="preserve"> </v>
      </c>
      <c r="AC13" s="100"/>
      <c r="AE13" s="54"/>
      <c r="AF13" s="54"/>
      <c r="AG13" s="54"/>
      <c r="AH13" s="54"/>
      <c r="AI13" s="54"/>
    </row>
    <row r="14" spans="1:35" s="60" customFormat="1" ht="12.95" customHeight="1" x14ac:dyDescent="0.15">
      <c r="A14" s="39" t="s">
        <v>32</v>
      </c>
      <c r="B14" s="59" t="s">
        <v>33</v>
      </c>
      <c r="C14" s="28">
        <v>0.5</v>
      </c>
      <c r="D14" s="28">
        <v>0.3</v>
      </c>
      <c r="E14" s="23">
        <f>IF(D14&gt;0,D14+C14," ")</f>
        <v>0.8</v>
      </c>
      <c r="F14" s="28">
        <v>0.2</v>
      </c>
      <c r="G14" s="23">
        <f>IF(F14&gt;0,F14+E14," ")</f>
        <v>1</v>
      </c>
      <c r="H14" s="28">
        <v>0.1</v>
      </c>
      <c r="I14" s="23">
        <f>IF(H14&gt;0,H14+G14," ")</f>
        <v>1.1000000000000001</v>
      </c>
      <c r="J14" s="28">
        <v>0.1</v>
      </c>
      <c r="K14" s="23">
        <f>IF(J14&gt;0,J14+I14," ")</f>
        <v>1.2000000000000002</v>
      </c>
      <c r="L14" s="28">
        <v>0.1</v>
      </c>
      <c r="M14" s="23">
        <f>IF(L14&gt;0,L14+K14," ")</f>
        <v>1.3000000000000003</v>
      </c>
      <c r="N14" s="39" t="s">
        <v>32</v>
      </c>
      <c r="O14" s="59" t="s">
        <v>33</v>
      </c>
      <c r="P14" s="28">
        <v>0.1</v>
      </c>
      <c r="Q14" s="23">
        <f>IF(P14&gt;0,P14+M14," ")</f>
        <v>1.4000000000000004</v>
      </c>
      <c r="R14" s="28">
        <v>0.1</v>
      </c>
      <c r="S14" s="23">
        <f>IF(R14&gt;0,R14+Q14," ")</f>
        <v>1.5000000000000004</v>
      </c>
      <c r="T14" s="28">
        <v>0.3</v>
      </c>
      <c r="U14" s="23">
        <f>IF(T14&gt;0,T14+S14," ")</f>
        <v>1.8000000000000005</v>
      </c>
      <c r="V14" s="28">
        <v>0.2</v>
      </c>
      <c r="W14" s="23">
        <f>IF(V14&gt;0,V14+U14," ")</f>
        <v>2.0000000000000004</v>
      </c>
      <c r="X14" s="28">
        <v>0.3</v>
      </c>
      <c r="Y14" s="23">
        <f>IF(X14&gt;0,X14+W14," ")</f>
        <v>2.3000000000000003</v>
      </c>
      <c r="Z14" s="28">
        <v>0.4</v>
      </c>
      <c r="AA14" s="23">
        <f>IF(Z14&gt;0,Z14+Y14," ")</f>
        <v>2.7</v>
      </c>
      <c r="AB14" s="108"/>
      <c r="AC14" s="107"/>
      <c r="AE14" s="54"/>
      <c r="AF14" s="54"/>
      <c r="AG14" s="54"/>
      <c r="AH14" s="54"/>
      <c r="AI14" s="54"/>
    </row>
    <row r="15" spans="1:35" s="60" customFormat="1" ht="12.95" customHeight="1" x14ac:dyDescent="0.15">
      <c r="A15" s="99"/>
      <c r="B15" s="99"/>
      <c r="C15" s="35"/>
      <c r="D15" s="35"/>
      <c r="E15" s="24"/>
      <c r="F15" s="35"/>
      <c r="G15" s="24"/>
      <c r="H15" s="35"/>
      <c r="I15" s="24"/>
      <c r="J15" s="35"/>
      <c r="K15" s="24"/>
      <c r="L15" s="35"/>
      <c r="M15" s="24"/>
      <c r="N15" s="99"/>
      <c r="O15" s="99"/>
      <c r="P15" s="35"/>
      <c r="Q15" s="24"/>
      <c r="R15" s="35"/>
      <c r="S15" s="24"/>
      <c r="T15" s="35"/>
      <c r="U15" s="24"/>
      <c r="V15" s="35"/>
      <c r="W15" s="24"/>
      <c r="X15" s="35"/>
      <c r="Y15" s="24"/>
      <c r="Z15" s="35"/>
      <c r="AA15" s="24"/>
      <c r="AC15" s="100"/>
      <c r="AE15" s="54"/>
      <c r="AF15" s="54"/>
      <c r="AG15" s="54"/>
      <c r="AH15" s="54"/>
      <c r="AI15" s="54"/>
    </row>
    <row r="16" spans="1:35" s="60" customFormat="1" ht="12.95" customHeight="1" x14ac:dyDescent="0.15">
      <c r="A16" s="39" t="s">
        <v>34</v>
      </c>
      <c r="B16" s="39" t="s">
        <v>35</v>
      </c>
      <c r="C16" s="28">
        <v>1693</v>
      </c>
      <c r="D16" s="28">
        <v>1839</v>
      </c>
      <c r="E16" s="23">
        <f t="shared" ref="E16:E23" si="0">IF(D16&gt;0,D16+C16," ")</f>
        <v>3532</v>
      </c>
      <c r="F16" s="28">
        <v>2041</v>
      </c>
      <c r="G16" s="23">
        <f t="shared" ref="G16:G23" si="1">IF(F16&gt;0,F16+E16," ")</f>
        <v>5573</v>
      </c>
      <c r="H16" s="28">
        <v>1940</v>
      </c>
      <c r="I16" s="23">
        <f t="shared" ref="I16:I23" si="2">IF(H16&gt;0,H16+G16," ")</f>
        <v>7513</v>
      </c>
      <c r="J16" s="28">
        <v>2041</v>
      </c>
      <c r="K16" s="23">
        <f t="shared" ref="K16:K23" si="3">IF(J16&gt;0,J16+I16," ")</f>
        <v>9554</v>
      </c>
      <c r="L16" s="28">
        <v>2038</v>
      </c>
      <c r="M16" s="23">
        <f t="shared" ref="M16:M23" si="4">IF(L16&gt;0,L16+K16," ")</f>
        <v>11592</v>
      </c>
      <c r="N16" s="39" t="s">
        <v>34</v>
      </c>
      <c r="O16" s="39" t="s">
        <v>35</v>
      </c>
      <c r="P16" s="28">
        <v>2118</v>
      </c>
      <c r="Q16" s="23">
        <f>IF(P16&gt;0,P16+M16," ")</f>
        <v>13710</v>
      </c>
      <c r="R16" s="28">
        <v>1964</v>
      </c>
      <c r="S16" s="23">
        <f t="shared" ref="S16:S23" si="5">IF(R16&gt;0,R16+Q16," ")</f>
        <v>15674</v>
      </c>
      <c r="T16" s="28">
        <v>2089</v>
      </c>
      <c r="U16" s="23">
        <f t="shared" ref="U16:U23" si="6">IF(T16&gt;0,T16+S16," ")</f>
        <v>17763</v>
      </c>
      <c r="V16" s="28">
        <v>1995</v>
      </c>
      <c r="W16" s="23">
        <f t="shared" ref="W16:W23" si="7">IF(V16&gt;0,V16+U16," ")</f>
        <v>19758</v>
      </c>
      <c r="X16" s="28">
        <v>2044</v>
      </c>
      <c r="Y16" s="23">
        <f t="shared" ref="Y16:Y23" si="8">IF(X16&gt;0,X16+W16," ")</f>
        <v>21802</v>
      </c>
      <c r="Z16" s="28">
        <v>1949</v>
      </c>
      <c r="AA16" s="23">
        <f t="shared" ref="AA16:AA23" si="9">IF(Z16&gt;0,Z16+Y16," ")</f>
        <v>23751</v>
      </c>
      <c r="AC16" s="107"/>
      <c r="AE16" s="54"/>
      <c r="AF16" s="54"/>
      <c r="AG16" s="54"/>
      <c r="AH16" s="54"/>
      <c r="AI16" s="54"/>
    </row>
    <row r="17" spans="1:35" s="60" customFormat="1" ht="12.95" customHeight="1" x14ac:dyDescent="0.15">
      <c r="A17" s="85" t="s">
        <v>36</v>
      </c>
      <c r="B17" s="59" t="s">
        <v>37</v>
      </c>
      <c r="C17" s="28">
        <v>1046</v>
      </c>
      <c r="D17" s="28">
        <v>1131</v>
      </c>
      <c r="E17" s="23">
        <f t="shared" si="0"/>
        <v>2177</v>
      </c>
      <c r="F17" s="28">
        <v>1274</v>
      </c>
      <c r="G17" s="23">
        <f t="shared" si="1"/>
        <v>3451</v>
      </c>
      <c r="H17" s="28">
        <v>1235</v>
      </c>
      <c r="I17" s="23">
        <f t="shared" si="2"/>
        <v>4686</v>
      </c>
      <c r="J17" s="28">
        <v>1289</v>
      </c>
      <c r="K17" s="23">
        <f t="shared" si="3"/>
        <v>5975</v>
      </c>
      <c r="L17" s="28">
        <v>1318</v>
      </c>
      <c r="M17" s="23">
        <f t="shared" si="4"/>
        <v>7293</v>
      </c>
      <c r="N17" s="85" t="s">
        <v>36</v>
      </c>
      <c r="O17" s="59" t="s">
        <v>37</v>
      </c>
      <c r="P17" s="28">
        <v>1373</v>
      </c>
      <c r="Q17" s="23">
        <f>IF(P17&gt;0,P17+M17," ")</f>
        <v>8666</v>
      </c>
      <c r="R17" s="28">
        <v>1343</v>
      </c>
      <c r="S17" s="23">
        <f t="shared" si="5"/>
        <v>10009</v>
      </c>
      <c r="T17" s="28">
        <v>1356</v>
      </c>
      <c r="U17" s="23">
        <f t="shared" si="6"/>
        <v>11365</v>
      </c>
      <c r="V17" s="28">
        <v>1297</v>
      </c>
      <c r="W17" s="23">
        <f>IF(V17&gt;0,V17+U17," ")</f>
        <v>12662</v>
      </c>
      <c r="X17" s="28">
        <v>1308</v>
      </c>
      <c r="Y17" s="23">
        <f t="shared" si="8"/>
        <v>13970</v>
      </c>
      <c r="Z17" s="28">
        <v>1287</v>
      </c>
      <c r="AA17" s="23">
        <f t="shared" si="9"/>
        <v>15257</v>
      </c>
      <c r="AC17" s="107"/>
      <c r="AE17" s="54"/>
      <c r="AF17" s="54"/>
      <c r="AG17" s="54"/>
      <c r="AH17" s="54"/>
      <c r="AI17" s="54"/>
    </row>
    <row r="18" spans="1:35" s="60" customFormat="1" ht="12.95" customHeight="1" x14ac:dyDescent="0.15">
      <c r="A18" s="59" t="s">
        <v>27</v>
      </c>
      <c r="B18" s="59" t="s">
        <v>28</v>
      </c>
      <c r="C18" s="28">
        <v>854</v>
      </c>
      <c r="D18" s="28">
        <v>926</v>
      </c>
      <c r="E18" s="23">
        <f t="shared" si="0"/>
        <v>1780</v>
      </c>
      <c r="F18" s="28">
        <v>1004</v>
      </c>
      <c r="G18" s="23">
        <f t="shared" si="1"/>
        <v>2784</v>
      </c>
      <c r="H18" s="28">
        <v>935</v>
      </c>
      <c r="I18" s="23">
        <f t="shared" si="2"/>
        <v>3719</v>
      </c>
      <c r="J18" s="28">
        <v>993</v>
      </c>
      <c r="K18" s="23">
        <f t="shared" si="3"/>
        <v>4712</v>
      </c>
      <c r="L18" s="28">
        <v>967</v>
      </c>
      <c r="M18" s="23">
        <f t="shared" si="4"/>
        <v>5679</v>
      </c>
      <c r="N18" s="59" t="s">
        <v>27</v>
      </c>
      <c r="O18" s="59" t="s">
        <v>28</v>
      </c>
      <c r="P18" s="28">
        <v>1003</v>
      </c>
      <c r="Q18" s="23">
        <f t="shared" ref="Q18:Q23" si="10">IF(P18&gt;0,P18+M18," ")</f>
        <v>6682</v>
      </c>
      <c r="R18" s="28">
        <v>880</v>
      </c>
      <c r="S18" s="23">
        <f t="shared" si="5"/>
        <v>7562</v>
      </c>
      <c r="T18" s="28">
        <v>987</v>
      </c>
      <c r="U18" s="23">
        <f t="shared" si="6"/>
        <v>8549</v>
      </c>
      <c r="V18" s="28">
        <v>941</v>
      </c>
      <c r="W18" s="23">
        <f t="shared" si="7"/>
        <v>9490</v>
      </c>
      <c r="X18" s="28">
        <v>970</v>
      </c>
      <c r="Y18" s="23">
        <f t="shared" si="8"/>
        <v>10460</v>
      </c>
      <c r="Z18" s="28">
        <v>894</v>
      </c>
      <c r="AA18" s="23">
        <f t="shared" si="9"/>
        <v>11354</v>
      </c>
      <c r="AC18" s="107"/>
      <c r="AE18" s="54"/>
      <c r="AF18" s="54"/>
      <c r="AG18" s="54"/>
      <c r="AH18" s="54"/>
      <c r="AI18" s="54"/>
    </row>
    <row r="19" spans="1:35" s="60" customFormat="1" ht="12.95" customHeight="1" x14ac:dyDescent="0.15">
      <c r="A19" s="59" t="s">
        <v>27</v>
      </c>
      <c r="B19" s="59" t="s">
        <v>43</v>
      </c>
      <c r="C19" s="28">
        <v>3</v>
      </c>
      <c r="D19" s="28">
        <v>3</v>
      </c>
      <c r="E19" s="23">
        <f t="shared" si="0"/>
        <v>6</v>
      </c>
      <c r="F19" s="28">
        <v>5</v>
      </c>
      <c r="G19" s="23">
        <f t="shared" si="1"/>
        <v>11</v>
      </c>
      <c r="H19" s="28">
        <v>2</v>
      </c>
      <c r="I19" s="23">
        <f t="shared" si="2"/>
        <v>13</v>
      </c>
      <c r="J19" s="28">
        <v>3</v>
      </c>
      <c r="K19" s="23">
        <f t="shared" si="3"/>
        <v>16</v>
      </c>
      <c r="L19" s="28">
        <v>3</v>
      </c>
      <c r="M19" s="23">
        <f t="shared" si="4"/>
        <v>19</v>
      </c>
      <c r="N19" s="59" t="s">
        <v>27</v>
      </c>
      <c r="O19" s="59" t="s">
        <v>43</v>
      </c>
      <c r="P19" s="28">
        <v>3</v>
      </c>
      <c r="Q19" s="23">
        <f t="shared" si="10"/>
        <v>22</v>
      </c>
      <c r="R19" s="28">
        <v>4</v>
      </c>
      <c r="S19" s="23">
        <f t="shared" si="5"/>
        <v>26</v>
      </c>
      <c r="T19" s="28">
        <v>3</v>
      </c>
      <c r="U19" s="23">
        <f t="shared" si="6"/>
        <v>29</v>
      </c>
      <c r="V19" s="28">
        <v>3</v>
      </c>
      <c r="W19" s="23">
        <f t="shared" si="7"/>
        <v>32</v>
      </c>
      <c r="X19" s="28">
        <v>2</v>
      </c>
      <c r="Y19" s="23">
        <f t="shared" si="8"/>
        <v>34</v>
      </c>
      <c r="Z19" s="28">
        <v>1</v>
      </c>
      <c r="AA19" s="23">
        <f t="shared" si="9"/>
        <v>35</v>
      </c>
      <c r="AC19" s="107"/>
      <c r="AE19" s="54"/>
      <c r="AF19" s="54"/>
      <c r="AG19" s="54"/>
      <c r="AH19" s="54"/>
      <c r="AI19" s="54"/>
    </row>
    <row r="20" spans="1:35" s="60" customFormat="1" ht="12.95" customHeight="1" x14ac:dyDescent="0.15">
      <c r="C20" s="14"/>
      <c r="D20" s="14"/>
      <c r="E20" s="23" t="str">
        <f t="shared" si="0"/>
        <v xml:space="preserve"> </v>
      </c>
      <c r="F20" s="14"/>
      <c r="G20" s="23" t="str">
        <f t="shared" si="1"/>
        <v xml:space="preserve"> </v>
      </c>
      <c r="H20" s="14"/>
      <c r="I20" s="23" t="str">
        <f t="shared" si="2"/>
        <v xml:space="preserve"> </v>
      </c>
      <c r="J20" s="14"/>
      <c r="K20" s="23" t="str">
        <f t="shared" si="3"/>
        <v xml:space="preserve"> </v>
      </c>
      <c r="L20" s="14"/>
      <c r="M20" s="23" t="str">
        <f t="shared" si="4"/>
        <v xml:space="preserve"> </v>
      </c>
      <c r="P20" s="14"/>
      <c r="Q20" s="23" t="str">
        <f t="shared" si="10"/>
        <v xml:space="preserve"> </v>
      </c>
      <c r="R20" s="14"/>
      <c r="S20" s="23" t="str">
        <f t="shared" si="5"/>
        <v xml:space="preserve"> </v>
      </c>
      <c r="T20" s="14"/>
      <c r="U20" s="23" t="str">
        <f t="shared" si="6"/>
        <v xml:space="preserve"> </v>
      </c>
      <c r="V20" s="14"/>
      <c r="W20" s="23" t="str">
        <f t="shared" si="7"/>
        <v xml:space="preserve"> </v>
      </c>
      <c r="X20" s="14"/>
      <c r="Y20" s="23" t="str">
        <f t="shared" si="8"/>
        <v xml:space="preserve"> </v>
      </c>
      <c r="Z20" s="14"/>
      <c r="AA20" s="23" t="str">
        <f t="shared" si="9"/>
        <v xml:space="preserve"> </v>
      </c>
      <c r="AB20" s="81"/>
      <c r="AC20" s="81"/>
      <c r="AE20" s="54"/>
      <c r="AF20" s="54"/>
      <c r="AG20" s="54"/>
      <c r="AH20" s="54"/>
      <c r="AI20" s="54"/>
    </row>
    <row r="21" spans="1:35" s="60" customFormat="1" ht="12.95" customHeight="1" x14ac:dyDescent="0.15">
      <c r="B21" s="39" t="s">
        <v>38</v>
      </c>
      <c r="C21" s="28">
        <v>99</v>
      </c>
      <c r="D21" s="28">
        <v>83</v>
      </c>
      <c r="E21" s="23">
        <f t="shared" si="0"/>
        <v>182</v>
      </c>
      <c r="F21" s="28">
        <v>71</v>
      </c>
      <c r="G21" s="23">
        <f t="shared" si="1"/>
        <v>253</v>
      </c>
      <c r="H21" s="28">
        <v>36</v>
      </c>
      <c r="I21" s="23">
        <f t="shared" si="2"/>
        <v>289</v>
      </c>
      <c r="J21" s="28">
        <v>22</v>
      </c>
      <c r="K21" s="23">
        <f t="shared" si="3"/>
        <v>311</v>
      </c>
      <c r="L21" s="28">
        <v>19</v>
      </c>
      <c r="M21" s="23">
        <f t="shared" si="4"/>
        <v>330</v>
      </c>
      <c r="O21" s="39" t="s">
        <v>38</v>
      </c>
      <c r="P21" s="28">
        <v>24</v>
      </c>
      <c r="Q21" s="23">
        <f t="shared" si="10"/>
        <v>354</v>
      </c>
      <c r="R21" s="28">
        <v>39</v>
      </c>
      <c r="S21" s="23">
        <f t="shared" si="5"/>
        <v>393</v>
      </c>
      <c r="T21" s="28">
        <v>61</v>
      </c>
      <c r="U21" s="23">
        <f t="shared" si="6"/>
        <v>454</v>
      </c>
      <c r="V21" s="28">
        <v>52</v>
      </c>
      <c r="W21" s="23">
        <f t="shared" si="7"/>
        <v>506</v>
      </c>
      <c r="X21" s="28">
        <v>62</v>
      </c>
      <c r="Y21" s="23">
        <f t="shared" si="8"/>
        <v>568</v>
      </c>
      <c r="Z21" s="28">
        <v>92</v>
      </c>
      <c r="AA21" s="23">
        <f t="shared" si="9"/>
        <v>660</v>
      </c>
      <c r="AC21" s="107"/>
      <c r="AE21" s="54"/>
      <c r="AF21" s="54"/>
      <c r="AG21" s="54"/>
      <c r="AH21" s="54"/>
      <c r="AI21" s="54"/>
    </row>
    <row r="22" spans="1:35" s="60" customFormat="1" ht="12.95" customHeight="1" x14ac:dyDescent="0.15">
      <c r="B22" s="39" t="s">
        <v>39</v>
      </c>
      <c r="C22" s="28">
        <v>52</v>
      </c>
      <c r="D22" s="28">
        <v>103</v>
      </c>
      <c r="E22" s="23">
        <f t="shared" si="0"/>
        <v>155</v>
      </c>
      <c r="F22" s="28">
        <v>163</v>
      </c>
      <c r="G22" s="23">
        <f t="shared" si="1"/>
        <v>318</v>
      </c>
      <c r="H22" s="28">
        <v>130</v>
      </c>
      <c r="I22" s="23">
        <f t="shared" si="2"/>
        <v>448</v>
      </c>
      <c r="J22" s="28">
        <v>178</v>
      </c>
      <c r="K22" s="23">
        <f t="shared" si="3"/>
        <v>626</v>
      </c>
      <c r="L22" s="28">
        <v>203</v>
      </c>
      <c r="M22" s="23">
        <f t="shared" si="4"/>
        <v>829</v>
      </c>
      <c r="O22" s="39" t="s">
        <v>39</v>
      </c>
      <c r="P22" s="28">
        <v>217</v>
      </c>
      <c r="Q22" s="23">
        <f t="shared" si="10"/>
        <v>1046</v>
      </c>
      <c r="R22" s="28">
        <v>193</v>
      </c>
      <c r="S22" s="23">
        <f t="shared" si="5"/>
        <v>1239</v>
      </c>
      <c r="T22" s="28">
        <v>225</v>
      </c>
      <c r="U22" s="23">
        <f t="shared" si="6"/>
        <v>1464</v>
      </c>
      <c r="V22" s="28">
        <v>185</v>
      </c>
      <c r="W22" s="23">
        <f t="shared" si="7"/>
        <v>1649</v>
      </c>
      <c r="X22" s="28">
        <v>166</v>
      </c>
      <c r="Y22" s="23">
        <f t="shared" si="8"/>
        <v>1815</v>
      </c>
      <c r="Z22" s="28">
        <v>171</v>
      </c>
      <c r="AA22" s="23">
        <f t="shared" si="9"/>
        <v>1986</v>
      </c>
      <c r="AC22" s="107"/>
      <c r="AE22" s="54"/>
      <c r="AF22" s="54"/>
      <c r="AG22" s="54"/>
      <c r="AH22" s="54"/>
      <c r="AI22" s="54"/>
    </row>
    <row r="23" spans="1:35" s="60" customFormat="1" ht="12.95" customHeight="1" x14ac:dyDescent="0.15">
      <c r="B23" s="39" t="s">
        <v>40</v>
      </c>
      <c r="C23" s="28">
        <v>14</v>
      </c>
      <c r="D23" s="28">
        <v>14</v>
      </c>
      <c r="E23" s="23">
        <f t="shared" si="0"/>
        <v>28</v>
      </c>
      <c r="F23" s="28">
        <v>12</v>
      </c>
      <c r="G23" s="23">
        <f t="shared" si="1"/>
        <v>40</v>
      </c>
      <c r="H23" s="28">
        <v>16</v>
      </c>
      <c r="I23" s="23">
        <f t="shared" si="2"/>
        <v>56</v>
      </c>
      <c r="J23" s="28">
        <v>18</v>
      </c>
      <c r="K23" s="23">
        <f t="shared" si="3"/>
        <v>74</v>
      </c>
      <c r="L23" s="28">
        <v>17</v>
      </c>
      <c r="M23" s="23">
        <f t="shared" si="4"/>
        <v>91</v>
      </c>
      <c r="O23" s="39" t="s">
        <v>40</v>
      </c>
      <c r="P23" s="28">
        <v>23</v>
      </c>
      <c r="Q23" s="23">
        <f t="shared" si="10"/>
        <v>114</v>
      </c>
      <c r="R23" s="28">
        <v>21</v>
      </c>
      <c r="S23" s="23">
        <f t="shared" si="5"/>
        <v>135</v>
      </c>
      <c r="T23" s="28">
        <v>18</v>
      </c>
      <c r="U23" s="23">
        <f t="shared" si="6"/>
        <v>153</v>
      </c>
      <c r="V23" s="28">
        <v>18</v>
      </c>
      <c r="W23" s="23">
        <f t="shared" si="7"/>
        <v>171</v>
      </c>
      <c r="X23" s="28">
        <v>15</v>
      </c>
      <c r="Y23" s="23">
        <f t="shared" si="8"/>
        <v>186</v>
      </c>
      <c r="Z23" s="28">
        <v>19</v>
      </c>
      <c r="AA23" s="23">
        <f t="shared" si="9"/>
        <v>205</v>
      </c>
      <c r="AC23" s="107"/>
      <c r="AE23" s="54"/>
      <c r="AF23" s="54"/>
      <c r="AG23" s="54"/>
      <c r="AH23" s="54"/>
      <c r="AI23" s="54"/>
    </row>
    <row r="24" spans="1:35" s="60" customFormat="1" ht="12.95" customHeight="1" x14ac:dyDescent="0.15">
      <c r="B24" s="39" t="s">
        <v>84</v>
      </c>
      <c r="C24" s="14">
        <f>IF(C16="","",C16+C21+C22+C23)</f>
        <v>1858</v>
      </c>
      <c r="D24" s="14">
        <f>IF(D16="","",D16+D21+D22+D23)</f>
        <v>2039</v>
      </c>
      <c r="E24" s="23">
        <f>IF(D24="","",IF(D24&gt;0,D24+C24," "))</f>
        <v>3897</v>
      </c>
      <c r="F24" s="14">
        <f>IF(F16="","",F16+F21+F22+F23)</f>
        <v>2287</v>
      </c>
      <c r="G24" s="23">
        <f>IF(F24="","",IF(F24&gt;0,F24+E24," "))</f>
        <v>6184</v>
      </c>
      <c r="H24" s="14">
        <f>IF(H16="","",H16+H21+H22+H23)</f>
        <v>2122</v>
      </c>
      <c r="I24" s="23">
        <f>IF(H24="","",IF(H24&gt;0,H24+G24," "))</f>
        <v>8306</v>
      </c>
      <c r="J24" s="14">
        <f>IF(J16="","",J16+J21+J22+J23)</f>
        <v>2259</v>
      </c>
      <c r="K24" s="23">
        <f>IF(J24="","",IF(J24&gt;0,J24+I24," "))</f>
        <v>10565</v>
      </c>
      <c r="L24" s="14">
        <f>IF(L16="","",L16+L21+L22+L23)</f>
        <v>2277</v>
      </c>
      <c r="M24" s="23">
        <f>IF(L24="","",IF(L24&gt;0,L24+K24," "))</f>
        <v>12842</v>
      </c>
      <c r="O24" s="39" t="s">
        <v>84</v>
      </c>
      <c r="P24" s="14">
        <f>IF(P16="","",P16+P21+P22+P23)</f>
        <v>2382</v>
      </c>
      <c r="Q24" s="23">
        <f>IF(P24="","",IF(P24&gt;0,P24+M24," "))</f>
        <v>15224</v>
      </c>
      <c r="R24" s="14">
        <f>IF(R16="","",R16+R21+R22+R23)</f>
        <v>2217</v>
      </c>
      <c r="S24" s="23">
        <f>IF(R24="","",IF(R24&gt;0,R24+Q24," "))</f>
        <v>17441</v>
      </c>
      <c r="T24" s="14">
        <f>IF(T16="","",T16+T21+T22+T23)</f>
        <v>2393</v>
      </c>
      <c r="U24" s="23">
        <f>IF(T24="","",IF(T24&gt;0,T24+S24," "))</f>
        <v>19834</v>
      </c>
      <c r="V24" s="14">
        <f>IF(V16="","",V16+V21+V22+V23)</f>
        <v>2250</v>
      </c>
      <c r="W24" s="23">
        <f>IF(V24="","",IF(V24&gt;0,V24+U24," "))</f>
        <v>22084</v>
      </c>
      <c r="X24" s="14">
        <f>IF(X16="","",X16+X21+X22+X23)</f>
        <v>2287</v>
      </c>
      <c r="Y24" s="23">
        <f>IF(X24="","",IF(X24&gt;0,X24+W24," "))</f>
        <v>24371</v>
      </c>
      <c r="Z24" s="14">
        <f>IF(Z16="","",Z16+Z21+Z22+Z23)</f>
        <v>2231</v>
      </c>
      <c r="AA24" s="23">
        <f>IF(Z24="","",IF(Z24&gt;0,Z24+Y24," "))</f>
        <v>26602</v>
      </c>
      <c r="AC24" s="107"/>
      <c r="AE24" s="54"/>
      <c r="AF24" s="54"/>
      <c r="AG24" s="54"/>
      <c r="AH24" s="54"/>
      <c r="AI24" s="54"/>
    </row>
    <row r="25" spans="1:35" s="60" customFormat="1" ht="12.95" customHeight="1" x14ac:dyDescent="0.15">
      <c r="A25" s="99"/>
      <c r="B25" s="99"/>
      <c r="C25" s="35"/>
      <c r="D25" s="35"/>
      <c r="E25" s="24"/>
      <c r="F25" s="35"/>
      <c r="G25" s="24"/>
      <c r="H25" s="35"/>
      <c r="I25" s="24"/>
      <c r="J25" s="35"/>
      <c r="K25" s="24"/>
      <c r="L25" s="35"/>
      <c r="M25" s="24"/>
      <c r="N25" s="99"/>
      <c r="O25" s="99"/>
      <c r="P25" s="35"/>
      <c r="Q25" s="24"/>
      <c r="R25" s="35"/>
      <c r="S25" s="24"/>
      <c r="T25" s="35"/>
      <c r="U25" s="24"/>
      <c r="V25" s="35"/>
      <c r="W25" s="24"/>
      <c r="X25" s="35"/>
      <c r="Y25" s="24"/>
      <c r="Z25" s="35"/>
      <c r="AA25" s="24"/>
      <c r="AC25" s="100"/>
      <c r="AE25" s="54"/>
      <c r="AF25" s="54"/>
      <c r="AG25" s="54"/>
      <c r="AH25" s="54"/>
      <c r="AI25" s="54"/>
    </row>
    <row r="26" spans="1:35" s="60" customFormat="1" ht="12.95" customHeight="1" x14ac:dyDescent="0.15">
      <c r="A26" s="39" t="s">
        <v>68</v>
      </c>
      <c r="B26" s="39" t="s">
        <v>41</v>
      </c>
      <c r="C26" s="58">
        <v>3</v>
      </c>
      <c r="D26" s="58">
        <v>4</v>
      </c>
      <c r="E26" s="23">
        <f>IF(D31&gt;0,D26+C26," ")</f>
        <v>7</v>
      </c>
      <c r="F26" s="58">
        <v>5</v>
      </c>
      <c r="G26" s="23">
        <f>IF(F31&gt;0,F26+E26," ")</f>
        <v>12</v>
      </c>
      <c r="H26" s="58">
        <v>15</v>
      </c>
      <c r="I26" s="23">
        <f>IF(H31&gt;0,H26+G26," ")</f>
        <v>27</v>
      </c>
      <c r="J26" s="58">
        <v>6</v>
      </c>
      <c r="K26" s="23">
        <f>IF(J31&gt;0,J26+I26," ")</f>
        <v>33</v>
      </c>
      <c r="L26" s="58">
        <v>5</v>
      </c>
      <c r="M26" s="23">
        <f>IF(L31&gt;0,L26+K26," ")</f>
        <v>38</v>
      </c>
      <c r="N26" s="39" t="s">
        <v>68</v>
      </c>
      <c r="O26" s="39" t="s">
        <v>41</v>
      </c>
      <c r="P26" s="58">
        <v>7</v>
      </c>
      <c r="Q26" s="23">
        <f>IF(P31&gt;0,P26+M26," ")</f>
        <v>45</v>
      </c>
      <c r="R26" s="58">
        <v>4</v>
      </c>
      <c r="S26" s="23">
        <f>IF(R31&gt;0,R26+Q26," ")</f>
        <v>49</v>
      </c>
      <c r="T26" s="58">
        <v>5</v>
      </c>
      <c r="U26" s="23">
        <f>IF(T31&gt;0,T26+S26," ")</f>
        <v>54</v>
      </c>
      <c r="V26" s="58">
        <v>5</v>
      </c>
      <c r="W26" s="23">
        <f>IF(V31&gt;0,V26+U26," ")</f>
        <v>59</v>
      </c>
      <c r="X26" s="58">
        <v>7</v>
      </c>
      <c r="Y26" s="23">
        <f>IF(X31&gt;0,X26+W26," ")</f>
        <v>66</v>
      </c>
      <c r="Z26" s="58">
        <v>6</v>
      </c>
      <c r="AA26" s="23">
        <f>IF(Z31&gt;0,Z26+Y26," ")</f>
        <v>72</v>
      </c>
      <c r="AC26" s="107"/>
      <c r="AE26" s="54"/>
      <c r="AF26" s="54"/>
      <c r="AG26" s="54"/>
      <c r="AH26" s="54"/>
      <c r="AI26" s="54"/>
    </row>
    <row r="27" spans="1:35" s="60" customFormat="1" ht="12.95" customHeight="1" x14ac:dyDescent="0.15">
      <c r="B27" s="39" t="s">
        <v>65</v>
      </c>
      <c r="C27" s="58">
        <v>80</v>
      </c>
      <c r="D27" s="58">
        <v>34</v>
      </c>
      <c r="E27" s="23">
        <f>IF(D31&gt;0,D27+C27," ")</f>
        <v>114</v>
      </c>
      <c r="F27" s="58">
        <v>66</v>
      </c>
      <c r="G27" s="23">
        <f>IF(F31&gt;0,F27+E27," ")</f>
        <v>180</v>
      </c>
      <c r="H27" s="58">
        <v>44</v>
      </c>
      <c r="I27" s="23">
        <f>IF(H31&gt;0,H27+G27," ")</f>
        <v>224</v>
      </c>
      <c r="J27" s="58">
        <v>32</v>
      </c>
      <c r="K27" s="23">
        <f>IF(J31&gt;0,J27+I27," ")</f>
        <v>256</v>
      </c>
      <c r="L27" s="58">
        <v>48</v>
      </c>
      <c r="M27" s="23">
        <f>IF(L31&gt;0,L27+K27," ")</f>
        <v>304</v>
      </c>
      <c r="O27" s="39" t="s">
        <v>42</v>
      </c>
      <c r="P27" s="58">
        <v>79</v>
      </c>
      <c r="Q27" s="23">
        <f>IF(P31&gt;0,P27+M27," ")</f>
        <v>383</v>
      </c>
      <c r="R27" s="58">
        <v>124</v>
      </c>
      <c r="S27" s="23">
        <f>IF(R31&gt;0,R27+Q27," ")</f>
        <v>507</v>
      </c>
      <c r="T27" s="58">
        <v>126</v>
      </c>
      <c r="U27" s="23">
        <f>IF(T31&gt;0,T27+S27," ")</f>
        <v>633</v>
      </c>
      <c r="V27" s="58">
        <v>118</v>
      </c>
      <c r="W27" s="23">
        <f>IF(V31&gt;0,V27+U27," ")</f>
        <v>751</v>
      </c>
      <c r="X27" s="58">
        <v>90</v>
      </c>
      <c r="Y27" s="23">
        <f>IF(X31&gt;0,X27+W27," ")</f>
        <v>841</v>
      </c>
      <c r="Z27" s="58">
        <v>154</v>
      </c>
      <c r="AA27" s="23">
        <f>IF(Z31&gt;0,Z27+Y27," ")</f>
        <v>995</v>
      </c>
      <c r="AC27" s="107"/>
      <c r="AE27" s="54"/>
      <c r="AF27" s="54"/>
      <c r="AG27" s="54"/>
      <c r="AH27" s="54"/>
      <c r="AI27" s="54"/>
    </row>
    <row r="28" spans="1:35" s="60" customFormat="1" ht="12.95" hidden="1" customHeight="1" x14ac:dyDescent="0.15">
      <c r="B28" s="40" t="s">
        <v>63</v>
      </c>
      <c r="C28" s="58"/>
      <c r="D28" s="58"/>
      <c r="E28" s="23">
        <f>IF(D31&gt;0,D28+C28," ")</f>
        <v>0</v>
      </c>
      <c r="F28" s="58"/>
      <c r="G28" s="23">
        <f>IF(F31&gt;0,F28+E28," ")</f>
        <v>0</v>
      </c>
      <c r="H28" s="58"/>
      <c r="I28" s="23">
        <f>IF(H31&gt;0,H28+G28," ")</f>
        <v>0</v>
      </c>
      <c r="J28" s="58"/>
      <c r="K28" s="23">
        <f>IF(J31&gt;0,J28+I28," ")</f>
        <v>0</v>
      </c>
      <c r="L28" s="58"/>
      <c r="M28" s="23">
        <f>IF(L31&gt;0,L28+K28," ")</f>
        <v>0</v>
      </c>
      <c r="O28" s="40" t="s">
        <v>64</v>
      </c>
      <c r="P28" s="58"/>
      <c r="Q28" s="23">
        <f>IF(P31&gt;0,P28+M28," ")</f>
        <v>0</v>
      </c>
      <c r="R28" s="58"/>
      <c r="S28" s="23">
        <f>IF(R31&gt;0,R28+Q28," ")</f>
        <v>0</v>
      </c>
      <c r="T28" s="58"/>
      <c r="U28" s="23">
        <f>IF(T31&gt;0,T28+S28," ")</f>
        <v>0</v>
      </c>
      <c r="V28" s="58"/>
      <c r="W28" s="23">
        <f>IF(V31&gt;0,V28+U28," ")</f>
        <v>0</v>
      </c>
      <c r="X28" s="58"/>
      <c r="Y28" s="23">
        <f>IF(X31&gt;0,X28+W28," ")</f>
        <v>0</v>
      </c>
      <c r="Z28" s="58"/>
      <c r="AA28" s="23">
        <f>IF(Z31&gt;0,Z28+Y28," ")</f>
        <v>0</v>
      </c>
      <c r="AC28" s="107"/>
      <c r="AE28" s="54"/>
      <c r="AF28" s="54"/>
      <c r="AG28" s="54"/>
      <c r="AH28" s="54"/>
      <c r="AI28" s="54"/>
    </row>
    <row r="29" spans="1:35" s="60" customFormat="1" ht="12.95" customHeight="1" x14ac:dyDescent="0.15">
      <c r="B29" s="39" t="s">
        <v>33</v>
      </c>
      <c r="C29" s="14">
        <f>IF(C26="","",C26+C27+C28)</f>
        <v>83</v>
      </c>
      <c r="D29" s="14">
        <f>IF(D26="","",D26+D27+D28)</f>
        <v>38</v>
      </c>
      <c r="E29" s="23">
        <f>IF(D31="","",IF(D29&gt;0,D29+C29," "))</f>
        <v>121</v>
      </c>
      <c r="F29" s="14">
        <f>IF(F26="","",F26+F27+F28)</f>
        <v>71</v>
      </c>
      <c r="G29" s="23">
        <f>IF(F31="","",IF(F29&gt;0,F29+E29," "))</f>
        <v>192</v>
      </c>
      <c r="H29" s="14">
        <f>IF(H26="","",H26+H27+H28)</f>
        <v>59</v>
      </c>
      <c r="I29" s="23">
        <f>IF(H31="","",IF(H29&gt;0,H29+G29," "))</f>
        <v>251</v>
      </c>
      <c r="J29" s="14">
        <f>IF(J26="","",J26+J27+J28)</f>
        <v>38</v>
      </c>
      <c r="K29" s="23">
        <f>IF(J31="","",IF(J29&gt;0,J29+I29," "))</f>
        <v>289</v>
      </c>
      <c r="L29" s="14">
        <f>IF(L26="","",L26+L27+L28)</f>
        <v>53</v>
      </c>
      <c r="M29" s="23">
        <f>IF(L31="","",IF(L29&gt;0,L29+K29," "))</f>
        <v>342</v>
      </c>
      <c r="O29" s="39" t="s">
        <v>33</v>
      </c>
      <c r="P29" s="14">
        <f>IF(P26="","",P26+P27+P28)</f>
        <v>86</v>
      </c>
      <c r="Q29" s="23">
        <f>IF(P31&gt;0,P29+M29," ")</f>
        <v>428</v>
      </c>
      <c r="R29" s="14">
        <f>IF(R26="","",R26+R27+R28)</f>
        <v>128</v>
      </c>
      <c r="S29" s="23">
        <f>IF(R31="","",IF(R29&gt;0,R29+Q29," "))</f>
        <v>556</v>
      </c>
      <c r="T29" s="14">
        <f>IF(T26="","",T26+T27+T28)</f>
        <v>131</v>
      </c>
      <c r="U29" s="23">
        <f>IF(T31="","",IF(T29&gt;0,T29+S29," "))</f>
        <v>687</v>
      </c>
      <c r="V29" s="14">
        <f>IF(V26="","",V26+V27+V28)</f>
        <v>123</v>
      </c>
      <c r="W29" s="23">
        <f>IF(V31="","",IF(V29&gt;0,V29+U29," "))</f>
        <v>810</v>
      </c>
      <c r="X29" s="14">
        <f>IF(X26="","",X26+X27+X28)</f>
        <v>97</v>
      </c>
      <c r="Y29" s="23">
        <f>IF(X31="","",IF(X29&gt;0,X29+W29," "))</f>
        <v>907</v>
      </c>
      <c r="Z29" s="14">
        <f>IF(Z26="","",Z26+Z27+Z28)</f>
        <v>160</v>
      </c>
      <c r="AA29" s="23">
        <f>IF(Z31="","",IF(Z29&gt;0,Z29+Y29," "))</f>
        <v>1067</v>
      </c>
      <c r="AC29" s="107"/>
      <c r="AE29" s="54"/>
      <c r="AF29" s="54"/>
      <c r="AG29" s="54"/>
      <c r="AH29" s="54"/>
      <c r="AI29" s="54"/>
    </row>
    <row r="30" spans="1:35" s="60" customFormat="1" ht="12.95" customHeight="1" x14ac:dyDescent="0.15">
      <c r="C30" s="14"/>
      <c r="D30" s="14"/>
      <c r="E30" s="23" t="str">
        <f>IF(D301&gt;0,D30+C30," ")</f>
        <v xml:space="preserve"> </v>
      </c>
      <c r="F30" s="14"/>
      <c r="G30" s="23" t="str">
        <f>IF(F301&gt;0,F30+E30," ")</f>
        <v xml:space="preserve"> </v>
      </c>
      <c r="H30" s="14"/>
      <c r="I30" s="23" t="str">
        <f>IF(H301&gt;0,H30+G30," ")</f>
        <v xml:space="preserve"> </v>
      </c>
      <c r="J30" s="14"/>
      <c r="K30" s="23" t="str">
        <f>IF(J301&gt;0,J30+I30," ")</f>
        <v xml:space="preserve"> </v>
      </c>
      <c r="L30" s="14"/>
      <c r="M30" s="23" t="str">
        <f>IF(L30&gt;0,L30+K30," ")</f>
        <v xml:space="preserve"> </v>
      </c>
      <c r="P30" s="14"/>
      <c r="Q30" s="23"/>
      <c r="R30" s="14"/>
      <c r="S30" s="23" t="str">
        <f>IF(R30&gt;0,R30+Q30," ")</f>
        <v xml:space="preserve"> </v>
      </c>
      <c r="T30" s="14"/>
      <c r="U30" s="23" t="str">
        <f>IF(T30&gt;0,T30+S30," ")</f>
        <v xml:space="preserve"> </v>
      </c>
      <c r="V30" s="14"/>
      <c r="W30" s="23" t="str">
        <f>IF(V30&gt;0,V30+U30," ")</f>
        <v xml:space="preserve"> </v>
      </c>
      <c r="X30" s="14"/>
      <c r="Y30" s="23" t="str">
        <f>IF(X30&gt;0,X30+W30," ")</f>
        <v xml:space="preserve"> </v>
      </c>
      <c r="Z30" s="14"/>
      <c r="AA30" s="23" t="str">
        <f>IF(Z30&gt;0,Z30+Y30," ")</f>
        <v xml:space="preserve"> </v>
      </c>
      <c r="AE30" s="54"/>
      <c r="AF30" s="54"/>
      <c r="AG30" s="54"/>
      <c r="AH30" s="54"/>
      <c r="AI30" s="54"/>
    </row>
    <row r="31" spans="1:35" s="60" customFormat="1" ht="12.95" customHeight="1" x14ac:dyDescent="0.15">
      <c r="A31" s="85" t="s">
        <v>36</v>
      </c>
      <c r="B31" s="59" t="s">
        <v>43</v>
      </c>
      <c r="C31" s="28">
        <v>55</v>
      </c>
      <c r="D31" s="28">
        <v>10</v>
      </c>
      <c r="E31" s="25">
        <f>IF(D31&gt;0,D31+C31," ")</f>
        <v>65</v>
      </c>
      <c r="F31" s="28">
        <v>35</v>
      </c>
      <c r="G31" s="25">
        <f>IF(F31&gt;0,F31+E31," ")</f>
        <v>100</v>
      </c>
      <c r="H31" s="28">
        <v>16</v>
      </c>
      <c r="I31" s="25">
        <f>IF(H31&gt;0,H31+G31," ")</f>
        <v>116</v>
      </c>
      <c r="J31" s="28">
        <v>9.9999999999999995E-8</v>
      </c>
      <c r="K31" s="25">
        <f>IF(J31&gt;0,J31+I31," ")</f>
        <v>116.00000009999999</v>
      </c>
      <c r="L31" s="28">
        <v>20</v>
      </c>
      <c r="M31" s="25">
        <f>IF(L31&gt;0,L31+K31," ")</f>
        <v>136.00000009999999</v>
      </c>
      <c r="N31" s="85" t="s">
        <v>36</v>
      </c>
      <c r="O31" s="59" t="s">
        <v>43</v>
      </c>
      <c r="P31" s="28">
        <v>40</v>
      </c>
      <c r="Q31" s="25">
        <f>IF(P31&gt;0,P31+M31," ")</f>
        <v>176.00000009999999</v>
      </c>
      <c r="R31" s="28">
        <v>98</v>
      </c>
      <c r="S31" s="25">
        <f>IF(R31&gt;0,R31+Q31," ")</f>
        <v>274.00000009999997</v>
      </c>
      <c r="T31" s="28">
        <v>97</v>
      </c>
      <c r="U31" s="25">
        <f>IF(T31&gt;0,T31+S31," ")</f>
        <v>371.00000009999997</v>
      </c>
      <c r="V31" s="28">
        <v>87</v>
      </c>
      <c r="W31" s="25">
        <f>IF(V31&gt;0,V31+U31," ")</f>
        <v>458.00000009999997</v>
      </c>
      <c r="X31" s="28">
        <v>59</v>
      </c>
      <c r="Y31" s="25">
        <f>IF(X31&gt;0,X31+W31," ")</f>
        <v>517.00000009999997</v>
      </c>
      <c r="Z31" s="28">
        <v>124</v>
      </c>
      <c r="AA31" s="25">
        <f>IF(Z31&gt;0,Z31+Y31," ")</f>
        <v>641.00000009999997</v>
      </c>
      <c r="AC31" s="107"/>
      <c r="AE31" s="54"/>
      <c r="AF31" s="54"/>
      <c r="AG31" s="54"/>
      <c r="AH31" s="54"/>
      <c r="AI31" s="54"/>
    </row>
    <row r="32" spans="1:35" s="60" customFormat="1" ht="12.95" customHeight="1" x14ac:dyDescent="0.15">
      <c r="A32" s="59" t="s">
        <v>27</v>
      </c>
      <c r="B32" s="59" t="s">
        <v>44</v>
      </c>
      <c r="C32" s="14">
        <f>IF(C29="","",C29-C31)</f>
        <v>28</v>
      </c>
      <c r="D32" s="14">
        <f>IF(D29="","",D29-D31)</f>
        <v>28</v>
      </c>
      <c r="E32" s="23">
        <f>IF(D32="","",IF(D32&gt;0,D32+C32," "))</f>
        <v>56</v>
      </c>
      <c r="F32" s="14">
        <f>IF(F29="","",F29-F31)</f>
        <v>36</v>
      </c>
      <c r="G32" s="23">
        <f>IF(F32="","",IF(F32&gt;0,F32+E32," "))</f>
        <v>92</v>
      </c>
      <c r="H32" s="14">
        <f>IF(H29="","",H29-H31)</f>
        <v>43</v>
      </c>
      <c r="I32" s="23">
        <f>IF(H32="","",IF(H32&gt;0,H32+G32," "))</f>
        <v>135</v>
      </c>
      <c r="J32" s="14">
        <f>IF(J29="","",J29-J31)</f>
        <v>37.999999899999999</v>
      </c>
      <c r="K32" s="23">
        <f>IF(J32="","",IF(J32&gt;0,J32+I32," "))</f>
        <v>172.99999990000001</v>
      </c>
      <c r="L32" s="14">
        <f>IF(L29="","",L29-L31)</f>
        <v>33</v>
      </c>
      <c r="M32" s="23">
        <f>IF(L32="","",IF(L32&gt;0,L32+K32," "))</f>
        <v>205.99999990000001</v>
      </c>
      <c r="N32" s="59" t="s">
        <v>27</v>
      </c>
      <c r="O32" s="59" t="s">
        <v>44</v>
      </c>
      <c r="P32" s="14">
        <f>IF(P29="","",P29-P31)</f>
        <v>46</v>
      </c>
      <c r="Q32" s="23">
        <f>IF(P32="","",IF(P32&gt;0,P32+M32," "))</f>
        <v>251.99999990000001</v>
      </c>
      <c r="R32" s="14">
        <f>IF(R29="","",R29-R31)</f>
        <v>30</v>
      </c>
      <c r="S32" s="23">
        <f>IF(R32="","",IF(R32&gt;0,R32+Q32," "))</f>
        <v>281.99999990000003</v>
      </c>
      <c r="T32" s="14">
        <f>IF(T29="","",T29-T31)</f>
        <v>34</v>
      </c>
      <c r="U32" s="23">
        <f>IF(T32="","",IF(T32&gt;0,T32+S32," "))</f>
        <v>315.99999990000003</v>
      </c>
      <c r="V32" s="14">
        <f>IF(V29="","",V29-V31)</f>
        <v>36</v>
      </c>
      <c r="W32" s="23">
        <f>IF(V32="","",IF(V32&gt;0,V32+U32," "))</f>
        <v>351.99999990000003</v>
      </c>
      <c r="X32" s="14">
        <f>IF(X29="","",X29-X31)</f>
        <v>38</v>
      </c>
      <c r="Y32" s="23">
        <f>IF(X32="","",IF(X32&gt;0,X32+W32," "))</f>
        <v>389.99999990000003</v>
      </c>
      <c r="Z32" s="14">
        <f>IF(Z29="","",Z29-Z31)</f>
        <v>36</v>
      </c>
      <c r="AA32" s="23">
        <f>IF(Z32="","",IF(Z32&gt;0,Z32+Y32," "))</f>
        <v>425.99999990000003</v>
      </c>
      <c r="AC32" s="107"/>
      <c r="AE32" s="54"/>
      <c r="AF32" s="54"/>
      <c r="AG32" s="54"/>
      <c r="AH32" s="54"/>
      <c r="AI32" s="54"/>
    </row>
    <row r="33" spans="1:35" s="60" customFormat="1" ht="12.95" customHeight="1" x14ac:dyDescent="0.15">
      <c r="A33" s="99"/>
      <c r="B33" s="99"/>
      <c r="C33" s="35"/>
      <c r="D33" s="35"/>
      <c r="E33" s="24"/>
      <c r="F33" s="35"/>
      <c r="G33" s="24"/>
      <c r="H33" s="35"/>
      <c r="I33" s="24"/>
      <c r="J33" s="35"/>
      <c r="K33" s="24"/>
      <c r="L33" s="35"/>
      <c r="M33" s="24"/>
      <c r="N33" s="99"/>
      <c r="O33" s="99"/>
      <c r="P33" s="35"/>
      <c r="Q33" s="24"/>
      <c r="R33" s="35"/>
      <c r="S33" s="24"/>
      <c r="T33" s="35"/>
      <c r="U33" s="24"/>
      <c r="V33" s="35"/>
      <c r="W33" s="24"/>
      <c r="X33" s="35"/>
      <c r="Y33" s="24"/>
      <c r="Z33" s="35"/>
      <c r="AA33" s="24"/>
      <c r="AC33" s="100"/>
      <c r="AE33" s="54"/>
      <c r="AF33" s="54"/>
      <c r="AG33" s="54"/>
      <c r="AH33" s="54"/>
      <c r="AI33" s="54"/>
    </row>
    <row r="34" spans="1:35" s="60" customFormat="1" ht="12.95" customHeight="1" x14ac:dyDescent="0.15">
      <c r="A34" s="39" t="s">
        <v>45</v>
      </c>
      <c r="B34" s="39"/>
      <c r="C34" s="29">
        <v>29.2</v>
      </c>
      <c r="D34" s="29">
        <v>36.700000000000003</v>
      </c>
      <c r="E34" s="23">
        <f>IF(D34&gt;0,D34+C34," ")</f>
        <v>65.900000000000006</v>
      </c>
      <c r="F34" s="29">
        <v>38.9</v>
      </c>
      <c r="G34" s="23">
        <f>IF(F34&gt;0,F34+E34," ")</f>
        <v>104.80000000000001</v>
      </c>
      <c r="H34" s="29">
        <v>30.2</v>
      </c>
      <c r="I34" s="23">
        <f>IF(H34&gt;0,H34+G34," ")</f>
        <v>135</v>
      </c>
      <c r="J34" s="29">
        <v>35.4</v>
      </c>
      <c r="K34" s="23">
        <f>IF(J34&gt;0,J34+I34," ")</f>
        <v>170.4</v>
      </c>
      <c r="L34" s="29">
        <v>32.799999999999997</v>
      </c>
      <c r="M34" s="23">
        <f>IF(L34&gt;0,L34+K34," ")</f>
        <v>203.2</v>
      </c>
      <c r="N34" s="39" t="s">
        <v>45</v>
      </c>
      <c r="O34" s="39"/>
      <c r="P34" s="29">
        <v>31.7</v>
      </c>
      <c r="Q34" s="23">
        <f>IF(P34&gt;0,P34+M34," ")</f>
        <v>234.89999999999998</v>
      </c>
      <c r="R34" s="29">
        <v>21.8</v>
      </c>
      <c r="S34" s="23">
        <f>IF(R34&gt;0,R34+Q34," ")</f>
        <v>256.7</v>
      </c>
      <c r="T34" s="29">
        <v>33</v>
      </c>
      <c r="U34" s="23">
        <f>IF(T34&gt;0,T34+S34," ")</f>
        <v>289.7</v>
      </c>
      <c r="V34" s="29">
        <v>32.5</v>
      </c>
      <c r="W34" s="23">
        <f>IF(V34&gt;0,V34+U34," ")</f>
        <v>322.2</v>
      </c>
      <c r="X34" s="29">
        <v>33.799999999999997</v>
      </c>
      <c r="Y34" s="23">
        <f>IF(X34&gt;0,X34+W34," ")</f>
        <v>356</v>
      </c>
      <c r="Z34" s="29">
        <v>27.7</v>
      </c>
      <c r="AA34" s="23">
        <f>IF(Z34&gt;0,Z34+Y34," ")</f>
        <v>383.7</v>
      </c>
      <c r="AC34" s="100"/>
      <c r="AE34" s="54"/>
      <c r="AF34" s="54"/>
      <c r="AG34" s="54"/>
      <c r="AH34" s="54"/>
      <c r="AI34" s="54"/>
    </row>
    <row r="35" spans="1:35" s="60" customFormat="1" ht="12.95" customHeight="1" x14ac:dyDescent="0.15">
      <c r="A35" s="85" t="s">
        <v>36</v>
      </c>
      <c r="B35" s="59" t="s">
        <v>46</v>
      </c>
      <c r="C35" s="28">
        <v>0.2</v>
      </c>
      <c r="D35" s="28">
        <v>0.2</v>
      </c>
      <c r="E35" s="23">
        <f>IF(D35&gt;0,D35+C35," ")</f>
        <v>0.4</v>
      </c>
      <c r="F35" s="28">
        <v>0.2</v>
      </c>
      <c r="G35" s="23">
        <f>IF(F35&gt;0,F35+E35," ")</f>
        <v>0.60000000000000009</v>
      </c>
      <c r="H35" s="28">
        <v>0.1</v>
      </c>
      <c r="I35" s="23">
        <f>IF(H35&gt;0,H35+G35," ")</f>
        <v>0.70000000000000007</v>
      </c>
      <c r="J35" s="28">
        <v>0.1</v>
      </c>
      <c r="K35" s="23">
        <f>IF(J35&gt;0,J35+I35," ")</f>
        <v>0.8</v>
      </c>
      <c r="L35" s="28">
        <v>0.1</v>
      </c>
      <c r="M35" s="23">
        <f>IF(L35&gt;0,L35+K35," ")</f>
        <v>0.9</v>
      </c>
      <c r="N35" s="85" t="s">
        <v>36</v>
      </c>
      <c r="O35" s="59" t="s">
        <v>46</v>
      </c>
      <c r="P35" s="28">
        <v>0.2</v>
      </c>
      <c r="Q35" s="23">
        <f>IF(P35&gt;0,P35+M35," ")</f>
        <v>1.1000000000000001</v>
      </c>
      <c r="R35" s="28">
        <v>0.1</v>
      </c>
      <c r="S35" s="23">
        <f>IF(R35&gt;0,R35+Q35," ")</f>
        <v>1.2000000000000002</v>
      </c>
      <c r="T35" s="28">
        <v>0.2</v>
      </c>
      <c r="U35" s="23">
        <f>IF(T35&gt;0,T35+S35," ")</f>
        <v>1.4000000000000001</v>
      </c>
      <c r="V35" s="28">
        <v>0.2</v>
      </c>
      <c r="W35" s="23">
        <f>IF(V35&gt;0,V35+U35," ")</f>
        <v>1.6</v>
      </c>
      <c r="X35" s="28">
        <v>0.2</v>
      </c>
      <c r="Y35" s="23">
        <f>IF(X35&gt;0,X35+W35," ")</f>
        <v>1.8</v>
      </c>
      <c r="Z35" s="28">
        <v>0.2</v>
      </c>
      <c r="AA35" s="23">
        <f>IF(Z35&gt;0,Z35+Y35," ")</f>
        <v>2</v>
      </c>
      <c r="AC35" s="100"/>
      <c r="AE35" s="54"/>
      <c r="AF35" s="54"/>
      <c r="AG35" s="54"/>
      <c r="AH35" s="54"/>
      <c r="AI35" s="54"/>
    </row>
    <row r="36" spans="1:35" s="60" customFormat="1" ht="12.95" customHeight="1" x14ac:dyDescent="0.15">
      <c r="A36" s="99"/>
      <c r="B36" s="99"/>
      <c r="C36" s="35"/>
      <c r="D36" s="35"/>
      <c r="E36" s="24"/>
      <c r="F36" s="35"/>
      <c r="G36" s="24"/>
      <c r="H36" s="35"/>
      <c r="I36" s="24"/>
      <c r="J36" s="35"/>
      <c r="K36" s="24"/>
      <c r="L36" s="35"/>
      <c r="M36" s="24"/>
      <c r="N36" s="99"/>
      <c r="O36" s="99"/>
      <c r="P36" s="35"/>
      <c r="Q36" s="24"/>
      <c r="R36" s="35"/>
      <c r="S36" s="24"/>
      <c r="T36" s="35"/>
      <c r="U36" s="24"/>
      <c r="V36" s="35"/>
      <c r="W36" s="24"/>
      <c r="X36" s="35"/>
      <c r="Y36" s="24"/>
      <c r="Z36" s="35"/>
      <c r="AA36" s="24"/>
      <c r="AC36" s="100"/>
      <c r="AE36" s="54"/>
      <c r="AF36" s="54"/>
      <c r="AG36" s="54"/>
      <c r="AH36" s="54"/>
      <c r="AI36" s="54"/>
    </row>
    <row r="37" spans="1:35" s="60" customFormat="1" ht="12.95" customHeight="1" x14ac:dyDescent="0.15">
      <c r="A37" s="39" t="s">
        <v>69</v>
      </c>
      <c r="B37" s="59"/>
      <c r="C37" s="29">
        <v>291</v>
      </c>
      <c r="D37" s="29">
        <v>310</v>
      </c>
      <c r="E37" s="23">
        <f>IF(D37&gt;0,D37+C37," ")</f>
        <v>601</v>
      </c>
      <c r="F37" s="29">
        <v>311</v>
      </c>
      <c r="G37" s="23">
        <f>IF(F37&gt;0,F37+E37," ")</f>
        <v>912</v>
      </c>
      <c r="H37" s="29">
        <v>245</v>
      </c>
      <c r="I37" s="23">
        <f>IF(H37&gt;0,H37+G37," ")</f>
        <v>1157</v>
      </c>
      <c r="J37" s="29">
        <v>222</v>
      </c>
      <c r="K37" s="23">
        <f>IF(J37&gt;0,J37+I37," ")</f>
        <v>1379</v>
      </c>
      <c r="L37" s="29">
        <v>224</v>
      </c>
      <c r="M37" s="23">
        <f>IF(L37&gt;0,L37+K37," ")</f>
        <v>1603</v>
      </c>
      <c r="N37" s="39" t="s">
        <v>69</v>
      </c>
      <c r="O37" s="59"/>
      <c r="P37" s="29">
        <v>225</v>
      </c>
      <c r="Q37" s="23">
        <f>IF(P37&gt;0,P37+M37," ")</f>
        <v>1828</v>
      </c>
      <c r="R37" s="29">
        <v>239</v>
      </c>
      <c r="S37" s="23">
        <f>IF(R37&gt;0,R37+Q37," ")</f>
        <v>2067</v>
      </c>
      <c r="T37" s="29">
        <v>257</v>
      </c>
      <c r="U37" s="23">
        <f>IF(T37&gt;0,T37+S37," ")</f>
        <v>2324</v>
      </c>
      <c r="V37" s="29">
        <v>243</v>
      </c>
      <c r="W37" s="23">
        <f>IF(V37&gt;0,V37+U37," ")</f>
        <v>2567</v>
      </c>
      <c r="X37" s="29">
        <v>247</v>
      </c>
      <c r="Y37" s="23">
        <f>IF(X37&gt;0,X37+W37," ")</f>
        <v>2814</v>
      </c>
      <c r="Z37" s="29">
        <v>313</v>
      </c>
      <c r="AA37" s="23">
        <f>IF(Z37&gt;0,Z37+Y37," ")</f>
        <v>3127</v>
      </c>
      <c r="AC37" s="107"/>
      <c r="AE37" s="54"/>
      <c r="AF37" s="54"/>
      <c r="AG37" s="54"/>
      <c r="AH37" s="54"/>
      <c r="AI37" s="54"/>
    </row>
    <row r="38" spans="1:35" s="60" customFormat="1" ht="12.95" customHeight="1" x14ac:dyDescent="0.15">
      <c r="A38" s="85" t="s">
        <v>36</v>
      </c>
      <c r="B38" s="59" t="s">
        <v>47</v>
      </c>
      <c r="C38" s="28">
        <v>103</v>
      </c>
      <c r="D38" s="28">
        <v>119</v>
      </c>
      <c r="E38" s="23">
        <f>IF(D38&gt;0,D38+C38," ")</f>
        <v>222</v>
      </c>
      <c r="F38" s="28">
        <v>129</v>
      </c>
      <c r="G38" s="23">
        <f>IF(F38&gt;0,F38+E38," ")</f>
        <v>351</v>
      </c>
      <c r="H38" s="28">
        <v>126</v>
      </c>
      <c r="I38" s="23">
        <f>IF(H38&gt;0,H38+G38," ")</f>
        <v>477</v>
      </c>
      <c r="J38" s="28">
        <v>133</v>
      </c>
      <c r="K38" s="23">
        <f>IF(J38&gt;0,J38+I38," ")</f>
        <v>610</v>
      </c>
      <c r="L38" s="28">
        <v>136</v>
      </c>
      <c r="M38" s="23">
        <f>IF(L38&gt;0,L38+K38," ")</f>
        <v>746</v>
      </c>
      <c r="N38" s="85" t="s">
        <v>36</v>
      </c>
      <c r="O38" s="59" t="s">
        <v>47</v>
      </c>
      <c r="P38" s="28">
        <v>134</v>
      </c>
      <c r="Q38" s="23">
        <f>IF(P38&gt;0,P38+M38," ")</f>
        <v>880</v>
      </c>
      <c r="R38" s="28">
        <v>136</v>
      </c>
      <c r="S38" s="23">
        <f>IF(R38&gt;0,R38+Q38," ")</f>
        <v>1016</v>
      </c>
      <c r="T38" s="28">
        <v>136</v>
      </c>
      <c r="U38" s="23">
        <f>IF(T38&gt;0,T38+S38," ")</f>
        <v>1152</v>
      </c>
      <c r="V38" s="28">
        <v>128</v>
      </c>
      <c r="W38" s="23">
        <f>IF(V38&gt;0,V38+U38," ")</f>
        <v>1280</v>
      </c>
      <c r="X38" s="28">
        <v>127</v>
      </c>
      <c r="Y38" s="23">
        <f>IF(X38&gt;0,X38+W38," ")</f>
        <v>1407</v>
      </c>
      <c r="Z38" s="28">
        <v>128</v>
      </c>
      <c r="AA38" s="23">
        <f>IF(Z38&gt;0,Z38+Y38," ")</f>
        <v>1535</v>
      </c>
      <c r="AC38" s="107"/>
      <c r="AE38" s="54"/>
      <c r="AF38" s="54"/>
      <c r="AG38" s="54"/>
      <c r="AH38" s="54"/>
      <c r="AI38" s="54"/>
    </row>
    <row r="39" spans="1:35" s="60" customFormat="1" ht="12.95" customHeight="1" x14ac:dyDescent="0.15">
      <c r="C39" s="14"/>
      <c r="D39" s="14"/>
      <c r="E39" s="25"/>
      <c r="F39" s="14"/>
      <c r="G39" s="25"/>
      <c r="H39" s="14"/>
      <c r="I39" s="25"/>
      <c r="J39" s="14"/>
      <c r="K39" s="25"/>
      <c r="L39" s="14"/>
      <c r="M39" s="25"/>
      <c r="P39" s="14"/>
      <c r="Q39" s="23" t="str">
        <f>IF(P39&gt;0,P39+M39," ")</f>
        <v xml:space="preserve"> </v>
      </c>
      <c r="R39" s="14"/>
      <c r="S39" s="25"/>
      <c r="T39" s="14"/>
      <c r="U39" s="25"/>
      <c r="V39" s="14"/>
      <c r="W39" s="25"/>
      <c r="X39" s="14"/>
      <c r="Y39" s="25"/>
      <c r="Z39" s="14"/>
      <c r="AA39" s="25"/>
      <c r="AC39" s="100"/>
      <c r="AE39" s="54"/>
      <c r="AF39" s="54"/>
      <c r="AG39" s="54"/>
      <c r="AH39" s="54"/>
      <c r="AI39" s="54"/>
    </row>
    <row r="40" spans="1:35" s="60" customFormat="1" ht="12.95" customHeight="1" x14ac:dyDescent="0.15">
      <c r="A40" s="39" t="s">
        <v>48</v>
      </c>
      <c r="C40" s="28">
        <v>75</v>
      </c>
      <c r="D40" s="28">
        <v>92</v>
      </c>
      <c r="E40" s="23">
        <f>IF(D40&gt;0,D40+C40," ")</f>
        <v>167</v>
      </c>
      <c r="F40" s="28">
        <v>119</v>
      </c>
      <c r="G40" s="23">
        <f>IF(F40&gt;0,F40+E40," ")</f>
        <v>286</v>
      </c>
      <c r="H40" s="28">
        <v>108</v>
      </c>
      <c r="I40" s="23">
        <f>IF(H40&gt;0,H40+G40," ")</f>
        <v>394</v>
      </c>
      <c r="J40" s="28">
        <v>163</v>
      </c>
      <c r="K40" s="23">
        <f>IF(J40&gt;0,J40+I40," ")</f>
        <v>557</v>
      </c>
      <c r="L40" s="28">
        <v>168</v>
      </c>
      <c r="M40" s="23">
        <f>IF(L40&gt;0,L40+K40," ")</f>
        <v>725</v>
      </c>
      <c r="N40" s="39" t="s">
        <v>48</v>
      </c>
      <c r="P40" s="28">
        <v>167</v>
      </c>
      <c r="Q40" s="23">
        <f>IF(P40&gt;0,P40+M40," ")</f>
        <v>892</v>
      </c>
      <c r="R40" s="28">
        <v>94</v>
      </c>
      <c r="S40" s="23">
        <f>IF(R40&gt;0,R40+Q40," ")</f>
        <v>986</v>
      </c>
      <c r="T40" s="28">
        <v>162</v>
      </c>
      <c r="U40" s="23">
        <f>IF(T40&gt;0,T40+S40," ")</f>
        <v>1148</v>
      </c>
      <c r="V40" s="28">
        <v>171</v>
      </c>
      <c r="W40" s="23">
        <f>IF(V40&gt;0,V40+U40," ")</f>
        <v>1319</v>
      </c>
      <c r="X40" s="28">
        <v>150</v>
      </c>
      <c r="Y40" s="23">
        <f>IF(X40&gt;0,X40+W40," ")</f>
        <v>1469</v>
      </c>
      <c r="Z40" s="28">
        <v>92</v>
      </c>
      <c r="AA40" s="23">
        <f>IF(Z40&gt;0,Z40+Y40," ")</f>
        <v>1561</v>
      </c>
      <c r="AC40" s="107"/>
      <c r="AE40" s="54"/>
      <c r="AF40" s="54"/>
      <c r="AG40" s="54"/>
      <c r="AH40" s="54"/>
      <c r="AI40" s="54"/>
    </row>
    <row r="41" spans="1:35" s="60" customFormat="1" ht="12.95" customHeight="1" x14ac:dyDescent="0.15">
      <c r="A41" s="99"/>
      <c r="B41" s="99"/>
      <c r="C41" s="35"/>
      <c r="D41" s="35"/>
      <c r="E41" s="24" t="str">
        <f>IF(D41&gt;0,D41+C41," ")</f>
        <v xml:space="preserve"> </v>
      </c>
      <c r="F41" s="35"/>
      <c r="G41" s="24" t="str">
        <f>IF(F41&gt;0,F41+E41," ")</f>
        <v xml:space="preserve"> </v>
      </c>
      <c r="H41" s="35"/>
      <c r="I41" s="24" t="str">
        <f>IF(H41&gt;0,H41+G41," ")</f>
        <v xml:space="preserve"> </v>
      </c>
      <c r="J41" s="35"/>
      <c r="K41" s="24" t="str">
        <f>IF(J41&gt;0,J41+I41," ")</f>
        <v xml:space="preserve"> </v>
      </c>
      <c r="L41" s="35"/>
      <c r="M41" s="24" t="str">
        <f>IF(L41&gt;0,L41+K41," ")</f>
        <v xml:space="preserve"> </v>
      </c>
      <c r="N41" s="99"/>
      <c r="O41" s="99"/>
      <c r="P41" s="35"/>
      <c r="Q41" s="24" t="str">
        <f>IF(P41&gt;0,P41+M41," ")</f>
        <v xml:space="preserve"> </v>
      </c>
      <c r="R41" s="35"/>
      <c r="S41" s="24" t="str">
        <f>IF(R41&gt;0,R41+Q41," ")</f>
        <v xml:space="preserve"> </v>
      </c>
      <c r="T41" s="35"/>
      <c r="U41" s="24" t="str">
        <f>IF(T41&gt;0,T41+S41," ")</f>
        <v xml:space="preserve"> </v>
      </c>
      <c r="V41" s="35"/>
      <c r="W41" s="24" t="str">
        <f>IF(V41&gt;0,V41+U41," ")</f>
        <v xml:space="preserve"> </v>
      </c>
      <c r="X41" s="35"/>
      <c r="Y41" s="24" t="str">
        <f>IF(X41&gt;0,X41+W41," ")</f>
        <v xml:space="preserve"> </v>
      </c>
      <c r="Z41" s="35"/>
      <c r="AA41" s="24" t="str">
        <f>IF(Z41&gt;0,Z41+Y41," ")</f>
        <v xml:space="preserve"> </v>
      </c>
      <c r="AC41" s="100"/>
      <c r="AE41" s="54"/>
      <c r="AF41" s="54"/>
      <c r="AG41" s="54"/>
      <c r="AH41" s="54"/>
      <c r="AI41" s="54"/>
    </row>
    <row r="42" spans="1:35" s="60" customFormat="1" ht="15.95" customHeight="1" x14ac:dyDescent="0.15">
      <c r="A42" s="39" t="s">
        <v>49</v>
      </c>
      <c r="B42" s="59"/>
      <c r="C42" s="34">
        <f>IF(C31="","",C5+C12+C14+C24+C29+C34+C37+C40)</f>
        <v>3033.7</v>
      </c>
      <c r="D42" s="34">
        <f>IF(D31="","",D5+D12+D14+D24+D29+D34+D37+D40)</f>
        <v>3238</v>
      </c>
      <c r="E42" s="23">
        <f>IF(D42="","",IF(D42&gt;0,D42+C42," "))</f>
        <v>6271.7</v>
      </c>
      <c r="F42" s="34">
        <f>IF(F31="","",F5+F12+F14+F24+F29+F34+F37+F40)</f>
        <v>3680.1</v>
      </c>
      <c r="G42" s="23">
        <f>IF(F42="","",IF(F42&gt;0,F42+E42," "))</f>
        <v>9951.7999999999993</v>
      </c>
      <c r="H42" s="34">
        <f>IF(H31="","",H5+H12+H14+H24+H29+H34+H37+H40)</f>
        <v>3480.2999999999997</v>
      </c>
      <c r="I42" s="23">
        <f>IF(H42="","",IF(H42&gt;0,H42+G42," "))</f>
        <v>13432.099999999999</v>
      </c>
      <c r="J42" s="34">
        <f>IF(J31="","",J5+J12+J14+J24+J29+J34+J37+J40)</f>
        <v>3715.5</v>
      </c>
      <c r="K42" s="23">
        <f>IF(J42="","",IF(J42&gt;0,J42+I42," "))</f>
        <v>17147.599999999999</v>
      </c>
      <c r="L42" s="34">
        <f>IF(L31="","",L5+L12+L14+L24+L29+L34+L37+L40)</f>
        <v>3822.9</v>
      </c>
      <c r="M42" s="23">
        <f>IF(L42="","",IF(L42&gt;0,L42+K42," "))</f>
        <v>20970.5</v>
      </c>
      <c r="N42" s="39" t="s">
        <v>49</v>
      </c>
      <c r="O42" s="59"/>
      <c r="P42" s="34">
        <f>IF(P31="","",P5+P12+P14+P24+P29+P34+P37+P40)</f>
        <v>4020.7999999999997</v>
      </c>
      <c r="Q42" s="23">
        <f>IF(P42="","",IF(P42&gt;0,P42+M42," "))</f>
        <v>24991.3</v>
      </c>
      <c r="R42" s="34">
        <f>IF(R31="","",R5+R12+R14+R24+R29+R34+R37+R40)</f>
        <v>3855.9</v>
      </c>
      <c r="S42" s="23">
        <f>IF(R42="","",IF(R42&gt;0,R42+Q42," "))</f>
        <v>28847.200000000001</v>
      </c>
      <c r="T42" s="34">
        <f>IF(T31="","",T5+T12+T14+T24+T29+T34+T37+T40)</f>
        <v>4077.3</v>
      </c>
      <c r="U42" s="23">
        <f>IF(T42="","",IF(T42&gt;0,T42+S42," "))</f>
        <v>32924.5</v>
      </c>
      <c r="V42" s="34">
        <f>IF(V31="","",V5+V12+V14+V24+V29+V34+V37+V40)</f>
        <v>3843.7</v>
      </c>
      <c r="W42" s="23">
        <f>IF(V42="","",IF(V42&gt;0,V42+U42," "))</f>
        <v>36768.199999999997</v>
      </c>
      <c r="X42" s="34">
        <f>IF(X31="","",X5+X12+X14+X24+X29+X34+X37+X40)</f>
        <v>3778.1000000000004</v>
      </c>
      <c r="Y42" s="23">
        <f>IF(X42="","",IF(X42&gt;0,X42+W42," "))</f>
        <v>40546.299999999996</v>
      </c>
      <c r="Z42" s="34">
        <f>IF(Z31="","",Z5+Z12+Z14+Z24+Z29+Z34+Z37+Z40)</f>
        <v>3797.1</v>
      </c>
      <c r="AA42" s="23">
        <f>IF(Z42="","",IF(Z42&gt;0,Z42+Y42," "))</f>
        <v>44343.399999999994</v>
      </c>
      <c r="AC42" s="100"/>
      <c r="AE42" s="54"/>
      <c r="AF42" s="54"/>
      <c r="AG42" s="54"/>
      <c r="AH42" s="54"/>
      <c r="AI42" s="54"/>
    </row>
    <row r="43" spans="1:35" s="60" customFormat="1" ht="12.95" customHeight="1" x14ac:dyDescent="0.15">
      <c r="A43" s="101"/>
      <c r="B43" s="101"/>
      <c r="C43" s="37"/>
      <c r="D43" s="37"/>
      <c r="E43" s="26"/>
      <c r="F43" s="37"/>
      <c r="G43" s="26"/>
      <c r="H43" s="37"/>
      <c r="I43" s="26"/>
      <c r="J43" s="37"/>
      <c r="K43" s="26"/>
      <c r="L43" s="37"/>
      <c r="M43" s="26"/>
      <c r="N43" s="101"/>
      <c r="O43" s="101"/>
      <c r="P43" s="37"/>
      <c r="Q43" s="26"/>
      <c r="R43" s="37"/>
      <c r="S43" s="26"/>
      <c r="T43" s="37"/>
      <c r="U43" s="26"/>
      <c r="V43" s="37"/>
      <c r="W43" s="26"/>
      <c r="X43" s="37"/>
      <c r="Y43" s="26"/>
      <c r="Z43" s="37"/>
      <c r="AA43" s="26"/>
      <c r="AC43" s="100"/>
      <c r="AE43" s="54"/>
      <c r="AF43" s="54"/>
      <c r="AG43" s="54"/>
      <c r="AH43" s="54"/>
      <c r="AI43" s="54"/>
    </row>
    <row r="44" spans="1:35" s="60" customFormat="1" ht="12.95" customHeight="1" x14ac:dyDescent="0.15">
      <c r="A44" s="39" t="s">
        <v>62</v>
      </c>
      <c r="B44" s="59"/>
      <c r="C44" s="28">
        <v>211</v>
      </c>
      <c r="D44" s="28">
        <v>102.7</v>
      </c>
      <c r="E44" s="23">
        <f>IF(D44&gt;0,D44+C44," ")</f>
        <v>313.7</v>
      </c>
      <c r="F44" s="28">
        <v>148.30000000000001</v>
      </c>
      <c r="G44" s="23">
        <f>IF(F44&gt;0,F44+E44," ")</f>
        <v>462</v>
      </c>
      <c r="H44" s="28">
        <v>127.1</v>
      </c>
      <c r="I44" s="23">
        <f>IF(H44&gt;0,H44+G44," ")</f>
        <v>589.1</v>
      </c>
      <c r="J44" s="28">
        <v>198.9</v>
      </c>
      <c r="K44" s="23">
        <f>IF(J44&gt;0,J44+I44," ")</f>
        <v>788</v>
      </c>
      <c r="L44" s="28">
        <v>89.5</v>
      </c>
      <c r="M44" s="23">
        <f>IF(L44&gt;0,L44+K44," ")</f>
        <v>877.5</v>
      </c>
      <c r="N44" s="39" t="s">
        <v>62</v>
      </c>
      <c r="O44" s="59"/>
      <c r="P44" s="28">
        <v>188.5</v>
      </c>
      <c r="Q44" s="23">
        <f>IF(P44&gt;0,P44+M44," ")</f>
        <v>1066</v>
      </c>
      <c r="R44" s="28">
        <v>104.7</v>
      </c>
      <c r="S44" s="23">
        <f>IF(R44&gt;0,R44+Q44," ")</f>
        <v>1170.7</v>
      </c>
      <c r="T44" s="28">
        <v>89.4</v>
      </c>
      <c r="U44" s="23">
        <f>IF(T44&gt;0,T44+S44," ")</f>
        <v>1260.1000000000001</v>
      </c>
      <c r="V44" s="28">
        <v>97.8</v>
      </c>
      <c r="W44" s="23">
        <f>IF(V44&gt;0,V44+U44," ")</f>
        <v>1357.9</v>
      </c>
      <c r="X44" s="28">
        <v>131.30000000000001</v>
      </c>
      <c r="Y44" s="23">
        <f>IF(X44&gt;0,X44+W44," ")</f>
        <v>1489.2</v>
      </c>
      <c r="Z44" s="28">
        <v>134.4</v>
      </c>
      <c r="AA44" s="23">
        <f>IF(Z44&gt;0,Z44+Y44," ")</f>
        <v>1623.6000000000001</v>
      </c>
      <c r="AC44" s="107"/>
      <c r="AE44" s="54"/>
      <c r="AF44" s="54"/>
      <c r="AG44" s="54"/>
      <c r="AH44" s="54"/>
      <c r="AI44" s="54"/>
    </row>
    <row r="45" spans="1:35" s="60" customFormat="1" ht="12.95" customHeight="1" x14ac:dyDescent="0.15">
      <c r="A45" s="59"/>
      <c r="B45" s="59"/>
      <c r="C45" s="34"/>
      <c r="D45" s="34"/>
      <c r="E45" s="23"/>
      <c r="F45" s="34"/>
      <c r="G45" s="23"/>
      <c r="H45" s="34"/>
      <c r="I45" s="23"/>
      <c r="J45" s="34"/>
      <c r="K45" s="23"/>
      <c r="L45" s="34"/>
      <c r="M45" s="23"/>
      <c r="N45" s="59"/>
      <c r="O45" s="59"/>
      <c r="P45" s="34"/>
      <c r="Q45" s="23" t="str">
        <f t="shared" ref="Q45:Q50" si="11">IF(P45&gt;0,P45+M45," ")</f>
        <v xml:space="preserve"> </v>
      </c>
      <c r="R45" s="34"/>
      <c r="S45" s="23"/>
      <c r="T45" s="34"/>
      <c r="U45" s="23"/>
      <c r="V45" s="34"/>
      <c r="W45" s="23"/>
      <c r="X45" s="34"/>
      <c r="Y45" s="23"/>
      <c r="Z45" s="34"/>
      <c r="AA45" s="23"/>
      <c r="AC45" s="100"/>
      <c r="AE45" s="54"/>
      <c r="AF45" s="54"/>
      <c r="AG45" s="54"/>
      <c r="AH45" s="54"/>
      <c r="AI45" s="54"/>
    </row>
    <row r="46" spans="1:35" s="60" customFormat="1" ht="12.95" customHeight="1" x14ac:dyDescent="0.15">
      <c r="A46" s="39" t="s">
        <v>70</v>
      </c>
      <c r="B46" s="59"/>
      <c r="C46" s="28">
        <v>382</v>
      </c>
      <c r="D46" s="28">
        <v>420</v>
      </c>
      <c r="E46" s="23">
        <f>IF(D46&gt;0,D46+C46," ")</f>
        <v>802</v>
      </c>
      <c r="F46" s="28">
        <v>331</v>
      </c>
      <c r="G46" s="23">
        <f>IF(F46&gt;0,F46+E46," ")</f>
        <v>1133</v>
      </c>
      <c r="H46" s="28">
        <v>360</v>
      </c>
      <c r="I46" s="23">
        <f>IF(H46&gt;0,H46+G46," ")</f>
        <v>1493</v>
      </c>
      <c r="J46" s="28">
        <v>270</v>
      </c>
      <c r="K46" s="23">
        <f>IF(J46&gt;0,J46+I46," ")</f>
        <v>1763</v>
      </c>
      <c r="L46" s="28">
        <v>195</v>
      </c>
      <c r="M46" s="23">
        <f>IF(L46&gt;0,L46+K46," ")</f>
        <v>1958</v>
      </c>
      <c r="N46" s="39" t="s">
        <v>70</v>
      </c>
      <c r="O46" s="59"/>
      <c r="P46" s="28">
        <v>218</v>
      </c>
      <c r="Q46" s="23">
        <f t="shared" si="11"/>
        <v>2176</v>
      </c>
      <c r="R46" s="28">
        <v>214</v>
      </c>
      <c r="S46" s="23">
        <f>IF(R46&gt;0,R46+Q46," ")</f>
        <v>2390</v>
      </c>
      <c r="T46" s="28">
        <v>250</v>
      </c>
      <c r="U46" s="23">
        <f>IF(T46&gt;0,T46+S46," ")</f>
        <v>2640</v>
      </c>
      <c r="V46" s="28">
        <v>182</v>
      </c>
      <c r="W46" s="23">
        <f>IF(V46&gt;0,V46+U46," ")</f>
        <v>2822</v>
      </c>
      <c r="X46" s="28">
        <v>214</v>
      </c>
      <c r="Y46" s="23">
        <f>IF(X46&gt;0,X46+W46," ")</f>
        <v>3036</v>
      </c>
      <c r="Z46" s="28">
        <v>193</v>
      </c>
      <c r="AA46" s="23">
        <f>IF(Z46&gt;0,Z46+Y46," ")</f>
        <v>3229</v>
      </c>
      <c r="AC46" s="100"/>
      <c r="AE46" s="54"/>
      <c r="AF46" s="54"/>
      <c r="AG46" s="54"/>
      <c r="AH46" s="54"/>
      <c r="AI46" s="54"/>
    </row>
    <row r="47" spans="1:35" s="60" customFormat="1" ht="12.95" customHeight="1" x14ac:dyDescent="0.15">
      <c r="A47" s="59"/>
      <c r="B47" s="59"/>
      <c r="C47" s="34"/>
      <c r="D47" s="34"/>
      <c r="E47" s="23"/>
      <c r="F47" s="34"/>
      <c r="G47" s="23"/>
      <c r="H47" s="34"/>
      <c r="I47" s="23"/>
      <c r="J47" s="34"/>
      <c r="K47" s="23"/>
      <c r="L47" s="34"/>
      <c r="M47" s="23"/>
      <c r="N47" s="59"/>
      <c r="O47" s="59"/>
      <c r="P47" s="34"/>
      <c r="Q47" s="23" t="str">
        <f t="shared" si="11"/>
        <v xml:space="preserve"> </v>
      </c>
      <c r="R47" s="34"/>
      <c r="S47" s="23"/>
      <c r="T47" s="34"/>
      <c r="U47" s="23"/>
      <c r="V47" s="34"/>
      <c r="W47" s="23"/>
      <c r="X47" s="34"/>
      <c r="Y47" s="23"/>
      <c r="Z47" s="34"/>
      <c r="AA47" s="23"/>
      <c r="AC47" s="100"/>
      <c r="AE47" s="54"/>
      <c r="AF47" s="54"/>
      <c r="AG47" s="54"/>
      <c r="AH47" s="54"/>
      <c r="AI47" s="54"/>
    </row>
    <row r="48" spans="1:35" s="60" customFormat="1" ht="12.95" customHeight="1" x14ac:dyDescent="0.15">
      <c r="A48" s="39" t="s">
        <v>50</v>
      </c>
      <c r="B48" s="59" t="s">
        <v>34</v>
      </c>
      <c r="C48" s="28">
        <v>44</v>
      </c>
      <c r="D48" s="28">
        <v>44</v>
      </c>
      <c r="E48" s="23">
        <f>IF(D48&gt;0,D48+C48," ")</f>
        <v>88</v>
      </c>
      <c r="F48" s="28">
        <v>45</v>
      </c>
      <c r="G48" s="23">
        <f>IF(F48&gt;0,F48+E48," ")</f>
        <v>133</v>
      </c>
      <c r="H48" s="28">
        <v>52</v>
      </c>
      <c r="I48" s="23">
        <f>IF(H48&gt;0,H48+G48," ")</f>
        <v>185</v>
      </c>
      <c r="J48" s="28">
        <v>63</v>
      </c>
      <c r="K48" s="23">
        <f>IF(J48&gt;0,J48+I48," ")</f>
        <v>248</v>
      </c>
      <c r="L48" s="28">
        <v>61</v>
      </c>
      <c r="M48" s="23">
        <f>IF(L48&gt;0,L48+K48," ")</f>
        <v>309</v>
      </c>
      <c r="N48" s="39" t="s">
        <v>50</v>
      </c>
      <c r="O48" s="59" t="s">
        <v>34</v>
      </c>
      <c r="P48" s="28">
        <v>58</v>
      </c>
      <c r="Q48" s="23">
        <f t="shared" si="11"/>
        <v>367</v>
      </c>
      <c r="R48" s="28">
        <v>56</v>
      </c>
      <c r="S48" s="23">
        <f>IF(R48&gt;0,R48+Q48," ")</f>
        <v>423</v>
      </c>
      <c r="T48" s="28">
        <v>54</v>
      </c>
      <c r="U48" s="23">
        <f>IF(T48&gt;0,T48+S48," ")</f>
        <v>477</v>
      </c>
      <c r="V48" s="28">
        <v>57</v>
      </c>
      <c r="W48" s="23">
        <f>IF(V48&gt;0,V48+U48," ")</f>
        <v>534</v>
      </c>
      <c r="X48" s="28">
        <v>41</v>
      </c>
      <c r="Y48" s="23">
        <f>IF(X48&gt;0,X48+W48," ")</f>
        <v>575</v>
      </c>
      <c r="Z48" s="28">
        <v>37</v>
      </c>
      <c r="AA48" s="23">
        <f>IF(Z48&gt;0,Z48+Y48," ")</f>
        <v>612</v>
      </c>
      <c r="AC48" s="107"/>
      <c r="AE48" s="54"/>
      <c r="AF48" s="54"/>
      <c r="AG48" s="54"/>
      <c r="AH48" s="54"/>
      <c r="AI48" s="54"/>
    </row>
    <row r="49" spans="1:35" s="60" customFormat="1" ht="12.95" customHeight="1" x14ac:dyDescent="0.15">
      <c r="A49" s="59"/>
      <c r="B49" s="59" t="s">
        <v>68</v>
      </c>
      <c r="C49" s="28">
        <v>136</v>
      </c>
      <c r="D49" s="28">
        <v>143</v>
      </c>
      <c r="E49" s="23">
        <f>IF(D49&gt;0,D49+C49," ")</f>
        <v>279</v>
      </c>
      <c r="F49" s="28">
        <v>151</v>
      </c>
      <c r="G49" s="23">
        <f>IF(F49&gt;0,F49+E49," ")</f>
        <v>430</v>
      </c>
      <c r="H49" s="28">
        <v>195</v>
      </c>
      <c r="I49" s="23">
        <f>IF(H49&gt;0,H49+G49," ")</f>
        <v>625</v>
      </c>
      <c r="J49" s="28">
        <v>219</v>
      </c>
      <c r="K49" s="23">
        <f>IF(J49&gt;0,J49+I49," ")</f>
        <v>844</v>
      </c>
      <c r="L49" s="28">
        <v>220</v>
      </c>
      <c r="M49" s="23">
        <f>IF(L49&gt;0,L49+K49," ")</f>
        <v>1064</v>
      </c>
      <c r="N49" s="59"/>
      <c r="O49" s="59" t="s">
        <v>68</v>
      </c>
      <c r="P49" s="28">
        <v>220</v>
      </c>
      <c r="Q49" s="23">
        <f t="shared" si="11"/>
        <v>1284</v>
      </c>
      <c r="R49" s="28">
        <v>224</v>
      </c>
      <c r="S49" s="23">
        <f>IF(R49&gt;0,R49+Q49," ")</f>
        <v>1508</v>
      </c>
      <c r="T49" s="28">
        <v>202</v>
      </c>
      <c r="U49" s="23">
        <f>IF(T49&gt;0,T49+S49," ")</f>
        <v>1710</v>
      </c>
      <c r="V49" s="28">
        <v>217</v>
      </c>
      <c r="W49" s="23">
        <f>IF(V49&gt;0,V49+U49," ")</f>
        <v>1927</v>
      </c>
      <c r="X49" s="28">
        <v>162</v>
      </c>
      <c r="Y49" s="23">
        <f>IF(X49&gt;0,X49+W49," ")</f>
        <v>2089</v>
      </c>
      <c r="Z49" s="28">
        <v>159</v>
      </c>
      <c r="AA49" s="23">
        <f>IF(Z49&gt;0,Z49+Y49," ")</f>
        <v>2248</v>
      </c>
      <c r="AC49" s="107"/>
      <c r="AE49" s="54"/>
      <c r="AF49" s="54"/>
      <c r="AG49" s="54"/>
      <c r="AH49" s="54"/>
      <c r="AI49" s="54"/>
    </row>
    <row r="50" spans="1:35" s="60" customFormat="1" ht="12.95" customHeight="1" x14ac:dyDescent="0.15">
      <c r="A50" s="59"/>
      <c r="B50" s="59" t="s">
        <v>51</v>
      </c>
      <c r="C50" s="28">
        <v>1.3</v>
      </c>
      <c r="D50" s="28">
        <v>1.3</v>
      </c>
      <c r="E50" s="23">
        <f>IF(D50&gt;0,D50+C50," ")</f>
        <v>2.6</v>
      </c>
      <c r="F50" s="28">
        <v>1.6</v>
      </c>
      <c r="G50" s="23">
        <f>IF(F50&gt;0,F50+E50," ")</f>
        <v>4.2</v>
      </c>
      <c r="H50" s="28">
        <v>1.6</v>
      </c>
      <c r="I50" s="23">
        <f>IF(H50&gt;0,H50+G50," ")</f>
        <v>5.8000000000000007</v>
      </c>
      <c r="J50" s="28">
        <v>1.6</v>
      </c>
      <c r="K50" s="23">
        <f>IF(J50&gt;0,J50+I50," ")</f>
        <v>7.4</v>
      </c>
      <c r="L50" s="28">
        <v>1.6</v>
      </c>
      <c r="M50" s="23">
        <f>IF(L50&gt;0,L50+K50," ")</f>
        <v>9</v>
      </c>
      <c r="N50" s="59"/>
      <c r="O50" s="59" t="s">
        <v>51</v>
      </c>
      <c r="P50" s="28">
        <v>1.7</v>
      </c>
      <c r="Q50" s="23">
        <f t="shared" si="11"/>
        <v>10.7</v>
      </c>
      <c r="R50" s="28">
        <v>1.4</v>
      </c>
      <c r="S50" s="23">
        <f>IF(R50&gt;0,R50+Q50," ")</f>
        <v>12.1</v>
      </c>
      <c r="T50" s="28">
        <v>1.3</v>
      </c>
      <c r="U50" s="23">
        <f>IF(T50&gt;0,T50+S50," ")</f>
        <v>13.4</v>
      </c>
      <c r="V50" s="28">
        <v>1.5</v>
      </c>
      <c r="W50" s="23">
        <f>IF(V50&gt;0,V50+U50," ")</f>
        <v>14.9</v>
      </c>
      <c r="X50" s="28">
        <v>1.6</v>
      </c>
      <c r="Y50" s="23">
        <f>IF(X50&gt;0,X50+W50," ")</f>
        <v>16.5</v>
      </c>
      <c r="Z50" s="28">
        <v>1.5</v>
      </c>
      <c r="AA50" s="23">
        <f>IF(Z50&gt;0,Z50+Y50," ")</f>
        <v>18</v>
      </c>
      <c r="AC50" s="107"/>
      <c r="AE50" s="54"/>
      <c r="AF50" s="54"/>
      <c r="AG50" s="54"/>
      <c r="AH50" s="54"/>
      <c r="AI50" s="54"/>
    </row>
    <row r="51" spans="1:35" s="60" customFormat="1" ht="12.95" customHeight="1" x14ac:dyDescent="0.15">
      <c r="A51" s="59"/>
      <c r="B51" s="59" t="s">
        <v>52</v>
      </c>
      <c r="C51" s="14">
        <f>IF(C48="","",C48+C49+C50)</f>
        <v>181.3</v>
      </c>
      <c r="D51" s="14">
        <f>IF(D48="","",D48+D49+D50)</f>
        <v>188.3</v>
      </c>
      <c r="E51" s="23">
        <f>IF(D51="","",IF(D51&gt;0,D51+C51," "))</f>
        <v>369.6</v>
      </c>
      <c r="F51" s="14">
        <f>IF(F48="","",F48+F49+F50)</f>
        <v>197.6</v>
      </c>
      <c r="G51" s="23">
        <f>IF(F51="","",IF(F51&gt;0,F51+E51," "))</f>
        <v>567.20000000000005</v>
      </c>
      <c r="H51" s="14">
        <f>IF(H48="","",H48+H49+H50)</f>
        <v>248.6</v>
      </c>
      <c r="I51" s="23">
        <f>IF(H51="","",IF(H51&gt;0,H51+G51," "))</f>
        <v>815.80000000000007</v>
      </c>
      <c r="J51" s="14">
        <f>IF(J48="","",J48+J49+J50)</f>
        <v>283.60000000000002</v>
      </c>
      <c r="K51" s="23">
        <f>IF(J51="","",IF(J51&gt;0,J51+I51," "))</f>
        <v>1099.4000000000001</v>
      </c>
      <c r="L51" s="14">
        <f>IF(L48="","",L48+L49+L50)</f>
        <v>282.60000000000002</v>
      </c>
      <c r="M51" s="23">
        <f>IF(L51="","",IF(L51&gt;0,L51+K51," "))</f>
        <v>1382</v>
      </c>
      <c r="N51" s="59"/>
      <c r="O51" s="59" t="s">
        <v>52</v>
      </c>
      <c r="P51" s="14">
        <f>IF(P48="","",P48+P49+P50)</f>
        <v>279.7</v>
      </c>
      <c r="Q51" s="23">
        <f>IF(P51="","",IF(P51&gt;0,P51+M51," "))</f>
        <v>1661.7</v>
      </c>
      <c r="R51" s="14">
        <f>IF(R48="","",R48+R49+R50)</f>
        <v>281.39999999999998</v>
      </c>
      <c r="S51" s="23">
        <f>IF(R51="","",IF(R51&gt;0,R51+Q51," "))</f>
        <v>1943.1</v>
      </c>
      <c r="T51" s="14">
        <f>IF(T48="","",T48+T49+T50)</f>
        <v>257.3</v>
      </c>
      <c r="U51" s="23">
        <f>IF(T51="","",IF(T51&gt;0,T51+S51," "))</f>
        <v>2200.4</v>
      </c>
      <c r="V51" s="14">
        <f>IF(V48="","",V48+V49+V50)</f>
        <v>275.5</v>
      </c>
      <c r="W51" s="23">
        <f>IF(V51="","",IF(V51&gt;0,V51+U51," "))</f>
        <v>2475.9</v>
      </c>
      <c r="X51" s="14">
        <f>IF(X48="","",X48+X49+X50)</f>
        <v>204.6</v>
      </c>
      <c r="Y51" s="23">
        <f>IF(X51="","",IF(X51&gt;0,X51+W51," "))</f>
        <v>2680.5</v>
      </c>
      <c r="Z51" s="14">
        <f>IF(Z48="","",Z48+Z49+Z50)</f>
        <v>197.5</v>
      </c>
      <c r="AA51" s="23">
        <f>IF(Z51="","",IF(Z51&gt;0,Z51+Y51," "))</f>
        <v>2878</v>
      </c>
      <c r="AC51" s="107"/>
      <c r="AE51" s="54"/>
      <c r="AF51" s="54"/>
      <c r="AG51" s="54"/>
      <c r="AH51" s="54"/>
      <c r="AI51" s="54"/>
    </row>
    <row r="52" spans="1:35" s="60" customFormat="1" ht="12.95" customHeight="1" x14ac:dyDescent="0.15">
      <c r="A52" s="59"/>
      <c r="B52" s="59"/>
      <c r="C52" s="34"/>
      <c r="D52" s="34"/>
      <c r="E52" s="24"/>
      <c r="F52" s="34"/>
      <c r="G52" s="24"/>
      <c r="H52" s="34"/>
      <c r="I52" s="24"/>
      <c r="J52" s="34"/>
      <c r="K52" s="24"/>
      <c r="L52" s="34"/>
      <c r="M52" s="24"/>
      <c r="N52" s="59"/>
      <c r="O52" s="59"/>
      <c r="P52" s="34"/>
      <c r="Q52" s="24"/>
      <c r="R52" s="34"/>
      <c r="S52" s="24"/>
      <c r="T52" s="34"/>
      <c r="U52" s="24"/>
      <c r="V52" s="34"/>
      <c r="W52" s="24"/>
      <c r="X52" s="34"/>
      <c r="Y52" s="24"/>
      <c r="Z52" s="34"/>
      <c r="AA52" s="24"/>
      <c r="AC52" s="100"/>
      <c r="AE52" s="54"/>
      <c r="AF52" s="54"/>
      <c r="AG52" s="54"/>
      <c r="AH52" s="54"/>
      <c r="AI52" s="54"/>
    </row>
    <row r="53" spans="1:35" s="60" customFormat="1" ht="15.95" customHeight="1" x14ac:dyDescent="0.15">
      <c r="A53" s="42" t="s">
        <v>71</v>
      </c>
      <c r="B53" s="102"/>
      <c r="C53" s="55">
        <f>IF(C31=0,"",C42+C44+C46+C51)</f>
        <v>3808</v>
      </c>
      <c r="D53" s="55">
        <f>IF(D31=0,"",D42+D44+D46+D51)</f>
        <v>3949</v>
      </c>
      <c r="E53" s="23">
        <f>IF(D53="","",IF(D53&gt;0,D53+C53," "))</f>
        <v>7757</v>
      </c>
      <c r="F53" s="55">
        <f>IF(F31=0,"",F42+F44+F46+F51)</f>
        <v>4357</v>
      </c>
      <c r="G53" s="23">
        <f>IF(F53="","",IF(F53&gt;0,F53+E53," "))</f>
        <v>12114</v>
      </c>
      <c r="H53" s="55">
        <f>IF(H31=0,"",H42+H44+H46+H51)</f>
        <v>4216</v>
      </c>
      <c r="I53" s="23">
        <f>IF(H53="","",IF(H53&gt;0,H53+G53," "))</f>
        <v>16330</v>
      </c>
      <c r="J53" s="55">
        <f>IF(J31=0,"",J42+J44+J46+J51)</f>
        <v>4468</v>
      </c>
      <c r="K53" s="23">
        <f>IF(J53="","",IF(J53&gt;0,J53+I53," "))</f>
        <v>20798</v>
      </c>
      <c r="L53" s="55">
        <f>IF(L31=0,"",L42+L44+L46+L51)</f>
        <v>4390</v>
      </c>
      <c r="M53" s="23">
        <f>IF(L53="","",IF(L53&gt;0,L53+K53," "))</f>
        <v>25188</v>
      </c>
      <c r="N53" s="42" t="s">
        <v>71</v>
      </c>
      <c r="O53" s="102"/>
      <c r="P53" s="55">
        <f>IF(P31=0,"",P42+P44+P46+P51)</f>
        <v>4706.9999999999991</v>
      </c>
      <c r="Q53" s="23">
        <f>IF(P53="","",IF(P53&gt;0,P53+M53," "))</f>
        <v>29895</v>
      </c>
      <c r="R53" s="55">
        <f>IF(R31=0,"",R42+R44+R46+R51)</f>
        <v>4456</v>
      </c>
      <c r="S53" s="23">
        <f>IF(R53="","",IF(R53&gt;0,R53+Q53," "))</f>
        <v>34351</v>
      </c>
      <c r="T53" s="55">
        <f>IF(T31=0,"",T42+T44+T46+T51)</f>
        <v>4674</v>
      </c>
      <c r="U53" s="23">
        <f>IF(T53="","",IF(T53&gt;0,T53+S53," "))</f>
        <v>39025</v>
      </c>
      <c r="V53" s="55">
        <f>IF(V31=0,"",V42+V44+V46+V51)</f>
        <v>4399</v>
      </c>
      <c r="W53" s="23">
        <f>IF(V53="","",IF(V53&gt;0,V53+U53," "))</f>
        <v>43424</v>
      </c>
      <c r="X53" s="55">
        <f>IF(X31=0,"",X42+X44+X46+X51)</f>
        <v>4328.0000000000009</v>
      </c>
      <c r="Y53" s="23">
        <f>IF(X53="","",IF(X53&gt;0,X53+W53," "))</f>
        <v>47752</v>
      </c>
      <c r="Z53" s="55">
        <f>IF(Z31=0,"",Z42+Z44+Z46+Z51)</f>
        <v>4322</v>
      </c>
      <c r="AA53" s="23">
        <f>IF(Z53="","",IF(Z53&gt;0,Z53+Y53," "))</f>
        <v>52074</v>
      </c>
      <c r="AC53" s="100"/>
      <c r="AE53" s="54"/>
      <c r="AF53" s="54"/>
      <c r="AG53" s="54"/>
      <c r="AH53" s="54"/>
      <c r="AI53" s="54"/>
    </row>
    <row r="54" spans="1:35" s="60" customFormat="1" ht="12.95" customHeight="1" x14ac:dyDescent="0.15">
      <c r="A54" s="59"/>
      <c r="B54" s="59"/>
      <c r="C54" s="34"/>
      <c r="D54" s="34"/>
      <c r="E54" s="26"/>
      <c r="F54" s="34"/>
      <c r="G54" s="26"/>
      <c r="H54" s="34"/>
      <c r="I54" s="26"/>
      <c r="J54" s="34"/>
      <c r="K54" s="26"/>
      <c r="L54" s="34"/>
      <c r="M54" s="26"/>
      <c r="N54" s="59"/>
      <c r="O54" s="59"/>
      <c r="P54" s="34"/>
      <c r="Q54" s="26"/>
      <c r="R54" s="34"/>
      <c r="S54" s="26"/>
      <c r="T54" s="34"/>
      <c r="U54" s="26"/>
      <c r="V54" s="34"/>
      <c r="W54" s="26"/>
      <c r="X54" s="34"/>
      <c r="Y54" s="26"/>
      <c r="Z54" s="34"/>
      <c r="AA54" s="26"/>
      <c r="AC54" s="100"/>
      <c r="AE54" s="54"/>
      <c r="AF54" s="54"/>
      <c r="AG54" s="54"/>
      <c r="AH54" s="54"/>
      <c r="AI54" s="54"/>
    </row>
    <row r="55" spans="1:35" s="60" customFormat="1" ht="12.95" customHeight="1" x14ac:dyDescent="0.15">
      <c r="A55" s="39" t="s">
        <v>53</v>
      </c>
      <c r="B55" s="59"/>
      <c r="C55" s="34"/>
      <c r="D55" s="34"/>
      <c r="E55" s="23" t="str">
        <f>IF(D55&gt;0,D55+C55," ")</f>
        <v xml:space="preserve"> </v>
      </c>
      <c r="F55" s="34"/>
      <c r="G55" s="23" t="str">
        <f>IF(F55&gt;0,F55+E55," ")</f>
        <v xml:space="preserve"> </v>
      </c>
      <c r="H55" s="34"/>
      <c r="I55" s="23" t="str">
        <f>IF(H55&gt;0,H55+G55," ")</f>
        <v xml:space="preserve"> </v>
      </c>
      <c r="J55" s="34"/>
      <c r="K55" s="23" t="str">
        <f>IF(J55&gt;0,J55+I55," ")</f>
        <v xml:space="preserve"> </v>
      </c>
      <c r="L55" s="34"/>
      <c r="M55" s="23" t="str">
        <f>IF(L55&gt;0,L55+K55," ")</f>
        <v xml:space="preserve"> </v>
      </c>
      <c r="N55" s="39" t="s">
        <v>53</v>
      </c>
      <c r="O55" s="59"/>
      <c r="P55" s="34"/>
      <c r="Q55" s="23" t="str">
        <f>IF(P55&gt;0,P55+M55," ")</f>
        <v xml:space="preserve"> </v>
      </c>
      <c r="R55" s="34"/>
      <c r="S55" s="23" t="str">
        <f>IF(R55&gt;0,R55+Q55," ")</f>
        <v xml:space="preserve"> </v>
      </c>
      <c r="T55" s="34"/>
      <c r="U55" s="23" t="str">
        <f>IF(T55&gt;0,T55+S55," ")</f>
        <v xml:space="preserve"> </v>
      </c>
      <c r="V55" s="34"/>
      <c r="W55" s="23"/>
      <c r="X55" s="34"/>
      <c r="Y55" s="23" t="str">
        <f>IF(X55&gt;0,X55+W55," ")</f>
        <v xml:space="preserve"> </v>
      </c>
      <c r="Z55" s="34"/>
      <c r="AA55" s="23" t="str">
        <f>IF(Z55&gt;0,Z55+Y55," ")</f>
        <v xml:space="preserve"> </v>
      </c>
      <c r="AC55" s="100"/>
      <c r="AE55" s="54"/>
      <c r="AF55" s="54"/>
      <c r="AG55" s="54"/>
      <c r="AH55" s="54"/>
      <c r="AI55" s="54"/>
    </row>
    <row r="56" spans="1:35" s="60" customFormat="1" ht="12.95" customHeight="1" x14ac:dyDescent="0.15">
      <c r="A56" s="59" t="s">
        <v>54</v>
      </c>
      <c r="B56" s="59"/>
      <c r="C56" s="28">
        <v>-43</v>
      </c>
      <c r="D56" s="28">
        <v>-22</v>
      </c>
      <c r="E56" s="23">
        <f>IF(D56&lt;&gt;0,D56+C56," ")</f>
        <v>-65</v>
      </c>
      <c r="F56" s="28">
        <v>-15</v>
      </c>
      <c r="G56" s="23">
        <f>IF(F56&lt;&gt;0,F56+E56," ")</f>
        <v>-80</v>
      </c>
      <c r="H56" s="28">
        <v>-8</v>
      </c>
      <c r="I56" s="23">
        <f>IF(H56&lt;&gt;0,H56+G56," ")</f>
        <v>-88</v>
      </c>
      <c r="J56" s="28">
        <v>-6</v>
      </c>
      <c r="K56" s="23">
        <f>IF(J56&lt;&gt;0,J56+I56," ")</f>
        <v>-94</v>
      </c>
      <c r="L56" s="28">
        <v>-6</v>
      </c>
      <c r="M56" s="23">
        <f>IF(L56&lt;&gt;0,L56+K56," ")</f>
        <v>-100</v>
      </c>
      <c r="N56" s="59" t="s">
        <v>54</v>
      </c>
      <c r="O56" s="59"/>
      <c r="P56" s="28">
        <v>5</v>
      </c>
      <c r="Q56" s="23">
        <f>IF(P56&gt;0,P56+M56," ")</f>
        <v>-95</v>
      </c>
      <c r="R56" s="28">
        <v>10</v>
      </c>
      <c r="S56" s="23">
        <f>IF(R56&lt;&gt;0,R56+Q56," ")</f>
        <v>-85</v>
      </c>
      <c r="T56" s="28">
        <v>0</v>
      </c>
      <c r="U56" s="23">
        <f>IF(ISBLANK(T56)," ",T56+S56)</f>
        <v>-85</v>
      </c>
      <c r="V56" s="28">
        <v>12</v>
      </c>
      <c r="W56" s="23">
        <f>IF(ISBLANK(V56)," ",V56+U56)</f>
        <v>-73</v>
      </c>
      <c r="X56" s="28">
        <v>-34</v>
      </c>
      <c r="Y56" s="23">
        <f>IF(ISBLANK(X56)," ",X56+W56)</f>
        <v>-107</v>
      </c>
      <c r="Z56" s="28">
        <v>-30</v>
      </c>
      <c r="AA56" s="23">
        <f>IF(ISBLANK(Z56)," ",Z56+Y56)</f>
        <v>-137</v>
      </c>
      <c r="AB56" s="57"/>
      <c r="AC56" s="100"/>
      <c r="AE56" s="54"/>
      <c r="AF56" s="54"/>
      <c r="AG56" s="54"/>
      <c r="AH56" s="54"/>
      <c r="AI56" s="54"/>
    </row>
    <row r="57" spans="1:35" s="60" customFormat="1" ht="12.95" customHeight="1" x14ac:dyDescent="0.15">
      <c r="A57" s="59" t="s">
        <v>55</v>
      </c>
      <c r="B57" s="59"/>
      <c r="C57" s="28">
        <v>21</v>
      </c>
      <c r="D57" s="28">
        <v>1E-8</v>
      </c>
      <c r="E57" s="23">
        <f>IF(D57&lt;&gt;0,D57+C57," ")</f>
        <v>21.000000010000001</v>
      </c>
      <c r="F57" s="28">
        <v>13</v>
      </c>
      <c r="G57" s="23">
        <f>IF(F57&lt;&gt;0,F57+E57," ")</f>
        <v>34.000000010000001</v>
      </c>
      <c r="H57" s="28">
        <v>9</v>
      </c>
      <c r="I57" s="23">
        <f>IF(H57&lt;&gt;0,H57+G57," ")</f>
        <v>43.000000010000001</v>
      </c>
      <c r="J57" s="28">
        <v>-29</v>
      </c>
      <c r="K57" s="23">
        <f>IF(J57&lt;&gt;0,J57+I57," ")</f>
        <v>14.000000010000001</v>
      </c>
      <c r="L57" s="28">
        <v>2</v>
      </c>
      <c r="M57" s="23">
        <f>IF(L57&lt;&gt;0,L57+K57," ")</f>
        <v>16.000000010000001</v>
      </c>
      <c r="N57" s="59" t="s">
        <v>55</v>
      </c>
      <c r="O57" s="59"/>
      <c r="P57" s="28">
        <v>-39</v>
      </c>
      <c r="Q57" s="23">
        <f>IF(P57&lt;&gt;0,P57+M57," ")</f>
        <v>-22.999999989999999</v>
      </c>
      <c r="R57" s="28">
        <v>35</v>
      </c>
      <c r="S57" s="23">
        <f>IF(R57&lt;&gt;0,R57+Q57," ")</f>
        <v>12.000000010000001</v>
      </c>
      <c r="T57" s="28">
        <v>26</v>
      </c>
      <c r="U57" s="23">
        <f>IF(T57&lt;&gt;0,T57+S57," ")</f>
        <v>38.000000010000001</v>
      </c>
      <c r="V57" s="28">
        <v>-7</v>
      </c>
      <c r="W57" s="23">
        <f>IF(V57&lt;&gt;0,V57+U57," ")</f>
        <v>31.000000010000001</v>
      </c>
      <c r="X57" s="28">
        <v>-29</v>
      </c>
      <c r="Y57" s="23">
        <f>IF(X57&lt;&gt;0,X57+W57," ")</f>
        <v>2.0000000100000008</v>
      </c>
      <c r="Z57" s="28">
        <v>56</v>
      </c>
      <c r="AA57" s="23">
        <f>IF(Z57&lt;&gt;0,Z57+Y57," ")</f>
        <v>58.000000010000001</v>
      </c>
      <c r="AC57" s="107"/>
      <c r="AE57" s="54"/>
      <c r="AF57" s="54"/>
      <c r="AG57" s="54"/>
      <c r="AH57" s="54"/>
      <c r="AI57" s="54"/>
    </row>
    <row r="58" spans="1:35" s="60" customFormat="1" ht="12.95" customHeight="1" x14ac:dyDescent="0.15">
      <c r="A58" s="59"/>
      <c r="B58" s="59"/>
      <c r="C58" s="34"/>
      <c r="D58" s="34"/>
      <c r="E58" s="23"/>
      <c r="F58" s="34"/>
      <c r="G58" s="23"/>
      <c r="H58" s="34"/>
      <c r="I58" s="23"/>
      <c r="J58" s="34"/>
      <c r="K58" s="23"/>
      <c r="L58" s="34"/>
      <c r="M58" s="23"/>
      <c r="N58" s="59"/>
      <c r="O58" s="59"/>
      <c r="P58" s="34"/>
      <c r="Q58" s="23" t="str">
        <f t="shared" ref="Q58:Q61" si="12">IF(P58&gt;0,P58+M58," ")</f>
        <v xml:space="preserve"> </v>
      </c>
      <c r="R58" s="34"/>
      <c r="S58" s="23"/>
      <c r="T58" s="34"/>
      <c r="U58" s="23"/>
      <c r="V58" s="34"/>
      <c r="W58" s="23"/>
      <c r="X58" s="34"/>
      <c r="Y58" s="23"/>
      <c r="Z58" s="34"/>
      <c r="AA58" s="23"/>
      <c r="AC58" s="100"/>
      <c r="AE58" s="54"/>
      <c r="AF58" s="54"/>
      <c r="AG58" s="54"/>
      <c r="AH58" s="54"/>
      <c r="AI58" s="54"/>
    </row>
    <row r="59" spans="1:35" s="60" customFormat="1" ht="12.95" customHeight="1" x14ac:dyDescent="0.15">
      <c r="A59" s="39" t="s">
        <v>66</v>
      </c>
      <c r="B59" s="59"/>
      <c r="C59" s="28">
        <v>291</v>
      </c>
      <c r="D59" s="28">
        <v>265</v>
      </c>
      <c r="E59" s="23">
        <f>IF(D59&gt;0,D59+C59," ")</f>
        <v>556</v>
      </c>
      <c r="F59" s="28">
        <v>314</v>
      </c>
      <c r="G59" s="23">
        <f>IF(F59&gt;0,F59+E59," ")</f>
        <v>870</v>
      </c>
      <c r="H59" s="28">
        <v>315</v>
      </c>
      <c r="I59" s="23">
        <f>IF(H59&gt;0,H59+G59," ")</f>
        <v>1185</v>
      </c>
      <c r="J59" s="28">
        <v>357</v>
      </c>
      <c r="K59" s="23">
        <f>IF(J59&gt;0,J59+I59," ")</f>
        <v>1542</v>
      </c>
      <c r="L59" s="28">
        <v>345</v>
      </c>
      <c r="M59" s="23">
        <f>IF(L59&gt;0,L59+K59," ")</f>
        <v>1887</v>
      </c>
      <c r="N59" s="39" t="s">
        <v>66</v>
      </c>
      <c r="O59" s="59"/>
      <c r="P59" s="28">
        <v>372</v>
      </c>
      <c r="Q59" s="23">
        <f t="shared" si="12"/>
        <v>2259</v>
      </c>
      <c r="R59" s="28">
        <v>366</v>
      </c>
      <c r="S59" s="23">
        <f>IF(R59&gt;0,R59+Q59," ")</f>
        <v>2625</v>
      </c>
      <c r="T59" s="28">
        <v>344</v>
      </c>
      <c r="U59" s="23">
        <f>IF(T59&gt;0,T59+S59," ")</f>
        <v>2969</v>
      </c>
      <c r="V59" s="28">
        <v>310</v>
      </c>
      <c r="W59" s="23">
        <f>IF(V59&gt;0,V59+U59," ")</f>
        <v>3279</v>
      </c>
      <c r="X59" s="28">
        <v>288</v>
      </c>
      <c r="Y59" s="23">
        <f>IF(X59&gt;0,X59+W59," ")</f>
        <v>3567</v>
      </c>
      <c r="Z59" s="28">
        <v>279</v>
      </c>
      <c r="AA59" s="23">
        <f>IF(Z59&gt;0,Z59+Y59," ")</f>
        <v>3846</v>
      </c>
      <c r="AC59" s="100"/>
      <c r="AE59" s="54"/>
      <c r="AF59" s="54"/>
      <c r="AG59" s="54"/>
      <c r="AH59" s="54"/>
      <c r="AI59" s="54"/>
    </row>
    <row r="60" spans="1:35" s="60" customFormat="1" ht="12.95" customHeight="1" x14ac:dyDescent="0.15">
      <c r="A60" s="39"/>
      <c r="B60" s="59"/>
      <c r="C60" s="34"/>
      <c r="D60" s="34"/>
      <c r="E60" s="23"/>
      <c r="F60" s="34"/>
      <c r="G60" s="23"/>
      <c r="H60" s="34"/>
      <c r="I60" s="23"/>
      <c r="J60" s="34"/>
      <c r="K60" s="23"/>
      <c r="L60" s="34"/>
      <c r="M60" s="23"/>
      <c r="N60" s="39"/>
      <c r="O60" s="59"/>
      <c r="P60" s="34"/>
      <c r="Q60" s="23" t="str">
        <f t="shared" si="12"/>
        <v xml:space="preserve"> </v>
      </c>
      <c r="R60" s="34"/>
      <c r="S60" s="23"/>
      <c r="T60" s="34"/>
      <c r="U60" s="23"/>
      <c r="V60" s="34"/>
      <c r="W60" s="23"/>
      <c r="X60" s="34"/>
      <c r="Y60" s="23"/>
      <c r="Z60" s="34"/>
      <c r="AA60" s="23"/>
      <c r="AC60" s="100"/>
      <c r="AE60" s="54"/>
      <c r="AF60" s="54"/>
      <c r="AG60" s="54"/>
      <c r="AH60" s="54"/>
      <c r="AI60" s="54"/>
    </row>
    <row r="61" spans="1:35" s="60" customFormat="1" ht="12.95" customHeight="1" x14ac:dyDescent="0.15">
      <c r="A61" s="39" t="s">
        <v>72</v>
      </c>
      <c r="B61" s="59"/>
      <c r="C61" s="28">
        <v>183</v>
      </c>
      <c r="D61" s="28">
        <v>126</v>
      </c>
      <c r="E61" s="23">
        <f>IF(D61&gt;0,D61+C61," ")</f>
        <v>309</v>
      </c>
      <c r="F61" s="28">
        <v>161</v>
      </c>
      <c r="G61" s="23">
        <f>IF(F61&gt;0,F61+E61," ")</f>
        <v>470</v>
      </c>
      <c r="H61" s="28">
        <v>140</v>
      </c>
      <c r="I61" s="23">
        <f>IF(H61&gt;0,H61+G61," ")</f>
        <v>610</v>
      </c>
      <c r="J61" s="28">
        <v>137</v>
      </c>
      <c r="K61" s="23">
        <f>IF(J61&gt;0,J61+I61," ")</f>
        <v>747</v>
      </c>
      <c r="L61" s="28">
        <v>171</v>
      </c>
      <c r="M61" s="23">
        <f>IF(L61&gt;0,L61+K61," ")</f>
        <v>918</v>
      </c>
      <c r="N61" s="39" t="s">
        <v>72</v>
      </c>
      <c r="O61" s="59"/>
      <c r="P61" s="28">
        <v>238</v>
      </c>
      <c r="Q61" s="23">
        <f t="shared" si="12"/>
        <v>1156</v>
      </c>
      <c r="R61" s="28">
        <v>208</v>
      </c>
      <c r="S61" s="23">
        <f>IF(R61&gt;0,R61+Q61," ")</f>
        <v>1364</v>
      </c>
      <c r="T61" s="28">
        <v>217</v>
      </c>
      <c r="U61" s="23">
        <f>IF(T61&gt;0,T61+S61," ")</f>
        <v>1581</v>
      </c>
      <c r="V61" s="28">
        <v>265</v>
      </c>
      <c r="W61" s="23">
        <f>IF(V61&gt;0,V61+U61," ")</f>
        <v>1846</v>
      </c>
      <c r="X61" s="28">
        <v>196</v>
      </c>
      <c r="Y61" s="23">
        <f>IF(X61&gt;0,X61+W61," ")</f>
        <v>2042</v>
      </c>
      <c r="Z61" s="28">
        <v>214</v>
      </c>
      <c r="AA61" s="23">
        <f>IF(Z61&gt;0,Z61+Y61," ")</f>
        <v>2256</v>
      </c>
      <c r="AC61" s="100"/>
      <c r="AE61" s="54"/>
      <c r="AF61" s="54"/>
      <c r="AG61" s="54"/>
      <c r="AH61" s="54"/>
      <c r="AI61" s="54"/>
    </row>
    <row r="62" spans="1:35" s="60" customFormat="1" ht="12.95" customHeight="1" thickBot="1" x14ac:dyDescent="0.2">
      <c r="A62" s="59"/>
      <c r="B62" s="59"/>
      <c r="C62" s="34"/>
      <c r="D62" s="34"/>
      <c r="E62" s="23"/>
      <c r="F62" s="34"/>
      <c r="G62" s="23"/>
      <c r="H62" s="34"/>
      <c r="I62" s="23"/>
      <c r="J62" s="34"/>
      <c r="K62" s="23"/>
      <c r="L62" s="34"/>
      <c r="M62" s="23"/>
      <c r="N62" s="59"/>
      <c r="O62" s="59"/>
      <c r="P62" s="34"/>
      <c r="Q62" s="23"/>
      <c r="R62" s="34"/>
      <c r="S62" s="23"/>
      <c r="T62" s="34"/>
      <c r="U62" s="23"/>
      <c r="V62" s="34"/>
      <c r="W62" s="23"/>
      <c r="X62" s="34"/>
      <c r="Y62" s="23"/>
      <c r="Z62" s="34"/>
      <c r="AA62" s="23"/>
      <c r="AC62" s="100"/>
      <c r="AE62" s="54"/>
      <c r="AF62" s="54"/>
      <c r="AG62" s="54"/>
      <c r="AH62" s="54"/>
      <c r="AI62" s="54"/>
    </row>
    <row r="63" spans="1:35" s="4" customFormat="1" ht="24.75" customHeight="1" thickTop="1" thickBot="1" x14ac:dyDescent="0.2">
      <c r="A63" s="89" t="s">
        <v>33</v>
      </c>
      <c r="B63" s="89" t="s">
        <v>56</v>
      </c>
      <c r="C63" s="30">
        <f>IF(C31=0,"",C53-C56-C57+C59+C61)</f>
        <v>4304</v>
      </c>
      <c r="D63" s="30">
        <f>IF(D31=0,"",D53-D56-D57+D59+D61)</f>
        <v>4361.9999999900001</v>
      </c>
      <c r="E63" s="30">
        <f>IF(D63="","",IF(D63&gt;0,D63+C63," "))</f>
        <v>8665.9999999899992</v>
      </c>
      <c r="F63" s="30">
        <f>IF(F31=0,"",F53-F56-F57+F59+F61)</f>
        <v>4834</v>
      </c>
      <c r="G63" s="30">
        <f>IF(F63="","",IF(F63&gt;0,F63+E63," "))</f>
        <v>13499.999999989999</v>
      </c>
      <c r="H63" s="30">
        <f>IF(H31=0,"",H53-H56-H57+H59+H61)</f>
        <v>4670</v>
      </c>
      <c r="I63" s="30">
        <f>IF(H63="","",IF(H63&gt;0,H63+G63," "))</f>
        <v>18169.999999989999</v>
      </c>
      <c r="J63" s="30">
        <f>IF(J31=0,"",J53-J56-J57+J59+J61)</f>
        <v>4997</v>
      </c>
      <c r="K63" s="30">
        <f>IF(J63="","",IF(J63&gt;0,J63+I63," "))</f>
        <v>23166.999999989999</v>
      </c>
      <c r="L63" s="30">
        <f>IF(L31=0,"",L53-L56-L57+L59+L61)</f>
        <v>4910</v>
      </c>
      <c r="M63" s="30">
        <f>IF(L63="","",IF(L63&gt;0,L63+K63," "))</f>
        <v>28076.999999989999</v>
      </c>
      <c r="N63" s="89" t="s">
        <v>33</v>
      </c>
      <c r="O63" s="89" t="s">
        <v>56</v>
      </c>
      <c r="P63" s="30">
        <f>IF(P31=0,"",P53-P56-P57+P59+P61)</f>
        <v>5350.9999999999991</v>
      </c>
      <c r="Q63" s="30">
        <f>IF(P63="","",IF(P63&gt;0,P63+M63," "))</f>
        <v>33427.999999989996</v>
      </c>
      <c r="R63" s="30">
        <f>IF(R31=0,"",R53-R56-R57+R59+R61)</f>
        <v>4985</v>
      </c>
      <c r="S63" s="30">
        <f>IF(R63="","",IF(R63&gt;0,R63+Q63," "))</f>
        <v>38412.999999989996</v>
      </c>
      <c r="T63" s="30">
        <f>IF(T31=0,"",T53-T56-T57+T59+T61)</f>
        <v>5209</v>
      </c>
      <c r="U63" s="30">
        <f>IF(T63="","",IF(T63&gt;0,T63+S63," "))</f>
        <v>43621.999999989996</v>
      </c>
      <c r="V63" s="30">
        <f>IF(V31=0,"",V53-V56-V57+V59+V61)</f>
        <v>4969</v>
      </c>
      <c r="W63" s="30">
        <f>IF(V63="","",IF(V63&gt;0,V63+U63," "))</f>
        <v>48590.999999989996</v>
      </c>
      <c r="X63" s="30">
        <f>IF(X31=0,"",X53-X56-X57+X59+X61)</f>
        <v>4875.0000000000009</v>
      </c>
      <c r="Y63" s="30">
        <f>IF(X63="","",IF(X63&gt;0,X63+W63," "))</f>
        <v>53465.999999989996</v>
      </c>
      <c r="Z63" s="30">
        <f>IF(Z31=0,"",Z53-Z56-Z57+Z59+Z61)</f>
        <v>4789</v>
      </c>
      <c r="AA63" s="30">
        <f>IF(Z63="","",IF(Z63&gt;0,Z63+Y63," "))</f>
        <v>58254.999999989996</v>
      </c>
      <c r="AB63" s="33"/>
      <c r="AC63" s="100"/>
      <c r="AD63" s="33"/>
      <c r="AE63" s="54"/>
      <c r="AF63" s="54"/>
      <c r="AG63" s="54"/>
      <c r="AH63" s="54"/>
      <c r="AI63" s="54"/>
    </row>
    <row r="64" spans="1:35" s="60" customFormat="1" ht="12.95" customHeight="1" thickTop="1" x14ac:dyDescent="0.15">
      <c r="A64" s="59"/>
      <c r="B64" s="59"/>
      <c r="C64" s="34"/>
      <c r="D64" s="34"/>
      <c r="E64" s="23"/>
      <c r="F64" s="34"/>
      <c r="G64" s="23"/>
      <c r="H64" s="34"/>
      <c r="I64" s="23"/>
      <c r="J64" s="34"/>
      <c r="K64" s="23"/>
      <c r="L64" s="34"/>
      <c r="M64" s="23"/>
      <c r="N64" s="59"/>
      <c r="O64" s="59"/>
      <c r="P64" s="34"/>
      <c r="Q64" s="23"/>
      <c r="R64" s="34"/>
      <c r="S64" s="23"/>
      <c r="T64" s="34"/>
      <c r="U64" s="23"/>
      <c r="V64" s="34"/>
      <c r="W64" s="23"/>
      <c r="X64" s="34"/>
      <c r="Y64" s="23"/>
      <c r="Z64" s="34"/>
      <c r="AA64" s="23"/>
      <c r="AC64" s="100"/>
      <c r="AE64" s="54"/>
      <c r="AF64" s="54"/>
      <c r="AG64" s="54"/>
      <c r="AH64" s="54"/>
      <c r="AI64" s="54"/>
    </row>
    <row r="65" spans="1:35" s="60" customFormat="1" ht="12.95" customHeight="1" x14ac:dyDescent="0.15">
      <c r="A65" s="59"/>
      <c r="B65" s="59"/>
      <c r="C65" s="34"/>
      <c r="D65" s="34"/>
      <c r="E65" s="23"/>
      <c r="F65" s="34"/>
      <c r="G65" s="23"/>
      <c r="H65" s="34"/>
      <c r="I65" s="23"/>
      <c r="J65" s="34"/>
      <c r="K65" s="23"/>
      <c r="L65" s="34"/>
      <c r="M65" s="23"/>
      <c r="N65" s="59"/>
      <c r="O65" s="59"/>
      <c r="P65" s="34"/>
      <c r="Q65" s="23"/>
      <c r="R65" s="34"/>
      <c r="S65" s="23"/>
      <c r="T65" s="34"/>
      <c r="U65" s="23"/>
      <c r="V65" s="34"/>
      <c r="W65" s="23"/>
      <c r="X65" s="34"/>
      <c r="Y65" s="23"/>
      <c r="Z65" s="34"/>
      <c r="AA65" s="23"/>
      <c r="AC65" s="100"/>
      <c r="AE65" s="54"/>
      <c r="AF65" s="54"/>
      <c r="AG65" s="54"/>
      <c r="AH65" s="54"/>
      <c r="AI65" s="54"/>
    </row>
    <row r="66" spans="1:35" s="60" customFormat="1" ht="12.95" customHeight="1" x14ac:dyDescent="0.15">
      <c r="A66" s="39" t="s">
        <v>23</v>
      </c>
      <c r="B66" s="39" t="s">
        <v>75</v>
      </c>
      <c r="C66" s="28">
        <v>11.6</v>
      </c>
      <c r="D66" s="28">
        <v>12</v>
      </c>
      <c r="E66" s="23">
        <f>IF(D66&gt;0,D66+C66," ")</f>
        <v>23.6</v>
      </c>
      <c r="F66" s="28">
        <v>13.2</v>
      </c>
      <c r="G66" s="23">
        <f t="shared" ref="G66:G72" si="13">IF(F66&gt;0,F66+E66," ")</f>
        <v>36.799999999999997</v>
      </c>
      <c r="H66" s="28">
        <v>18.7</v>
      </c>
      <c r="I66" s="23">
        <f t="shared" ref="I66:I73" si="14">IF(H66&gt;0,H66+G66," ")</f>
        <v>55.5</v>
      </c>
      <c r="J66" s="28">
        <v>17.899999999999999</v>
      </c>
      <c r="K66" s="23">
        <f t="shared" ref="K66:K73" si="15">IF(J66&gt;0,J66+I66," ")</f>
        <v>73.400000000000006</v>
      </c>
      <c r="L66" s="28">
        <v>25.5</v>
      </c>
      <c r="M66" s="23">
        <f t="shared" ref="M66:M73" si="16">IF(L66&gt;0,L66+K66," ")</f>
        <v>98.9</v>
      </c>
      <c r="N66" s="39" t="s">
        <v>23</v>
      </c>
      <c r="O66" s="90" t="s">
        <v>75</v>
      </c>
      <c r="P66" s="28">
        <v>31.6</v>
      </c>
      <c r="Q66" s="23">
        <f t="shared" ref="Q66:Q73" si="17">IF(P66&gt;0,P66+M66," ")</f>
        <v>130.5</v>
      </c>
      <c r="R66" s="28">
        <v>39.6</v>
      </c>
      <c r="S66" s="23">
        <f t="shared" ref="S66:S73" si="18">IF(R66&gt;0,R66+Q66," ")</f>
        <v>170.1</v>
      </c>
      <c r="T66" s="28">
        <v>24.6</v>
      </c>
      <c r="U66" s="23">
        <f t="shared" ref="U66:U73" si="19">IF(T66&gt;0,T66+S66," ")</f>
        <v>194.7</v>
      </c>
      <c r="V66" s="28">
        <v>20.100000000000001</v>
      </c>
      <c r="W66" s="23">
        <f t="shared" ref="W66:AA73" si="20">IF(V66&gt;0,V66+U66," ")</f>
        <v>214.79999999999998</v>
      </c>
      <c r="X66" s="28">
        <v>16.899999999999999</v>
      </c>
      <c r="Y66" s="23">
        <f t="shared" si="20"/>
        <v>231.7</v>
      </c>
      <c r="Z66" s="28">
        <v>17.5</v>
      </c>
      <c r="AA66" s="23">
        <f t="shared" si="20"/>
        <v>249.2</v>
      </c>
      <c r="AC66" s="107"/>
      <c r="AE66" s="54"/>
      <c r="AF66" s="54"/>
      <c r="AG66" s="54"/>
      <c r="AH66" s="54"/>
      <c r="AI66" s="54"/>
    </row>
    <row r="67" spans="1:35" s="60" customFormat="1" ht="12.95" customHeight="1" x14ac:dyDescent="0.15">
      <c r="A67" s="59"/>
      <c r="B67" s="59"/>
      <c r="C67" s="34"/>
      <c r="D67" s="34"/>
      <c r="E67" s="23" t="str">
        <f t="shared" ref="E67:E72" si="21">IF(D67&gt;0,D67+C67," ")</f>
        <v xml:space="preserve"> </v>
      </c>
      <c r="F67" s="34"/>
      <c r="G67" s="23" t="str">
        <f t="shared" si="13"/>
        <v xml:space="preserve"> </v>
      </c>
      <c r="H67" s="34"/>
      <c r="I67" s="23" t="str">
        <f t="shared" si="14"/>
        <v xml:space="preserve"> </v>
      </c>
      <c r="J67" s="34"/>
      <c r="K67" s="23" t="str">
        <f t="shared" si="15"/>
        <v xml:space="preserve"> </v>
      </c>
      <c r="L67" s="34"/>
      <c r="M67" s="23" t="str">
        <f t="shared" si="16"/>
        <v xml:space="preserve"> </v>
      </c>
      <c r="N67" s="59"/>
      <c r="O67" s="59"/>
      <c r="P67" s="34"/>
      <c r="Q67" s="23" t="str">
        <f t="shared" si="17"/>
        <v xml:space="preserve"> </v>
      </c>
      <c r="R67" s="34"/>
      <c r="S67" s="23" t="str">
        <f t="shared" si="18"/>
        <v xml:space="preserve"> </v>
      </c>
      <c r="T67" s="34"/>
      <c r="U67" s="23" t="str">
        <f t="shared" si="19"/>
        <v xml:space="preserve"> </v>
      </c>
      <c r="V67" s="34"/>
      <c r="W67" s="23" t="str">
        <f t="shared" si="20"/>
        <v xml:space="preserve"> </v>
      </c>
      <c r="X67" s="34"/>
      <c r="Y67" s="23" t="str">
        <f t="shared" si="20"/>
        <v xml:space="preserve"> </v>
      </c>
      <c r="Z67" s="34"/>
      <c r="AA67" s="23" t="str">
        <f t="shared" si="20"/>
        <v xml:space="preserve"> </v>
      </c>
      <c r="AC67" s="100"/>
      <c r="AE67" s="54"/>
      <c r="AF67" s="54"/>
      <c r="AG67" s="54"/>
      <c r="AH67" s="54"/>
      <c r="AI67" s="54"/>
    </row>
    <row r="68" spans="1:35" s="60" customFormat="1" ht="12.95" customHeight="1" x14ac:dyDescent="0.15">
      <c r="C68" s="34"/>
      <c r="D68" s="34"/>
      <c r="E68" s="23" t="str">
        <f t="shared" si="21"/>
        <v xml:space="preserve"> </v>
      </c>
      <c r="F68" s="34"/>
      <c r="G68" s="23" t="str">
        <f t="shared" si="13"/>
        <v xml:space="preserve"> </v>
      </c>
      <c r="H68" s="34"/>
      <c r="I68" s="23" t="str">
        <f t="shared" si="14"/>
        <v xml:space="preserve"> </v>
      </c>
      <c r="J68" s="34"/>
      <c r="K68" s="23" t="str">
        <f t="shared" si="15"/>
        <v xml:space="preserve"> </v>
      </c>
      <c r="L68" s="34"/>
      <c r="M68" s="23" t="str">
        <f t="shared" si="16"/>
        <v xml:space="preserve"> </v>
      </c>
      <c r="P68" s="34"/>
      <c r="Q68" s="23" t="str">
        <f t="shared" si="17"/>
        <v xml:space="preserve"> </v>
      </c>
      <c r="R68" s="34"/>
      <c r="S68" s="23" t="str">
        <f t="shared" si="18"/>
        <v xml:space="preserve"> </v>
      </c>
      <c r="T68" s="34"/>
      <c r="U68" s="23" t="str">
        <f t="shared" si="19"/>
        <v xml:space="preserve"> </v>
      </c>
      <c r="V68" s="34"/>
      <c r="W68" s="23" t="str">
        <f t="shared" si="20"/>
        <v xml:space="preserve"> </v>
      </c>
      <c r="X68" s="34"/>
      <c r="Y68" s="23" t="str">
        <f t="shared" si="20"/>
        <v xml:space="preserve"> </v>
      </c>
      <c r="Z68" s="34"/>
      <c r="AA68" s="23" t="str">
        <f t="shared" si="20"/>
        <v xml:space="preserve"> </v>
      </c>
      <c r="AC68" s="100"/>
      <c r="AE68" s="54"/>
      <c r="AF68" s="54"/>
      <c r="AG68" s="54"/>
      <c r="AH68" s="54"/>
      <c r="AI68" s="54"/>
    </row>
    <row r="69" spans="1:35" s="60" customFormat="1" ht="12.95" customHeight="1" x14ac:dyDescent="0.15">
      <c r="A69" s="59" t="s">
        <v>60</v>
      </c>
      <c r="B69" s="59"/>
      <c r="C69" s="28">
        <v>13</v>
      </c>
      <c r="D69" s="28">
        <v>16</v>
      </c>
      <c r="E69" s="23">
        <f>IF(D69&gt;0,D69+C69," ")</f>
        <v>29</v>
      </c>
      <c r="F69" s="28">
        <v>18.100000000000001</v>
      </c>
      <c r="G69" s="23">
        <f>IF(F69&gt;0,F69+E69," ")</f>
        <v>47.1</v>
      </c>
      <c r="H69" s="28">
        <v>14.2</v>
      </c>
      <c r="I69" s="23">
        <f t="shared" si="14"/>
        <v>61.3</v>
      </c>
      <c r="J69" s="28">
        <v>17.3</v>
      </c>
      <c r="K69" s="23">
        <f t="shared" si="15"/>
        <v>78.599999999999994</v>
      </c>
      <c r="L69" s="28">
        <v>16.100000000000001</v>
      </c>
      <c r="M69" s="23">
        <f t="shared" si="16"/>
        <v>94.699999999999989</v>
      </c>
      <c r="N69" s="59" t="s">
        <v>60</v>
      </c>
      <c r="O69" s="59"/>
      <c r="P69" s="28">
        <v>15.8</v>
      </c>
      <c r="Q69" s="23">
        <f t="shared" si="17"/>
        <v>110.49999999999999</v>
      </c>
      <c r="R69" s="28">
        <v>11</v>
      </c>
      <c r="S69" s="23">
        <f t="shared" si="18"/>
        <v>121.49999999999999</v>
      </c>
      <c r="T69" s="28">
        <v>16.3</v>
      </c>
      <c r="U69" s="23">
        <f t="shared" si="19"/>
        <v>137.79999999999998</v>
      </c>
      <c r="V69" s="28">
        <v>16.3</v>
      </c>
      <c r="W69" s="23">
        <f t="shared" si="20"/>
        <v>154.1</v>
      </c>
      <c r="X69" s="28">
        <v>16.2</v>
      </c>
      <c r="Y69" s="23">
        <f t="shared" si="20"/>
        <v>170.29999999999998</v>
      </c>
      <c r="Z69" s="28">
        <v>13.8</v>
      </c>
      <c r="AA69" s="23">
        <f t="shared" si="20"/>
        <v>184.1</v>
      </c>
      <c r="AC69" s="107"/>
      <c r="AE69" s="54"/>
      <c r="AF69" s="54"/>
      <c r="AG69" s="54"/>
      <c r="AH69" s="54"/>
      <c r="AI69" s="54"/>
    </row>
    <row r="70" spans="1:35" s="60" customFormat="1" ht="12.95" customHeight="1" x14ac:dyDescent="0.15">
      <c r="A70" s="59"/>
      <c r="B70" s="59"/>
      <c r="C70" s="34"/>
      <c r="D70" s="34"/>
      <c r="E70" s="23" t="str">
        <f t="shared" si="21"/>
        <v xml:space="preserve"> </v>
      </c>
      <c r="F70" s="34"/>
      <c r="G70" s="23" t="str">
        <f t="shared" si="13"/>
        <v xml:space="preserve"> </v>
      </c>
      <c r="H70" s="34"/>
      <c r="I70" s="23" t="str">
        <f t="shared" si="14"/>
        <v xml:space="preserve"> </v>
      </c>
      <c r="J70" s="34"/>
      <c r="K70" s="23" t="str">
        <f t="shared" si="15"/>
        <v xml:space="preserve"> </v>
      </c>
      <c r="L70" s="34"/>
      <c r="M70" s="23" t="str">
        <f t="shared" si="16"/>
        <v xml:space="preserve"> </v>
      </c>
      <c r="N70" s="59"/>
      <c r="O70" s="59"/>
      <c r="P70" s="34"/>
      <c r="Q70" s="23" t="str">
        <f t="shared" si="17"/>
        <v xml:space="preserve"> </v>
      </c>
      <c r="R70" s="34"/>
      <c r="S70" s="23" t="str">
        <f t="shared" si="18"/>
        <v xml:space="preserve"> </v>
      </c>
      <c r="T70" s="34"/>
      <c r="U70" s="23" t="str">
        <f t="shared" si="19"/>
        <v xml:space="preserve"> </v>
      </c>
      <c r="V70" s="34"/>
      <c r="W70" s="23" t="str">
        <f t="shared" si="20"/>
        <v xml:space="preserve"> </v>
      </c>
      <c r="X70" s="34"/>
      <c r="Y70" s="23" t="str">
        <f t="shared" si="20"/>
        <v xml:space="preserve"> </v>
      </c>
      <c r="Z70" s="34"/>
      <c r="AA70" s="23" t="str">
        <f t="shared" si="20"/>
        <v xml:space="preserve"> </v>
      </c>
      <c r="AC70" s="100"/>
      <c r="AE70" s="54"/>
      <c r="AF70" s="54"/>
      <c r="AG70" s="54"/>
      <c r="AH70" s="54"/>
      <c r="AI70" s="54"/>
    </row>
    <row r="71" spans="1:35" s="60" customFormat="1" ht="12.95" customHeight="1" x14ac:dyDescent="0.15">
      <c r="A71" s="39" t="s">
        <v>34</v>
      </c>
      <c r="B71" s="39" t="s">
        <v>75</v>
      </c>
      <c r="C71" s="28">
        <v>43.1</v>
      </c>
      <c r="D71" s="28">
        <v>48.5</v>
      </c>
      <c r="E71" s="23">
        <f>IF(D71&gt;0,D71+C71," ")</f>
        <v>91.6</v>
      </c>
      <c r="F71" s="28">
        <v>51</v>
      </c>
      <c r="G71" s="23">
        <f t="shared" si="13"/>
        <v>142.6</v>
      </c>
      <c r="H71" s="28">
        <v>58.8</v>
      </c>
      <c r="I71" s="23">
        <f t="shared" si="14"/>
        <v>201.39999999999998</v>
      </c>
      <c r="J71" s="28">
        <v>59.3</v>
      </c>
      <c r="K71" s="23">
        <f t="shared" si="15"/>
        <v>260.7</v>
      </c>
      <c r="L71" s="28">
        <v>66.900000000000006</v>
      </c>
      <c r="M71" s="23">
        <f t="shared" si="16"/>
        <v>327.60000000000002</v>
      </c>
      <c r="N71" s="39" t="s">
        <v>34</v>
      </c>
      <c r="O71" s="90" t="s">
        <v>75</v>
      </c>
      <c r="P71" s="28">
        <v>73.7</v>
      </c>
      <c r="Q71" s="23">
        <f t="shared" si="17"/>
        <v>401.3</v>
      </c>
      <c r="R71" s="28">
        <v>79.3</v>
      </c>
      <c r="S71" s="23">
        <f t="shared" si="18"/>
        <v>480.6</v>
      </c>
      <c r="T71" s="28">
        <v>68.599999999999994</v>
      </c>
      <c r="U71" s="23">
        <f t="shared" si="19"/>
        <v>549.20000000000005</v>
      </c>
      <c r="V71" s="28">
        <v>64.599999999999994</v>
      </c>
      <c r="W71" s="23">
        <f t="shared" si="20"/>
        <v>613.80000000000007</v>
      </c>
      <c r="X71" s="28">
        <v>59</v>
      </c>
      <c r="Y71" s="23">
        <f t="shared" si="20"/>
        <v>672.80000000000007</v>
      </c>
      <c r="Z71" s="28">
        <v>58.3</v>
      </c>
      <c r="AA71" s="23">
        <f t="shared" si="20"/>
        <v>731.1</v>
      </c>
      <c r="AC71" s="107"/>
      <c r="AE71" s="54"/>
      <c r="AF71" s="54"/>
      <c r="AG71" s="54"/>
      <c r="AH71" s="54"/>
      <c r="AI71" s="54"/>
    </row>
    <row r="72" spans="1:35" s="60" customFormat="1" ht="12.95" customHeight="1" x14ac:dyDescent="0.15">
      <c r="C72" s="14"/>
      <c r="D72" s="14"/>
      <c r="E72" s="23" t="str">
        <f t="shared" si="21"/>
        <v xml:space="preserve"> </v>
      </c>
      <c r="F72" s="14"/>
      <c r="G72" s="23" t="str">
        <f t="shared" si="13"/>
        <v xml:space="preserve"> </v>
      </c>
      <c r="H72" s="14"/>
      <c r="I72" s="23" t="str">
        <f t="shared" si="14"/>
        <v xml:space="preserve"> </v>
      </c>
      <c r="J72" s="14"/>
      <c r="K72" s="23" t="str">
        <f t="shared" si="15"/>
        <v xml:space="preserve"> </v>
      </c>
      <c r="L72" s="14"/>
      <c r="M72" s="23" t="str">
        <f t="shared" si="16"/>
        <v xml:space="preserve"> </v>
      </c>
      <c r="P72" s="14"/>
      <c r="Q72" s="23" t="str">
        <f t="shared" si="17"/>
        <v xml:space="preserve"> </v>
      </c>
      <c r="R72" s="14"/>
      <c r="S72" s="23" t="str">
        <f t="shared" si="18"/>
        <v xml:space="preserve"> </v>
      </c>
      <c r="T72" s="14"/>
      <c r="U72" s="23" t="str">
        <f t="shared" si="19"/>
        <v xml:space="preserve"> </v>
      </c>
      <c r="V72" s="14"/>
      <c r="W72" s="23" t="str">
        <f t="shared" si="20"/>
        <v xml:space="preserve"> </v>
      </c>
      <c r="X72" s="14"/>
      <c r="Y72" s="23" t="str">
        <f t="shared" si="20"/>
        <v xml:space="preserve"> </v>
      </c>
      <c r="Z72" s="14"/>
      <c r="AA72" s="23" t="str">
        <f t="shared" si="20"/>
        <v xml:space="preserve"> </v>
      </c>
      <c r="AC72" s="100"/>
      <c r="AE72" s="54"/>
      <c r="AF72" s="54"/>
      <c r="AG72" s="54"/>
      <c r="AH72" s="54"/>
      <c r="AI72" s="54"/>
    </row>
    <row r="73" spans="1:35" s="60" customFormat="1" ht="12.95" customHeight="1" x14ac:dyDescent="0.15">
      <c r="A73" s="39" t="s">
        <v>73</v>
      </c>
      <c r="B73" s="59"/>
      <c r="C73" s="28">
        <v>679</v>
      </c>
      <c r="D73" s="28">
        <v>662</v>
      </c>
      <c r="E73" s="23">
        <f>IF(D73&gt;0,D73+C73," ")</f>
        <v>1341</v>
      </c>
      <c r="F73" s="28">
        <v>620</v>
      </c>
      <c r="G73" s="23">
        <f>IF(F73&gt;0,F73+E73," ")</f>
        <v>1961</v>
      </c>
      <c r="H73" s="28">
        <v>656</v>
      </c>
      <c r="I73" s="23">
        <f t="shared" si="14"/>
        <v>2617</v>
      </c>
      <c r="J73" s="28">
        <v>517</v>
      </c>
      <c r="K73" s="23">
        <f t="shared" si="15"/>
        <v>3134</v>
      </c>
      <c r="L73" s="28">
        <v>386</v>
      </c>
      <c r="M73" s="23">
        <f t="shared" si="16"/>
        <v>3520</v>
      </c>
      <c r="N73" s="39" t="s">
        <v>73</v>
      </c>
      <c r="O73" s="59"/>
      <c r="P73" s="28">
        <v>443</v>
      </c>
      <c r="Q73" s="23">
        <f t="shared" si="17"/>
        <v>3963</v>
      </c>
      <c r="R73" s="28">
        <v>439</v>
      </c>
      <c r="S73" s="23">
        <f t="shared" si="18"/>
        <v>4402</v>
      </c>
      <c r="T73" s="28">
        <v>465</v>
      </c>
      <c r="U73" s="23">
        <f t="shared" si="19"/>
        <v>4867</v>
      </c>
      <c r="V73" s="28">
        <v>470</v>
      </c>
      <c r="W73" s="23">
        <f t="shared" si="20"/>
        <v>5337</v>
      </c>
      <c r="X73" s="28">
        <v>449</v>
      </c>
      <c r="Y73" s="23">
        <f t="shared" si="20"/>
        <v>5786</v>
      </c>
      <c r="Z73" s="28">
        <v>429</v>
      </c>
      <c r="AA73" s="23">
        <f t="shared" si="20"/>
        <v>6215</v>
      </c>
      <c r="AC73" s="100"/>
      <c r="AE73" s="54"/>
      <c r="AF73" s="54"/>
      <c r="AG73" s="54"/>
      <c r="AH73" s="54"/>
      <c r="AI73" s="54"/>
    </row>
    <row r="74" spans="1:35" s="60" customFormat="1" ht="12.95" customHeight="1" x14ac:dyDescent="0.15">
      <c r="A74" s="59"/>
      <c r="B74" s="59"/>
      <c r="C74" s="34"/>
      <c r="D74" s="34"/>
      <c r="E74" s="23"/>
      <c r="F74" s="34"/>
      <c r="G74" s="23"/>
      <c r="H74" s="34"/>
      <c r="I74" s="23"/>
      <c r="J74" s="34"/>
      <c r="K74" s="23"/>
      <c r="L74" s="34"/>
      <c r="M74" s="23"/>
      <c r="N74" s="59"/>
      <c r="O74" s="59"/>
      <c r="P74" s="35"/>
      <c r="Q74" s="24"/>
      <c r="R74" s="35"/>
      <c r="S74" s="24"/>
      <c r="T74" s="35"/>
      <c r="U74" s="24"/>
      <c r="V74" s="35"/>
      <c r="W74" s="24"/>
      <c r="X74" s="35"/>
      <c r="Y74" s="24"/>
      <c r="Z74" s="35"/>
      <c r="AA74" s="24"/>
      <c r="AC74" s="100"/>
      <c r="AE74" s="54"/>
      <c r="AF74" s="54"/>
      <c r="AG74" s="54"/>
      <c r="AH74" s="54"/>
      <c r="AI74" s="54"/>
    </row>
    <row r="75" spans="1:35" ht="12.95" customHeight="1" x14ac:dyDescent="0.2">
      <c r="A75" s="76" t="s">
        <v>57</v>
      </c>
      <c r="B75" s="76"/>
      <c r="C75" s="79" t="s">
        <v>90</v>
      </c>
      <c r="D75" s="61"/>
      <c r="E75" s="61"/>
      <c r="F75" s="61"/>
      <c r="G75" s="61"/>
      <c r="H75" s="61"/>
      <c r="I75" s="61"/>
      <c r="J75" s="61"/>
      <c r="K75" s="103"/>
      <c r="L75" s="103"/>
      <c r="M75" s="103"/>
      <c r="N75" s="76" t="str">
        <f>A75</f>
        <v xml:space="preserve">Consuntivi aggiornati al mese di: </v>
      </c>
      <c r="O75" s="104"/>
      <c r="P75" s="79" t="s">
        <v>90</v>
      </c>
      <c r="Q75" s="77"/>
      <c r="R75" s="65"/>
      <c r="S75" s="65"/>
      <c r="U75" s="65"/>
      <c r="W75" s="65"/>
      <c r="Y75" s="65"/>
      <c r="AA75" s="65"/>
      <c r="AC75" s="100"/>
      <c r="AE75" s="54"/>
      <c r="AF75" s="54"/>
      <c r="AG75" s="54"/>
      <c r="AH75" s="54"/>
      <c r="AI75" s="54"/>
    </row>
    <row r="76" spans="1:35" ht="12.95" customHeight="1" x14ac:dyDescent="0.2">
      <c r="A76" s="63"/>
      <c r="B76" s="63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3"/>
      <c r="O76" s="63"/>
      <c r="P76" s="62"/>
      <c r="Q76" s="62"/>
      <c r="R76" s="62"/>
      <c r="S76" s="62"/>
      <c r="T76" s="62"/>
      <c r="U76" s="62"/>
      <c r="V76" s="62"/>
      <c r="W76" s="62"/>
      <c r="X76" s="62"/>
      <c r="Y76" s="14"/>
      <c r="AA76" s="67"/>
      <c r="AC76" s="100"/>
      <c r="AE76" s="54"/>
      <c r="AF76" s="54"/>
      <c r="AG76" s="54"/>
      <c r="AH76" s="54"/>
      <c r="AI76" s="54"/>
    </row>
    <row r="77" spans="1:35" ht="12.95" customHeight="1" x14ac:dyDescent="0.2">
      <c r="A77" s="66"/>
      <c r="B77" s="66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6"/>
      <c r="O77" s="66"/>
      <c r="P77" s="62"/>
      <c r="Q77" s="62"/>
      <c r="R77" s="62"/>
      <c r="S77" s="62"/>
      <c r="T77" s="62"/>
      <c r="U77" s="62"/>
      <c r="V77" s="65"/>
      <c r="W77" s="62"/>
      <c r="X77" s="65"/>
      <c r="Y77" s="62"/>
      <c r="AA77" s="67"/>
      <c r="AC77" s="100"/>
      <c r="AE77" s="54"/>
      <c r="AF77" s="54"/>
      <c r="AG77" s="54"/>
      <c r="AH77" s="54"/>
      <c r="AI77" s="54"/>
    </row>
    <row r="78" spans="1:35" ht="12.95" customHeight="1" x14ac:dyDescent="0.2">
      <c r="A78" s="63"/>
      <c r="B78" s="63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3"/>
      <c r="O78" s="63"/>
      <c r="P78" s="62"/>
      <c r="Q78" s="62"/>
      <c r="R78" s="62"/>
      <c r="S78" s="62"/>
      <c r="T78" s="62"/>
      <c r="U78" s="62"/>
      <c r="V78" s="65"/>
      <c r="W78" s="62"/>
      <c r="X78" s="65"/>
      <c r="Y78" s="62"/>
      <c r="Z78" s="62"/>
      <c r="AC78" s="100"/>
      <c r="AE78" s="54"/>
      <c r="AF78" s="54"/>
      <c r="AG78" s="54"/>
      <c r="AH78" s="54"/>
      <c r="AI78" s="54"/>
    </row>
    <row r="79" spans="1:35" ht="12.95" customHeight="1" x14ac:dyDescent="0.2">
      <c r="A79" s="45" t="s">
        <v>58</v>
      </c>
      <c r="B79" s="45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45"/>
      <c r="O79" s="45"/>
      <c r="P79" s="62"/>
      <c r="Q79" s="62"/>
      <c r="R79" s="62"/>
      <c r="S79" s="62"/>
      <c r="T79" s="62"/>
      <c r="U79" s="62"/>
      <c r="V79" s="65"/>
      <c r="W79" s="62"/>
      <c r="X79" s="65"/>
      <c r="Y79" s="65"/>
      <c r="Z79" s="65"/>
      <c r="AA79" s="65"/>
      <c r="AC79" s="100"/>
      <c r="AE79" s="54"/>
      <c r="AF79" s="54"/>
      <c r="AG79" s="54"/>
      <c r="AH79" s="54"/>
      <c r="AI79" s="54"/>
    </row>
    <row r="80" spans="1:35" ht="12.95" customHeight="1" thickBot="1" x14ac:dyDescent="0.25">
      <c r="A80" s="63"/>
      <c r="B80" s="63"/>
      <c r="N80" s="65"/>
      <c r="O80" s="63"/>
      <c r="P80" s="62"/>
      <c r="Q80" s="62"/>
      <c r="R80" s="62"/>
      <c r="S80" s="62"/>
      <c r="T80" s="62"/>
      <c r="U80" s="62"/>
      <c r="V80" s="65"/>
      <c r="W80" s="62"/>
      <c r="X80" s="65"/>
      <c r="Y80" s="62"/>
      <c r="Z80" s="62"/>
      <c r="AA80" s="62"/>
      <c r="AC80" s="100"/>
      <c r="AE80" s="54"/>
      <c r="AF80" s="54"/>
      <c r="AG80" s="54"/>
      <c r="AH80" s="54"/>
      <c r="AI80" s="54"/>
    </row>
    <row r="81" spans="1:35" s="27" customFormat="1" ht="25.5" customHeight="1" thickBot="1" x14ac:dyDescent="0.25">
      <c r="A81" s="46" t="s">
        <v>59</v>
      </c>
      <c r="B81" s="47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63"/>
      <c r="AC81" s="100"/>
      <c r="AD81" s="63"/>
      <c r="AE81" s="54"/>
      <c r="AF81" s="54"/>
      <c r="AG81" s="54"/>
      <c r="AH81" s="54"/>
      <c r="AI81" s="54"/>
    </row>
    <row r="82" spans="1:35" s="22" customFormat="1" ht="12.75" customHeight="1" x14ac:dyDescent="0.2">
      <c r="A82" s="48"/>
      <c r="B82" s="20"/>
      <c r="C82" s="84"/>
      <c r="D82" s="84"/>
      <c r="E82" s="64"/>
      <c r="F82" s="84"/>
      <c r="G82" s="21"/>
      <c r="H82" s="84"/>
      <c r="I82" s="21"/>
      <c r="J82" s="84"/>
      <c r="K82" s="21"/>
      <c r="L82" s="84"/>
      <c r="M82" s="21"/>
      <c r="N82" s="48"/>
      <c r="O82" s="19"/>
      <c r="P82" s="19"/>
      <c r="Q82" s="19"/>
      <c r="R82" s="21"/>
      <c r="S82" s="19"/>
      <c r="T82" s="19"/>
      <c r="U82" s="19"/>
      <c r="V82" s="19"/>
      <c r="W82" s="21"/>
      <c r="X82" s="21"/>
      <c r="Y82" s="21"/>
      <c r="Z82" s="21"/>
      <c r="AA82" s="21"/>
      <c r="AB82" s="63"/>
      <c r="AC82" s="100"/>
      <c r="AD82" s="63"/>
    </row>
    <row r="83" spans="1:35" ht="12.95" customHeight="1" x14ac:dyDescent="0.2">
      <c r="A83" s="48" t="s">
        <v>61</v>
      </c>
      <c r="B83" s="63"/>
      <c r="C83" s="64"/>
      <c r="D83" s="64"/>
      <c r="E83" s="64"/>
      <c r="F83" s="64"/>
      <c r="G83" s="84"/>
      <c r="H83" s="64"/>
      <c r="I83" s="65"/>
      <c r="J83" s="64"/>
      <c r="K83" s="65"/>
      <c r="L83" s="64"/>
      <c r="M83" s="65"/>
      <c r="N83" s="48"/>
      <c r="O83" s="63"/>
    </row>
    <row r="84" spans="1:35" ht="12.95" customHeight="1" x14ac:dyDescent="0.2">
      <c r="A84" s="48"/>
      <c r="B84" s="66"/>
      <c r="C84" s="64"/>
      <c r="D84" s="64"/>
      <c r="E84" s="64"/>
      <c r="F84" s="64"/>
      <c r="G84" s="21"/>
      <c r="H84" s="64"/>
      <c r="I84" s="62"/>
      <c r="J84" s="64"/>
      <c r="K84" s="62"/>
      <c r="L84" s="64"/>
      <c r="M84" s="62"/>
      <c r="N84" s="48"/>
      <c r="O84" s="66"/>
      <c r="P84" s="66"/>
      <c r="Q84" s="66"/>
      <c r="R84" s="62"/>
      <c r="S84" s="66"/>
      <c r="T84" s="66"/>
      <c r="U84" s="66"/>
      <c r="AA84" s="65"/>
    </row>
    <row r="85" spans="1:35" ht="16.5" x14ac:dyDescent="0.2">
      <c r="A85" s="49"/>
      <c r="C85" s="65"/>
      <c r="D85" s="65"/>
      <c r="E85" s="64"/>
      <c r="F85" s="65"/>
      <c r="G85" s="64"/>
      <c r="H85" s="65"/>
      <c r="I85" s="65"/>
      <c r="J85" s="65"/>
      <c r="K85" s="65"/>
      <c r="L85" s="65"/>
      <c r="M85" s="65"/>
      <c r="P85" s="50"/>
      <c r="Q85" s="50"/>
      <c r="R85" s="50"/>
      <c r="S85" s="50"/>
      <c r="T85" s="50"/>
      <c r="U85" s="50"/>
      <c r="V85" s="50"/>
      <c r="Y85" s="65"/>
      <c r="Z85" s="65"/>
      <c r="AA85" s="65"/>
    </row>
    <row r="86" spans="1:35" ht="16.5" x14ac:dyDescent="0.2">
      <c r="C86" s="65"/>
      <c r="D86" s="64"/>
      <c r="E86" s="64"/>
      <c r="F86" s="64"/>
      <c r="G86" s="64"/>
      <c r="H86" s="65"/>
      <c r="I86" s="65"/>
      <c r="J86" s="65"/>
      <c r="K86" s="65"/>
      <c r="L86" s="65"/>
      <c r="M86" s="65"/>
      <c r="P86" s="50"/>
      <c r="Q86" s="50"/>
      <c r="R86" s="50"/>
      <c r="S86" s="50"/>
      <c r="T86" s="50"/>
      <c r="U86" s="50"/>
      <c r="W86" s="65"/>
      <c r="AA86" s="65"/>
    </row>
    <row r="87" spans="1:35" ht="16.5" x14ac:dyDescent="0.2">
      <c r="B87" s="51"/>
      <c r="C87" s="62"/>
      <c r="D87" s="64"/>
      <c r="E87" s="64"/>
      <c r="F87" s="64"/>
      <c r="G87" s="64"/>
      <c r="H87" s="62"/>
      <c r="I87" s="62"/>
      <c r="J87" s="62"/>
      <c r="Q87" s="62"/>
      <c r="R87" s="62"/>
      <c r="S87" s="62"/>
      <c r="T87" s="62"/>
      <c r="U87" s="62"/>
      <c r="V87" s="62"/>
    </row>
    <row r="88" spans="1:35" ht="16.5" x14ac:dyDescent="0.2">
      <c r="C88" s="65"/>
      <c r="D88" s="64"/>
      <c r="E88" s="64"/>
      <c r="F88" s="64"/>
      <c r="G88" s="64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</row>
    <row r="89" spans="1:35" ht="16.5" x14ac:dyDescent="0.2">
      <c r="A89" s="105"/>
      <c r="B89" s="105"/>
      <c r="C89" s="65"/>
      <c r="D89" s="64"/>
      <c r="E89" s="64"/>
      <c r="F89" s="64"/>
      <c r="G89" s="64"/>
      <c r="H89" s="65"/>
      <c r="I89" s="65"/>
      <c r="J89" s="65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</row>
    <row r="90" spans="1:35" ht="16.5" x14ac:dyDescent="0.2">
      <c r="A90" s="51"/>
      <c r="B90" s="51"/>
      <c r="C90" s="65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51"/>
      <c r="O90" s="51"/>
      <c r="P90" s="62"/>
      <c r="Q90" s="65"/>
      <c r="R90" s="65"/>
      <c r="S90" s="65"/>
    </row>
    <row r="91" spans="1:35" ht="16.5" x14ac:dyDescent="0.2">
      <c r="A91" s="51"/>
      <c r="B91" s="51"/>
      <c r="C91" s="65"/>
      <c r="D91" s="64"/>
      <c r="E91" s="64"/>
      <c r="F91" s="64"/>
      <c r="G91" s="64"/>
      <c r="H91" s="65"/>
      <c r="I91" s="65"/>
      <c r="J91" s="65"/>
      <c r="K91" s="62"/>
      <c r="L91" s="62"/>
      <c r="M91" s="62"/>
      <c r="N91" s="51"/>
      <c r="O91" s="51"/>
      <c r="P91" s="62"/>
      <c r="Q91" s="65"/>
      <c r="R91" s="65"/>
      <c r="S91" s="65"/>
    </row>
    <row r="92" spans="1:35" ht="16.5" x14ac:dyDescent="0.2">
      <c r="A92" s="51"/>
      <c r="B92" s="51"/>
      <c r="C92" s="65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51"/>
      <c r="O92" s="51"/>
      <c r="P92" s="62"/>
      <c r="Q92" s="65"/>
      <c r="R92" s="65"/>
      <c r="S92" s="65"/>
    </row>
    <row r="93" spans="1:35" ht="16.5" x14ac:dyDescent="0.2">
      <c r="A93" s="51"/>
      <c r="B93" s="51"/>
      <c r="C93" s="65"/>
      <c r="D93" s="64"/>
      <c r="E93" s="64"/>
      <c r="F93" s="64"/>
      <c r="G93" s="64"/>
      <c r="H93" s="65"/>
      <c r="I93" s="65"/>
      <c r="J93" s="65"/>
      <c r="K93" s="62"/>
      <c r="L93" s="62"/>
      <c r="M93" s="62"/>
      <c r="N93" s="51"/>
      <c r="O93" s="51"/>
      <c r="P93" s="62"/>
      <c r="Q93" s="65"/>
      <c r="R93" s="65"/>
      <c r="S93" s="65"/>
    </row>
    <row r="94" spans="1:35" ht="16.5" x14ac:dyDescent="0.2">
      <c r="A94" s="51"/>
      <c r="B94" s="51"/>
      <c r="C94" s="62"/>
      <c r="D94" s="62"/>
      <c r="E94" s="62"/>
      <c r="F94" s="62"/>
      <c r="G94" s="64"/>
      <c r="H94" s="64"/>
      <c r="I94" s="64"/>
      <c r="J94" s="64"/>
      <c r="K94" s="64"/>
      <c r="L94" s="64"/>
      <c r="M94" s="64"/>
      <c r="N94" s="51"/>
      <c r="O94" s="51"/>
      <c r="P94" s="62"/>
      <c r="Q94" s="65"/>
      <c r="R94" s="65"/>
      <c r="S94" s="65"/>
    </row>
    <row r="95" spans="1:35" ht="16.5" x14ac:dyDescent="0.2">
      <c r="C95" s="65"/>
      <c r="D95" s="62"/>
      <c r="E95" s="65"/>
      <c r="F95" s="62"/>
      <c r="G95" s="64"/>
      <c r="H95" s="65"/>
      <c r="I95" s="65"/>
      <c r="J95" s="65"/>
      <c r="K95" s="62"/>
      <c r="L95" s="62"/>
      <c r="M95" s="62"/>
      <c r="N95" s="51"/>
      <c r="P95" s="62"/>
      <c r="Q95" s="65"/>
      <c r="R95" s="65"/>
      <c r="S95" s="65"/>
    </row>
    <row r="96" spans="1:35" ht="16.5" x14ac:dyDescent="0.2">
      <c r="A96" s="51"/>
      <c r="B96" s="51"/>
      <c r="C96" s="62"/>
      <c r="D96" s="62"/>
      <c r="E96" s="62"/>
      <c r="F96" s="62"/>
      <c r="G96" s="64"/>
      <c r="H96" s="64"/>
      <c r="I96" s="64"/>
      <c r="J96" s="64"/>
      <c r="K96" s="64"/>
      <c r="L96" s="64"/>
      <c r="M96" s="64"/>
      <c r="N96" s="51"/>
      <c r="O96" s="51"/>
      <c r="P96" s="62"/>
      <c r="Q96" s="65"/>
      <c r="R96" s="65"/>
      <c r="S96" s="65"/>
    </row>
    <row r="97" spans="1:19" ht="16.5" x14ac:dyDescent="0.2">
      <c r="A97" s="51"/>
      <c r="B97" s="51"/>
      <c r="C97" s="62"/>
      <c r="D97" s="62"/>
      <c r="E97" s="62"/>
      <c r="F97" s="62"/>
      <c r="G97" s="64"/>
      <c r="H97" s="65"/>
      <c r="I97" s="65"/>
      <c r="J97" s="65"/>
      <c r="K97" s="62"/>
      <c r="L97" s="62"/>
      <c r="M97" s="62"/>
      <c r="N97" s="51"/>
      <c r="O97" s="51"/>
      <c r="P97" s="62"/>
      <c r="Q97" s="65"/>
      <c r="R97" s="65"/>
      <c r="S97" s="65"/>
    </row>
    <row r="98" spans="1:19" ht="16.5" x14ac:dyDescent="0.2">
      <c r="B98" s="51"/>
      <c r="C98" s="62"/>
      <c r="D98" s="62"/>
      <c r="E98" s="62"/>
      <c r="F98" s="62"/>
      <c r="G98" s="64"/>
      <c r="H98" s="64"/>
      <c r="I98" s="64"/>
      <c r="J98" s="64"/>
      <c r="K98" s="64"/>
      <c r="L98" s="64"/>
      <c r="M98" s="64"/>
      <c r="N98" s="51"/>
      <c r="O98" s="51"/>
      <c r="P98" s="62"/>
      <c r="Q98" s="65"/>
      <c r="R98" s="65"/>
      <c r="S98" s="65"/>
    </row>
    <row r="99" spans="1:19" ht="16.5" x14ac:dyDescent="0.2">
      <c r="B99" s="51"/>
      <c r="C99" s="62"/>
      <c r="D99" s="62"/>
      <c r="E99" s="62"/>
      <c r="F99" s="62"/>
      <c r="G99" s="64"/>
      <c r="H99" s="65"/>
      <c r="I99" s="65"/>
      <c r="J99" s="65"/>
      <c r="K99" s="62"/>
      <c r="L99" s="62"/>
      <c r="M99" s="62"/>
      <c r="N99" s="51"/>
      <c r="O99" s="51"/>
      <c r="P99" s="62"/>
      <c r="Q99" s="65"/>
      <c r="R99" s="65"/>
      <c r="S99" s="65"/>
    </row>
    <row r="100" spans="1:19" ht="16.5" x14ac:dyDescent="0.2">
      <c r="C100" s="65"/>
      <c r="D100" s="62"/>
      <c r="E100" s="65"/>
      <c r="F100" s="62"/>
      <c r="G100" s="64"/>
      <c r="H100" s="64"/>
      <c r="I100" s="64"/>
      <c r="J100" s="64"/>
      <c r="K100" s="64"/>
      <c r="L100" s="64"/>
      <c r="M100" s="64"/>
      <c r="N100" s="51"/>
      <c r="P100" s="62"/>
      <c r="Q100" s="65"/>
      <c r="R100" s="65"/>
      <c r="S100" s="65"/>
    </row>
    <row r="101" spans="1:19" x14ac:dyDescent="0.2">
      <c r="A101" s="51"/>
      <c r="B101" s="51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51"/>
      <c r="O101" s="51"/>
      <c r="P101" s="62"/>
      <c r="Q101" s="65"/>
      <c r="R101" s="65"/>
      <c r="S101" s="65"/>
    </row>
    <row r="102" spans="1:19" x14ac:dyDescent="0.2">
      <c r="A102" s="51"/>
      <c r="B102" s="51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51"/>
      <c r="O102" s="51"/>
      <c r="P102" s="62"/>
      <c r="Q102" s="65"/>
      <c r="R102" s="65"/>
      <c r="S102" s="65"/>
    </row>
    <row r="103" spans="1:19" x14ac:dyDescent="0.2">
      <c r="A103" s="51"/>
      <c r="B103" s="51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51"/>
      <c r="O103" s="51"/>
      <c r="P103" s="62"/>
      <c r="Q103" s="65"/>
      <c r="R103" s="65"/>
      <c r="S103" s="65"/>
    </row>
    <row r="104" spans="1:19" x14ac:dyDescent="0.2">
      <c r="A104" s="51"/>
      <c r="B104" s="51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51"/>
      <c r="O104" s="51"/>
      <c r="P104" s="62"/>
      <c r="Q104" s="65"/>
      <c r="R104" s="65"/>
      <c r="S104" s="65"/>
    </row>
    <row r="105" spans="1:19" x14ac:dyDescent="0.2">
      <c r="A105" s="51"/>
      <c r="B105" s="51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51"/>
      <c r="O105" s="51"/>
      <c r="P105" s="62"/>
      <c r="Q105" s="65"/>
      <c r="R105" s="65"/>
      <c r="S105" s="65"/>
    </row>
    <row r="106" spans="1:19" x14ac:dyDescent="0.2">
      <c r="A106" s="51"/>
      <c r="B106" s="51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51"/>
      <c r="O106" s="51"/>
      <c r="P106" s="62"/>
      <c r="Q106" s="65"/>
      <c r="R106" s="65"/>
      <c r="S106" s="65"/>
    </row>
    <row r="107" spans="1:19" x14ac:dyDescent="0.2">
      <c r="C107" s="65"/>
      <c r="D107" s="62"/>
      <c r="E107" s="65"/>
      <c r="F107" s="62"/>
      <c r="G107" s="65"/>
      <c r="H107" s="62"/>
      <c r="I107" s="65"/>
      <c r="J107" s="62"/>
      <c r="K107" s="65"/>
      <c r="L107" s="62"/>
      <c r="M107" s="65"/>
      <c r="P107" s="62"/>
      <c r="Q107" s="65"/>
      <c r="R107" s="65"/>
      <c r="S107" s="65"/>
    </row>
    <row r="108" spans="1:19" x14ac:dyDescent="0.2">
      <c r="B108" s="51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O108" s="51"/>
      <c r="P108" s="62"/>
      <c r="Q108" s="65"/>
      <c r="R108" s="65"/>
      <c r="S108" s="65"/>
    </row>
    <row r="109" spans="1:19" x14ac:dyDescent="0.2">
      <c r="B109" s="51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O109" s="51"/>
      <c r="P109" s="62"/>
      <c r="Q109" s="65"/>
      <c r="R109" s="65"/>
      <c r="S109" s="65"/>
    </row>
    <row r="110" spans="1:19" x14ac:dyDescent="0.2">
      <c r="B110" s="51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O110" s="51"/>
      <c r="P110" s="62"/>
      <c r="Q110" s="65"/>
      <c r="R110" s="65"/>
      <c r="S110" s="65"/>
    </row>
    <row r="111" spans="1:19" x14ac:dyDescent="0.2">
      <c r="B111" s="51"/>
      <c r="C111" s="65"/>
      <c r="D111" s="62"/>
      <c r="E111" s="65"/>
      <c r="F111" s="62"/>
      <c r="G111" s="65"/>
      <c r="H111" s="62"/>
      <c r="I111" s="62"/>
      <c r="J111" s="62"/>
      <c r="K111" s="62"/>
      <c r="L111" s="62"/>
      <c r="M111" s="62"/>
      <c r="O111" s="51"/>
      <c r="P111" s="62"/>
      <c r="Q111" s="65"/>
      <c r="R111" s="65"/>
      <c r="S111" s="65"/>
    </row>
    <row r="112" spans="1:19" x14ac:dyDescent="0.2">
      <c r="A112" s="51"/>
      <c r="B112" s="51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51"/>
      <c r="O112" s="51"/>
      <c r="P112" s="62"/>
      <c r="Q112" s="65"/>
      <c r="R112" s="65"/>
      <c r="S112" s="65"/>
    </row>
    <row r="113" spans="1:19" x14ac:dyDescent="0.2">
      <c r="A113" s="51"/>
      <c r="B113" s="51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51"/>
      <c r="O113" s="51"/>
      <c r="P113" s="62"/>
      <c r="Q113" s="65"/>
      <c r="R113" s="65"/>
      <c r="S113" s="65"/>
    </row>
    <row r="114" spans="1:19" x14ac:dyDescent="0.2">
      <c r="B114" s="51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O114" s="51"/>
      <c r="P114" s="62"/>
      <c r="Q114" s="65"/>
      <c r="R114" s="65"/>
      <c r="S114" s="65"/>
    </row>
    <row r="115" spans="1:19" x14ac:dyDescent="0.2">
      <c r="B115" s="5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O115" s="52"/>
      <c r="P115" s="62"/>
      <c r="Q115" s="65"/>
      <c r="R115" s="65"/>
      <c r="S115" s="65"/>
    </row>
    <row r="116" spans="1:19" x14ac:dyDescent="0.2">
      <c r="B116" s="51"/>
      <c r="C116" s="65"/>
      <c r="D116" s="62"/>
      <c r="E116" s="65"/>
      <c r="F116" s="62"/>
      <c r="G116" s="65"/>
      <c r="H116" s="62"/>
      <c r="I116" s="62"/>
      <c r="J116" s="62"/>
      <c r="K116" s="62"/>
      <c r="L116" s="62"/>
      <c r="M116" s="62"/>
      <c r="O116" s="51"/>
      <c r="P116" s="62"/>
      <c r="Q116" s="65"/>
      <c r="R116" s="65"/>
      <c r="S116" s="65"/>
    </row>
    <row r="117" spans="1:19" x14ac:dyDescent="0.2">
      <c r="C117" s="65"/>
      <c r="D117" s="62"/>
      <c r="E117" s="65"/>
      <c r="F117" s="62"/>
      <c r="G117" s="65"/>
      <c r="H117" s="62"/>
      <c r="I117" s="65"/>
      <c r="J117" s="62"/>
      <c r="K117" s="65"/>
      <c r="L117" s="62"/>
      <c r="M117" s="65"/>
      <c r="P117" s="62"/>
      <c r="Q117" s="65"/>
      <c r="R117" s="65"/>
      <c r="S117" s="65"/>
    </row>
    <row r="118" spans="1:19" x14ac:dyDescent="0.2">
      <c r="A118" s="51"/>
      <c r="B118" s="51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51"/>
      <c r="O118" s="51"/>
      <c r="P118" s="62"/>
      <c r="Q118" s="65"/>
      <c r="R118" s="65"/>
      <c r="S118" s="65"/>
    </row>
    <row r="119" spans="1:19" x14ac:dyDescent="0.2">
      <c r="A119" s="51"/>
      <c r="B119" s="51"/>
      <c r="C119" s="65"/>
      <c r="D119" s="62"/>
      <c r="E119" s="65"/>
      <c r="F119" s="62"/>
      <c r="G119" s="65"/>
      <c r="H119" s="62"/>
      <c r="I119" s="62"/>
      <c r="J119" s="62"/>
      <c r="K119" s="62"/>
      <c r="L119" s="62"/>
      <c r="M119" s="62"/>
      <c r="N119" s="51"/>
      <c r="O119" s="51"/>
      <c r="P119" s="62"/>
      <c r="Q119" s="62"/>
      <c r="R119" s="65"/>
      <c r="S119" s="65"/>
    </row>
    <row r="120" spans="1:19" x14ac:dyDescent="0.2">
      <c r="A120" s="51"/>
      <c r="B120" s="51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51"/>
      <c r="O120" s="51"/>
      <c r="P120" s="62"/>
      <c r="Q120" s="65"/>
      <c r="R120" s="65"/>
      <c r="S120" s="65"/>
    </row>
    <row r="121" spans="1:19" x14ac:dyDescent="0.2">
      <c r="A121" s="51"/>
      <c r="B121" s="51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51"/>
      <c r="O121" s="51"/>
      <c r="P121" s="62"/>
      <c r="Q121" s="65"/>
      <c r="R121" s="65"/>
      <c r="S121" s="65"/>
    </row>
    <row r="122" spans="1:19" x14ac:dyDescent="0.2">
      <c r="A122" s="51"/>
      <c r="B122" s="51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51"/>
      <c r="O122" s="51"/>
      <c r="P122" s="62"/>
      <c r="Q122" s="65"/>
      <c r="R122" s="65"/>
      <c r="S122" s="65"/>
    </row>
    <row r="123" spans="1:19" x14ac:dyDescent="0.2">
      <c r="A123" s="51"/>
      <c r="B123" s="51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51"/>
      <c r="O123" s="51"/>
      <c r="P123" s="62"/>
      <c r="Q123" s="65"/>
      <c r="R123" s="65"/>
      <c r="S123" s="65"/>
    </row>
    <row r="124" spans="1:19" x14ac:dyDescent="0.2">
      <c r="A124" s="51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51"/>
      <c r="P124" s="62"/>
      <c r="Q124" s="65"/>
      <c r="R124" s="65"/>
      <c r="S124" s="65"/>
    </row>
    <row r="125" spans="1:19" x14ac:dyDescent="0.2">
      <c r="A125" s="51"/>
      <c r="B125" s="51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51"/>
      <c r="O125" s="51"/>
      <c r="P125" s="62"/>
      <c r="Q125" s="65"/>
      <c r="R125" s="65"/>
      <c r="S125" s="65"/>
    </row>
    <row r="126" spans="1:19" x14ac:dyDescent="0.2">
      <c r="C126" s="65"/>
      <c r="D126" s="62"/>
      <c r="E126" s="65"/>
      <c r="F126" s="65"/>
      <c r="G126" s="65"/>
      <c r="H126" s="65"/>
      <c r="I126" s="65"/>
      <c r="J126" s="65"/>
      <c r="K126" s="65"/>
      <c r="L126" s="65"/>
      <c r="M126" s="65"/>
      <c r="P126" s="65"/>
      <c r="Q126" s="65"/>
      <c r="R126" s="65"/>
      <c r="S126" s="65"/>
    </row>
    <row r="127" spans="1:19" x14ac:dyDescent="0.2">
      <c r="A127" s="51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51"/>
      <c r="P127" s="62"/>
      <c r="Q127" s="65"/>
      <c r="R127" s="65"/>
      <c r="S127" s="65"/>
    </row>
    <row r="128" spans="1:19" x14ac:dyDescent="0.2">
      <c r="A128" s="51"/>
      <c r="B128" s="51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51"/>
      <c r="O128" s="51"/>
      <c r="P128" s="62"/>
      <c r="Q128" s="65"/>
      <c r="R128" s="65"/>
      <c r="S128" s="65"/>
    </row>
    <row r="129" spans="1:19" x14ac:dyDescent="0.2">
      <c r="A129" s="51"/>
      <c r="B129" s="51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51"/>
      <c r="O129" s="51"/>
      <c r="P129" s="62"/>
      <c r="Q129" s="65"/>
      <c r="R129" s="65"/>
      <c r="S129" s="65"/>
    </row>
    <row r="130" spans="1:19" x14ac:dyDescent="0.2">
      <c r="A130" s="51"/>
      <c r="B130" s="51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51"/>
      <c r="O130" s="51"/>
      <c r="P130" s="62"/>
      <c r="Q130" s="65"/>
      <c r="R130" s="65"/>
      <c r="S130" s="65"/>
    </row>
    <row r="131" spans="1:19" x14ac:dyDescent="0.2">
      <c r="A131" s="51"/>
      <c r="B131" s="51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51"/>
      <c r="O131" s="51"/>
      <c r="P131" s="62"/>
      <c r="Q131" s="65"/>
      <c r="R131" s="65"/>
      <c r="S131" s="65"/>
    </row>
    <row r="132" spans="1:19" x14ac:dyDescent="0.2">
      <c r="A132" s="51"/>
      <c r="B132" s="51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51"/>
      <c r="O132" s="51"/>
      <c r="P132" s="62"/>
      <c r="Q132" s="65"/>
      <c r="R132" s="65"/>
      <c r="S132" s="65"/>
    </row>
    <row r="133" spans="1:19" x14ac:dyDescent="0.2">
      <c r="A133" s="51"/>
      <c r="B133" s="51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51"/>
      <c r="O133" s="51"/>
      <c r="P133" s="62"/>
      <c r="Q133" s="65"/>
      <c r="R133" s="65"/>
      <c r="S133" s="65"/>
    </row>
    <row r="134" spans="1:19" x14ac:dyDescent="0.2">
      <c r="A134" s="51"/>
      <c r="B134" s="51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51"/>
      <c r="O134" s="51"/>
      <c r="P134" s="62"/>
      <c r="Q134" s="65"/>
      <c r="R134" s="65"/>
      <c r="S134" s="65"/>
    </row>
    <row r="135" spans="1:19" x14ac:dyDescent="0.2">
      <c r="A135" s="51"/>
      <c r="B135" s="51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51"/>
      <c r="O135" s="51"/>
      <c r="P135" s="62"/>
      <c r="Q135" s="65"/>
      <c r="R135" s="65"/>
      <c r="S135" s="65"/>
    </row>
    <row r="136" spans="1:19" x14ac:dyDescent="0.2">
      <c r="A136" s="51"/>
      <c r="B136" s="51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51"/>
      <c r="O136" s="51"/>
      <c r="P136" s="62"/>
      <c r="Q136" s="65"/>
      <c r="R136" s="65"/>
      <c r="S136" s="65"/>
    </row>
    <row r="137" spans="1:19" x14ac:dyDescent="0.2">
      <c r="A137" s="51"/>
      <c r="B137" s="51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51"/>
      <c r="O137" s="51"/>
      <c r="P137" s="62"/>
      <c r="Q137" s="65"/>
      <c r="R137" s="65"/>
      <c r="S137" s="65"/>
    </row>
    <row r="138" spans="1:19" x14ac:dyDescent="0.2">
      <c r="A138" s="51"/>
      <c r="B138" s="51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51"/>
      <c r="O138" s="51"/>
      <c r="P138" s="62"/>
      <c r="Q138" s="65"/>
      <c r="R138" s="65"/>
      <c r="S138" s="65"/>
    </row>
    <row r="139" spans="1:19" x14ac:dyDescent="0.2">
      <c r="A139" s="51"/>
      <c r="B139" s="51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51"/>
      <c r="O139" s="51"/>
      <c r="P139" s="62"/>
      <c r="Q139" s="65"/>
      <c r="R139" s="65"/>
      <c r="S139" s="65"/>
    </row>
    <row r="140" spans="1:19" x14ac:dyDescent="0.2">
      <c r="A140" s="51"/>
      <c r="B140" s="51"/>
      <c r="C140" s="65"/>
      <c r="D140" s="62"/>
      <c r="E140" s="65"/>
      <c r="F140" s="62"/>
      <c r="G140" s="65"/>
      <c r="H140" s="62"/>
      <c r="I140" s="62"/>
      <c r="J140" s="62"/>
      <c r="K140" s="62"/>
      <c r="L140" s="62"/>
      <c r="M140" s="62"/>
      <c r="N140" s="51"/>
      <c r="O140" s="51"/>
      <c r="P140" s="62"/>
      <c r="Q140" s="65"/>
      <c r="R140" s="65"/>
      <c r="S140" s="65"/>
    </row>
    <row r="141" spans="1:19" x14ac:dyDescent="0.2">
      <c r="A141" s="51"/>
      <c r="B141" s="51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51"/>
      <c r="O141" s="51"/>
      <c r="P141" s="62"/>
      <c r="Q141" s="65"/>
      <c r="R141" s="65"/>
      <c r="S141" s="65"/>
    </row>
    <row r="142" spans="1:19" x14ac:dyDescent="0.2">
      <c r="A142" s="51"/>
      <c r="B142" s="51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51"/>
      <c r="O142" s="51"/>
      <c r="P142" s="62"/>
      <c r="Q142" s="65"/>
      <c r="R142" s="65"/>
      <c r="S142" s="65"/>
    </row>
    <row r="143" spans="1:19" x14ac:dyDescent="0.2">
      <c r="A143" s="51"/>
      <c r="B143" s="51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51"/>
      <c r="O143" s="51"/>
      <c r="P143" s="62"/>
      <c r="Q143" s="65"/>
      <c r="R143" s="65"/>
      <c r="S143" s="65"/>
    </row>
    <row r="144" spans="1:19" x14ac:dyDescent="0.2">
      <c r="A144" s="51"/>
      <c r="B144" s="51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51"/>
      <c r="O144" s="51"/>
      <c r="P144" s="62"/>
      <c r="Q144" s="65"/>
      <c r="R144" s="65"/>
      <c r="S144" s="65"/>
    </row>
    <row r="145" spans="1:19" x14ac:dyDescent="0.2">
      <c r="A145" s="51"/>
      <c r="B145" s="51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51"/>
      <c r="O145" s="51"/>
      <c r="P145" s="62"/>
      <c r="Q145" s="65"/>
      <c r="R145" s="65"/>
      <c r="S145" s="65"/>
    </row>
    <row r="146" spans="1:19" x14ac:dyDescent="0.2">
      <c r="A146" s="51"/>
      <c r="B146" s="51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51"/>
      <c r="O146" s="51"/>
      <c r="P146" s="62"/>
      <c r="Q146" s="65"/>
      <c r="R146" s="65"/>
      <c r="S146" s="65"/>
    </row>
    <row r="147" spans="1:19" x14ac:dyDescent="0.2">
      <c r="A147" s="51"/>
      <c r="B147" s="51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51"/>
      <c r="O147" s="51"/>
      <c r="P147" s="62"/>
      <c r="Q147" s="65"/>
      <c r="R147" s="65"/>
      <c r="S147" s="65"/>
    </row>
    <row r="148" spans="1:19" x14ac:dyDescent="0.2">
      <c r="A148" s="51"/>
      <c r="B148" s="51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51"/>
      <c r="O148" s="51"/>
      <c r="P148" s="62"/>
      <c r="Q148" s="65"/>
      <c r="R148" s="65"/>
      <c r="S148" s="65"/>
    </row>
    <row r="149" spans="1:19" x14ac:dyDescent="0.2">
      <c r="A149" s="51"/>
      <c r="B149" s="51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51"/>
      <c r="O149" s="51"/>
      <c r="P149" s="62"/>
      <c r="Q149" s="65"/>
      <c r="R149" s="65"/>
      <c r="S149" s="65"/>
    </row>
    <row r="150" spans="1:19" x14ac:dyDescent="0.2">
      <c r="A150" s="51"/>
      <c r="B150" s="51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51"/>
      <c r="O150" s="51"/>
      <c r="P150" s="62"/>
      <c r="Q150" s="65"/>
      <c r="R150" s="65"/>
      <c r="S150" s="65"/>
    </row>
    <row r="151" spans="1:19" x14ac:dyDescent="0.2">
      <c r="A151" s="51"/>
      <c r="B151" s="51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51"/>
      <c r="O151" s="51"/>
      <c r="P151" s="62"/>
      <c r="Q151" s="65"/>
      <c r="R151" s="65"/>
      <c r="S151" s="65"/>
    </row>
    <row r="152" spans="1:19" x14ac:dyDescent="0.2">
      <c r="A152" s="51"/>
      <c r="B152" s="51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51"/>
      <c r="O152" s="51"/>
      <c r="P152" s="62"/>
      <c r="Q152" s="65"/>
      <c r="R152" s="65"/>
      <c r="S152" s="65"/>
    </row>
    <row r="153" spans="1:19" x14ac:dyDescent="0.2">
      <c r="A153" s="51"/>
      <c r="B153" s="51"/>
      <c r="C153" s="65"/>
      <c r="D153" s="62"/>
      <c r="E153" s="65"/>
      <c r="F153" s="62"/>
      <c r="G153" s="65"/>
      <c r="H153" s="62"/>
      <c r="I153" s="62"/>
      <c r="J153" s="62"/>
      <c r="K153" s="65"/>
      <c r="L153" s="62"/>
      <c r="M153" s="65"/>
      <c r="N153" s="51"/>
      <c r="O153" s="51"/>
      <c r="P153" s="62"/>
      <c r="Q153" s="65"/>
      <c r="R153" s="65"/>
      <c r="S153" s="65"/>
    </row>
    <row r="154" spans="1:19" x14ac:dyDescent="0.2">
      <c r="B154" s="51"/>
      <c r="C154" s="62"/>
      <c r="D154" s="62"/>
      <c r="E154" s="65"/>
      <c r="F154" s="62"/>
      <c r="G154" s="62"/>
      <c r="H154" s="62"/>
      <c r="I154" s="62"/>
      <c r="J154" s="62"/>
      <c r="K154" s="62"/>
      <c r="L154" s="62"/>
      <c r="M154" s="65"/>
      <c r="O154" s="51"/>
      <c r="P154" s="62"/>
      <c r="Q154" s="65"/>
      <c r="R154" s="65"/>
      <c r="S154" s="65"/>
    </row>
    <row r="155" spans="1:19" x14ac:dyDescent="0.2">
      <c r="C155" s="65"/>
      <c r="D155" s="62"/>
      <c r="E155" s="65"/>
      <c r="F155" s="62"/>
      <c r="G155" s="65"/>
      <c r="H155" s="62"/>
      <c r="I155" s="65"/>
      <c r="J155" s="62"/>
      <c r="K155" s="65"/>
      <c r="L155" s="62"/>
      <c r="M155" s="65"/>
      <c r="P155" s="62"/>
      <c r="Q155" s="65"/>
      <c r="R155" s="65"/>
      <c r="S155" s="65"/>
    </row>
    <row r="156" spans="1:19" x14ac:dyDescent="0.2">
      <c r="A156" s="51"/>
      <c r="B156" s="51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5"/>
      <c r="N156" s="51"/>
      <c r="O156" s="51"/>
      <c r="P156" s="62"/>
      <c r="Q156" s="65"/>
      <c r="R156" s="65"/>
      <c r="S156" s="65"/>
    </row>
    <row r="157" spans="1:19" x14ac:dyDescent="0.2">
      <c r="A157" s="51"/>
      <c r="B157" s="51"/>
      <c r="C157" s="65"/>
      <c r="D157" s="62"/>
      <c r="E157" s="65"/>
      <c r="F157" s="62"/>
      <c r="G157" s="65"/>
      <c r="H157" s="62"/>
      <c r="I157" s="65"/>
      <c r="J157" s="62"/>
      <c r="K157" s="65"/>
      <c r="L157" s="62"/>
      <c r="M157" s="65"/>
      <c r="N157" s="51"/>
      <c r="O157" s="51"/>
      <c r="P157" s="62"/>
      <c r="Q157" s="65"/>
      <c r="R157" s="65"/>
      <c r="S157" s="65"/>
    </row>
    <row r="158" spans="1:19" x14ac:dyDescent="0.2">
      <c r="A158" s="51"/>
      <c r="B158" s="51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5"/>
      <c r="N158" s="51"/>
      <c r="O158" s="51"/>
      <c r="P158" s="62"/>
      <c r="Q158" s="65"/>
      <c r="R158" s="65"/>
      <c r="S158" s="65"/>
    </row>
    <row r="159" spans="1:19" x14ac:dyDescent="0.2">
      <c r="C159" s="65"/>
      <c r="D159" s="62"/>
      <c r="E159" s="65"/>
      <c r="F159" s="62"/>
      <c r="G159" s="65"/>
      <c r="H159" s="62"/>
      <c r="I159" s="65"/>
      <c r="J159" s="62"/>
      <c r="K159" s="65"/>
      <c r="L159" s="62"/>
      <c r="M159" s="65"/>
      <c r="P159" s="62"/>
      <c r="Q159" s="65"/>
      <c r="R159" s="65"/>
      <c r="S159" s="65"/>
    </row>
    <row r="160" spans="1:19" x14ac:dyDescent="0.2">
      <c r="A160" s="51"/>
      <c r="B160" s="51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51"/>
      <c r="O160" s="51"/>
      <c r="P160" s="62"/>
      <c r="Q160" s="65"/>
      <c r="R160" s="65"/>
      <c r="S160" s="65"/>
    </row>
    <row r="161" spans="1:19" x14ac:dyDescent="0.2">
      <c r="A161" s="51"/>
      <c r="B161" s="51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51"/>
      <c r="O161" s="51"/>
      <c r="P161" s="62"/>
      <c r="Q161" s="65"/>
      <c r="R161" s="65"/>
      <c r="S161" s="65"/>
    </row>
    <row r="162" spans="1:19" x14ac:dyDescent="0.2">
      <c r="A162" s="51"/>
      <c r="B162" s="51"/>
      <c r="C162" s="62"/>
      <c r="D162" s="62"/>
      <c r="E162" s="62"/>
      <c r="F162" s="62"/>
      <c r="G162" s="62"/>
      <c r="H162" s="62"/>
      <c r="I162" s="65"/>
      <c r="J162" s="65"/>
      <c r="K162" s="65"/>
      <c r="L162" s="65"/>
      <c r="M162" s="65"/>
      <c r="N162" s="51"/>
      <c r="O162" s="51"/>
      <c r="P162" s="65"/>
      <c r="Q162" s="65"/>
      <c r="R162" s="65"/>
      <c r="S162" s="65"/>
    </row>
    <row r="163" spans="1:19" x14ac:dyDescent="0.2">
      <c r="C163" s="65"/>
      <c r="D163" s="62"/>
      <c r="E163" s="65"/>
      <c r="F163" s="65"/>
      <c r="G163" s="65"/>
      <c r="H163" s="65"/>
      <c r="I163" s="65"/>
      <c r="J163" s="65"/>
      <c r="K163" s="65"/>
      <c r="L163" s="65"/>
      <c r="M163" s="65"/>
      <c r="P163" s="65"/>
      <c r="Q163" s="65"/>
      <c r="R163" s="65"/>
      <c r="S163" s="65"/>
    </row>
    <row r="164" spans="1:19" x14ac:dyDescent="0.2">
      <c r="A164" s="51"/>
      <c r="B164" s="51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51"/>
      <c r="O164" s="51"/>
      <c r="P164" s="62"/>
      <c r="Q164" s="62"/>
      <c r="R164" s="65"/>
      <c r="S164" s="65"/>
    </row>
    <row r="165" spans="1:19" x14ac:dyDescent="0.2">
      <c r="A165" s="51"/>
      <c r="B165" s="51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51"/>
      <c r="O165" s="51"/>
      <c r="P165" s="62"/>
      <c r="Q165" s="65"/>
      <c r="R165" s="65"/>
      <c r="S165" s="65"/>
    </row>
    <row r="166" spans="1:19" x14ac:dyDescent="0.2">
      <c r="C166" s="65"/>
      <c r="D166" s="62"/>
      <c r="E166" s="65"/>
      <c r="F166" s="65"/>
      <c r="G166" s="65"/>
      <c r="H166" s="65"/>
      <c r="I166" s="65"/>
      <c r="J166" s="65"/>
      <c r="K166" s="65"/>
      <c r="L166" s="65"/>
      <c r="M166" s="65"/>
      <c r="P166" s="65"/>
      <c r="Q166" s="65"/>
      <c r="R166" s="65"/>
      <c r="S166" s="65"/>
    </row>
    <row r="167" spans="1:19" x14ac:dyDescent="0.2">
      <c r="A167" s="51"/>
      <c r="B167" s="51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51"/>
      <c r="O167" s="51"/>
      <c r="P167" s="62"/>
      <c r="Q167" s="62"/>
      <c r="R167" s="65"/>
      <c r="S167" s="65"/>
    </row>
    <row r="168" spans="1:19" x14ac:dyDescent="0.2">
      <c r="C168" s="65"/>
      <c r="D168" s="62"/>
      <c r="E168" s="62"/>
      <c r="F168" s="62"/>
      <c r="G168" s="65"/>
      <c r="H168" s="65"/>
      <c r="I168" s="65"/>
      <c r="J168" s="65"/>
      <c r="K168" s="65"/>
      <c r="L168" s="65"/>
      <c r="M168" s="65"/>
      <c r="P168" s="65"/>
      <c r="Q168" s="65"/>
      <c r="R168" s="65"/>
      <c r="S168" s="65"/>
    </row>
    <row r="169" spans="1:19" x14ac:dyDescent="0.2">
      <c r="A169" s="51"/>
      <c r="B169" s="51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51"/>
      <c r="O169" s="51"/>
      <c r="P169" s="62"/>
      <c r="Q169" s="65"/>
      <c r="R169" s="65"/>
      <c r="S169" s="65"/>
    </row>
    <row r="170" spans="1:19" x14ac:dyDescent="0.2">
      <c r="C170" s="65"/>
      <c r="D170" s="62"/>
      <c r="E170" s="65"/>
      <c r="F170" s="65"/>
      <c r="G170" s="65"/>
      <c r="H170" s="65"/>
      <c r="I170" s="65"/>
      <c r="J170" s="65"/>
      <c r="K170" s="65"/>
      <c r="L170" s="65"/>
      <c r="M170" s="65"/>
      <c r="P170" s="65"/>
      <c r="Q170" s="65"/>
      <c r="R170" s="65"/>
      <c r="S170" s="65"/>
    </row>
    <row r="171" spans="1:19" x14ac:dyDescent="0.2">
      <c r="A171" s="51"/>
      <c r="B171" s="51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51"/>
      <c r="O171" s="51"/>
      <c r="P171" s="66"/>
    </row>
    <row r="172" spans="1:19" x14ac:dyDescent="0.2">
      <c r="D172" s="67"/>
    </row>
    <row r="173" spans="1:19" x14ac:dyDescent="0.2">
      <c r="D173" s="67"/>
    </row>
    <row r="174" spans="1:19" x14ac:dyDescent="0.2">
      <c r="D174" s="67"/>
    </row>
    <row r="175" spans="1:19" x14ac:dyDescent="0.2">
      <c r="D175" s="67"/>
    </row>
    <row r="176" spans="1:19" x14ac:dyDescent="0.2">
      <c r="D176" s="67"/>
    </row>
    <row r="177" spans="4:4" x14ac:dyDescent="0.2">
      <c r="D177" s="67"/>
    </row>
  </sheetData>
  <pageMargins left="0.11811023622047245" right="0.11811023622047245" top="0.15748031496062992" bottom="0.15748031496062992" header="0.31496062992125984" footer="0.31496062992125984"/>
  <pageSetup paperSize="9" scale="62" fitToWidth="2" fitToHeight="2" orientation="portrait" r:id="rId1"/>
  <colBreaks count="1" manualBreakCount="1">
    <brk id="13" max="72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7DDD-4395-4830-A227-394CF0041F25}">
  <dimension ref="A1:AF173"/>
  <sheetViews>
    <sheetView tabSelected="1" topLeftCell="A45" workbookViewId="0"/>
  </sheetViews>
  <sheetFormatPr defaultColWidth="11" defaultRowHeight="12.75" x14ac:dyDescent="0.2"/>
  <cols>
    <col min="1" max="1" width="10.5" style="50" customWidth="1"/>
    <col min="2" max="2" width="19.75" style="50" customWidth="1"/>
    <col min="3" max="3" width="10.125" style="63" customWidth="1"/>
    <col min="4" max="4" width="9.125" style="63" customWidth="1"/>
    <col min="5" max="5" width="9.75" style="63" customWidth="1"/>
    <col min="6" max="6" width="11.375" style="63" customWidth="1"/>
    <col min="7" max="7" width="11.375" style="63" bestFit="1" customWidth="1"/>
    <col min="8" max="8" width="10.125" style="63" customWidth="1"/>
    <col min="9" max="9" width="11.5" style="63" bestFit="1" customWidth="1"/>
    <col min="10" max="10" width="9" style="63" customWidth="1"/>
    <col min="11" max="11" width="11.625" style="63" customWidth="1"/>
    <col min="12" max="12" width="9" style="63" customWidth="1"/>
    <col min="13" max="13" width="11.375" style="63" bestFit="1" customWidth="1"/>
    <col min="14" max="14" width="12.25" style="50" customWidth="1"/>
    <col min="15" max="15" width="18.25" style="50" customWidth="1"/>
    <col min="16" max="16" width="8.5" style="63" customWidth="1"/>
    <col min="17" max="17" width="12" style="63" bestFit="1" customWidth="1"/>
    <col min="18" max="18" width="8.5" style="63" customWidth="1"/>
    <col min="19" max="19" width="12" style="63" bestFit="1" customWidth="1"/>
    <col min="20" max="20" width="8.5" style="63" customWidth="1"/>
    <col min="21" max="21" width="13.375" style="63" bestFit="1" customWidth="1"/>
    <col min="22" max="22" width="11.75" style="63" bestFit="1" customWidth="1"/>
    <col min="23" max="23" width="11.375" style="63" bestFit="1" customWidth="1"/>
    <col min="24" max="24" width="11.75" style="63" bestFit="1" customWidth="1"/>
    <col min="25" max="25" width="11.5" style="63" customWidth="1"/>
    <col min="26" max="26" width="8.5" style="63" customWidth="1"/>
    <col min="27" max="27" width="13.375" style="63" bestFit="1" customWidth="1"/>
    <col min="28" max="16384" width="11" style="63"/>
  </cols>
  <sheetData>
    <row r="1" spans="1:27" s="60" customFormat="1" ht="12.95" customHeight="1" thickBot="1" x14ac:dyDescent="0.2">
      <c r="A1" s="109" t="s">
        <v>89</v>
      </c>
      <c r="B1" s="18"/>
      <c r="C1" s="80"/>
      <c r="D1" s="59"/>
      <c r="E1" s="59"/>
      <c r="F1" s="83"/>
      <c r="G1" s="59"/>
      <c r="H1" s="83"/>
      <c r="I1" s="83"/>
      <c r="J1" s="59"/>
      <c r="K1" s="59"/>
      <c r="L1" s="59"/>
      <c r="M1" s="59" t="s">
        <v>0</v>
      </c>
      <c r="N1" s="109" t="s">
        <v>89</v>
      </c>
      <c r="O1" s="18"/>
      <c r="P1" s="54"/>
      <c r="AA1" s="59" t="s">
        <v>1</v>
      </c>
    </row>
    <row r="2" spans="1:27" s="54" customFormat="1" ht="20.25" customHeight="1" thickBot="1" x14ac:dyDescent="0.2">
      <c r="C2" s="80"/>
      <c r="D2" s="80"/>
      <c r="E2" s="110" t="s">
        <v>91</v>
      </c>
      <c r="F2" s="111"/>
      <c r="G2" s="111"/>
      <c r="H2" s="112"/>
      <c r="I2" s="59"/>
      <c r="J2" s="38"/>
      <c r="K2" s="38"/>
      <c r="L2" s="38"/>
      <c r="M2" s="72">
        <v>45421.441871527779</v>
      </c>
      <c r="R2" s="110" t="s">
        <v>91</v>
      </c>
      <c r="S2" s="111"/>
      <c r="T2" s="111"/>
      <c r="U2" s="112"/>
      <c r="V2" s="60"/>
      <c r="W2" s="53"/>
      <c r="X2" s="53"/>
      <c r="Y2" s="53"/>
      <c r="Z2" s="53"/>
      <c r="AA2" s="73">
        <v>45421.441871527779</v>
      </c>
    </row>
    <row r="3" spans="1:27" s="60" customFormat="1" ht="12.95" customHeight="1" x14ac:dyDescent="0.15">
      <c r="A3" s="17" t="s">
        <v>2</v>
      </c>
      <c r="B3" s="18" t="s">
        <v>94</v>
      </c>
      <c r="C3" s="82"/>
      <c r="D3" s="82"/>
      <c r="J3" s="59" t="s">
        <v>3</v>
      </c>
      <c r="K3" s="59"/>
      <c r="L3" s="59"/>
      <c r="N3" s="17" t="s">
        <v>4</v>
      </c>
      <c r="O3" s="18"/>
      <c r="X3" s="59" t="s">
        <v>3</v>
      </c>
    </row>
    <row r="4" spans="1:27" s="60" customFormat="1" ht="21" customHeight="1" x14ac:dyDescent="0.15">
      <c r="A4" s="15" t="s">
        <v>5</v>
      </c>
      <c r="B4" s="16"/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  <c r="J4" s="12" t="s">
        <v>13</v>
      </c>
      <c r="K4" s="13" t="s">
        <v>14</v>
      </c>
      <c r="L4" s="12" t="s">
        <v>15</v>
      </c>
      <c r="M4" s="13" t="s">
        <v>16</v>
      </c>
      <c r="N4" s="15" t="s">
        <v>5</v>
      </c>
      <c r="O4" s="99"/>
      <c r="P4" s="12" t="s">
        <v>17</v>
      </c>
      <c r="Q4" s="13" t="s">
        <v>76</v>
      </c>
      <c r="R4" s="12" t="s">
        <v>18</v>
      </c>
      <c r="S4" s="13" t="s">
        <v>77</v>
      </c>
      <c r="T4" s="12" t="s">
        <v>19</v>
      </c>
      <c r="U4" s="13" t="s">
        <v>78</v>
      </c>
      <c r="V4" s="71" t="s">
        <v>20</v>
      </c>
      <c r="W4" s="13" t="s">
        <v>79</v>
      </c>
      <c r="X4" s="12" t="s">
        <v>21</v>
      </c>
      <c r="Y4" s="13" t="s">
        <v>80</v>
      </c>
      <c r="Z4" s="12" t="s">
        <v>22</v>
      </c>
      <c r="AA4" s="13" t="s">
        <v>81</v>
      </c>
    </row>
    <row r="5" spans="1:27" s="60" customFormat="1" ht="12.95" customHeight="1" x14ac:dyDescent="0.15">
      <c r="A5" s="39" t="s">
        <v>23</v>
      </c>
      <c r="B5" s="39" t="s">
        <v>24</v>
      </c>
      <c r="C5" s="34">
        <v>583</v>
      </c>
      <c r="D5" s="34">
        <v>568</v>
      </c>
      <c r="E5" s="23">
        <v>1151</v>
      </c>
      <c r="F5" s="34">
        <v>676</v>
      </c>
      <c r="G5" s="23">
        <v>1827</v>
      </c>
      <c r="H5" s="34">
        <v>645</v>
      </c>
      <c r="I5" s="23">
        <v>2472</v>
      </c>
      <c r="J5" s="34">
        <v>707</v>
      </c>
      <c r="K5" s="23">
        <v>3179</v>
      </c>
      <c r="L5" s="34">
        <v>738</v>
      </c>
      <c r="M5" s="23">
        <v>3917</v>
      </c>
      <c r="N5" s="39" t="s">
        <v>23</v>
      </c>
      <c r="O5" s="39" t="s">
        <v>24</v>
      </c>
      <c r="P5" s="34">
        <v>773</v>
      </c>
      <c r="Q5" s="23">
        <v>4690</v>
      </c>
      <c r="R5" s="34">
        <v>760</v>
      </c>
      <c r="S5" s="23">
        <v>5450</v>
      </c>
      <c r="T5" s="34">
        <v>709</v>
      </c>
      <c r="U5" s="23">
        <v>6159</v>
      </c>
      <c r="V5" s="34">
        <v>703</v>
      </c>
      <c r="W5" s="23">
        <v>6862</v>
      </c>
      <c r="X5" s="34">
        <v>640</v>
      </c>
      <c r="Y5" s="23">
        <v>7502</v>
      </c>
      <c r="Z5" s="34">
        <v>667</v>
      </c>
      <c r="AA5" s="23">
        <v>8169</v>
      </c>
    </row>
    <row r="6" spans="1:27" s="60" customFormat="1" ht="12.95" customHeight="1" x14ac:dyDescent="0.15">
      <c r="A6" s="85" t="s">
        <v>25</v>
      </c>
      <c r="B6" s="59" t="s">
        <v>26</v>
      </c>
      <c r="C6" s="34">
        <v>581</v>
      </c>
      <c r="D6" s="34">
        <v>565</v>
      </c>
      <c r="E6" s="23">
        <v>1146</v>
      </c>
      <c r="F6" s="34">
        <v>674</v>
      </c>
      <c r="G6" s="23">
        <v>1820</v>
      </c>
      <c r="H6" s="34">
        <v>643</v>
      </c>
      <c r="I6" s="23">
        <v>2463</v>
      </c>
      <c r="J6" s="34">
        <v>705</v>
      </c>
      <c r="K6" s="23">
        <v>3168</v>
      </c>
      <c r="L6" s="34">
        <v>736</v>
      </c>
      <c r="M6" s="23">
        <v>3904</v>
      </c>
      <c r="N6" s="85" t="s">
        <v>25</v>
      </c>
      <c r="O6" s="59" t="s">
        <v>26</v>
      </c>
      <c r="P6" s="34">
        <v>770</v>
      </c>
      <c r="Q6" s="23">
        <v>4674</v>
      </c>
      <c r="R6" s="34">
        <v>758</v>
      </c>
      <c r="S6" s="23">
        <v>5432</v>
      </c>
      <c r="T6" s="34">
        <v>706</v>
      </c>
      <c r="U6" s="23">
        <v>6138</v>
      </c>
      <c r="V6" s="34">
        <v>700</v>
      </c>
      <c r="W6" s="23">
        <v>6838</v>
      </c>
      <c r="X6" s="34">
        <v>638</v>
      </c>
      <c r="Y6" s="23">
        <v>7476</v>
      </c>
      <c r="Z6" s="34">
        <v>665</v>
      </c>
      <c r="AA6" s="23">
        <v>8141</v>
      </c>
    </row>
    <row r="7" spans="1:27" s="60" customFormat="1" ht="12.95" customHeight="1" x14ac:dyDescent="0.15">
      <c r="A7" s="59"/>
      <c r="B7" s="59"/>
      <c r="C7" s="34"/>
      <c r="D7" s="34"/>
      <c r="E7" s="23" t="s">
        <v>93</v>
      </c>
      <c r="F7" s="34"/>
      <c r="G7" s="23" t="s">
        <v>93</v>
      </c>
      <c r="H7" s="34"/>
      <c r="I7" s="23" t="s">
        <v>93</v>
      </c>
      <c r="J7" s="34"/>
      <c r="K7" s="23" t="s">
        <v>93</v>
      </c>
      <c r="L7" s="34"/>
      <c r="M7" s="23" t="s">
        <v>93</v>
      </c>
      <c r="N7" s="59"/>
      <c r="O7" s="59"/>
      <c r="P7" s="34"/>
      <c r="Q7" s="23" t="s">
        <v>93</v>
      </c>
      <c r="R7" s="34"/>
      <c r="S7" s="23" t="s">
        <v>93</v>
      </c>
      <c r="T7" s="34"/>
      <c r="U7" s="23" t="s">
        <v>93</v>
      </c>
      <c r="V7" s="34"/>
      <c r="W7" s="23" t="s">
        <v>93</v>
      </c>
      <c r="X7" s="34"/>
      <c r="Y7" s="23" t="s">
        <v>93</v>
      </c>
      <c r="Z7" s="34"/>
      <c r="AA7" s="23" t="s">
        <v>93</v>
      </c>
    </row>
    <row r="8" spans="1:27" s="60" customFormat="1" ht="12.95" customHeight="1" x14ac:dyDescent="0.15">
      <c r="A8" s="59" t="s">
        <v>27</v>
      </c>
      <c r="B8" s="59" t="s">
        <v>28</v>
      </c>
      <c r="C8" s="34">
        <v>152</v>
      </c>
      <c r="D8" s="34">
        <v>153</v>
      </c>
      <c r="E8" s="23">
        <v>305</v>
      </c>
      <c r="F8" s="34">
        <v>182</v>
      </c>
      <c r="G8" s="23">
        <v>487</v>
      </c>
      <c r="H8" s="34">
        <v>174</v>
      </c>
      <c r="I8" s="23">
        <v>661</v>
      </c>
      <c r="J8" s="34">
        <v>188</v>
      </c>
      <c r="K8" s="23">
        <v>849</v>
      </c>
      <c r="L8" s="34">
        <v>202</v>
      </c>
      <c r="M8" s="23">
        <v>1051</v>
      </c>
      <c r="N8" s="59" t="s">
        <v>27</v>
      </c>
      <c r="O8" s="59" t="s">
        <v>28</v>
      </c>
      <c r="P8" s="34">
        <v>214</v>
      </c>
      <c r="Q8" s="23">
        <v>1265</v>
      </c>
      <c r="R8" s="34">
        <v>214</v>
      </c>
      <c r="S8" s="23">
        <v>1479</v>
      </c>
      <c r="T8" s="34">
        <v>203</v>
      </c>
      <c r="U8" s="23">
        <v>1682</v>
      </c>
      <c r="V8" s="34">
        <v>199</v>
      </c>
      <c r="W8" s="23">
        <v>1881</v>
      </c>
      <c r="X8" s="34">
        <v>178</v>
      </c>
      <c r="Y8" s="23">
        <v>2059</v>
      </c>
      <c r="Z8" s="34">
        <v>187</v>
      </c>
      <c r="AA8" s="23">
        <v>2246</v>
      </c>
    </row>
    <row r="9" spans="1:27" s="60" customFormat="1" ht="12.95" customHeight="1" x14ac:dyDescent="0.15">
      <c r="A9" s="99"/>
      <c r="B9" s="99"/>
      <c r="C9" s="35"/>
      <c r="D9" s="35"/>
      <c r="E9" s="24"/>
      <c r="F9" s="35"/>
      <c r="G9" s="24"/>
      <c r="H9" s="35"/>
      <c r="I9" s="24"/>
      <c r="J9" s="35"/>
      <c r="K9" s="24"/>
      <c r="L9" s="35"/>
      <c r="M9" s="24"/>
      <c r="N9" s="99"/>
      <c r="O9" s="99"/>
      <c r="P9" s="35"/>
      <c r="Q9" s="24"/>
      <c r="R9" s="35"/>
      <c r="S9" s="24"/>
      <c r="T9" s="35"/>
      <c r="U9" s="24"/>
      <c r="V9" s="35"/>
      <c r="W9" s="24"/>
      <c r="X9" s="35"/>
      <c r="Y9" s="24"/>
      <c r="Z9" s="35"/>
      <c r="AA9" s="24"/>
    </row>
    <row r="10" spans="1:27" s="60" customFormat="1" ht="12.95" customHeight="1" x14ac:dyDescent="0.15">
      <c r="A10" s="39" t="s">
        <v>67</v>
      </c>
      <c r="B10" s="59" t="s">
        <v>29</v>
      </c>
      <c r="C10" s="34">
        <v>252.7</v>
      </c>
      <c r="D10" s="34">
        <v>231.7</v>
      </c>
      <c r="E10" s="23">
        <v>484.4</v>
      </c>
      <c r="F10" s="34">
        <v>297.10000000000002</v>
      </c>
      <c r="G10" s="23">
        <v>781.5</v>
      </c>
      <c r="H10" s="34">
        <v>345.8</v>
      </c>
      <c r="I10" s="23">
        <v>1127.3</v>
      </c>
      <c r="J10" s="34">
        <v>374.4</v>
      </c>
      <c r="K10" s="23">
        <v>1501.6999999999998</v>
      </c>
      <c r="L10" s="34">
        <v>421.7</v>
      </c>
      <c r="M10" s="23">
        <v>1923.3999999999999</v>
      </c>
      <c r="N10" s="39" t="s">
        <v>67</v>
      </c>
      <c r="O10" s="59" t="s">
        <v>29</v>
      </c>
      <c r="P10" s="34">
        <v>475.2</v>
      </c>
      <c r="Q10" s="23">
        <v>2398.6</v>
      </c>
      <c r="R10" s="34">
        <v>481</v>
      </c>
      <c r="S10" s="23">
        <v>2879.6</v>
      </c>
      <c r="T10" s="34">
        <v>442.8</v>
      </c>
      <c r="U10" s="23">
        <v>3322.4</v>
      </c>
      <c r="V10" s="34">
        <v>414.6</v>
      </c>
      <c r="W10" s="23">
        <v>3737</v>
      </c>
      <c r="X10" s="34">
        <v>312.7</v>
      </c>
      <c r="Y10" s="23">
        <v>4049.7</v>
      </c>
      <c r="Z10" s="34">
        <v>319.5</v>
      </c>
      <c r="AA10" s="23">
        <v>4369.2</v>
      </c>
    </row>
    <row r="11" spans="1:27" s="60" customFormat="1" ht="12.95" customHeight="1" x14ac:dyDescent="0.15">
      <c r="B11" s="59" t="s">
        <v>30</v>
      </c>
      <c r="C11" s="34">
        <v>0.3</v>
      </c>
      <c r="D11" s="34">
        <v>10.3</v>
      </c>
      <c r="E11" s="23">
        <v>10.600000000000001</v>
      </c>
      <c r="F11" s="34">
        <v>5.9</v>
      </c>
      <c r="G11" s="23">
        <v>16.5</v>
      </c>
      <c r="H11" s="34">
        <v>6.2</v>
      </c>
      <c r="I11" s="23">
        <v>22.7</v>
      </c>
      <c r="J11" s="34">
        <v>2.6</v>
      </c>
      <c r="K11" s="23">
        <v>25.3</v>
      </c>
      <c r="L11" s="34">
        <v>0.3</v>
      </c>
      <c r="M11" s="23">
        <v>25.6</v>
      </c>
      <c r="O11" s="59" t="s">
        <v>30</v>
      </c>
      <c r="P11" s="34">
        <v>5.8</v>
      </c>
      <c r="Q11" s="23">
        <v>31.400000000000002</v>
      </c>
      <c r="R11" s="34">
        <v>7</v>
      </c>
      <c r="S11" s="23">
        <v>38.400000000000006</v>
      </c>
      <c r="T11" s="34">
        <v>10.199999999999999</v>
      </c>
      <c r="U11" s="23">
        <v>48.600000000000009</v>
      </c>
      <c r="V11" s="34">
        <v>19.399999999999999</v>
      </c>
      <c r="W11" s="23">
        <v>68</v>
      </c>
      <c r="X11" s="34">
        <v>7.3</v>
      </c>
      <c r="Y11" s="23">
        <v>75.3</v>
      </c>
      <c r="Z11" s="34">
        <v>38.5</v>
      </c>
      <c r="AA11" s="23">
        <v>113.8</v>
      </c>
    </row>
    <row r="12" spans="1:27" s="60" customFormat="1" ht="12.95" customHeight="1" x14ac:dyDescent="0.15">
      <c r="B12" s="59" t="s">
        <v>31</v>
      </c>
      <c r="C12" s="34">
        <v>253</v>
      </c>
      <c r="D12" s="34">
        <v>242</v>
      </c>
      <c r="E12" s="23">
        <v>495</v>
      </c>
      <c r="F12" s="34">
        <v>303</v>
      </c>
      <c r="G12" s="23">
        <v>798</v>
      </c>
      <c r="H12" s="34">
        <v>352</v>
      </c>
      <c r="I12" s="23">
        <v>1150</v>
      </c>
      <c r="J12" s="34">
        <v>377</v>
      </c>
      <c r="K12" s="23">
        <v>1527</v>
      </c>
      <c r="L12" s="34">
        <v>422</v>
      </c>
      <c r="M12" s="23">
        <v>1949</v>
      </c>
      <c r="O12" s="59" t="s">
        <v>31</v>
      </c>
      <c r="P12" s="34">
        <v>481</v>
      </c>
      <c r="Q12" s="23">
        <v>2430</v>
      </c>
      <c r="R12" s="34">
        <v>488</v>
      </c>
      <c r="S12" s="23">
        <v>2918</v>
      </c>
      <c r="T12" s="34">
        <v>453</v>
      </c>
      <c r="U12" s="23">
        <v>3371</v>
      </c>
      <c r="V12" s="34">
        <v>434</v>
      </c>
      <c r="W12" s="23">
        <v>3805</v>
      </c>
      <c r="X12" s="34">
        <v>320</v>
      </c>
      <c r="Y12" s="23">
        <v>4125</v>
      </c>
      <c r="Z12" s="34">
        <v>358</v>
      </c>
      <c r="AA12" s="23">
        <v>4483</v>
      </c>
    </row>
    <row r="13" spans="1:27" s="60" customFormat="1" ht="12.95" customHeight="1" x14ac:dyDescent="0.15">
      <c r="C13" s="14"/>
      <c r="D13" s="14"/>
      <c r="E13" s="23" t="s">
        <v>93</v>
      </c>
      <c r="F13" s="14"/>
      <c r="G13" s="23" t="s">
        <v>93</v>
      </c>
      <c r="H13" s="14"/>
      <c r="I13" s="23" t="s">
        <v>93</v>
      </c>
      <c r="J13" s="14"/>
      <c r="K13" s="23" t="s">
        <v>93</v>
      </c>
      <c r="L13" s="14"/>
      <c r="M13" s="23" t="s">
        <v>93</v>
      </c>
      <c r="P13" s="14"/>
      <c r="Q13" s="23" t="s">
        <v>93</v>
      </c>
      <c r="R13" s="14"/>
      <c r="S13" s="23" t="s">
        <v>93</v>
      </c>
      <c r="T13" s="14"/>
      <c r="U13" s="23" t="s">
        <v>93</v>
      </c>
      <c r="V13" s="14"/>
      <c r="W13" s="23" t="s">
        <v>93</v>
      </c>
      <c r="X13" s="14"/>
      <c r="Y13" s="23" t="s">
        <v>93</v>
      </c>
      <c r="Z13" s="14"/>
      <c r="AA13" s="23" t="s">
        <v>93</v>
      </c>
    </row>
    <row r="14" spans="1:27" s="60" customFormat="1" ht="12.95" customHeight="1" x14ac:dyDescent="0.15">
      <c r="A14" s="39" t="s">
        <v>32</v>
      </c>
      <c r="B14" s="59" t="s">
        <v>33</v>
      </c>
      <c r="C14" s="34">
        <v>0.5</v>
      </c>
      <c r="D14" s="34">
        <v>0.5</v>
      </c>
      <c r="E14" s="23">
        <v>1</v>
      </c>
      <c r="F14" s="34">
        <v>0.3</v>
      </c>
      <c r="G14" s="23">
        <v>1.3</v>
      </c>
      <c r="H14" s="34">
        <v>0.2</v>
      </c>
      <c r="I14" s="23">
        <v>1.5</v>
      </c>
      <c r="J14" s="34">
        <v>0.1</v>
      </c>
      <c r="K14" s="23">
        <v>1.6</v>
      </c>
      <c r="L14" s="34">
        <v>0.1</v>
      </c>
      <c r="M14" s="23">
        <v>1.7000000000000002</v>
      </c>
      <c r="N14" s="39" t="s">
        <v>32</v>
      </c>
      <c r="O14" s="59" t="s">
        <v>33</v>
      </c>
      <c r="P14" s="34">
        <v>0.1</v>
      </c>
      <c r="Q14" s="23">
        <v>1.8000000000000003</v>
      </c>
      <c r="R14" s="34">
        <v>0.1</v>
      </c>
      <c r="S14" s="23">
        <v>1.9000000000000004</v>
      </c>
      <c r="T14" s="34">
        <v>0.1</v>
      </c>
      <c r="U14" s="23">
        <v>2.0000000000000004</v>
      </c>
      <c r="V14" s="34">
        <v>0.1</v>
      </c>
      <c r="W14" s="23">
        <v>2.1000000000000005</v>
      </c>
      <c r="X14" s="34">
        <v>0.2</v>
      </c>
      <c r="Y14" s="23">
        <v>2.3000000000000007</v>
      </c>
      <c r="Z14" s="34">
        <v>0.1</v>
      </c>
      <c r="AA14" s="23">
        <v>2.4000000000000008</v>
      </c>
    </row>
    <row r="15" spans="1:27" s="60" customFormat="1" ht="12.95" customHeight="1" x14ac:dyDescent="0.15">
      <c r="A15" s="99"/>
      <c r="B15" s="99"/>
      <c r="C15" s="35"/>
      <c r="D15" s="35"/>
      <c r="E15" s="24"/>
      <c r="F15" s="35"/>
      <c r="G15" s="24"/>
      <c r="H15" s="35"/>
      <c r="I15" s="24"/>
      <c r="J15" s="35"/>
      <c r="K15" s="24"/>
      <c r="L15" s="35"/>
      <c r="M15" s="24"/>
      <c r="N15" s="99"/>
      <c r="O15" s="99"/>
      <c r="P15" s="35"/>
      <c r="Q15" s="24"/>
      <c r="R15" s="35"/>
      <c r="S15" s="24"/>
      <c r="T15" s="35"/>
      <c r="U15" s="24"/>
      <c r="V15" s="35"/>
      <c r="W15" s="24"/>
      <c r="X15" s="35"/>
      <c r="Y15" s="24"/>
      <c r="Z15" s="35"/>
      <c r="AA15" s="24"/>
    </row>
    <row r="16" spans="1:27" s="60" customFormat="1" ht="12.95" customHeight="1" x14ac:dyDescent="0.15">
      <c r="A16" s="39" t="s">
        <v>34</v>
      </c>
      <c r="B16" s="39" t="s">
        <v>35</v>
      </c>
      <c r="C16" s="34">
        <v>1688</v>
      </c>
      <c r="D16" s="34">
        <v>1817</v>
      </c>
      <c r="E16" s="23">
        <v>3505</v>
      </c>
      <c r="F16" s="34">
        <v>2048</v>
      </c>
      <c r="G16" s="23">
        <v>5553</v>
      </c>
      <c r="H16" s="34">
        <v>1829</v>
      </c>
      <c r="I16" s="23">
        <v>7382</v>
      </c>
      <c r="J16" s="34">
        <v>2048</v>
      </c>
      <c r="K16" s="23">
        <v>9430</v>
      </c>
      <c r="L16" s="34">
        <v>2052</v>
      </c>
      <c r="M16" s="23">
        <v>11482</v>
      </c>
      <c r="N16" s="39" t="s">
        <v>34</v>
      </c>
      <c r="O16" s="39" t="s">
        <v>35</v>
      </c>
      <c r="P16" s="34">
        <v>2124</v>
      </c>
      <c r="Q16" s="23">
        <v>13606</v>
      </c>
      <c r="R16" s="34">
        <v>1879</v>
      </c>
      <c r="S16" s="23">
        <v>15485</v>
      </c>
      <c r="T16" s="34">
        <v>1997</v>
      </c>
      <c r="U16" s="23">
        <v>17482</v>
      </c>
      <c r="V16" s="34">
        <v>2002</v>
      </c>
      <c r="W16" s="23">
        <v>19484</v>
      </c>
      <c r="X16" s="34">
        <v>1912</v>
      </c>
      <c r="Y16" s="23">
        <v>21396</v>
      </c>
      <c r="Z16" s="34">
        <v>1898</v>
      </c>
      <c r="AA16" s="23">
        <v>23294</v>
      </c>
    </row>
    <row r="17" spans="1:27" s="60" customFormat="1" ht="12.95" customHeight="1" x14ac:dyDescent="0.15">
      <c r="A17" s="85" t="s">
        <v>36</v>
      </c>
      <c r="B17" s="59" t="s">
        <v>37</v>
      </c>
      <c r="C17" s="34">
        <v>1142</v>
      </c>
      <c r="D17" s="34">
        <v>1150</v>
      </c>
      <c r="E17" s="23">
        <v>2292</v>
      </c>
      <c r="F17" s="34">
        <v>1302</v>
      </c>
      <c r="G17" s="23">
        <v>3594</v>
      </c>
      <c r="H17" s="34">
        <v>1201</v>
      </c>
      <c r="I17" s="23">
        <v>4795</v>
      </c>
      <c r="J17" s="34">
        <v>1318</v>
      </c>
      <c r="K17" s="23">
        <v>6113</v>
      </c>
      <c r="L17" s="34">
        <v>1316</v>
      </c>
      <c r="M17" s="23">
        <v>7429</v>
      </c>
      <c r="N17" s="85" t="s">
        <v>36</v>
      </c>
      <c r="O17" s="59" t="s">
        <v>37</v>
      </c>
      <c r="P17" s="34">
        <v>1365</v>
      </c>
      <c r="Q17" s="23">
        <v>8794</v>
      </c>
      <c r="R17" s="34">
        <v>1280</v>
      </c>
      <c r="S17" s="23">
        <v>10074</v>
      </c>
      <c r="T17" s="34">
        <v>1258</v>
      </c>
      <c r="U17" s="23">
        <v>11332</v>
      </c>
      <c r="V17" s="34">
        <v>1273</v>
      </c>
      <c r="W17" s="23">
        <v>12605</v>
      </c>
      <c r="X17" s="34">
        <v>1194</v>
      </c>
      <c r="Y17" s="23">
        <v>13799</v>
      </c>
      <c r="Z17" s="34">
        <v>1216</v>
      </c>
      <c r="AA17" s="23">
        <v>15015</v>
      </c>
    </row>
    <row r="18" spans="1:27" s="60" customFormat="1" ht="12.95" customHeight="1" x14ac:dyDescent="0.15">
      <c r="A18" s="59" t="s">
        <v>27</v>
      </c>
      <c r="B18" s="59" t="s">
        <v>28</v>
      </c>
      <c r="C18" s="34">
        <v>743</v>
      </c>
      <c r="D18" s="34">
        <v>865</v>
      </c>
      <c r="E18" s="23">
        <v>1608</v>
      </c>
      <c r="F18" s="34">
        <v>961</v>
      </c>
      <c r="G18" s="23">
        <v>2569</v>
      </c>
      <c r="H18" s="34">
        <v>835</v>
      </c>
      <c r="I18" s="23">
        <v>3404</v>
      </c>
      <c r="J18" s="34">
        <v>953</v>
      </c>
      <c r="K18" s="23">
        <v>4357</v>
      </c>
      <c r="L18" s="34">
        <v>968</v>
      </c>
      <c r="M18" s="23">
        <v>5325</v>
      </c>
      <c r="N18" s="59" t="s">
        <v>27</v>
      </c>
      <c r="O18" s="59" t="s">
        <v>28</v>
      </c>
      <c r="P18" s="34">
        <v>1003</v>
      </c>
      <c r="Q18" s="23">
        <v>6328</v>
      </c>
      <c r="R18" s="34">
        <v>843</v>
      </c>
      <c r="S18" s="23">
        <v>7171</v>
      </c>
      <c r="T18" s="34">
        <v>971</v>
      </c>
      <c r="U18" s="23">
        <v>8142</v>
      </c>
      <c r="V18" s="34">
        <v>956</v>
      </c>
      <c r="W18" s="23">
        <v>9098</v>
      </c>
      <c r="X18" s="34">
        <v>925</v>
      </c>
      <c r="Y18" s="23">
        <v>10023</v>
      </c>
      <c r="Z18" s="34">
        <v>898</v>
      </c>
      <c r="AA18" s="23">
        <v>10921</v>
      </c>
    </row>
    <row r="19" spans="1:27" s="60" customFormat="1" ht="12.95" customHeight="1" x14ac:dyDescent="0.15">
      <c r="A19" s="59" t="s">
        <v>27</v>
      </c>
      <c r="B19" s="59" t="s">
        <v>74</v>
      </c>
      <c r="C19" s="34">
        <v>2</v>
      </c>
      <c r="D19" s="34">
        <v>3</v>
      </c>
      <c r="E19" s="23">
        <v>5</v>
      </c>
      <c r="F19" s="34">
        <v>3</v>
      </c>
      <c r="G19" s="23">
        <v>8</v>
      </c>
      <c r="H19" s="34">
        <v>3</v>
      </c>
      <c r="I19" s="23">
        <v>11</v>
      </c>
      <c r="J19" s="34">
        <v>3</v>
      </c>
      <c r="K19" s="23">
        <v>14</v>
      </c>
      <c r="L19" s="34">
        <v>3</v>
      </c>
      <c r="M19" s="23">
        <v>17</v>
      </c>
      <c r="N19" s="59" t="s">
        <v>27</v>
      </c>
      <c r="O19" s="59" t="s">
        <v>74</v>
      </c>
      <c r="P19" s="34">
        <v>4</v>
      </c>
      <c r="Q19" s="23">
        <v>21</v>
      </c>
      <c r="R19" s="34">
        <v>3</v>
      </c>
      <c r="S19" s="23">
        <v>24</v>
      </c>
      <c r="T19" s="34">
        <v>2</v>
      </c>
      <c r="U19" s="23">
        <v>26</v>
      </c>
      <c r="V19" s="34">
        <v>2</v>
      </c>
      <c r="W19" s="23">
        <v>28</v>
      </c>
      <c r="X19" s="34">
        <v>2</v>
      </c>
      <c r="Y19" s="23">
        <v>30</v>
      </c>
      <c r="Z19" s="34">
        <v>1</v>
      </c>
      <c r="AA19" s="23">
        <v>31</v>
      </c>
    </row>
    <row r="20" spans="1:27" s="60" customFormat="1" ht="12.95" customHeight="1" x14ac:dyDescent="0.15">
      <c r="C20" s="14"/>
      <c r="D20" s="14"/>
      <c r="E20" s="23" t="s">
        <v>93</v>
      </c>
      <c r="F20" s="14"/>
      <c r="G20" s="23" t="s">
        <v>93</v>
      </c>
      <c r="H20" s="14"/>
      <c r="I20" s="23" t="s">
        <v>93</v>
      </c>
      <c r="J20" s="14"/>
      <c r="K20" s="23" t="s">
        <v>93</v>
      </c>
      <c r="L20" s="14"/>
      <c r="M20" s="23" t="s">
        <v>93</v>
      </c>
      <c r="P20" s="14"/>
      <c r="Q20" s="23" t="s">
        <v>93</v>
      </c>
      <c r="R20" s="14"/>
      <c r="S20" s="23" t="s">
        <v>93</v>
      </c>
      <c r="T20" s="14"/>
      <c r="U20" s="23" t="s">
        <v>93</v>
      </c>
      <c r="V20" s="14"/>
      <c r="W20" s="23" t="s">
        <v>93</v>
      </c>
      <c r="X20" s="14"/>
      <c r="Y20" s="23" t="s">
        <v>93</v>
      </c>
      <c r="Z20" s="14"/>
      <c r="AA20" s="23" t="s">
        <v>93</v>
      </c>
    </row>
    <row r="21" spans="1:27" s="60" customFormat="1" ht="12.95" customHeight="1" x14ac:dyDescent="0.15">
      <c r="B21" s="39" t="s">
        <v>38</v>
      </c>
      <c r="C21" s="34">
        <v>70</v>
      </c>
      <c r="D21" s="34">
        <v>72</v>
      </c>
      <c r="E21" s="23">
        <v>142</v>
      </c>
      <c r="F21" s="34">
        <v>48</v>
      </c>
      <c r="G21" s="23">
        <v>190</v>
      </c>
      <c r="H21" s="34">
        <v>29</v>
      </c>
      <c r="I21" s="23">
        <v>219</v>
      </c>
      <c r="J21" s="34">
        <v>28</v>
      </c>
      <c r="K21" s="23">
        <v>247</v>
      </c>
      <c r="L21" s="34">
        <v>24</v>
      </c>
      <c r="M21" s="23">
        <v>271</v>
      </c>
      <c r="O21" s="39" t="s">
        <v>38</v>
      </c>
      <c r="P21" s="34">
        <v>24</v>
      </c>
      <c r="Q21" s="23">
        <v>295</v>
      </c>
      <c r="R21" s="34">
        <v>20</v>
      </c>
      <c r="S21" s="23">
        <v>315</v>
      </c>
      <c r="T21" s="34">
        <v>33</v>
      </c>
      <c r="U21" s="23">
        <v>348</v>
      </c>
      <c r="V21" s="34">
        <v>64</v>
      </c>
      <c r="W21" s="23">
        <v>412</v>
      </c>
      <c r="X21" s="34">
        <v>80</v>
      </c>
      <c r="Y21" s="23">
        <v>492</v>
      </c>
      <c r="Z21" s="34">
        <v>83</v>
      </c>
      <c r="AA21" s="23">
        <v>575</v>
      </c>
    </row>
    <row r="22" spans="1:27" s="60" customFormat="1" ht="12.95" customHeight="1" x14ac:dyDescent="0.15">
      <c r="B22" s="39" t="s">
        <v>39</v>
      </c>
      <c r="C22" s="34">
        <v>34</v>
      </c>
      <c r="D22" s="34">
        <v>95</v>
      </c>
      <c r="E22" s="23">
        <v>129</v>
      </c>
      <c r="F22" s="34">
        <v>168</v>
      </c>
      <c r="G22" s="23">
        <v>297</v>
      </c>
      <c r="H22" s="34">
        <v>115</v>
      </c>
      <c r="I22" s="23">
        <v>412</v>
      </c>
      <c r="J22" s="34">
        <v>158</v>
      </c>
      <c r="K22" s="23">
        <v>570</v>
      </c>
      <c r="L22" s="34">
        <v>210</v>
      </c>
      <c r="M22" s="23">
        <v>780</v>
      </c>
      <c r="O22" s="39" t="s">
        <v>39</v>
      </c>
      <c r="P22" s="34">
        <v>215</v>
      </c>
      <c r="Q22" s="23">
        <v>995</v>
      </c>
      <c r="R22" s="34">
        <v>169</v>
      </c>
      <c r="S22" s="23">
        <v>1164</v>
      </c>
      <c r="T22" s="34">
        <v>192</v>
      </c>
      <c r="U22" s="23">
        <v>1356</v>
      </c>
      <c r="V22" s="34">
        <v>205</v>
      </c>
      <c r="W22" s="23">
        <v>1561</v>
      </c>
      <c r="X22" s="34">
        <v>193</v>
      </c>
      <c r="Y22" s="23">
        <v>1754</v>
      </c>
      <c r="Z22" s="34">
        <v>154</v>
      </c>
      <c r="AA22" s="23">
        <v>1908</v>
      </c>
    </row>
    <row r="23" spans="1:27" s="60" customFormat="1" ht="12.95" customHeight="1" x14ac:dyDescent="0.15">
      <c r="B23" s="39" t="s">
        <v>40</v>
      </c>
      <c r="C23" s="34">
        <v>16</v>
      </c>
      <c r="D23" s="34">
        <v>16</v>
      </c>
      <c r="E23" s="23">
        <v>32</v>
      </c>
      <c r="F23" s="34">
        <v>18</v>
      </c>
      <c r="G23" s="23">
        <v>50</v>
      </c>
      <c r="H23" s="34">
        <v>16</v>
      </c>
      <c r="I23" s="23">
        <v>66</v>
      </c>
      <c r="J23" s="34">
        <v>22</v>
      </c>
      <c r="K23" s="23">
        <v>88</v>
      </c>
      <c r="L23" s="34">
        <v>22</v>
      </c>
      <c r="M23" s="23">
        <v>110</v>
      </c>
      <c r="O23" s="39" t="s">
        <v>40</v>
      </c>
      <c r="P23" s="34">
        <v>23</v>
      </c>
      <c r="Q23" s="23">
        <v>133</v>
      </c>
      <c r="R23" s="34">
        <v>19</v>
      </c>
      <c r="S23" s="23">
        <v>152</v>
      </c>
      <c r="T23" s="34">
        <v>19</v>
      </c>
      <c r="U23" s="23">
        <v>171</v>
      </c>
      <c r="V23" s="34">
        <v>17</v>
      </c>
      <c r="W23" s="23">
        <v>188</v>
      </c>
      <c r="X23" s="34">
        <v>15</v>
      </c>
      <c r="Y23" s="23">
        <v>203</v>
      </c>
      <c r="Z23" s="34">
        <v>16</v>
      </c>
      <c r="AA23" s="23">
        <v>219</v>
      </c>
    </row>
    <row r="24" spans="1:27" s="60" customFormat="1" ht="12.95" customHeight="1" x14ac:dyDescent="0.15">
      <c r="B24" s="39" t="s">
        <v>84</v>
      </c>
      <c r="C24" s="14">
        <v>1808</v>
      </c>
      <c r="D24" s="14">
        <v>2000</v>
      </c>
      <c r="E24" s="23">
        <v>3808</v>
      </c>
      <c r="F24" s="14">
        <v>2282</v>
      </c>
      <c r="G24" s="23">
        <v>6090</v>
      </c>
      <c r="H24" s="14">
        <v>1989</v>
      </c>
      <c r="I24" s="23">
        <v>8079</v>
      </c>
      <c r="J24" s="14">
        <v>2256</v>
      </c>
      <c r="K24" s="23">
        <v>10335</v>
      </c>
      <c r="L24" s="14">
        <v>2308</v>
      </c>
      <c r="M24" s="23">
        <v>12643</v>
      </c>
      <c r="O24" s="39" t="s">
        <v>84</v>
      </c>
      <c r="P24" s="14">
        <v>2386</v>
      </c>
      <c r="Q24" s="23">
        <v>15029</v>
      </c>
      <c r="R24" s="14">
        <v>2087</v>
      </c>
      <c r="S24" s="23">
        <v>17116</v>
      </c>
      <c r="T24" s="14">
        <v>2241</v>
      </c>
      <c r="U24" s="23">
        <v>19357</v>
      </c>
      <c r="V24" s="14">
        <v>2288</v>
      </c>
      <c r="W24" s="23">
        <v>21645</v>
      </c>
      <c r="X24" s="14">
        <v>2200</v>
      </c>
      <c r="Y24" s="23">
        <v>23845</v>
      </c>
      <c r="Z24" s="14">
        <v>2151</v>
      </c>
      <c r="AA24" s="23">
        <v>25996</v>
      </c>
    </row>
    <row r="25" spans="1:27" s="60" customFormat="1" ht="12.95" customHeight="1" x14ac:dyDescent="0.15">
      <c r="A25" s="99"/>
      <c r="B25" s="99"/>
      <c r="C25" s="35"/>
      <c r="D25" s="35"/>
      <c r="E25" s="24"/>
      <c r="F25" s="35"/>
      <c r="G25" s="24"/>
      <c r="H25" s="35"/>
      <c r="I25" s="24"/>
      <c r="J25" s="35"/>
      <c r="K25" s="24"/>
      <c r="L25" s="35"/>
      <c r="M25" s="24"/>
      <c r="N25" s="99"/>
      <c r="O25" s="99"/>
      <c r="P25" s="35"/>
      <c r="Q25" s="24"/>
      <c r="R25" s="35"/>
      <c r="S25" s="24"/>
      <c r="T25" s="35"/>
      <c r="U25" s="24"/>
      <c r="V25" s="35"/>
      <c r="W25" s="24"/>
      <c r="X25" s="35"/>
      <c r="Y25" s="24"/>
      <c r="Z25" s="35"/>
      <c r="AA25" s="24"/>
    </row>
    <row r="26" spans="1:27" s="60" customFormat="1" ht="12.95" customHeight="1" x14ac:dyDescent="0.15">
      <c r="A26" s="39" t="s">
        <v>68</v>
      </c>
      <c r="B26" s="39" t="s">
        <v>41</v>
      </c>
      <c r="C26" s="34">
        <v>7</v>
      </c>
      <c r="D26" s="34">
        <v>6</v>
      </c>
      <c r="E26" s="23">
        <v>13</v>
      </c>
      <c r="F26" s="34">
        <v>7</v>
      </c>
      <c r="G26" s="23">
        <v>20</v>
      </c>
      <c r="H26" s="34">
        <v>5</v>
      </c>
      <c r="I26" s="23">
        <v>25</v>
      </c>
      <c r="J26" s="34">
        <v>3</v>
      </c>
      <c r="K26" s="23">
        <v>28</v>
      </c>
      <c r="L26" s="34">
        <v>1</v>
      </c>
      <c r="M26" s="23">
        <v>29</v>
      </c>
      <c r="N26" s="39" t="s">
        <v>68</v>
      </c>
      <c r="O26" s="39" t="s">
        <v>41</v>
      </c>
      <c r="P26" s="34">
        <v>5</v>
      </c>
      <c r="Q26" s="23">
        <v>34</v>
      </c>
      <c r="R26" s="34">
        <v>5</v>
      </c>
      <c r="S26" s="23">
        <v>39</v>
      </c>
      <c r="T26" s="34">
        <v>6</v>
      </c>
      <c r="U26" s="23">
        <v>45</v>
      </c>
      <c r="V26" s="34">
        <v>6</v>
      </c>
      <c r="W26" s="23">
        <v>51</v>
      </c>
      <c r="X26" s="34">
        <v>25</v>
      </c>
      <c r="Y26" s="23">
        <v>76</v>
      </c>
      <c r="Z26" s="34">
        <v>4</v>
      </c>
      <c r="AA26" s="23">
        <v>80</v>
      </c>
    </row>
    <row r="27" spans="1:27" s="60" customFormat="1" ht="12.95" customHeight="1" x14ac:dyDescent="0.15">
      <c r="B27" s="39" t="s">
        <v>65</v>
      </c>
      <c r="C27" s="34">
        <v>75</v>
      </c>
      <c r="D27" s="34">
        <v>141</v>
      </c>
      <c r="E27" s="23">
        <v>216</v>
      </c>
      <c r="F27" s="34">
        <v>83</v>
      </c>
      <c r="G27" s="23">
        <v>299</v>
      </c>
      <c r="H27" s="34">
        <v>76</v>
      </c>
      <c r="I27" s="23">
        <v>375</v>
      </c>
      <c r="J27" s="34">
        <v>27</v>
      </c>
      <c r="K27" s="23">
        <v>402</v>
      </c>
      <c r="L27" s="34">
        <v>23</v>
      </c>
      <c r="M27" s="23">
        <v>425</v>
      </c>
      <c r="O27" s="39" t="s">
        <v>42</v>
      </c>
      <c r="P27" s="34">
        <v>19</v>
      </c>
      <c r="Q27" s="23">
        <v>444</v>
      </c>
      <c r="R27" s="34">
        <v>33</v>
      </c>
      <c r="S27" s="23">
        <v>477</v>
      </c>
      <c r="T27" s="34">
        <v>20</v>
      </c>
      <c r="U27" s="23">
        <v>497</v>
      </c>
      <c r="V27" s="34">
        <v>19</v>
      </c>
      <c r="W27" s="23">
        <v>516</v>
      </c>
      <c r="X27" s="34">
        <v>21</v>
      </c>
      <c r="Y27" s="23">
        <v>537</v>
      </c>
      <c r="Z27" s="34">
        <v>19</v>
      </c>
      <c r="AA27" s="23">
        <v>556</v>
      </c>
    </row>
    <row r="28" spans="1:27" s="60" customFormat="1" ht="12.95" hidden="1" customHeight="1" x14ac:dyDescent="0.15">
      <c r="B28" s="40" t="s">
        <v>63</v>
      </c>
      <c r="C28" s="34"/>
      <c r="D28" s="34"/>
      <c r="E28" s="23">
        <v>0</v>
      </c>
      <c r="F28" s="34"/>
      <c r="G28" s="23">
        <v>0</v>
      </c>
      <c r="H28" s="34"/>
      <c r="I28" s="23">
        <v>0</v>
      </c>
      <c r="J28" s="34"/>
      <c r="K28" s="23">
        <v>0</v>
      </c>
      <c r="L28" s="34"/>
      <c r="M28" s="23">
        <v>0</v>
      </c>
      <c r="O28" s="40" t="s">
        <v>64</v>
      </c>
      <c r="P28" s="34"/>
      <c r="Q28" s="23">
        <v>0</v>
      </c>
      <c r="R28" s="34"/>
      <c r="S28" s="23">
        <v>0</v>
      </c>
      <c r="T28" s="34"/>
      <c r="U28" s="23">
        <v>0</v>
      </c>
      <c r="V28" s="34"/>
      <c r="W28" s="23">
        <v>0</v>
      </c>
      <c r="X28" s="34"/>
      <c r="Y28" s="23">
        <v>0</v>
      </c>
      <c r="Z28" s="34"/>
      <c r="AA28" s="23">
        <v>0</v>
      </c>
    </row>
    <row r="29" spans="1:27" s="60" customFormat="1" ht="12.95" customHeight="1" x14ac:dyDescent="0.15">
      <c r="B29" s="39" t="s">
        <v>33</v>
      </c>
      <c r="C29" s="14">
        <v>82</v>
      </c>
      <c r="D29" s="14">
        <v>147</v>
      </c>
      <c r="E29" s="23">
        <v>229</v>
      </c>
      <c r="F29" s="14">
        <v>90</v>
      </c>
      <c r="G29" s="23">
        <v>319</v>
      </c>
      <c r="H29" s="14">
        <v>81</v>
      </c>
      <c r="I29" s="23">
        <v>400</v>
      </c>
      <c r="J29" s="14">
        <v>30</v>
      </c>
      <c r="K29" s="23">
        <v>430</v>
      </c>
      <c r="L29" s="14">
        <v>24</v>
      </c>
      <c r="M29" s="23">
        <v>454</v>
      </c>
      <c r="O29" s="39" t="s">
        <v>33</v>
      </c>
      <c r="P29" s="14">
        <v>24</v>
      </c>
      <c r="Q29" s="23">
        <v>478</v>
      </c>
      <c r="R29" s="14">
        <v>38</v>
      </c>
      <c r="S29" s="23">
        <v>516</v>
      </c>
      <c r="T29" s="14">
        <v>26</v>
      </c>
      <c r="U29" s="23">
        <v>542</v>
      </c>
      <c r="V29" s="14">
        <v>25</v>
      </c>
      <c r="W29" s="23">
        <v>567</v>
      </c>
      <c r="X29" s="14">
        <v>46</v>
      </c>
      <c r="Y29" s="23">
        <v>613</v>
      </c>
      <c r="Z29" s="14">
        <v>23</v>
      </c>
      <c r="AA29" s="23">
        <v>636</v>
      </c>
    </row>
    <row r="30" spans="1:27" s="60" customFormat="1" ht="12.95" customHeight="1" x14ac:dyDescent="0.15">
      <c r="C30" s="14"/>
      <c r="D30" s="14"/>
      <c r="E30" s="23" t="s">
        <v>93</v>
      </c>
      <c r="F30" s="14"/>
      <c r="G30" s="23" t="s">
        <v>93</v>
      </c>
      <c r="H30" s="14"/>
      <c r="I30" s="23" t="s">
        <v>93</v>
      </c>
      <c r="J30" s="14"/>
      <c r="K30" s="23" t="s">
        <v>93</v>
      </c>
      <c r="L30" s="14"/>
      <c r="M30" s="23" t="s">
        <v>93</v>
      </c>
      <c r="P30" s="14"/>
      <c r="Q30" s="23"/>
      <c r="R30" s="14"/>
      <c r="S30" s="23" t="s">
        <v>93</v>
      </c>
      <c r="T30" s="14"/>
      <c r="U30" s="23" t="s">
        <v>93</v>
      </c>
      <c r="V30" s="14"/>
      <c r="W30" s="23" t="s">
        <v>93</v>
      </c>
      <c r="X30" s="14"/>
      <c r="Y30" s="23" t="s">
        <v>93</v>
      </c>
      <c r="Z30" s="14"/>
      <c r="AA30" s="23" t="s">
        <v>93</v>
      </c>
    </row>
    <row r="31" spans="1:27" s="60" customFormat="1" ht="12.95" customHeight="1" x14ac:dyDescent="0.15">
      <c r="A31" s="85" t="s">
        <v>36</v>
      </c>
      <c r="B31" s="59" t="s">
        <v>43</v>
      </c>
      <c r="C31" s="34">
        <v>50</v>
      </c>
      <c r="D31" s="34">
        <v>116</v>
      </c>
      <c r="E31" s="25">
        <v>166</v>
      </c>
      <c r="F31" s="34">
        <v>55</v>
      </c>
      <c r="G31" s="25">
        <v>221</v>
      </c>
      <c r="H31" s="34">
        <v>51</v>
      </c>
      <c r="I31" s="25">
        <v>272</v>
      </c>
      <c r="J31" s="34">
        <v>1.0000000000000001E-15</v>
      </c>
      <c r="K31" s="25">
        <v>272</v>
      </c>
      <c r="L31" s="34">
        <v>1.0000000000000001E-15</v>
      </c>
      <c r="M31" s="25">
        <v>272</v>
      </c>
      <c r="N31" s="85" t="s">
        <v>36</v>
      </c>
      <c r="O31" s="59" t="s">
        <v>43</v>
      </c>
      <c r="P31" s="34">
        <v>1.0000000000000001E-15</v>
      </c>
      <c r="Q31" s="25">
        <v>272</v>
      </c>
      <c r="R31" s="34">
        <v>13</v>
      </c>
      <c r="S31" s="25">
        <v>285</v>
      </c>
      <c r="T31" s="34">
        <v>1.0000000000000001E-15</v>
      </c>
      <c r="U31" s="25">
        <v>285</v>
      </c>
      <c r="V31" s="34">
        <v>1.0000000000000001E-15</v>
      </c>
      <c r="W31" s="25">
        <v>285</v>
      </c>
      <c r="X31" s="34">
        <v>1.0000000000000001E-15</v>
      </c>
      <c r="Y31" s="25">
        <v>285</v>
      </c>
      <c r="Z31" s="34">
        <v>1.0000000000000001E-15</v>
      </c>
      <c r="AA31" s="25">
        <v>285</v>
      </c>
    </row>
    <row r="32" spans="1:27" s="60" customFormat="1" ht="12.95" customHeight="1" x14ac:dyDescent="0.15">
      <c r="A32" s="59" t="s">
        <v>27</v>
      </c>
      <c r="B32" s="59" t="s">
        <v>44</v>
      </c>
      <c r="C32" s="14">
        <v>32</v>
      </c>
      <c r="D32" s="14">
        <v>31</v>
      </c>
      <c r="E32" s="23">
        <v>63</v>
      </c>
      <c r="F32" s="14">
        <v>35</v>
      </c>
      <c r="G32" s="23">
        <v>98</v>
      </c>
      <c r="H32" s="14">
        <v>30</v>
      </c>
      <c r="I32" s="23">
        <v>128</v>
      </c>
      <c r="J32" s="14">
        <v>30</v>
      </c>
      <c r="K32" s="23">
        <v>158</v>
      </c>
      <c r="L32" s="14">
        <v>24</v>
      </c>
      <c r="M32" s="23">
        <v>182</v>
      </c>
      <c r="N32" s="59" t="s">
        <v>27</v>
      </c>
      <c r="O32" s="59" t="s">
        <v>44</v>
      </c>
      <c r="P32" s="14">
        <v>24</v>
      </c>
      <c r="Q32" s="23">
        <v>206</v>
      </c>
      <c r="R32" s="14">
        <v>25</v>
      </c>
      <c r="S32" s="23">
        <v>231</v>
      </c>
      <c r="T32" s="14">
        <v>26</v>
      </c>
      <c r="U32" s="23">
        <v>257</v>
      </c>
      <c r="V32" s="14">
        <v>25</v>
      </c>
      <c r="W32" s="23">
        <v>282</v>
      </c>
      <c r="X32" s="14">
        <v>46</v>
      </c>
      <c r="Y32" s="23">
        <v>328</v>
      </c>
      <c r="Z32" s="14">
        <v>23</v>
      </c>
      <c r="AA32" s="23">
        <v>351</v>
      </c>
    </row>
    <row r="33" spans="1:27" s="60" customFormat="1" ht="12.95" customHeight="1" x14ac:dyDescent="0.15">
      <c r="A33" s="99"/>
      <c r="B33" s="99"/>
      <c r="C33" s="35"/>
      <c r="D33" s="35"/>
      <c r="E33" s="24"/>
      <c r="F33" s="35"/>
      <c r="G33" s="24"/>
      <c r="H33" s="35"/>
      <c r="I33" s="24"/>
      <c r="J33" s="35"/>
      <c r="K33" s="24"/>
      <c r="L33" s="35"/>
      <c r="M33" s="24"/>
      <c r="N33" s="99"/>
      <c r="O33" s="99"/>
      <c r="P33" s="35"/>
      <c r="Q33" s="24"/>
      <c r="R33" s="35"/>
      <c r="S33" s="24"/>
      <c r="T33" s="35"/>
      <c r="U33" s="24"/>
      <c r="V33" s="35"/>
      <c r="W33" s="24"/>
      <c r="X33" s="35"/>
      <c r="Y33" s="24"/>
      <c r="Z33" s="35"/>
      <c r="AA33" s="24"/>
    </row>
    <row r="34" spans="1:27" s="60" customFormat="1" ht="12.95" customHeight="1" x14ac:dyDescent="0.15">
      <c r="A34" s="39" t="s">
        <v>45</v>
      </c>
      <c r="B34" s="39"/>
      <c r="C34" s="14">
        <v>29.4</v>
      </c>
      <c r="D34" s="14">
        <v>32</v>
      </c>
      <c r="E34" s="23">
        <v>61.4</v>
      </c>
      <c r="F34" s="14">
        <v>36.700000000000003</v>
      </c>
      <c r="G34" s="23">
        <v>98.1</v>
      </c>
      <c r="H34" s="14">
        <v>29.1</v>
      </c>
      <c r="I34" s="23">
        <v>127.19999999999999</v>
      </c>
      <c r="J34" s="14">
        <v>34.9</v>
      </c>
      <c r="K34" s="23">
        <v>162.1</v>
      </c>
      <c r="L34" s="14">
        <v>33.9</v>
      </c>
      <c r="M34" s="23">
        <v>196</v>
      </c>
      <c r="N34" s="39" t="s">
        <v>45</v>
      </c>
      <c r="O34" s="39"/>
      <c r="P34" s="14">
        <v>34.299999999999997</v>
      </c>
      <c r="Q34" s="23">
        <v>230.3</v>
      </c>
      <c r="R34" s="14">
        <v>23.3</v>
      </c>
      <c r="S34" s="23">
        <v>253.60000000000002</v>
      </c>
      <c r="T34" s="14">
        <v>34.799999999999997</v>
      </c>
      <c r="U34" s="23">
        <v>288.40000000000003</v>
      </c>
      <c r="V34" s="14">
        <v>35.799999999999997</v>
      </c>
      <c r="W34" s="23">
        <v>324.20000000000005</v>
      </c>
      <c r="X34" s="14">
        <v>34.5</v>
      </c>
      <c r="Y34" s="23">
        <v>358.70000000000005</v>
      </c>
      <c r="Z34" s="14">
        <v>28.3</v>
      </c>
      <c r="AA34" s="23">
        <v>387.00000000000006</v>
      </c>
    </row>
    <row r="35" spans="1:27" s="60" customFormat="1" ht="12.95" customHeight="1" x14ac:dyDescent="0.15">
      <c r="A35" s="85" t="s">
        <v>36</v>
      </c>
      <c r="B35" s="59" t="s">
        <v>46</v>
      </c>
      <c r="C35" s="34">
        <v>0.1</v>
      </c>
      <c r="D35" s="34">
        <v>0.1</v>
      </c>
      <c r="E35" s="23">
        <v>0.2</v>
      </c>
      <c r="F35" s="34">
        <v>0.18</v>
      </c>
      <c r="G35" s="23">
        <v>0.38</v>
      </c>
      <c r="H35" s="34">
        <v>0.1</v>
      </c>
      <c r="I35" s="23">
        <v>0.48</v>
      </c>
      <c r="J35" s="34">
        <v>0.1</v>
      </c>
      <c r="K35" s="23">
        <v>0.57999999999999996</v>
      </c>
      <c r="L35" s="34">
        <v>0.1</v>
      </c>
      <c r="M35" s="23">
        <v>0.67999999999999994</v>
      </c>
      <c r="N35" s="85" t="s">
        <v>36</v>
      </c>
      <c r="O35" s="59" t="s">
        <v>46</v>
      </c>
      <c r="P35" s="34">
        <v>0.1</v>
      </c>
      <c r="Q35" s="23">
        <v>0.77999999999999992</v>
      </c>
      <c r="R35" s="34">
        <v>0.1</v>
      </c>
      <c r="S35" s="23">
        <v>0.87999999999999989</v>
      </c>
      <c r="T35" s="34">
        <v>0.1</v>
      </c>
      <c r="U35" s="23">
        <v>0.97999999999999987</v>
      </c>
      <c r="V35" s="34">
        <v>0.2</v>
      </c>
      <c r="W35" s="23">
        <v>1.18</v>
      </c>
      <c r="X35" s="34">
        <v>0.2</v>
      </c>
      <c r="Y35" s="23">
        <v>1.38</v>
      </c>
      <c r="Z35" s="34">
        <v>0.2</v>
      </c>
      <c r="AA35" s="23">
        <v>1.5799999999999998</v>
      </c>
    </row>
    <row r="36" spans="1:27" s="60" customFormat="1" ht="12.95" customHeight="1" x14ac:dyDescent="0.15">
      <c r="A36" s="99"/>
      <c r="B36" s="99"/>
      <c r="C36" s="35"/>
      <c r="D36" s="35"/>
      <c r="E36" s="24"/>
      <c r="F36" s="35"/>
      <c r="G36" s="24"/>
      <c r="H36" s="35"/>
      <c r="I36" s="24"/>
      <c r="J36" s="35"/>
      <c r="K36" s="24"/>
      <c r="L36" s="35"/>
      <c r="M36" s="24"/>
      <c r="N36" s="99"/>
      <c r="O36" s="99"/>
      <c r="P36" s="35"/>
      <c r="Q36" s="24"/>
      <c r="R36" s="35"/>
      <c r="S36" s="24"/>
      <c r="T36" s="35"/>
      <c r="U36" s="24"/>
      <c r="V36" s="35"/>
      <c r="W36" s="24"/>
      <c r="X36" s="35"/>
      <c r="Y36" s="24"/>
      <c r="Z36" s="35"/>
      <c r="AA36" s="24"/>
    </row>
    <row r="37" spans="1:27" s="60" customFormat="1" ht="12.95" customHeight="1" x14ac:dyDescent="0.15">
      <c r="A37" s="39" t="s">
        <v>69</v>
      </c>
      <c r="B37" s="59"/>
      <c r="C37" s="34">
        <v>306</v>
      </c>
      <c r="D37" s="34">
        <v>299</v>
      </c>
      <c r="E37" s="23">
        <v>605</v>
      </c>
      <c r="F37" s="14">
        <v>283</v>
      </c>
      <c r="G37" s="23">
        <v>888</v>
      </c>
      <c r="H37" s="14">
        <v>241</v>
      </c>
      <c r="I37" s="23">
        <v>1129</v>
      </c>
      <c r="J37" s="14">
        <v>245</v>
      </c>
      <c r="K37" s="23">
        <v>1374</v>
      </c>
      <c r="L37" s="14">
        <v>233</v>
      </c>
      <c r="M37" s="23">
        <v>1607</v>
      </c>
      <c r="N37" s="39" t="s">
        <v>69</v>
      </c>
      <c r="O37" s="59"/>
      <c r="P37" s="14">
        <v>231</v>
      </c>
      <c r="Q37" s="23">
        <v>1838</v>
      </c>
      <c r="R37" s="14">
        <v>237</v>
      </c>
      <c r="S37" s="23">
        <v>2075</v>
      </c>
      <c r="T37" s="14">
        <v>232</v>
      </c>
      <c r="U37" s="23">
        <v>2307</v>
      </c>
      <c r="V37" s="14">
        <v>247</v>
      </c>
      <c r="W37" s="23">
        <v>2554</v>
      </c>
      <c r="X37" s="14">
        <v>268</v>
      </c>
      <c r="Y37" s="23">
        <v>2822</v>
      </c>
      <c r="Z37" s="14">
        <v>323</v>
      </c>
      <c r="AA37" s="23">
        <v>3145</v>
      </c>
    </row>
    <row r="38" spans="1:27" s="60" customFormat="1" ht="12.95" customHeight="1" x14ac:dyDescent="0.15">
      <c r="A38" s="85" t="s">
        <v>36</v>
      </c>
      <c r="B38" s="59" t="s">
        <v>47</v>
      </c>
      <c r="C38" s="34">
        <v>124</v>
      </c>
      <c r="D38" s="34">
        <v>109</v>
      </c>
      <c r="E38" s="23">
        <v>233</v>
      </c>
      <c r="F38" s="34">
        <v>134</v>
      </c>
      <c r="G38" s="23">
        <v>367</v>
      </c>
      <c r="H38" s="34">
        <v>115</v>
      </c>
      <c r="I38" s="23">
        <v>482</v>
      </c>
      <c r="J38" s="34">
        <v>139</v>
      </c>
      <c r="K38" s="23">
        <v>621</v>
      </c>
      <c r="L38" s="34">
        <v>136</v>
      </c>
      <c r="M38" s="23">
        <v>757</v>
      </c>
      <c r="N38" s="85" t="s">
        <v>36</v>
      </c>
      <c r="O38" s="59" t="s">
        <v>47</v>
      </c>
      <c r="P38" s="34">
        <v>136</v>
      </c>
      <c r="Q38" s="23">
        <v>893</v>
      </c>
      <c r="R38" s="34">
        <v>135</v>
      </c>
      <c r="S38" s="23">
        <v>1028</v>
      </c>
      <c r="T38" s="34">
        <v>127</v>
      </c>
      <c r="U38" s="23">
        <v>1155</v>
      </c>
      <c r="V38" s="34">
        <v>128</v>
      </c>
      <c r="W38" s="23">
        <v>1283</v>
      </c>
      <c r="X38" s="34">
        <v>127</v>
      </c>
      <c r="Y38" s="23">
        <v>1410</v>
      </c>
      <c r="Z38" s="34">
        <v>130</v>
      </c>
      <c r="AA38" s="23">
        <v>1540</v>
      </c>
    </row>
    <row r="39" spans="1:27" s="60" customFormat="1" ht="12.95" customHeight="1" x14ac:dyDescent="0.15">
      <c r="C39" s="14"/>
      <c r="D39" s="14"/>
      <c r="E39" s="25"/>
      <c r="F39" s="14"/>
      <c r="G39" s="25"/>
      <c r="H39" s="14"/>
      <c r="I39" s="25"/>
      <c r="J39" s="14"/>
      <c r="K39" s="25"/>
      <c r="L39" s="14"/>
      <c r="M39" s="25"/>
      <c r="P39" s="14"/>
      <c r="Q39" s="23" t="s">
        <v>93</v>
      </c>
      <c r="R39" s="14"/>
      <c r="S39" s="25"/>
      <c r="T39" s="14"/>
      <c r="U39" s="25"/>
      <c r="V39" s="14"/>
      <c r="W39" s="25"/>
      <c r="X39" s="14"/>
      <c r="Y39" s="25"/>
      <c r="Z39" s="14"/>
      <c r="AA39" s="25"/>
    </row>
    <row r="40" spans="1:27" s="60" customFormat="1" ht="12.95" customHeight="1" x14ac:dyDescent="0.15">
      <c r="A40" s="39" t="s">
        <v>48</v>
      </c>
      <c r="C40" s="34">
        <v>86</v>
      </c>
      <c r="D40" s="34">
        <v>100</v>
      </c>
      <c r="E40" s="23">
        <v>186</v>
      </c>
      <c r="F40" s="34">
        <v>134</v>
      </c>
      <c r="G40" s="23">
        <v>320</v>
      </c>
      <c r="H40" s="34">
        <v>121</v>
      </c>
      <c r="I40" s="23">
        <v>441</v>
      </c>
      <c r="J40" s="34">
        <v>162</v>
      </c>
      <c r="K40" s="23">
        <v>603</v>
      </c>
      <c r="L40" s="34">
        <v>173</v>
      </c>
      <c r="M40" s="23">
        <v>776</v>
      </c>
      <c r="N40" s="39" t="s">
        <v>48</v>
      </c>
      <c r="P40" s="34">
        <v>181</v>
      </c>
      <c r="Q40" s="23">
        <v>957</v>
      </c>
      <c r="R40" s="34">
        <v>105</v>
      </c>
      <c r="S40" s="23">
        <v>1062</v>
      </c>
      <c r="T40" s="34">
        <v>174</v>
      </c>
      <c r="U40" s="23">
        <v>1236</v>
      </c>
      <c r="V40" s="34">
        <v>185</v>
      </c>
      <c r="W40" s="23">
        <v>1421</v>
      </c>
      <c r="X40" s="34">
        <v>164</v>
      </c>
      <c r="Y40" s="23">
        <v>1585</v>
      </c>
      <c r="Z40" s="34">
        <v>95</v>
      </c>
      <c r="AA40" s="23">
        <v>1680</v>
      </c>
    </row>
    <row r="41" spans="1:27" s="60" customFormat="1" ht="12.95" customHeight="1" x14ac:dyDescent="0.15">
      <c r="A41" s="99"/>
      <c r="B41" s="99"/>
      <c r="C41" s="35"/>
      <c r="D41" s="35"/>
      <c r="E41" s="24" t="s">
        <v>93</v>
      </c>
      <c r="F41" s="35"/>
      <c r="G41" s="24" t="s">
        <v>93</v>
      </c>
      <c r="H41" s="35"/>
      <c r="I41" s="24" t="s">
        <v>93</v>
      </c>
      <c r="J41" s="35"/>
      <c r="K41" s="24" t="s">
        <v>93</v>
      </c>
      <c r="L41" s="35"/>
      <c r="M41" s="24" t="s">
        <v>93</v>
      </c>
      <c r="N41" s="99"/>
      <c r="O41" s="99"/>
      <c r="P41" s="35"/>
      <c r="Q41" s="24" t="s">
        <v>93</v>
      </c>
      <c r="R41" s="35"/>
      <c r="S41" s="24" t="s">
        <v>93</v>
      </c>
      <c r="T41" s="35"/>
      <c r="U41" s="24" t="s">
        <v>93</v>
      </c>
      <c r="V41" s="35"/>
      <c r="W41" s="24" t="s">
        <v>93</v>
      </c>
      <c r="X41" s="35"/>
      <c r="Y41" s="24" t="s">
        <v>93</v>
      </c>
      <c r="Z41" s="35"/>
      <c r="AA41" s="24" t="s">
        <v>93</v>
      </c>
    </row>
    <row r="42" spans="1:27" s="60" customFormat="1" ht="15.95" customHeight="1" x14ac:dyDescent="0.15">
      <c r="A42" s="39" t="s">
        <v>49</v>
      </c>
      <c r="B42" s="59"/>
      <c r="C42" s="113">
        <v>3147.9</v>
      </c>
      <c r="D42" s="34">
        <v>3388.5</v>
      </c>
      <c r="E42" s="23">
        <v>6536.4</v>
      </c>
      <c r="F42" s="34">
        <v>3805</v>
      </c>
      <c r="G42" s="23">
        <v>10341.4</v>
      </c>
      <c r="H42" s="34">
        <v>3458.2999999999997</v>
      </c>
      <c r="I42" s="23">
        <v>13799.699999999999</v>
      </c>
      <c r="J42" s="34">
        <v>3812</v>
      </c>
      <c r="K42" s="23">
        <v>17611.699999999997</v>
      </c>
      <c r="L42" s="34">
        <v>3932</v>
      </c>
      <c r="M42" s="23">
        <v>21543.699999999997</v>
      </c>
      <c r="N42" s="39" t="s">
        <v>49</v>
      </c>
      <c r="O42" s="59"/>
      <c r="P42" s="34">
        <v>4110.3999999999996</v>
      </c>
      <c r="Q42" s="23">
        <v>25654.1</v>
      </c>
      <c r="R42" s="34">
        <v>3738.4</v>
      </c>
      <c r="S42" s="23">
        <v>29392.5</v>
      </c>
      <c r="T42" s="34">
        <v>3869.9</v>
      </c>
      <c r="U42" s="23">
        <v>33262.400000000001</v>
      </c>
      <c r="V42" s="34">
        <v>3917.9</v>
      </c>
      <c r="W42" s="23">
        <v>37180.300000000003</v>
      </c>
      <c r="X42" s="34">
        <v>3672.7</v>
      </c>
      <c r="Y42" s="23">
        <v>40853</v>
      </c>
      <c r="Z42" s="34">
        <v>3645.4</v>
      </c>
      <c r="AA42" s="23">
        <v>44498.400000000001</v>
      </c>
    </row>
    <row r="43" spans="1:27" s="60" customFormat="1" ht="12.95" customHeight="1" x14ac:dyDescent="0.15">
      <c r="A43" s="101"/>
      <c r="B43" s="101"/>
      <c r="C43" s="37"/>
      <c r="D43" s="37"/>
      <c r="E43" s="26"/>
      <c r="F43" s="37"/>
      <c r="G43" s="26"/>
      <c r="H43" s="37"/>
      <c r="I43" s="26"/>
      <c r="J43" s="37"/>
      <c r="K43" s="26"/>
      <c r="L43" s="37"/>
      <c r="M43" s="26"/>
      <c r="N43" s="101"/>
      <c r="O43" s="101"/>
      <c r="P43" s="37"/>
      <c r="Q43" s="26"/>
      <c r="R43" s="37"/>
      <c r="S43" s="26"/>
      <c r="T43" s="37"/>
      <c r="U43" s="26"/>
      <c r="V43" s="37"/>
      <c r="W43" s="26"/>
      <c r="X43" s="37"/>
      <c r="Y43" s="26"/>
      <c r="Z43" s="37"/>
      <c r="AA43" s="26"/>
    </row>
    <row r="44" spans="1:27" s="60" customFormat="1" ht="12.95" customHeight="1" x14ac:dyDescent="0.15">
      <c r="A44" s="39" t="s">
        <v>62</v>
      </c>
      <c r="B44" s="59"/>
      <c r="C44" s="34">
        <v>125.9</v>
      </c>
      <c r="D44" s="34">
        <v>172.2</v>
      </c>
      <c r="E44" s="23">
        <v>298.10000000000002</v>
      </c>
      <c r="F44" s="34">
        <v>159.1</v>
      </c>
      <c r="G44" s="23">
        <v>457.20000000000005</v>
      </c>
      <c r="H44" s="34">
        <v>71.900000000000006</v>
      </c>
      <c r="I44" s="23">
        <v>529.1</v>
      </c>
      <c r="J44" s="34">
        <v>137.69999999999999</v>
      </c>
      <c r="K44" s="23">
        <v>666.8</v>
      </c>
      <c r="L44" s="34">
        <v>125.1</v>
      </c>
      <c r="M44" s="23">
        <v>791.9</v>
      </c>
      <c r="N44" s="39" t="s">
        <v>62</v>
      </c>
      <c r="O44" s="59"/>
      <c r="P44" s="34">
        <v>141.19999999999999</v>
      </c>
      <c r="Q44" s="23">
        <v>933.09999999999991</v>
      </c>
      <c r="R44" s="34">
        <v>100.8</v>
      </c>
      <c r="S44" s="23">
        <v>1033.8999999999999</v>
      </c>
      <c r="T44" s="34">
        <v>145.19999999999999</v>
      </c>
      <c r="U44" s="23">
        <v>1179.0999999999999</v>
      </c>
      <c r="V44" s="34">
        <v>135.6</v>
      </c>
      <c r="W44" s="23">
        <v>1314.6999999999998</v>
      </c>
      <c r="X44" s="34">
        <v>111.4</v>
      </c>
      <c r="Y44" s="23">
        <v>1426.1</v>
      </c>
      <c r="Z44" s="34">
        <v>112.2</v>
      </c>
      <c r="AA44" s="23">
        <v>1538.3</v>
      </c>
    </row>
    <row r="45" spans="1:27" s="60" customFormat="1" ht="12.95" customHeight="1" x14ac:dyDescent="0.15">
      <c r="A45" s="59"/>
      <c r="B45" s="59"/>
      <c r="C45" s="34"/>
      <c r="D45" s="34"/>
      <c r="E45" s="23"/>
      <c r="F45" s="34"/>
      <c r="G45" s="23"/>
      <c r="H45" s="34"/>
      <c r="I45" s="23"/>
      <c r="J45" s="34"/>
      <c r="K45" s="23"/>
      <c r="L45" s="34"/>
      <c r="M45" s="23"/>
      <c r="N45" s="59"/>
      <c r="O45" s="59"/>
      <c r="P45" s="34"/>
      <c r="Q45" s="23" t="s">
        <v>93</v>
      </c>
      <c r="R45" s="34"/>
      <c r="S45" s="23"/>
      <c r="T45" s="34"/>
      <c r="U45" s="23"/>
      <c r="V45" s="34"/>
      <c r="W45" s="23"/>
      <c r="X45" s="34"/>
      <c r="Y45" s="23"/>
      <c r="Z45" s="23"/>
      <c r="AA45" s="23"/>
    </row>
    <row r="46" spans="1:27" s="60" customFormat="1" ht="12.95" customHeight="1" x14ac:dyDescent="0.15">
      <c r="A46" s="39" t="s">
        <v>70</v>
      </c>
      <c r="B46" s="59"/>
      <c r="C46" s="34">
        <v>262</v>
      </c>
      <c r="D46" s="34">
        <v>268</v>
      </c>
      <c r="E46" s="23">
        <v>530</v>
      </c>
      <c r="F46" s="34">
        <v>257</v>
      </c>
      <c r="G46" s="23">
        <v>787</v>
      </c>
      <c r="H46" s="34">
        <v>299</v>
      </c>
      <c r="I46" s="23">
        <v>1086</v>
      </c>
      <c r="J46" s="34">
        <v>229</v>
      </c>
      <c r="K46" s="23">
        <v>1315</v>
      </c>
      <c r="L46" s="34">
        <v>195</v>
      </c>
      <c r="M46" s="23">
        <v>1510</v>
      </c>
      <c r="N46" s="39" t="s">
        <v>70</v>
      </c>
      <c r="O46" s="59"/>
      <c r="P46" s="34">
        <v>191</v>
      </c>
      <c r="Q46" s="23">
        <v>1701</v>
      </c>
      <c r="R46" s="34">
        <v>238</v>
      </c>
      <c r="S46" s="23">
        <v>1939</v>
      </c>
      <c r="T46" s="34">
        <v>219</v>
      </c>
      <c r="U46" s="23">
        <v>2158</v>
      </c>
      <c r="V46" s="34">
        <v>281</v>
      </c>
      <c r="W46" s="23">
        <v>2439</v>
      </c>
      <c r="X46" s="34">
        <v>235</v>
      </c>
      <c r="Y46" s="23">
        <v>2674</v>
      </c>
      <c r="Z46" s="34">
        <v>181</v>
      </c>
      <c r="AA46" s="23">
        <v>2855</v>
      </c>
    </row>
    <row r="47" spans="1:27" s="60" customFormat="1" ht="12.95" customHeight="1" x14ac:dyDescent="0.15">
      <c r="A47" s="59"/>
      <c r="B47" s="59"/>
      <c r="C47" s="34"/>
      <c r="D47" s="34"/>
      <c r="E47" s="23"/>
      <c r="F47" s="34"/>
      <c r="G47" s="23"/>
      <c r="H47" s="34"/>
      <c r="I47" s="23"/>
      <c r="J47" s="34"/>
      <c r="K47" s="23"/>
      <c r="L47" s="34"/>
      <c r="M47" s="23"/>
      <c r="N47" s="59"/>
      <c r="O47" s="59"/>
      <c r="P47" s="34"/>
      <c r="Q47" s="23" t="s">
        <v>93</v>
      </c>
      <c r="R47" s="34"/>
      <c r="S47" s="23"/>
      <c r="T47" s="34"/>
      <c r="U47" s="23"/>
      <c r="V47" s="34"/>
      <c r="W47" s="23"/>
      <c r="X47" s="34"/>
      <c r="Y47" s="23"/>
      <c r="Z47" s="34"/>
      <c r="AA47" s="23"/>
    </row>
    <row r="48" spans="1:27" s="60" customFormat="1" ht="12.95" customHeight="1" x14ac:dyDescent="0.15">
      <c r="A48" s="39" t="s">
        <v>50</v>
      </c>
      <c r="B48" s="59" t="s">
        <v>34</v>
      </c>
      <c r="C48" s="34">
        <v>35</v>
      </c>
      <c r="D48" s="34">
        <v>39</v>
      </c>
      <c r="E48" s="23">
        <v>74</v>
      </c>
      <c r="F48" s="34">
        <v>42</v>
      </c>
      <c r="G48" s="23">
        <v>116</v>
      </c>
      <c r="H48" s="34">
        <v>50</v>
      </c>
      <c r="I48" s="23">
        <v>166</v>
      </c>
      <c r="J48" s="34">
        <v>55</v>
      </c>
      <c r="K48" s="23">
        <v>221</v>
      </c>
      <c r="L48" s="34">
        <v>56</v>
      </c>
      <c r="M48" s="23">
        <v>277</v>
      </c>
      <c r="N48" s="39" t="s">
        <v>50</v>
      </c>
      <c r="O48" s="59" t="s">
        <v>34</v>
      </c>
      <c r="P48" s="34">
        <v>56</v>
      </c>
      <c r="Q48" s="23">
        <v>333</v>
      </c>
      <c r="R48" s="34">
        <v>54</v>
      </c>
      <c r="S48" s="23">
        <v>387</v>
      </c>
      <c r="T48" s="34">
        <v>53</v>
      </c>
      <c r="U48" s="23">
        <v>440</v>
      </c>
      <c r="V48" s="34">
        <v>58</v>
      </c>
      <c r="W48" s="23">
        <v>498</v>
      </c>
      <c r="X48" s="34">
        <v>47</v>
      </c>
      <c r="Y48" s="23">
        <v>545</v>
      </c>
      <c r="Z48" s="34">
        <v>36</v>
      </c>
      <c r="AA48" s="23">
        <v>581</v>
      </c>
    </row>
    <row r="49" spans="1:27" s="60" customFormat="1" ht="12.95" customHeight="1" x14ac:dyDescent="0.15">
      <c r="A49" s="59"/>
      <c r="B49" s="59" t="s">
        <v>68</v>
      </c>
      <c r="C49" s="34">
        <v>144</v>
      </c>
      <c r="D49" s="34">
        <v>140</v>
      </c>
      <c r="E49" s="23">
        <v>284</v>
      </c>
      <c r="F49" s="34">
        <v>163</v>
      </c>
      <c r="G49" s="23">
        <v>447</v>
      </c>
      <c r="H49" s="34">
        <v>135</v>
      </c>
      <c r="I49" s="23">
        <v>582</v>
      </c>
      <c r="J49" s="34">
        <v>180</v>
      </c>
      <c r="K49" s="23">
        <v>762</v>
      </c>
      <c r="L49" s="34">
        <v>187</v>
      </c>
      <c r="M49" s="23">
        <v>949</v>
      </c>
      <c r="N49" s="59"/>
      <c r="O49" s="59" t="s">
        <v>68</v>
      </c>
      <c r="P49" s="34">
        <v>216</v>
      </c>
      <c r="Q49" s="23">
        <v>1165</v>
      </c>
      <c r="R49" s="34">
        <v>220</v>
      </c>
      <c r="S49" s="23">
        <v>1385</v>
      </c>
      <c r="T49" s="34">
        <v>194</v>
      </c>
      <c r="U49" s="23">
        <v>1579</v>
      </c>
      <c r="V49" s="34">
        <v>186</v>
      </c>
      <c r="W49" s="23">
        <v>1765</v>
      </c>
      <c r="X49" s="34">
        <v>151</v>
      </c>
      <c r="Y49" s="23">
        <v>1916</v>
      </c>
      <c r="Z49" s="34">
        <v>127</v>
      </c>
      <c r="AA49" s="23">
        <v>2043</v>
      </c>
    </row>
    <row r="50" spans="1:27" s="60" customFormat="1" ht="12.95" customHeight="1" x14ac:dyDescent="0.15">
      <c r="A50" s="59"/>
      <c r="B50" s="59" t="s">
        <v>51</v>
      </c>
      <c r="C50" s="34">
        <v>1.2</v>
      </c>
      <c r="D50" s="34">
        <v>1.3</v>
      </c>
      <c r="E50" s="23">
        <v>2.5</v>
      </c>
      <c r="F50" s="34">
        <v>1.9</v>
      </c>
      <c r="G50" s="23">
        <v>4.4000000000000004</v>
      </c>
      <c r="H50" s="34">
        <v>1.8</v>
      </c>
      <c r="I50" s="23">
        <v>6.2</v>
      </c>
      <c r="J50" s="34">
        <v>2.2999999999999998</v>
      </c>
      <c r="K50" s="23">
        <v>8.5</v>
      </c>
      <c r="L50" s="34">
        <v>1.9</v>
      </c>
      <c r="M50" s="23">
        <v>10.4</v>
      </c>
      <c r="N50" s="59"/>
      <c r="O50" s="59" t="s">
        <v>51</v>
      </c>
      <c r="P50" s="34">
        <v>2.4</v>
      </c>
      <c r="Q50" s="23">
        <v>12.8</v>
      </c>
      <c r="R50" s="34">
        <v>1.8</v>
      </c>
      <c r="S50" s="23">
        <v>14.600000000000001</v>
      </c>
      <c r="T50" s="34">
        <v>1.9</v>
      </c>
      <c r="U50" s="23">
        <v>16.5</v>
      </c>
      <c r="V50" s="34">
        <v>2.5</v>
      </c>
      <c r="W50" s="23">
        <v>19</v>
      </c>
      <c r="X50" s="34">
        <v>1.9</v>
      </c>
      <c r="Y50" s="23">
        <v>20.9</v>
      </c>
      <c r="Z50" s="34">
        <v>1.4</v>
      </c>
      <c r="AA50" s="23">
        <v>22.299999999999997</v>
      </c>
    </row>
    <row r="51" spans="1:27" s="60" customFormat="1" ht="12.95" customHeight="1" x14ac:dyDescent="0.15">
      <c r="A51" s="59"/>
      <c r="B51" s="59" t="s">
        <v>52</v>
      </c>
      <c r="C51" s="14">
        <v>180.2</v>
      </c>
      <c r="D51" s="14">
        <v>180.3</v>
      </c>
      <c r="E51" s="23">
        <v>360.5</v>
      </c>
      <c r="F51" s="14">
        <v>206.9</v>
      </c>
      <c r="G51" s="23">
        <v>567.4</v>
      </c>
      <c r="H51" s="14">
        <v>186.8</v>
      </c>
      <c r="I51" s="23">
        <v>754.2</v>
      </c>
      <c r="J51" s="14">
        <v>237.3</v>
      </c>
      <c r="K51" s="23">
        <v>991.5</v>
      </c>
      <c r="L51" s="14">
        <v>244.9</v>
      </c>
      <c r="M51" s="23">
        <v>1236.4000000000001</v>
      </c>
      <c r="N51" s="59"/>
      <c r="O51" s="59" t="s">
        <v>52</v>
      </c>
      <c r="P51" s="14">
        <v>274.39999999999998</v>
      </c>
      <c r="Q51" s="23">
        <v>1510.8000000000002</v>
      </c>
      <c r="R51" s="14">
        <v>275.8</v>
      </c>
      <c r="S51" s="23">
        <v>1786.6000000000001</v>
      </c>
      <c r="T51" s="14">
        <v>248.9</v>
      </c>
      <c r="U51" s="23">
        <v>2035.5000000000002</v>
      </c>
      <c r="V51" s="14">
        <v>246.5</v>
      </c>
      <c r="W51" s="23">
        <v>2282</v>
      </c>
      <c r="X51" s="14">
        <v>199.9</v>
      </c>
      <c r="Y51" s="23">
        <v>2481.9</v>
      </c>
      <c r="Z51" s="14">
        <v>164.4</v>
      </c>
      <c r="AA51" s="23">
        <v>2646.3</v>
      </c>
    </row>
    <row r="52" spans="1:27" s="60" customFormat="1" ht="12.95" customHeight="1" x14ac:dyDescent="0.15">
      <c r="A52" s="59"/>
      <c r="B52" s="59"/>
      <c r="C52" s="34"/>
      <c r="D52" s="34"/>
      <c r="E52" s="24"/>
      <c r="F52" s="34"/>
      <c r="G52" s="24"/>
      <c r="H52" s="34"/>
      <c r="I52" s="24"/>
      <c r="J52" s="34"/>
      <c r="K52" s="24"/>
      <c r="L52" s="34"/>
      <c r="M52" s="24"/>
      <c r="N52" s="59"/>
      <c r="O52" s="59"/>
      <c r="P52" s="34"/>
      <c r="Q52" s="24"/>
      <c r="R52" s="34"/>
      <c r="S52" s="24"/>
      <c r="T52" s="34"/>
      <c r="U52" s="24"/>
      <c r="V52" s="34"/>
      <c r="W52" s="24"/>
      <c r="X52" s="34"/>
      <c r="Y52" s="24"/>
      <c r="Z52" s="34"/>
      <c r="AA52" s="24"/>
    </row>
    <row r="53" spans="1:27" s="60" customFormat="1" ht="15.95" customHeight="1" x14ac:dyDescent="0.15">
      <c r="A53" s="42" t="s">
        <v>71</v>
      </c>
      <c r="B53" s="102"/>
      <c r="C53" s="55">
        <v>3716</v>
      </c>
      <c r="D53" s="55">
        <v>4009</v>
      </c>
      <c r="E53" s="23">
        <v>7725</v>
      </c>
      <c r="F53" s="55">
        <v>4428</v>
      </c>
      <c r="G53" s="23">
        <v>12153</v>
      </c>
      <c r="H53" s="55">
        <v>4016</v>
      </c>
      <c r="I53" s="23">
        <v>16169</v>
      </c>
      <c r="J53" s="55">
        <v>4416</v>
      </c>
      <c r="K53" s="23">
        <v>20585</v>
      </c>
      <c r="L53" s="55">
        <v>4497</v>
      </c>
      <c r="M53" s="23">
        <v>25082</v>
      </c>
      <c r="N53" s="42" t="s">
        <v>71</v>
      </c>
      <c r="O53" s="102"/>
      <c r="P53" s="55">
        <v>4716.9999999999991</v>
      </c>
      <c r="Q53" s="23">
        <v>29799</v>
      </c>
      <c r="R53" s="55">
        <v>4353</v>
      </c>
      <c r="S53" s="23">
        <v>34152</v>
      </c>
      <c r="T53" s="55">
        <v>4483</v>
      </c>
      <c r="U53" s="23">
        <v>38635</v>
      </c>
      <c r="V53" s="55">
        <v>4581</v>
      </c>
      <c r="W53" s="23">
        <v>43216</v>
      </c>
      <c r="X53" s="55">
        <v>4219</v>
      </c>
      <c r="Y53" s="23">
        <v>47435</v>
      </c>
      <c r="Z53" s="55">
        <v>4103</v>
      </c>
      <c r="AA53" s="23">
        <v>51538</v>
      </c>
    </row>
    <row r="54" spans="1:27" s="60" customFormat="1" ht="12.95" customHeight="1" x14ac:dyDescent="0.15">
      <c r="A54" s="59"/>
      <c r="B54" s="59"/>
      <c r="C54" s="34"/>
      <c r="D54" s="34"/>
      <c r="E54" s="26"/>
      <c r="F54" s="34"/>
      <c r="G54" s="26"/>
      <c r="H54" s="34"/>
      <c r="I54" s="26"/>
      <c r="J54" s="34"/>
      <c r="K54" s="26"/>
      <c r="L54" s="34"/>
      <c r="M54" s="26"/>
      <c r="N54" s="59"/>
      <c r="O54" s="59"/>
      <c r="P54" s="34"/>
      <c r="Q54" s="26"/>
      <c r="R54" s="34"/>
      <c r="S54" s="26"/>
      <c r="T54" s="34"/>
      <c r="U54" s="26"/>
      <c r="V54" s="34"/>
      <c r="W54" s="26"/>
      <c r="X54" s="34"/>
      <c r="Y54" s="26"/>
      <c r="Z54" s="34"/>
      <c r="AA54" s="26"/>
    </row>
    <row r="55" spans="1:27" s="60" customFormat="1" ht="12.95" customHeight="1" x14ac:dyDescent="0.15">
      <c r="A55" s="39" t="s">
        <v>53</v>
      </c>
      <c r="B55" s="59"/>
      <c r="C55" s="34"/>
      <c r="D55" s="34"/>
      <c r="E55" s="23" t="s">
        <v>93</v>
      </c>
      <c r="F55" s="34"/>
      <c r="G55" s="23" t="s">
        <v>93</v>
      </c>
      <c r="H55" s="34"/>
      <c r="I55" s="23" t="s">
        <v>93</v>
      </c>
      <c r="J55" s="34"/>
      <c r="K55" s="23" t="s">
        <v>93</v>
      </c>
      <c r="L55" s="34"/>
      <c r="M55" s="23" t="s">
        <v>93</v>
      </c>
      <c r="N55" s="39" t="s">
        <v>53</v>
      </c>
      <c r="O55" s="59"/>
      <c r="P55" s="34"/>
      <c r="Q55" s="23" t="s">
        <v>93</v>
      </c>
      <c r="R55" s="34"/>
      <c r="S55" s="23" t="s">
        <v>93</v>
      </c>
      <c r="T55" s="34"/>
      <c r="U55" s="23" t="s">
        <v>93</v>
      </c>
      <c r="V55" s="34"/>
      <c r="W55" s="23" t="s">
        <v>93</v>
      </c>
      <c r="X55" s="34"/>
      <c r="Y55" s="23" t="s">
        <v>93</v>
      </c>
      <c r="Z55" s="34"/>
      <c r="AA55" s="23" t="s">
        <v>93</v>
      </c>
    </row>
    <row r="56" spans="1:27" s="60" customFormat="1" ht="12.95" customHeight="1" x14ac:dyDescent="0.15">
      <c r="A56" s="59" t="s">
        <v>54</v>
      </c>
      <c r="B56" s="59"/>
      <c r="C56" s="34">
        <v>-31</v>
      </c>
      <c r="D56" s="34">
        <v>-19</v>
      </c>
      <c r="E56" s="23">
        <v>-50</v>
      </c>
      <c r="F56" s="34">
        <v>-10</v>
      </c>
      <c r="G56" s="23">
        <v>-60</v>
      </c>
      <c r="H56" s="34">
        <v>-6</v>
      </c>
      <c r="I56" s="23">
        <v>-66</v>
      </c>
      <c r="J56" s="34">
        <v>-8</v>
      </c>
      <c r="K56" s="23">
        <v>-74</v>
      </c>
      <c r="L56" s="34">
        <v>-8</v>
      </c>
      <c r="M56" s="23">
        <v>-82</v>
      </c>
      <c r="N56" s="59" t="s">
        <v>54</v>
      </c>
      <c r="O56" s="59"/>
      <c r="P56" s="34">
        <v>5</v>
      </c>
      <c r="Q56" s="23">
        <v>-77</v>
      </c>
      <c r="R56" s="34">
        <v>5</v>
      </c>
      <c r="S56" s="23">
        <v>-72</v>
      </c>
      <c r="T56" s="34">
        <v>0</v>
      </c>
      <c r="U56" s="23">
        <v>-72</v>
      </c>
      <c r="V56" s="34">
        <v>15</v>
      </c>
      <c r="W56" s="23">
        <v>-57</v>
      </c>
      <c r="X56" s="34">
        <v>-44</v>
      </c>
      <c r="Y56" s="23">
        <v>-101</v>
      </c>
      <c r="Z56" s="34">
        <v>-27</v>
      </c>
      <c r="AA56" s="23">
        <v>-128</v>
      </c>
    </row>
    <row r="57" spans="1:27" s="60" customFormat="1" ht="12.95" customHeight="1" x14ac:dyDescent="0.15">
      <c r="A57" s="59" t="s">
        <v>55</v>
      </c>
      <c r="B57" s="59"/>
      <c r="C57" s="34">
        <v>-49</v>
      </c>
      <c r="D57" s="34">
        <v>10</v>
      </c>
      <c r="E57" s="23">
        <v>-39</v>
      </c>
      <c r="F57" s="34">
        <v>-14</v>
      </c>
      <c r="G57" s="23">
        <v>-53</v>
      </c>
      <c r="H57" s="34">
        <v>50</v>
      </c>
      <c r="I57" s="23">
        <v>-3</v>
      </c>
      <c r="J57" s="34">
        <v>-12</v>
      </c>
      <c r="K57" s="23">
        <v>-15</v>
      </c>
      <c r="L57" s="34">
        <v>1.0000000000000001E-15</v>
      </c>
      <c r="M57" s="23">
        <v>-14.999999999999998</v>
      </c>
      <c r="N57" s="59" t="s">
        <v>55</v>
      </c>
      <c r="O57" s="59"/>
      <c r="P57" s="34">
        <v>-15</v>
      </c>
      <c r="Q57" s="23">
        <v>-30</v>
      </c>
      <c r="R57" s="34">
        <v>2</v>
      </c>
      <c r="S57" s="23">
        <v>-28</v>
      </c>
      <c r="T57" s="34">
        <v>-5</v>
      </c>
      <c r="U57" s="23">
        <v>-33</v>
      </c>
      <c r="V57" s="34">
        <v>-9</v>
      </c>
      <c r="W57" s="23">
        <v>-42</v>
      </c>
      <c r="X57" s="34">
        <v>-1</v>
      </c>
      <c r="Y57" s="23">
        <v>-43</v>
      </c>
      <c r="Z57" s="34">
        <v>1.0000000000000001E-15</v>
      </c>
      <c r="AA57" s="23">
        <v>-43</v>
      </c>
    </row>
    <row r="58" spans="1:27" s="60" customFormat="1" ht="12.95" customHeight="1" x14ac:dyDescent="0.15">
      <c r="A58" s="59"/>
      <c r="B58" s="59"/>
      <c r="C58" s="34"/>
      <c r="D58" s="34"/>
      <c r="E58" s="23"/>
      <c r="F58" s="34"/>
      <c r="G58" s="23"/>
      <c r="H58" s="34"/>
      <c r="I58" s="23"/>
      <c r="J58" s="34"/>
      <c r="K58" s="23"/>
      <c r="L58" s="34"/>
      <c r="M58" s="23"/>
      <c r="N58" s="59"/>
      <c r="O58" s="59"/>
      <c r="P58" s="34"/>
      <c r="Q58" s="23" t="s">
        <v>93</v>
      </c>
      <c r="R58" s="34"/>
      <c r="S58" s="23"/>
      <c r="T58" s="34"/>
      <c r="U58" s="23"/>
      <c r="V58" s="34"/>
      <c r="W58" s="23"/>
      <c r="X58" s="34"/>
      <c r="Y58" s="23"/>
      <c r="Z58" s="34"/>
      <c r="AA58" s="23"/>
    </row>
    <row r="59" spans="1:27" s="60" customFormat="1" ht="12.95" customHeight="1" x14ac:dyDescent="0.15">
      <c r="A59" s="39" t="s">
        <v>66</v>
      </c>
      <c r="B59" s="59"/>
      <c r="C59" s="34">
        <v>329</v>
      </c>
      <c r="D59" s="34">
        <v>257</v>
      </c>
      <c r="E59" s="23">
        <v>586</v>
      </c>
      <c r="F59" s="34">
        <v>282</v>
      </c>
      <c r="G59" s="23">
        <v>868</v>
      </c>
      <c r="H59" s="34">
        <v>327</v>
      </c>
      <c r="I59" s="23">
        <v>1195</v>
      </c>
      <c r="J59" s="34">
        <v>305</v>
      </c>
      <c r="K59" s="23">
        <v>1500</v>
      </c>
      <c r="L59" s="34">
        <v>297</v>
      </c>
      <c r="M59" s="23">
        <v>1797</v>
      </c>
      <c r="N59" s="39" t="s">
        <v>66</v>
      </c>
      <c r="O59" s="59"/>
      <c r="P59" s="34">
        <v>272</v>
      </c>
      <c r="Q59" s="23">
        <v>2069</v>
      </c>
      <c r="R59" s="34">
        <v>427</v>
      </c>
      <c r="S59" s="23">
        <v>2496</v>
      </c>
      <c r="T59" s="34">
        <v>379</v>
      </c>
      <c r="U59" s="23">
        <v>2875</v>
      </c>
      <c r="V59" s="34">
        <v>307</v>
      </c>
      <c r="W59" s="23">
        <v>3182</v>
      </c>
      <c r="X59" s="34">
        <v>321</v>
      </c>
      <c r="Y59" s="23">
        <v>3503</v>
      </c>
      <c r="Z59" s="34">
        <v>325</v>
      </c>
      <c r="AA59" s="23">
        <v>3828</v>
      </c>
    </row>
    <row r="60" spans="1:27" s="60" customFormat="1" ht="12.95" customHeight="1" x14ac:dyDescent="0.15">
      <c r="A60" s="39"/>
      <c r="B60" s="59"/>
      <c r="C60" s="34"/>
      <c r="D60" s="34"/>
      <c r="E60" s="23"/>
      <c r="F60" s="34"/>
      <c r="G60" s="23"/>
      <c r="H60" s="34"/>
      <c r="I60" s="23"/>
      <c r="J60" s="34"/>
      <c r="K60" s="23"/>
      <c r="L60" s="34"/>
      <c r="M60" s="23"/>
      <c r="N60" s="39"/>
      <c r="O60" s="59"/>
      <c r="P60" s="34"/>
      <c r="Q60" s="23" t="s">
        <v>93</v>
      </c>
      <c r="R60" s="34"/>
      <c r="S60" s="23"/>
      <c r="T60" s="34"/>
      <c r="U60" s="23"/>
      <c r="V60" s="34"/>
      <c r="W60" s="23"/>
      <c r="X60" s="34"/>
      <c r="Y60" s="23"/>
      <c r="Z60" s="34"/>
      <c r="AA60" s="23"/>
    </row>
    <row r="61" spans="1:27" s="60" customFormat="1" ht="12.95" customHeight="1" x14ac:dyDescent="0.15">
      <c r="A61" s="39" t="s">
        <v>72</v>
      </c>
      <c r="B61" s="59"/>
      <c r="C61" s="34">
        <v>216</v>
      </c>
      <c r="D61" s="34">
        <v>172</v>
      </c>
      <c r="E61" s="23">
        <v>388</v>
      </c>
      <c r="F61" s="34">
        <v>207</v>
      </c>
      <c r="G61" s="23">
        <v>595</v>
      </c>
      <c r="H61" s="34">
        <v>164</v>
      </c>
      <c r="I61" s="23">
        <v>759</v>
      </c>
      <c r="J61" s="34">
        <v>113</v>
      </c>
      <c r="K61" s="23">
        <v>872</v>
      </c>
      <c r="L61" s="34">
        <v>189</v>
      </c>
      <c r="M61" s="23">
        <v>1061</v>
      </c>
      <c r="N61" s="39" t="s">
        <v>72</v>
      </c>
      <c r="O61" s="59"/>
      <c r="P61" s="34">
        <v>46</v>
      </c>
      <c r="Q61" s="23">
        <v>1107</v>
      </c>
      <c r="R61" s="34">
        <v>94</v>
      </c>
      <c r="S61" s="23">
        <v>1201</v>
      </c>
      <c r="T61" s="34">
        <v>144</v>
      </c>
      <c r="U61" s="23">
        <v>1345</v>
      </c>
      <c r="V61" s="34">
        <v>187</v>
      </c>
      <c r="W61" s="23">
        <v>1532</v>
      </c>
      <c r="X61" s="34">
        <v>158</v>
      </c>
      <c r="Y61" s="23">
        <v>1690</v>
      </c>
      <c r="Z61" s="34">
        <v>194</v>
      </c>
      <c r="AA61" s="23">
        <v>1884</v>
      </c>
    </row>
    <row r="62" spans="1:27" s="60" customFormat="1" ht="12.95" customHeight="1" thickBot="1" x14ac:dyDescent="0.2">
      <c r="A62" s="59"/>
      <c r="B62" s="59"/>
      <c r="C62" s="34"/>
      <c r="D62" s="34"/>
      <c r="E62" s="23"/>
      <c r="F62" s="34"/>
      <c r="G62" s="23"/>
      <c r="H62" s="34"/>
      <c r="I62" s="23"/>
      <c r="J62" s="34"/>
      <c r="K62" s="23"/>
      <c r="L62" s="34"/>
      <c r="M62" s="23"/>
      <c r="N62" s="59"/>
      <c r="O62" s="59"/>
      <c r="P62" s="34"/>
      <c r="Q62" s="23"/>
      <c r="R62" s="34"/>
      <c r="S62" s="23"/>
      <c r="T62" s="34"/>
      <c r="U62" s="23"/>
      <c r="V62" s="34"/>
      <c r="W62" s="23"/>
      <c r="X62" s="34"/>
      <c r="Y62" s="23"/>
      <c r="Z62" s="34"/>
      <c r="AA62" s="23"/>
    </row>
    <row r="63" spans="1:27" s="4" customFormat="1" ht="24.75" customHeight="1" thickTop="1" thickBot="1" x14ac:dyDescent="0.2">
      <c r="A63" s="89" t="s">
        <v>33</v>
      </c>
      <c r="B63" s="89" t="s">
        <v>56</v>
      </c>
      <c r="C63" s="114">
        <v>4341</v>
      </c>
      <c r="D63" s="114">
        <v>4447</v>
      </c>
      <c r="E63" s="114">
        <v>8788</v>
      </c>
      <c r="F63" s="114">
        <v>4941</v>
      </c>
      <c r="G63" s="114">
        <v>13729</v>
      </c>
      <c r="H63" s="114">
        <v>4463</v>
      </c>
      <c r="I63" s="114">
        <v>18192</v>
      </c>
      <c r="J63" s="114">
        <v>4854</v>
      </c>
      <c r="K63" s="114">
        <v>23046</v>
      </c>
      <c r="L63" s="114">
        <v>4991</v>
      </c>
      <c r="M63" s="114">
        <v>28037</v>
      </c>
      <c r="N63" s="89" t="s">
        <v>33</v>
      </c>
      <c r="O63" s="89" t="s">
        <v>56</v>
      </c>
      <c r="P63" s="114">
        <v>5044.9999999999991</v>
      </c>
      <c r="Q63" s="114">
        <v>33082</v>
      </c>
      <c r="R63" s="114">
        <v>4867</v>
      </c>
      <c r="S63" s="114">
        <v>37949</v>
      </c>
      <c r="T63" s="114">
        <v>5011</v>
      </c>
      <c r="U63" s="114">
        <v>42960</v>
      </c>
      <c r="V63" s="114">
        <v>5069</v>
      </c>
      <c r="W63" s="114">
        <v>48029</v>
      </c>
      <c r="X63" s="114">
        <v>4743</v>
      </c>
      <c r="Y63" s="114">
        <v>52772</v>
      </c>
      <c r="Z63" s="114">
        <v>4649</v>
      </c>
      <c r="AA63" s="114">
        <v>57421</v>
      </c>
    </row>
    <row r="64" spans="1:27" s="60" customFormat="1" ht="12.95" customHeight="1" thickTop="1" x14ac:dyDescent="0.15">
      <c r="A64" s="59"/>
      <c r="B64" s="59"/>
      <c r="C64" s="34"/>
      <c r="D64" s="34"/>
      <c r="E64" s="23"/>
      <c r="F64" s="34"/>
      <c r="G64" s="23"/>
      <c r="H64" s="34"/>
      <c r="I64" s="23"/>
      <c r="J64" s="34"/>
      <c r="K64" s="23"/>
      <c r="L64" s="34"/>
      <c r="M64" s="23"/>
      <c r="N64" s="59"/>
      <c r="O64" s="59"/>
      <c r="P64" s="34"/>
      <c r="Q64" s="23"/>
      <c r="R64" s="34"/>
      <c r="S64" s="23"/>
      <c r="T64" s="34"/>
      <c r="U64" s="23"/>
      <c r="V64" s="34"/>
      <c r="W64" s="23"/>
      <c r="X64" s="34"/>
      <c r="Y64" s="23"/>
      <c r="Z64" s="23"/>
      <c r="AA64" s="23"/>
    </row>
    <row r="65" spans="1:27" s="60" customFormat="1" ht="12.95" customHeight="1" x14ac:dyDescent="0.15">
      <c r="A65" s="59"/>
      <c r="B65" s="59"/>
      <c r="C65" s="34"/>
      <c r="D65" s="34"/>
      <c r="E65" s="23"/>
      <c r="F65" s="34"/>
      <c r="G65" s="23"/>
      <c r="H65" s="34"/>
      <c r="I65" s="23"/>
      <c r="J65" s="34"/>
      <c r="K65" s="23"/>
      <c r="L65" s="34"/>
      <c r="M65" s="23"/>
      <c r="N65" s="59"/>
      <c r="O65" s="59"/>
      <c r="P65" s="34"/>
      <c r="Q65" s="23"/>
      <c r="R65" s="34"/>
      <c r="S65" s="23"/>
      <c r="T65" s="34"/>
      <c r="U65" s="23"/>
      <c r="V65" s="34"/>
      <c r="W65" s="23"/>
      <c r="X65" s="34"/>
      <c r="Y65" s="23"/>
      <c r="Z65" s="34"/>
      <c r="AA65" s="23"/>
    </row>
    <row r="66" spans="1:27" s="60" customFormat="1" ht="12.95" customHeight="1" x14ac:dyDescent="0.15">
      <c r="A66" s="39" t="s">
        <v>23</v>
      </c>
      <c r="B66" s="39" t="s">
        <v>75</v>
      </c>
      <c r="C66" s="34">
        <v>14.1</v>
      </c>
      <c r="D66" s="34">
        <v>13.3</v>
      </c>
      <c r="E66" s="23">
        <v>27.4</v>
      </c>
      <c r="F66" s="34">
        <v>16.8</v>
      </c>
      <c r="G66" s="23">
        <v>44.2</v>
      </c>
      <c r="H66" s="34">
        <v>22.5</v>
      </c>
      <c r="I66" s="23">
        <v>66.7</v>
      </c>
      <c r="J66" s="34">
        <v>21.6</v>
      </c>
      <c r="K66" s="23">
        <v>88.300000000000011</v>
      </c>
      <c r="L66" s="34">
        <v>27.2</v>
      </c>
      <c r="M66" s="23">
        <v>115.50000000000001</v>
      </c>
      <c r="N66" s="39" t="s">
        <v>23</v>
      </c>
      <c r="O66" s="90" t="s">
        <v>75</v>
      </c>
      <c r="P66" s="34">
        <v>36.299999999999997</v>
      </c>
      <c r="Q66" s="23">
        <v>151.80000000000001</v>
      </c>
      <c r="R66" s="34">
        <v>39</v>
      </c>
      <c r="S66" s="23">
        <v>190.8</v>
      </c>
      <c r="T66" s="34">
        <v>24.1</v>
      </c>
      <c r="U66" s="23">
        <v>214.9</v>
      </c>
      <c r="V66" s="34">
        <v>20.399999999999999</v>
      </c>
      <c r="W66" s="23">
        <v>235.3</v>
      </c>
      <c r="X66" s="34">
        <v>16.3</v>
      </c>
      <c r="Y66" s="23">
        <v>251.60000000000002</v>
      </c>
      <c r="Z66" s="34">
        <v>19</v>
      </c>
      <c r="AA66" s="23">
        <v>270.60000000000002</v>
      </c>
    </row>
    <row r="67" spans="1:27" s="60" customFormat="1" ht="12.95" customHeight="1" x14ac:dyDescent="0.15">
      <c r="A67" s="59"/>
      <c r="B67" s="59"/>
      <c r="C67" s="34"/>
      <c r="D67" s="34"/>
      <c r="E67" s="23" t="s">
        <v>93</v>
      </c>
      <c r="F67" s="34"/>
      <c r="G67" s="23" t="s">
        <v>93</v>
      </c>
      <c r="H67" s="34"/>
      <c r="I67" s="23" t="s">
        <v>93</v>
      </c>
      <c r="J67" s="34"/>
      <c r="K67" s="23" t="s">
        <v>93</v>
      </c>
      <c r="L67" s="34"/>
      <c r="M67" s="23" t="s">
        <v>93</v>
      </c>
      <c r="N67" s="59"/>
      <c r="O67" s="59"/>
      <c r="P67" s="34"/>
      <c r="Q67" s="23" t="s">
        <v>93</v>
      </c>
      <c r="R67" s="34"/>
      <c r="S67" s="23" t="s">
        <v>93</v>
      </c>
      <c r="T67" s="34"/>
      <c r="U67" s="23" t="s">
        <v>93</v>
      </c>
      <c r="V67" s="34"/>
      <c r="W67" s="23" t="s">
        <v>93</v>
      </c>
      <c r="X67" s="34"/>
      <c r="Y67" s="23" t="s">
        <v>93</v>
      </c>
      <c r="Z67" s="34"/>
      <c r="AA67" s="23" t="s">
        <v>93</v>
      </c>
    </row>
    <row r="68" spans="1:27" s="60" customFormat="1" ht="12.95" customHeight="1" x14ac:dyDescent="0.15">
      <c r="C68" s="34"/>
      <c r="D68" s="34"/>
      <c r="E68" s="23" t="s">
        <v>93</v>
      </c>
      <c r="F68" s="34"/>
      <c r="G68" s="23" t="s">
        <v>93</v>
      </c>
      <c r="H68" s="34"/>
      <c r="I68" s="23" t="s">
        <v>93</v>
      </c>
      <c r="J68" s="34"/>
      <c r="K68" s="23" t="s">
        <v>93</v>
      </c>
      <c r="L68" s="34"/>
      <c r="M68" s="23" t="s">
        <v>93</v>
      </c>
      <c r="P68" s="34"/>
      <c r="Q68" s="23" t="s">
        <v>93</v>
      </c>
      <c r="R68" s="34"/>
      <c r="S68" s="23" t="s">
        <v>93</v>
      </c>
      <c r="T68" s="34"/>
      <c r="U68" s="23" t="s">
        <v>93</v>
      </c>
      <c r="V68" s="34"/>
      <c r="W68" s="23" t="s">
        <v>93</v>
      </c>
      <c r="X68" s="34"/>
      <c r="Y68" s="23" t="s">
        <v>93</v>
      </c>
      <c r="Z68" s="34"/>
      <c r="AA68" s="23" t="s">
        <v>93</v>
      </c>
    </row>
    <row r="69" spans="1:27" s="60" customFormat="1" ht="12.95" customHeight="1" x14ac:dyDescent="0.15">
      <c r="A69" s="59" t="s">
        <v>60</v>
      </c>
      <c r="B69" s="59"/>
      <c r="C69" s="34">
        <v>14</v>
      </c>
      <c r="D69" s="34">
        <v>14.9</v>
      </c>
      <c r="E69" s="23">
        <v>28.9</v>
      </c>
      <c r="F69" s="34">
        <v>18.2</v>
      </c>
      <c r="G69" s="23">
        <v>47.099999999999994</v>
      </c>
      <c r="H69" s="34">
        <v>13.6</v>
      </c>
      <c r="I69" s="23">
        <v>60.699999999999996</v>
      </c>
      <c r="J69" s="34">
        <v>16.100000000000001</v>
      </c>
      <c r="K69" s="23">
        <v>76.8</v>
      </c>
      <c r="L69" s="34">
        <v>16.7</v>
      </c>
      <c r="M69" s="23">
        <v>93.5</v>
      </c>
      <c r="N69" s="59" t="s">
        <v>60</v>
      </c>
      <c r="O69" s="59"/>
      <c r="P69" s="34">
        <v>16.2</v>
      </c>
      <c r="Q69" s="23">
        <v>109.7</v>
      </c>
      <c r="R69" s="34">
        <v>11.2</v>
      </c>
      <c r="S69" s="23">
        <v>120.9</v>
      </c>
      <c r="T69" s="34">
        <v>17.5</v>
      </c>
      <c r="U69" s="23">
        <v>138.4</v>
      </c>
      <c r="V69" s="34">
        <v>17.5</v>
      </c>
      <c r="W69" s="23">
        <v>155.9</v>
      </c>
      <c r="X69" s="34">
        <v>16.7</v>
      </c>
      <c r="Y69" s="23">
        <v>172.6</v>
      </c>
      <c r="Z69" s="34">
        <v>14.9</v>
      </c>
      <c r="AA69" s="23">
        <v>187.5</v>
      </c>
    </row>
    <row r="70" spans="1:27" s="60" customFormat="1" ht="12.95" customHeight="1" x14ac:dyDescent="0.15">
      <c r="A70" s="59"/>
      <c r="B70" s="59"/>
      <c r="C70" s="34"/>
      <c r="D70" s="34"/>
      <c r="E70" s="23" t="s">
        <v>93</v>
      </c>
      <c r="F70" s="34"/>
      <c r="G70" s="23" t="s">
        <v>93</v>
      </c>
      <c r="H70" s="34"/>
      <c r="I70" s="23" t="s">
        <v>93</v>
      </c>
      <c r="J70" s="34"/>
      <c r="K70" s="23" t="s">
        <v>93</v>
      </c>
      <c r="L70" s="34"/>
      <c r="M70" s="23" t="s">
        <v>93</v>
      </c>
      <c r="N70" s="59"/>
      <c r="O70" s="59"/>
      <c r="P70" s="34"/>
      <c r="Q70" s="23" t="s">
        <v>93</v>
      </c>
      <c r="R70" s="34"/>
      <c r="S70" s="23" t="s">
        <v>93</v>
      </c>
      <c r="T70" s="34"/>
      <c r="U70" s="23" t="s">
        <v>93</v>
      </c>
      <c r="V70" s="34"/>
      <c r="W70" s="23" t="s">
        <v>93</v>
      </c>
      <c r="X70" s="34"/>
      <c r="Y70" s="23" t="s">
        <v>93</v>
      </c>
      <c r="Z70" s="34"/>
      <c r="AA70" s="23" t="s">
        <v>93</v>
      </c>
    </row>
    <row r="71" spans="1:27" s="60" customFormat="1" ht="12.95" customHeight="1" x14ac:dyDescent="0.15">
      <c r="A71" s="39" t="s">
        <v>34</v>
      </c>
      <c r="B71" s="39" t="s">
        <v>75</v>
      </c>
      <c r="C71" s="34">
        <v>45.2</v>
      </c>
      <c r="D71" s="34">
        <v>47.6</v>
      </c>
      <c r="E71" s="23">
        <v>92.800000000000011</v>
      </c>
      <c r="F71" s="34">
        <v>57</v>
      </c>
      <c r="G71" s="23">
        <v>149.80000000000001</v>
      </c>
      <c r="H71" s="34">
        <v>60.7</v>
      </c>
      <c r="I71" s="23">
        <v>210.5</v>
      </c>
      <c r="J71" s="34">
        <v>60.6</v>
      </c>
      <c r="K71" s="23">
        <v>271.10000000000002</v>
      </c>
      <c r="L71" s="34">
        <v>65.400000000000006</v>
      </c>
      <c r="M71" s="23">
        <v>336.5</v>
      </c>
      <c r="N71" s="39" t="s">
        <v>34</v>
      </c>
      <c r="O71" s="90" t="s">
        <v>75</v>
      </c>
      <c r="P71" s="34">
        <v>77.2</v>
      </c>
      <c r="Q71" s="23">
        <v>413.7</v>
      </c>
      <c r="R71" s="34">
        <v>71.5</v>
      </c>
      <c r="S71" s="23">
        <v>485.2</v>
      </c>
      <c r="T71" s="34">
        <v>60.2</v>
      </c>
      <c r="U71" s="23">
        <v>545.4</v>
      </c>
      <c r="V71" s="34">
        <v>59</v>
      </c>
      <c r="W71" s="23">
        <v>604.4</v>
      </c>
      <c r="X71" s="34">
        <v>53.7</v>
      </c>
      <c r="Y71" s="23">
        <v>658.1</v>
      </c>
      <c r="Z71" s="34">
        <v>56.2</v>
      </c>
      <c r="AA71" s="23">
        <v>714.30000000000007</v>
      </c>
    </row>
    <row r="72" spans="1:27" s="60" customFormat="1" ht="12.95" customHeight="1" x14ac:dyDescent="0.15">
      <c r="C72" s="14"/>
      <c r="D72" s="14"/>
      <c r="E72" s="23" t="s">
        <v>93</v>
      </c>
      <c r="F72" s="14"/>
      <c r="G72" s="23" t="s">
        <v>93</v>
      </c>
      <c r="H72" s="14"/>
      <c r="I72" s="23" t="s">
        <v>93</v>
      </c>
      <c r="J72" s="14"/>
      <c r="K72" s="23" t="s">
        <v>93</v>
      </c>
      <c r="L72" s="14"/>
      <c r="M72" s="23" t="s">
        <v>93</v>
      </c>
      <c r="P72" s="14"/>
      <c r="Q72" s="23" t="s">
        <v>93</v>
      </c>
      <c r="R72" s="14"/>
      <c r="S72" s="23" t="s">
        <v>93</v>
      </c>
      <c r="T72" s="14"/>
      <c r="U72" s="23" t="s">
        <v>93</v>
      </c>
      <c r="V72" s="14"/>
      <c r="W72" s="23" t="s">
        <v>93</v>
      </c>
      <c r="X72" s="14"/>
      <c r="Y72" s="23" t="s">
        <v>93</v>
      </c>
      <c r="Z72" s="14"/>
      <c r="AA72" s="23" t="s">
        <v>93</v>
      </c>
    </row>
    <row r="73" spans="1:27" s="60" customFormat="1" ht="12.95" customHeight="1" x14ac:dyDescent="0.15">
      <c r="A73" s="39" t="s">
        <v>73</v>
      </c>
      <c r="B73" s="59"/>
      <c r="C73" s="34">
        <v>486</v>
      </c>
      <c r="D73" s="34">
        <v>467</v>
      </c>
      <c r="E73" s="23">
        <v>953</v>
      </c>
      <c r="F73" s="34">
        <v>503</v>
      </c>
      <c r="G73" s="23">
        <v>1456</v>
      </c>
      <c r="H73" s="34">
        <v>516</v>
      </c>
      <c r="I73" s="23">
        <v>1972</v>
      </c>
      <c r="J73" s="34">
        <v>424</v>
      </c>
      <c r="K73" s="23">
        <v>2396</v>
      </c>
      <c r="L73" s="34">
        <v>395</v>
      </c>
      <c r="M73" s="23">
        <v>2791</v>
      </c>
      <c r="N73" s="39" t="s">
        <v>73</v>
      </c>
      <c r="O73" s="59"/>
      <c r="P73" s="34">
        <v>357</v>
      </c>
      <c r="Q73" s="23">
        <v>3148</v>
      </c>
      <c r="R73" s="34">
        <v>449</v>
      </c>
      <c r="S73" s="23">
        <v>3597</v>
      </c>
      <c r="T73" s="34">
        <v>415</v>
      </c>
      <c r="U73" s="23">
        <v>4012</v>
      </c>
      <c r="V73" s="34">
        <v>468</v>
      </c>
      <c r="W73" s="23">
        <v>4480</v>
      </c>
      <c r="X73" s="34">
        <v>403</v>
      </c>
      <c r="Y73" s="23">
        <v>4883</v>
      </c>
      <c r="Z73" s="34">
        <v>376</v>
      </c>
      <c r="AA73" s="23">
        <v>5259</v>
      </c>
    </row>
    <row r="74" spans="1:27" s="60" customFormat="1" ht="12.95" customHeight="1" x14ac:dyDescent="0.15">
      <c r="A74" s="59"/>
      <c r="B74" s="59"/>
      <c r="C74" s="34"/>
      <c r="D74" s="34"/>
      <c r="E74" s="23"/>
      <c r="F74" s="34"/>
      <c r="G74" s="23"/>
      <c r="H74" s="34"/>
      <c r="I74" s="23"/>
      <c r="J74" s="34"/>
      <c r="K74" s="23"/>
      <c r="L74" s="34"/>
      <c r="M74" s="23"/>
      <c r="N74" s="59"/>
      <c r="O74" s="59"/>
      <c r="P74" s="35"/>
      <c r="Q74" s="24"/>
      <c r="R74" s="35"/>
      <c r="S74" s="24"/>
      <c r="T74" s="35"/>
      <c r="U74" s="24"/>
      <c r="V74" s="35"/>
      <c r="W74" s="24"/>
      <c r="X74" s="35"/>
      <c r="Y74" s="24"/>
      <c r="Z74" s="35"/>
      <c r="AA74" s="24"/>
    </row>
    <row r="75" spans="1:27" ht="12.95" customHeight="1" x14ac:dyDescent="0.2">
      <c r="A75" s="76" t="s">
        <v>57</v>
      </c>
      <c r="B75" s="76"/>
      <c r="C75" s="79" t="s">
        <v>92</v>
      </c>
      <c r="D75" s="61"/>
      <c r="E75" s="61"/>
      <c r="F75" s="61"/>
      <c r="G75" s="61"/>
      <c r="H75" s="61"/>
      <c r="I75" s="61"/>
      <c r="J75" s="61"/>
      <c r="K75" s="103"/>
      <c r="L75" s="103"/>
      <c r="M75" s="103"/>
      <c r="N75" s="76" t="s">
        <v>57</v>
      </c>
      <c r="O75" s="104"/>
      <c r="P75" s="79" t="s">
        <v>92</v>
      </c>
      <c r="Q75" s="77"/>
      <c r="R75" s="65"/>
      <c r="S75" s="65"/>
      <c r="U75" s="65"/>
      <c r="W75" s="65"/>
      <c r="Y75" s="65"/>
      <c r="AA75" s="65"/>
    </row>
    <row r="76" spans="1:27" ht="12.95" customHeight="1" x14ac:dyDescent="0.2">
      <c r="A76" s="63"/>
      <c r="B76" s="63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3"/>
      <c r="O76" s="63"/>
      <c r="P76" s="62"/>
      <c r="Q76" s="62"/>
      <c r="R76" s="62"/>
      <c r="S76" s="62"/>
      <c r="T76" s="62"/>
      <c r="U76" s="62"/>
      <c r="V76" s="62"/>
      <c r="W76" s="62"/>
      <c r="X76" s="62"/>
      <c r="Y76" s="14"/>
      <c r="AA76" s="67"/>
    </row>
    <row r="77" spans="1:27" ht="12.95" customHeight="1" x14ac:dyDescent="0.2">
      <c r="A77" s="66"/>
      <c r="B77" s="66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6"/>
      <c r="O77" s="66"/>
      <c r="P77" s="66"/>
      <c r="Q77" s="66"/>
      <c r="R77" s="66"/>
      <c r="S77" s="66"/>
      <c r="T77" s="66"/>
      <c r="U77" s="66"/>
      <c r="V77" s="65"/>
      <c r="W77" s="62"/>
      <c r="X77" s="65"/>
      <c r="Y77" s="62"/>
      <c r="AA77" s="67"/>
    </row>
    <row r="78" spans="1:27" ht="12.95" customHeight="1" x14ac:dyDescent="0.2">
      <c r="A78" s="63"/>
      <c r="B78" s="63"/>
      <c r="N78" s="63"/>
      <c r="O78" s="63"/>
    </row>
    <row r="79" spans="1:27" ht="12.95" customHeight="1" x14ac:dyDescent="0.2">
      <c r="A79" s="45" t="s">
        <v>58</v>
      </c>
      <c r="B79" s="45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45"/>
      <c r="O79" s="45"/>
      <c r="P79" s="45"/>
      <c r="Q79" s="45"/>
      <c r="R79" s="62"/>
      <c r="S79" s="62"/>
      <c r="T79" s="62"/>
      <c r="U79" s="62"/>
      <c r="V79" s="65"/>
      <c r="W79" s="62"/>
      <c r="X79" s="62"/>
      <c r="Y79" s="62"/>
      <c r="AA79" s="67"/>
    </row>
    <row r="80" spans="1:27" ht="12.95" customHeight="1" thickBot="1" x14ac:dyDescent="0.25">
      <c r="A80" s="63"/>
      <c r="B80" s="63"/>
      <c r="N80" s="65"/>
      <c r="O80" s="63"/>
      <c r="P80" s="62"/>
      <c r="Q80" s="62"/>
      <c r="R80" s="62"/>
      <c r="S80" s="62"/>
      <c r="T80" s="62"/>
      <c r="U80" s="62"/>
      <c r="V80" s="65"/>
      <c r="W80" s="62"/>
      <c r="X80" s="65"/>
      <c r="Y80" s="62"/>
      <c r="AA80" s="67"/>
    </row>
    <row r="81" spans="1:32" s="27" customFormat="1" ht="25.5" customHeight="1" thickBot="1" x14ac:dyDescent="0.2">
      <c r="A81" s="46" t="s">
        <v>59</v>
      </c>
      <c r="B81" s="47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 spans="1:32" s="22" customFormat="1" ht="12.75" customHeight="1" x14ac:dyDescent="0.2">
      <c r="A82" s="48"/>
      <c r="B82" s="20"/>
      <c r="C82" s="84"/>
      <c r="D82" s="84"/>
      <c r="E82" s="64"/>
      <c r="F82" s="84"/>
      <c r="G82" s="21"/>
      <c r="H82" s="84"/>
      <c r="I82" s="21"/>
      <c r="J82" s="84"/>
      <c r="K82" s="21"/>
      <c r="L82" s="84"/>
      <c r="M82" s="21"/>
      <c r="N82" s="48"/>
      <c r="O82" s="19"/>
      <c r="P82" s="19"/>
      <c r="Q82" s="19"/>
      <c r="R82" s="21"/>
      <c r="S82" s="19"/>
      <c r="T82" s="19"/>
      <c r="U82" s="19"/>
      <c r="V82" s="19"/>
      <c r="W82" s="21"/>
      <c r="X82" s="21"/>
      <c r="Y82" s="62"/>
      <c r="Z82" s="63"/>
      <c r="AA82" s="67"/>
    </row>
    <row r="83" spans="1:32" ht="12.95" customHeight="1" x14ac:dyDescent="0.2">
      <c r="A83" s="48" t="s">
        <v>61</v>
      </c>
      <c r="B83" s="63"/>
      <c r="C83" s="64"/>
      <c r="D83" s="64"/>
      <c r="E83" s="64"/>
      <c r="F83" s="64"/>
      <c r="G83" s="64"/>
      <c r="H83" s="64"/>
      <c r="I83" s="65"/>
      <c r="J83" s="64"/>
      <c r="K83" s="65"/>
      <c r="L83" s="64"/>
      <c r="M83" s="65"/>
      <c r="N83" s="48"/>
      <c r="O83" s="63"/>
      <c r="P83" s="65"/>
      <c r="Y83" s="62"/>
      <c r="AA83" s="67"/>
    </row>
    <row r="84" spans="1:32" ht="12.95" customHeight="1" x14ac:dyDescent="0.2">
      <c r="A84" s="48"/>
      <c r="B84" s="66"/>
      <c r="C84" s="64"/>
      <c r="D84" s="64"/>
      <c r="E84" s="64"/>
      <c r="F84" s="64"/>
      <c r="G84" s="64"/>
      <c r="H84" s="64"/>
      <c r="I84" s="62"/>
      <c r="J84" s="64"/>
      <c r="K84" s="62"/>
      <c r="L84" s="64"/>
      <c r="M84" s="62"/>
      <c r="N84" s="48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</row>
    <row r="85" spans="1:32" ht="16.5" x14ac:dyDescent="0.2">
      <c r="A85" s="49"/>
      <c r="C85" s="65"/>
      <c r="D85" s="65"/>
      <c r="E85" s="64"/>
      <c r="F85" s="65"/>
      <c r="G85" s="65"/>
      <c r="H85" s="65"/>
      <c r="I85" s="65"/>
      <c r="J85" s="65"/>
      <c r="K85" s="65"/>
      <c r="L85" s="65"/>
      <c r="M85" s="65"/>
      <c r="P85" s="91"/>
      <c r="Q85" s="50"/>
      <c r="R85" s="50"/>
      <c r="S85" s="50"/>
      <c r="T85" s="50"/>
      <c r="U85" s="91"/>
      <c r="V85" s="50"/>
      <c r="W85" s="91"/>
      <c r="X85" s="50"/>
      <c r="Y85" s="91"/>
      <c r="Z85" s="50"/>
      <c r="AA85" s="91"/>
      <c r="AB85" s="50"/>
      <c r="AC85" s="91"/>
      <c r="AD85" s="50"/>
      <c r="AE85" s="91"/>
      <c r="AF85" s="50"/>
    </row>
    <row r="86" spans="1:32" ht="16.5" x14ac:dyDescent="0.2">
      <c r="C86" s="65"/>
      <c r="D86" s="64"/>
      <c r="E86" s="64"/>
      <c r="F86" s="64"/>
      <c r="G86" s="64"/>
      <c r="H86" s="64"/>
      <c r="I86" s="65"/>
      <c r="J86" s="65"/>
      <c r="K86" s="65"/>
      <c r="L86" s="65"/>
      <c r="M86" s="65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</row>
    <row r="87" spans="1:32" ht="16.5" x14ac:dyDescent="0.2">
      <c r="B87" s="51"/>
      <c r="C87" s="62"/>
      <c r="D87" s="64"/>
      <c r="E87" s="64"/>
      <c r="F87" s="64"/>
      <c r="G87" s="64"/>
      <c r="H87" s="64"/>
      <c r="I87" s="62"/>
      <c r="J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spans="1:32" ht="16.5" x14ac:dyDescent="0.2">
      <c r="C88" s="65"/>
      <c r="D88" s="64"/>
      <c r="E88" s="64"/>
      <c r="F88" s="64"/>
      <c r="G88" s="64"/>
      <c r="H88" s="64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116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</row>
    <row r="89" spans="1:32" ht="16.5" x14ac:dyDescent="0.2">
      <c r="A89" s="105"/>
      <c r="B89" s="105"/>
      <c r="C89" s="65"/>
      <c r="D89" s="64"/>
      <c r="E89" s="64"/>
      <c r="F89" s="64"/>
      <c r="G89" s="64"/>
      <c r="H89" s="64"/>
      <c r="I89" s="65"/>
      <c r="J89" s="65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  <c r="AA89" s="106"/>
      <c r="AB89" s="106"/>
      <c r="AC89" s="106"/>
      <c r="AD89" s="106"/>
      <c r="AE89" s="106"/>
      <c r="AF89" s="106"/>
    </row>
    <row r="90" spans="1:32" ht="16.5" x14ac:dyDescent="0.2">
      <c r="A90" s="51"/>
      <c r="B90" s="51"/>
      <c r="C90" s="62"/>
      <c r="D90" s="62"/>
      <c r="E90" s="62"/>
      <c r="F90" s="62"/>
      <c r="G90" s="64"/>
      <c r="H90" s="64"/>
      <c r="I90" s="64"/>
      <c r="J90" s="64"/>
      <c r="K90" s="64"/>
      <c r="L90" s="64"/>
      <c r="M90" s="64"/>
      <c r="N90" s="51"/>
      <c r="O90" s="51"/>
      <c r="P90" s="62"/>
      <c r="Q90" s="65"/>
      <c r="R90" s="65"/>
      <c r="S90" s="65"/>
    </row>
    <row r="91" spans="1:32" ht="16.5" x14ac:dyDescent="0.2">
      <c r="C91" s="65"/>
      <c r="D91" s="62"/>
      <c r="E91" s="65"/>
      <c r="F91" s="62"/>
      <c r="G91" s="64"/>
      <c r="H91" s="65"/>
      <c r="I91" s="65"/>
      <c r="J91" s="65"/>
      <c r="K91" s="62"/>
      <c r="L91" s="62"/>
      <c r="M91" s="62"/>
      <c r="N91" s="51"/>
      <c r="P91" s="62"/>
      <c r="Q91" s="65"/>
      <c r="R91" s="65"/>
      <c r="S91" s="65"/>
    </row>
    <row r="92" spans="1:32" ht="16.5" x14ac:dyDescent="0.2">
      <c r="A92" s="51"/>
      <c r="B92" s="51"/>
      <c r="C92" s="62"/>
      <c r="D92" s="62"/>
      <c r="E92" s="62"/>
      <c r="F92" s="62"/>
      <c r="G92" s="64"/>
      <c r="H92" s="64"/>
      <c r="I92" s="64"/>
      <c r="J92" s="64"/>
      <c r="K92" s="64"/>
      <c r="L92" s="64"/>
      <c r="M92" s="64"/>
      <c r="N92" s="51"/>
      <c r="O92" s="51"/>
      <c r="P92" s="62"/>
      <c r="Q92" s="65"/>
      <c r="R92" s="65"/>
      <c r="S92" s="65"/>
    </row>
    <row r="93" spans="1:32" ht="16.5" x14ac:dyDescent="0.2">
      <c r="A93" s="51"/>
      <c r="B93" s="51"/>
      <c r="C93" s="62"/>
      <c r="D93" s="62"/>
      <c r="E93" s="62"/>
      <c r="F93" s="62"/>
      <c r="G93" s="64"/>
      <c r="H93" s="65"/>
      <c r="I93" s="65"/>
      <c r="J93" s="65"/>
      <c r="K93" s="62"/>
      <c r="L93" s="62"/>
      <c r="M93" s="62"/>
      <c r="N93" s="51"/>
      <c r="O93" s="51"/>
      <c r="P93" s="62"/>
      <c r="Q93" s="65"/>
      <c r="R93" s="65"/>
      <c r="S93" s="65"/>
    </row>
    <row r="94" spans="1:32" ht="16.5" x14ac:dyDescent="0.2">
      <c r="B94" s="51"/>
      <c r="C94" s="62"/>
      <c r="D94" s="62"/>
      <c r="E94" s="62"/>
      <c r="F94" s="62"/>
      <c r="G94" s="64"/>
      <c r="H94" s="64"/>
      <c r="I94" s="64"/>
      <c r="J94" s="64"/>
      <c r="K94" s="64"/>
      <c r="L94" s="64"/>
      <c r="M94" s="64"/>
      <c r="N94" s="51"/>
      <c r="O94" s="51"/>
      <c r="P94" s="62"/>
      <c r="Q94" s="65"/>
      <c r="R94" s="65"/>
      <c r="S94" s="65"/>
    </row>
    <row r="95" spans="1:32" ht="16.5" x14ac:dyDescent="0.2">
      <c r="B95" s="51"/>
      <c r="C95" s="62"/>
      <c r="D95" s="62"/>
      <c r="E95" s="62"/>
      <c r="F95" s="62"/>
      <c r="G95" s="64"/>
      <c r="H95" s="65"/>
      <c r="I95" s="65"/>
      <c r="J95" s="65"/>
      <c r="K95" s="62"/>
      <c r="L95" s="62"/>
      <c r="M95" s="62"/>
      <c r="N95" s="51"/>
      <c r="O95" s="51"/>
      <c r="P95" s="62"/>
      <c r="Q95" s="65"/>
      <c r="R95" s="65"/>
      <c r="S95" s="65"/>
    </row>
    <row r="96" spans="1:32" ht="16.5" x14ac:dyDescent="0.2">
      <c r="C96" s="65"/>
      <c r="D96" s="62"/>
      <c r="E96" s="65"/>
      <c r="F96" s="62"/>
      <c r="G96" s="64"/>
      <c r="H96" s="64"/>
      <c r="I96" s="64"/>
      <c r="J96" s="64"/>
      <c r="K96" s="64"/>
      <c r="L96" s="64"/>
      <c r="M96" s="64"/>
      <c r="N96" s="51"/>
      <c r="P96" s="62"/>
      <c r="Q96" s="65"/>
      <c r="R96" s="65"/>
      <c r="S96" s="65"/>
    </row>
    <row r="97" spans="1:19" x14ac:dyDescent="0.2">
      <c r="A97" s="51"/>
      <c r="B97" s="51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51"/>
      <c r="O97" s="51"/>
      <c r="P97" s="62"/>
      <c r="Q97" s="65"/>
      <c r="R97" s="65"/>
      <c r="S97" s="65"/>
    </row>
    <row r="98" spans="1:19" x14ac:dyDescent="0.2">
      <c r="A98" s="51"/>
      <c r="B98" s="51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51"/>
      <c r="O98" s="51"/>
      <c r="P98" s="62"/>
      <c r="Q98" s="65"/>
      <c r="R98" s="65"/>
      <c r="S98" s="65"/>
    </row>
    <row r="99" spans="1:19" x14ac:dyDescent="0.2">
      <c r="A99" s="51"/>
      <c r="B99" s="51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51"/>
      <c r="O99" s="51"/>
      <c r="P99" s="62"/>
      <c r="Q99" s="65"/>
      <c r="R99" s="65"/>
      <c r="S99" s="65"/>
    </row>
    <row r="100" spans="1:19" x14ac:dyDescent="0.2">
      <c r="A100" s="51"/>
      <c r="B100" s="51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51"/>
      <c r="O100" s="51"/>
      <c r="P100" s="62"/>
      <c r="Q100" s="65"/>
      <c r="R100" s="65"/>
      <c r="S100" s="65"/>
    </row>
    <row r="101" spans="1:19" x14ac:dyDescent="0.2">
      <c r="A101" s="51"/>
      <c r="B101" s="51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51"/>
      <c r="O101" s="51"/>
      <c r="P101" s="62"/>
      <c r="Q101" s="65"/>
      <c r="R101" s="65"/>
      <c r="S101" s="65"/>
    </row>
    <row r="102" spans="1:19" x14ac:dyDescent="0.2">
      <c r="A102" s="51"/>
      <c r="B102" s="51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51"/>
      <c r="O102" s="51"/>
      <c r="P102" s="62"/>
      <c r="Q102" s="65"/>
      <c r="R102" s="65"/>
      <c r="S102" s="65"/>
    </row>
    <row r="103" spans="1:19" x14ac:dyDescent="0.2">
      <c r="C103" s="65"/>
      <c r="D103" s="62"/>
      <c r="E103" s="65"/>
      <c r="F103" s="62"/>
      <c r="G103" s="65"/>
      <c r="H103" s="62"/>
      <c r="I103" s="65"/>
      <c r="J103" s="62"/>
      <c r="K103" s="65"/>
      <c r="L103" s="62"/>
      <c r="M103" s="65"/>
      <c r="P103" s="62"/>
      <c r="Q103" s="65"/>
      <c r="R103" s="65"/>
      <c r="S103" s="65"/>
    </row>
    <row r="104" spans="1:19" x14ac:dyDescent="0.2">
      <c r="B104" s="51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O104" s="51"/>
      <c r="P104" s="62"/>
      <c r="Q104" s="65"/>
      <c r="R104" s="65"/>
      <c r="S104" s="65"/>
    </row>
    <row r="105" spans="1:19" x14ac:dyDescent="0.2">
      <c r="B105" s="51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O105" s="51"/>
      <c r="P105" s="62"/>
      <c r="Q105" s="65"/>
      <c r="R105" s="65"/>
      <c r="S105" s="65"/>
    </row>
    <row r="106" spans="1:19" x14ac:dyDescent="0.2">
      <c r="B106" s="51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O106" s="51"/>
      <c r="P106" s="62"/>
      <c r="Q106" s="65"/>
      <c r="R106" s="65"/>
      <c r="S106" s="65"/>
    </row>
    <row r="107" spans="1:19" x14ac:dyDescent="0.2">
      <c r="B107" s="51"/>
      <c r="C107" s="65"/>
      <c r="D107" s="62"/>
      <c r="E107" s="65"/>
      <c r="F107" s="62"/>
      <c r="G107" s="65"/>
      <c r="H107" s="62"/>
      <c r="I107" s="62"/>
      <c r="J107" s="62"/>
      <c r="K107" s="62"/>
      <c r="L107" s="62"/>
      <c r="M107" s="62"/>
      <c r="O107" s="51"/>
      <c r="P107" s="62"/>
      <c r="Q107" s="65"/>
      <c r="R107" s="65"/>
      <c r="S107" s="65"/>
    </row>
    <row r="108" spans="1:19" x14ac:dyDescent="0.2">
      <c r="A108" s="51"/>
      <c r="B108" s="51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51"/>
      <c r="O108" s="51"/>
      <c r="P108" s="62"/>
      <c r="Q108" s="65"/>
      <c r="R108" s="65"/>
      <c r="S108" s="65"/>
    </row>
    <row r="109" spans="1:19" x14ac:dyDescent="0.2">
      <c r="A109" s="51"/>
      <c r="B109" s="51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51"/>
      <c r="O109" s="51"/>
      <c r="P109" s="62"/>
      <c r="Q109" s="65"/>
      <c r="R109" s="65"/>
      <c r="S109" s="65"/>
    </row>
    <row r="110" spans="1:19" x14ac:dyDescent="0.2">
      <c r="B110" s="51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O110" s="51"/>
      <c r="P110" s="62"/>
      <c r="Q110" s="65"/>
      <c r="R110" s="65"/>
      <c r="S110" s="65"/>
    </row>
    <row r="111" spans="1:19" x14ac:dyDescent="0.2">
      <c r="B111" s="5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O111" s="52"/>
      <c r="P111" s="62"/>
      <c r="Q111" s="65"/>
      <c r="R111" s="65"/>
      <c r="S111" s="65"/>
    </row>
    <row r="112" spans="1:19" x14ac:dyDescent="0.2">
      <c r="B112" s="51"/>
      <c r="C112" s="65"/>
      <c r="D112" s="62"/>
      <c r="E112" s="65"/>
      <c r="F112" s="62"/>
      <c r="G112" s="65"/>
      <c r="H112" s="62"/>
      <c r="I112" s="62"/>
      <c r="J112" s="62"/>
      <c r="K112" s="62"/>
      <c r="L112" s="62"/>
      <c r="M112" s="62"/>
      <c r="O112" s="51"/>
      <c r="P112" s="62"/>
      <c r="Q112" s="65"/>
      <c r="R112" s="65"/>
      <c r="S112" s="65"/>
    </row>
    <row r="113" spans="1:19" x14ac:dyDescent="0.2">
      <c r="C113" s="65"/>
      <c r="D113" s="62"/>
      <c r="E113" s="65"/>
      <c r="F113" s="62"/>
      <c r="G113" s="65"/>
      <c r="H113" s="62"/>
      <c r="I113" s="65"/>
      <c r="J113" s="62"/>
      <c r="K113" s="65"/>
      <c r="L113" s="62"/>
      <c r="M113" s="65"/>
      <c r="P113" s="62"/>
      <c r="Q113" s="65"/>
      <c r="R113" s="65"/>
      <c r="S113" s="65"/>
    </row>
    <row r="114" spans="1:19" x14ac:dyDescent="0.2">
      <c r="A114" s="51"/>
      <c r="B114" s="51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51"/>
      <c r="O114" s="51"/>
      <c r="P114" s="62"/>
      <c r="Q114" s="65"/>
      <c r="R114" s="65"/>
      <c r="S114" s="65"/>
    </row>
    <row r="115" spans="1:19" x14ac:dyDescent="0.2">
      <c r="A115" s="51"/>
      <c r="B115" s="51"/>
      <c r="C115" s="65"/>
      <c r="D115" s="62"/>
      <c r="E115" s="65"/>
      <c r="F115" s="62"/>
      <c r="G115" s="65"/>
      <c r="H115" s="62"/>
      <c r="I115" s="62"/>
      <c r="J115" s="62"/>
      <c r="K115" s="62"/>
      <c r="L115" s="62"/>
      <c r="M115" s="62"/>
      <c r="N115" s="51"/>
      <c r="O115" s="51"/>
      <c r="P115" s="62"/>
      <c r="Q115" s="62"/>
      <c r="R115" s="65"/>
      <c r="S115" s="65"/>
    </row>
    <row r="116" spans="1:19" x14ac:dyDescent="0.2">
      <c r="A116" s="51"/>
      <c r="B116" s="51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51"/>
      <c r="O116" s="51"/>
      <c r="P116" s="62"/>
      <c r="Q116" s="65"/>
      <c r="R116" s="65"/>
      <c r="S116" s="65"/>
    </row>
    <row r="117" spans="1:19" x14ac:dyDescent="0.2">
      <c r="A117" s="51"/>
      <c r="B117" s="51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51"/>
      <c r="O117" s="51"/>
      <c r="P117" s="62"/>
      <c r="Q117" s="65"/>
      <c r="R117" s="65"/>
      <c r="S117" s="65"/>
    </row>
    <row r="118" spans="1:19" x14ac:dyDescent="0.2">
      <c r="A118" s="51"/>
      <c r="B118" s="51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51"/>
      <c r="O118" s="51"/>
      <c r="P118" s="62"/>
      <c r="Q118" s="65"/>
      <c r="R118" s="65"/>
      <c r="S118" s="65"/>
    </row>
    <row r="119" spans="1:19" x14ac:dyDescent="0.2">
      <c r="A119" s="51"/>
      <c r="B119" s="51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51"/>
      <c r="O119" s="51"/>
      <c r="P119" s="62"/>
      <c r="Q119" s="65"/>
      <c r="R119" s="65"/>
      <c r="S119" s="65"/>
    </row>
    <row r="120" spans="1:19" x14ac:dyDescent="0.2">
      <c r="A120" s="51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51"/>
      <c r="P120" s="62"/>
      <c r="Q120" s="65"/>
      <c r="R120" s="65"/>
      <c r="S120" s="65"/>
    </row>
    <row r="121" spans="1:19" x14ac:dyDescent="0.2">
      <c r="A121" s="51"/>
      <c r="B121" s="51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51"/>
      <c r="O121" s="51"/>
      <c r="P121" s="62"/>
      <c r="Q121" s="65"/>
      <c r="R121" s="65"/>
      <c r="S121" s="65"/>
    </row>
    <row r="122" spans="1:19" x14ac:dyDescent="0.2">
      <c r="C122" s="65"/>
      <c r="D122" s="62"/>
      <c r="E122" s="65"/>
      <c r="F122" s="65"/>
      <c r="G122" s="65"/>
      <c r="H122" s="65"/>
      <c r="I122" s="65"/>
      <c r="J122" s="65"/>
      <c r="K122" s="65"/>
      <c r="L122" s="65"/>
      <c r="M122" s="65"/>
      <c r="P122" s="65"/>
      <c r="Q122" s="65"/>
      <c r="R122" s="65"/>
      <c r="S122" s="65"/>
    </row>
    <row r="123" spans="1:19" x14ac:dyDescent="0.2">
      <c r="A123" s="51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51"/>
      <c r="P123" s="62"/>
      <c r="Q123" s="65"/>
      <c r="R123" s="65"/>
      <c r="S123" s="65"/>
    </row>
    <row r="124" spans="1:19" x14ac:dyDescent="0.2">
      <c r="A124" s="51"/>
      <c r="B124" s="51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51"/>
      <c r="O124" s="51"/>
      <c r="P124" s="62"/>
      <c r="Q124" s="65"/>
      <c r="R124" s="65"/>
      <c r="S124" s="65"/>
    </row>
    <row r="125" spans="1:19" x14ac:dyDescent="0.2">
      <c r="A125" s="51"/>
      <c r="B125" s="51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51"/>
      <c r="O125" s="51"/>
      <c r="P125" s="62"/>
      <c r="Q125" s="65"/>
      <c r="R125" s="65"/>
      <c r="S125" s="65"/>
    </row>
    <row r="126" spans="1:19" x14ac:dyDescent="0.2">
      <c r="A126" s="51"/>
      <c r="B126" s="51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51"/>
      <c r="O126" s="51"/>
      <c r="P126" s="62"/>
      <c r="Q126" s="65"/>
      <c r="R126" s="65"/>
      <c r="S126" s="65"/>
    </row>
    <row r="127" spans="1:19" x14ac:dyDescent="0.2">
      <c r="A127" s="51"/>
      <c r="B127" s="51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51"/>
      <c r="O127" s="51"/>
      <c r="P127" s="62"/>
      <c r="Q127" s="65"/>
      <c r="R127" s="65"/>
      <c r="S127" s="65"/>
    </row>
    <row r="128" spans="1:19" x14ac:dyDescent="0.2">
      <c r="A128" s="51"/>
      <c r="B128" s="51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51"/>
      <c r="O128" s="51"/>
      <c r="P128" s="62"/>
      <c r="Q128" s="65"/>
      <c r="R128" s="65"/>
      <c r="S128" s="65"/>
    </row>
    <row r="129" spans="1:19" x14ac:dyDescent="0.2">
      <c r="A129" s="51"/>
      <c r="B129" s="51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51"/>
      <c r="O129" s="51"/>
      <c r="P129" s="62"/>
      <c r="Q129" s="65"/>
      <c r="R129" s="65"/>
      <c r="S129" s="65"/>
    </row>
    <row r="130" spans="1:19" x14ac:dyDescent="0.2">
      <c r="A130" s="51"/>
      <c r="B130" s="51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51"/>
      <c r="O130" s="51"/>
      <c r="P130" s="62"/>
      <c r="Q130" s="65"/>
      <c r="R130" s="65"/>
      <c r="S130" s="65"/>
    </row>
    <row r="131" spans="1:19" x14ac:dyDescent="0.2">
      <c r="A131" s="51"/>
      <c r="B131" s="51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51"/>
      <c r="O131" s="51"/>
      <c r="P131" s="62"/>
      <c r="Q131" s="65"/>
      <c r="R131" s="65"/>
      <c r="S131" s="65"/>
    </row>
    <row r="132" spans="1:19" x14ac:dyDescent="0.2">
      <c r="A132" s="51"/>
      <c r="B132" s="51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51"/>
      <c r="O132" s="51"/>
      <c r="P132" s="62"/>
      <c r="Q132" s="65"/>
      <c r="R132" s="65"/>
      <c r="S132" s="65"/>
    </row>
    <row r="133" spans="1:19" x14ac:dyDescent="0.2">
      <c r="A133" s="51"/>
      <c r="B133" s="51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51"/>
      <c r="O133" s="51"/>
      <c r="P133" s="62"/>
      <c r="Q133" s="65"/>
      <c r="R133" s="65"/>
      <c r="S133" s="65"/>
    </row>
    <row r="134" spans="1:19" x14ac:dyDescent="0.2">
      <c r="A134" s="51"/>
      <c r="B134" s="51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51"/>
      <c r="O134" s="51"/>
      <c r="P134" s="62"/>
      <c r="Q134" s="65"/>
      <c r="R134" s="65"/>
      <c r="S134" s="65"/>
    </row>
    <row r="135" spans="1:19" x14ac:dyDescent="0.2">
      <c r="A135" s="51"/>
      <c r="B135" s="51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51"/>
      <c r="O135" s="51"/>
      <c r="P135" s="62"/>
      <c r="Q135" s="65"/>
      <c r="R135" s="65"/>
      <c r="S135" s="65"/>
    </row>
    <row r="136" spans="1:19" x14ac:dyDescent="0.2">
      <c r="A136" s="51"/>
      <c r="B136" s="51"/>
      <c r="C136" s="65"/>
      <c r="D136" s="62"/>
      <c r="E136" s="65"/>
      <c r="F136" s="62"/>
      <c r="G136" s="65"/>
      <c r="H136" s="62"/>
      <c r="I136" s="62"/>
      <c r="J136" s="62"/>
      <c r="K136" s="62"/>
      <c r="L136" s="62"/>
      <c r="M136" s="62"/>
      <c r="N136" s="51"/>
      <c r="O136" s="51"/>
      <c r="P136" s="62"/>
      <c r="Q136" s="65"/>
      <c r="R136" s="65"/>
      <c r="S136" s="65"/>
    </row>
    <row r="137" spans="1:19" x14ac:dyDescent="0.2">
      <c r="A137" s="51"/>
      <c r="B137" s="51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51"/>
      <c r="O137" s="51"/>
      <c r="P137" s="62"/>
      <c r="Q137" s="65"/>
      <c r="R137" s="65"/>
      <c r="S137" s="65"/>
    </row>
    <row r="138" spans="1:19" x14ac:dyDescent="0.2">
      <c r="A138" s="51"/>
      <c r="B138" s="51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51"/>
      <c r="O138" s="51"/>
      <c r="P138" s="62"/>
      <c r="Q138" s="65"/>
      <c r="R138" s="65"/>
      <c r="S138" s="65"/>
    </row>
    <row r="139" spans="1:19" x14ac:dyDescent="0.2">
      <c r="A139" s="51"/>
      <c r="B139" s="51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51"/>
      <c r="O139" s="51"/>
      <c r="P139" s="62"/>
      <c r="Q139" s="65"/>
      <c r="R139" s="65"/>
      <c r="S139" s="65"/>
    </row>
    <row r="140" spans="1:19" x14ac:dyDescent="0.2">
      <c r="A140" s="51"/>
      <c r="B140" s="51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51"/>
      <c r="O140" s="51"/>
      <c r="P140" s="62"/>
      <c r="Q140" s="65"/>
      <c r="R140" s="65"/>
      <c r="S140" s="65"/>
    </row>
    <row r="141" spans="1:19" x14ac:dyDescent="0.2">
      <c r="A141" s="51"/>
      <c r="B141" s="51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51"/>
      <c r="O141" s="51"/>
      <c r="P141" s="62"/>
      <c r="Q141" s="65"/>
      <c r="R141" s="65"/>
      <c r="S141" s="65"/>
    </row>
    <row r="142" spans="1:19" x14ac:dyDescent="0.2">
      <c r="A142" s="51"/>
      <c r="B142" s="51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51"/>
      <c r="O142" s="51"/>
      <c r="P142" s="62"/>
      <c r="Q142" s="65"/>
      <c r="R142" s="65"/>
      <c r="S142" s="65"/>
    </row>
    <row r="143" spans="1:19" x14ac:dyDescent="0.2">
      <c r="A143" s="51"/>
      <c r="B143" s="51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51"/>
      <c r="O143" s="51"/>
      <c r="P143" s="62"/>
      <c r="Q143" s="65"/>
      <c r="R143" s="65"/>
      <c r="S143" s="65"/>
    </row>
    <row r="144" spans="1:19" x14ac:dyDescent="0.2">
      <c r="A144" s="51"/>
      <c r="B144" s="51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51"/>
      <c r="O144" s="51"/>
      <c r="P144" s="62"/>
      <c r="Q144" s="65"/>
      <c r="R144" s="65"/>
      <c r="S144" s="65"/>
    </row>
    <row r="145" spans="1:19" x14ac:dyDescent="0.2">
      <c r="A145" s="51"/>
      <c r="B145" s="51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51"/>
      <c r="O145" s="51"/>
      <c r="P145" s="62"/>
      <c r="Q145" s="65"/>
      <c r="R145" s="65"/>
      <c r="S145" s="65"/>
    </row>
    <row r="146" spans="1:19" x14ac:dyDescent="0.2">
      <c r="A146" s="51"/>
      <c r="B146" s="51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51"/>
      <c r="O146" s="51"/>
      <c r="P146" s="62"/>
      <c r="Q146" s="65"/>
      <c r="R146" s="65"/>
      <c r="S146" s="65"/>
    </row>
    <row r="147" spans="1:19" x14ac:dyDescent="0.2">
      <c r="A147" s="51"/>
      <c r="B147" s="51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51"/>
      <c r="O147" s="51"/>
      <c r="P147" s="62"/>
      <c r="Q147" s="65"/>
      <c r="R147" s="65"/>
      <c r="S147" s="65"/>
    </row>
    <row r="148" spans="1:19" x14ac:dyDescent="0.2">
      <c r="A148" s="51"/>
      <c r="B148" s="51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51"/>
      <c r="O148" s="51"/>
      <c r="P148" s="62"/>
      <c r="Q148" s="65"/>
      <c r="R148" s="65"/>
      <c r="S148" s="65"/>
    </row>
    <row r="149" spans="1:19" x14ac:dyDescent="0.2">
      <c r="A149" s="51"/>
      <c r="B149" s="51"/>
      <c r="C149" s="65"/>
      <c r="D149" s="62"/>
      <c r="E149" s="65"/>
      <c r="F149" s="62"/>
      <c r="G149" s="65"/>
      <c r="H149" s="62"/>
      <c r="I149" s="62"/>
      <c r="J149" s="62"/>
      <c r="K149" s="65"/>
      <c r="L149" s="62"/>
      <c r="M149" s="65"/>
      <c r="N149" s="51"/>
      <c r="O149" s="51"/>
      <c r="P149" s="62"/>
      <c r="Q149" s="65"/>
      <c r="R149" s="65"/>
      <c r="S149" s="65"/>
    </row>
    <row r="150" spans="1:19" x14ac:dyDescent="0.2">
      <c r="B150" s="51"/>
      <c r="C150" s="62"/>
      <c r="D150" s="62"/>
      <c r="E150" s="65"/>
      <c r="F150" s="62"/>
      <c r="G150" s="62"/>
      <c r="H150" s="62"/>
      <c r="I150" s="62"/>
      <c r="J150" s="62"/>
      <c r="K150" s="62"/>
      <c r="L150" s="62"/>
      <c r="M150" s="65"/>
      <c r="O150" s="51"/>
      <c r="P150" s="62"/>
      <c r="Q150" s="65"/>
      <c r="R150" s="65"/>
      <c r="S150" s="65"/>
    </row>
    <row r="151" spans="1:19" x14ac:dyDescent="0.2">
      <c r="C151" s="65"/>
      <c r="D151" s="62"/>
      <c r="E151" s="65"/>
      <c r="F151" s="62"/>
      <c r="G151" s="65"/>
      <c r="H151" s="62"/>
      <c r="I151" s="65"/>
      <c r="J151" s="62"/>
      <c r="K151" s="65"/>
      <c r="L151" s="62"/>
      <c r="M151" s="65"/>
      <c r="P151" s="62"/>
      <c r="Q151" s="65"/>
      <c r="R151" s="65"/>
      <c r="S151" s="65"/>
    </row>
    <row r="152" spans="1:19" x14ac:dyDescent="0.2">
      <c r="A152" s="51"/>
      <c r="B152" s="51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5"/>
      <c r="N152" s="51"/>
      <c r="O152" s="51"/>
      <c r="P152" s="62"/>
      <c r="Q152" s="65"/>
      <c r="R152" s="65"/>
      <c r="S152" s="65"/>
    </row>
    <row r="153" spans="1:19" x14ac:dyDescent="0.2">
      <c r="A153" s="51"/>
      <c r="B153" s="51"/>
      <c r="C153" s="65"/>
      <c r="D153" s="62"/>
      <c r="E153" s="65"/>
      <c r="F153" s="62"/>
      <c r="G153" s="65"/>
      <c r="H153" s="62"/>
      <c r="I153" s="65"/>
      <c r="J153" s="62"/>
      <c r="K153" s="65"/>
      <c r="L153" s="62"/>
      <c r="M153" s="65"/>
      <c r="N153" s="51"/>
      <c r="O153" s="51"/>
      <c r="P153" s="62"/>
      <c r="Q153" s="65"/>
      <c r="R153" s="65"/>
      <c r="S153" s="65"/>
    </row>
    <row r="154" spans="1:19" x14ac:dyDescent="0.2">
      <c r="A154" s="51"/>
      <c r="B154" s="51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5"/>
      <c r="N154" s="51"/>
      <c r="O154" s="51"/>
      <c r="P154" s="62"/>
      <c r="Q154" s="65"/>
      <c r="R154" s="65"/>
      <c r="S154" s="65"/>
    </row>
    <row r="155" spans="1:19" x14ac:dyDescent="0.2">
      <c r="C155" s="65"/>
      <c r="D155" s="62"/>
      <c r="E155" s="65"/>
      <c r="F155" s="62"/>
      <c r="G155" s="65"/>
      <c r="H155" s="62"/>
      <c r="I155" s="65"/>
      <c r="J155" s="62"/>
      <c r="K155" s="65"/>
      <c r="L155" s="62"/>
      <c r="M155" s="65"/>
      <c r="P155" s="62"/>
      <c r="Q155" s="65"/>
      <c r="R155" s="65"/>
      <c r="S155" s="65"/>
    </row>
    <row r="156" spans="1:19" x14ac:dyDescent="0.2">
      <c r="A156" s="51"/>
      <c r="B156" s="51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51"/>
      <c r="O156" s="51"/>
      <c r="P156" s="62"/>
      <c r="Q156" s="65"/>
      <c r="R156" s="65"/>
      <c r="S156" s="65"/>
    </row>
    <row r="157" spans="1:19" x14ac:dyDescent="0.2">
      <c r="A157" s="51"/>
      <c r="B157" s="51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51"/>
      <c r="O157" s="51"/>
      <c r="P157" s="62"/>
      <c r="Q157" s="65"/>
      <c r="R157" s="65"/>
      <c r="S157" s="65"/>
    </row>
    <row r="158" spans="1:19" x14ac:dyDescent="0.2">
      <c r="A158" s="51"/>
      <c r="B158" s="51"/>
      <c r="C158" s="62"/>
      <c r="D158" s="62"/>
      <c r="E158" s="62"/>
      <c r="F158" s="62"/>
      <c r="G158" s="62"/>
      <c r="H158" s="62"/>
      <c r="I158" s="65"/>
      <c r="J158" s="65"/>
      <c r="K158" s="65"/>
      <c r="L158" s="65"/>
      <c r="M158" s="65"/>
      <c r="N158" s="51"/>
      <c r="O158" s="51"/>
      <c r="P158" s="65"/>
      <c r="Q158" s="65"/>
      <c r="R158" s="65"/>
      <c r="S158" s="65"/>
    </row>
    <row r="159" spans="1:19" x14ac:dyDescent="0.2">
      <c r="C159" s="65"/>
      <c r="D159" s="62"/>
      <c r="E159" s="65"/>
      <c r="F159" s="65"/>
      <c r="G159" s="65"/>
      <c r="H159" s="65"/>
      <c r="I159" s="65"/>
      <c r="J159" s="65"/>
      <c r="K159" s="65"/>
      <c r="L159" s="65"/>
      <c r="M159" s="65"/>
      <c r="P159" s="65"/>
      <c r="Q159" s="65"/>
      <c r="R159" s="65"/>
      <c r="S159" s="65"/>
    </row>
    <row r="160" spans="1:19" x14ac:dyDescent="0.2">
      <c r="A160" s="51"/>
      <c r="B160" s="51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51"/>
      <c r="O160" s="51"/>
      <c r="P160" s="62"/>
      <c r="Q160" s="62"/>
      <c r="R160" s="65"/>
      <c r="S160" s="65"/>
    </row>
    <row r="161" spans="1:19" x14ac:dyDescent="0.2">
      <c r="A161" s="51"/>
      <c r="B161" s="51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51"/>
      <c r="O161" s="51"/>
      <c r="P161" s="62"/>
      <c r="Q161" s="65"/>
      <c r="R161" s="65"/>
      <c r="S161" s="65"/>
    </row>
    <row r="162" spans="1:19" x14ac:dyDescent="0.2">
      <c r="C162" s="65"/>
      <c r="D162" s="62"/>
      <c r="E162" s="65"/>
      <c r="F162" s="65"/>
      <c r="G162" s="65"/>
      <c r="H162" s="65"/>
      <c r="I162" s="65"/>
      <c r="J162" s="65"/>
      <c r="K162" s="65"/>
      <c r="L162" s="65"/>
      <c r="M162" s="65"/>
      <c r="P162" s="65"/>
      <c r="Q162" s="65"/>
      <c r="R162" s="65"/>
      <c r="S162" s="65"/>
    </row>
    <row r="163" spans="1:19" x14ac:dyDescent="0.2">
      <c r="A163" s="51"/>
      <c r="B163" s="51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51"/>
      <c r="O163" s="51"/>
      <c r="P163" s="62"/>
      <c r="Q163" s="62"/>
      <c r="R163" s="65"/>
      <c r="S163" s="65"/>
    </row>
    <row r="164" spans="1:19" x14ac:dyDescent="0.2">
      <c r="C164" s="65"/>
      <c r="D164" s="62"/>
      <c r="E164" s="62"/>
      <c r="F164" s="62"/>
      <c r="G164" s="65"/>
      <c r="H164" s="65"/>
      <c r="I164" s="65"/>
      <c r="J164" s="65"/>
      <c r="K164" s="65"/>
      <c r="L164" s="65"/>
      <c r="M164" s="65"/>
      <c r="P164" s="65"/>
      <c r="Q164" s="65"/>
      <c r="R164" s="65"/>
      <c r="S164" s="65"/>
    </row>
    <row r="165" spans="1:19" x14ac:dyDescent="0.2">
      <c r="A165" s="51"/>
      <c r="B165" s="51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51"/>
      <c r="O165" s="51"/>
      <c r="P165" s="62"/>
      <c r="Q165" s="65"/>
      <c r="R165" s="65"/>
      <c r="S165" s="65"/>
    </row>
    <row r="166" spans="1:19" x14ac:dyDescent="0.2">
      <c r="C166" s="65"/>
      <c r="D166" s="62"/>
      <c r="E166" s="65"/>
      <c r="F166" s="65"/>
      <c r="G166" s="65"/>
      <c r="H166" s="65"/>
      <c r="I166" s="65"/>
      <c r="J166" s="65"/>
      <c r="K166" s="65"/>
      <c r="L166" s="65"/>
      <c r="M166" s="65"/>
      <c r="P166" s="65"/>
      <c r="Q166" s="65"/>
      <c r="R166" s="65"/>
      <c r="S166" s="65"/>
    </row>
    <row r="167" spans="1:19" x14ac:dyDescent="0.2">
      <c r="A167" s="51"/>
      <c r="B167" s="51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51"/>
      <c r="O167" s="51"/>
      <c r="P167" s="66"/>
    </row>
    <row r="168" spans="1:19" x14ac:dyDescent="0.2">
      <c r="D168" s="67"/>
    </row>
    <row r="169" spans="1:19" x14ac:dyDescent="0.2">
      <c r="D169" s="67"/>
    </row>
    <row r="170" spans="1:19" x14ac:dyDescent="0.2">
      <c r="D170" s="67"/>
    </row>
    <row r="171" spans="1:19" x14ac:dyDescent="0.2">
      <c r="D171" s="67"/>
    </row>
    <row r="172" spans="1:19" x14ac:dyDescent="0.2">
      <c r="D172" s="67"/>
    </row>
    <row r="173" spans="1:19" x14ac:dyDescent="0.2">
      <c r="D173" s="6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4</vt:i4>
      </vt:variant>
    </vt:vector>
  </HeadingPairs>
  <TitlesOfParts>
    <vt:vector size="7" baseType="lpstr">
      <vt:lpstr>CONSUMI PETROLIFERI 21</vt:lpstr>
      <vt:lpstr>2022</vt:lpstr>
      <vt:lpstr>2023</vt:lpstr>
      <vt:lpstr>'2022'!Area_stampa</vt:lpstr>
      <vt:lpstr>'CONSUMI PETROLIFERI 21'!Area_stampa</vt:lpstr>
      <vt:lpstr>primosem</vt:lpstr>
      <vt:lpstr>secsem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AGIP PETROLI</dc:creator>
  <cp:lastModifiedBy>Riccardo Anselmi</cp:lastModifiedBy>
  <cp:lastPrinted>2023-05-02T13:29:57Z</cp:lastPrinted>
  <dcterms:created xsi:type="dcterms:W3CDTF">1998-02-10T15:29:49Z</dcterms:created>
  <dcterms:modified xsi:type="dcterms:W3CDTF">2024-05-13T13:42:41Z</dcterms:modified>
</cp:coreProperties>
</file>