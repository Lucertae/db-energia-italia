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Maggio  2019" sheetId="1" r:id="rId1"/>
  </sheets>
  <externalReferences>
    <externalReference r:id="rId2"/>
  </externalReferences>
  <definedNames>
    <definedName name="_xlnm.Print_Area" localSheetId="0">'Preconsuntivo Maggio  2019'!#REF!</definedName>
  </definedNames>
  <calcPr calcId="162913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<sst xmlns="http://schemas.openxmlformats.org/spreadsheetml/2006/main" count="30" uniqueCount="29">
  <si>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</si>
  <si>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</si>
  <si>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</si>
  <si>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</si>
  <si>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</si>
  <si>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</si>
  <si>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</si>
  <si>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</si>
  <si>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</si>
  <si>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</si>
  <si>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</si>
  <si>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</si>
  <si>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</si>
  <si>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</si>
  <si>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</si>
  <si>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</si>
  <si>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</si>
  <si>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</si>
  <si>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</si>
  <si>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</si>
  <si>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</si>
  <si>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</si>
  <si>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</si>
  <si>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</si>
  <si>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</si>
  <si>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</si>
  <si>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</si>
  <si>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Maggio</t>
  </si>
  <si>
    <t xml:space="preserve">    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</si>
</sst>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1" fontId="5" fillId="0" borderId="1" xfId="2" applyFont="1" applyBorder="1"/>
    <xf numFmtId="164" fontId="5" fillId="0" borderId="1" xfId="2" applyNumberFormat="1" applyFont="1" applyBorder="1"/>
    <xf numFmtId="41" fontId="5" fillId="0" borderId="1" xfId="2" applyFont="1" applyFill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41" fontId="5" fillId="0" borderId="5" xfId="2" applyFont="1" applyFill="1" applyBorder="1"/>
    <xf numFmtId="164" fontId="5" fillId="0" borderId="6" xfId="2" applyNumberFormat="1" applyFont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8"/>
    </sheetNames>
    <sheetDataSet>
      <sheetData sheetId="0"/>
      <sheetData sheetId="1">
        <row r="6">
          <cell r="G6">
            <v>2019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28" t="s">
        <v>15</v>
      </c>
      <c r="D2" s="29"/>
      <c r="E2" s="29"/>
      <c r="F2" s="29"/>
      <c r="G2" s="29"/>
      <c r="H2" s="29"/>
      <c r="I2" s="29"/>
      <c r="J2" s="29"/>
      <c r="K2" s="29"/>
      <c r="L2" s="30"/>
    </row>
    <row r="3" spans="3:12" ht="21" x14ac:dyDescent="0.4">
      <c r="C3" s="38" t="s">
        <v>16</v>
      </c>
      <c r="D3" s="39"/>
      <c r="E3" s="39"/>
      <c r="F3" s="39"/>
      <c r="G3" s="39"/>
      <c r="H3" s="39"/>
      <c r="I3" s="39"/>
      <c r="J3" s="39"/>
      <c r="K3" s="39"/>
      <c r="L3" s="40"/>
    </row>
    <row r="4" spans="3:12" ht="21" x14ac:dyDescent="0.4">
      <c r="C4" s="38" t="s">
        <v>22</v>
      </c>
      <c r="D4" s="39"/>
      <c r="E4" s="39"/>
      <c r="F4" s="39"/>
      <c r="G4" s="41"/>
      <c r="H4" s="41"/>
      <c r="I4" s="41"/>
      <c r="J4" s="39"/>
      <c r="K4" s="39"/>
      <c r="L4" s="40"/>
    </row>
    <row r="5" spans="3:12" ht="21" x14ac:dyDescent="0.4">
      <c r="C5" s="6"/>
      <c r="D5" s="1"/>
      <c r="E5" s="1"/>
      <c r="F5" s="19"/>
      <c r="G5" s="31" t="s">
        <v>27</v>
      </c>
      <c r="H5" s="32"/>
      <c r="I5" s="37"/>
      <c r="J5" s="31" t="s">
        <v>28</v>
      </c>
      <c r="K5" s="32"/>
      <c r="L5" s="33"/>
    </row>
    <row r="6" spans="3:12" ht="17.399999999999999" x14ac:dyDescent="0.3">
      <c r="C6" s="7"/>
      <c r="D6" s="2"/>
      <c r="E6" s="2"/>
      <c r="F6" s="20"/>
      <c r="G6" s="3">
        <f>[1]Gennaio!G6</f>
        <v>2019</v>
      </c>
      <c r="H6" s="3">
        <f>G6-1</f>
        <v>2018</v>
      </c>
      <c r="I6" s="1" t="s">
        <v>0</v>
      </c>
      <c r="J6" s="3">
        <f>G6</f>
        <v>2019</v>
      </c>
      <c r="K6" s="3">
        <f>J6-1</f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42">
        <v>419</v>
      </c>
      <c r="H7" s="42">
        <v>470.6086403615198</v>
      </c>
      <c r="I7" s="43">
        <v>-0.10834956951071884</v>
      </c>
      <c r="J7" s="44">
        <v>2130.3087329860355</v>
      </c>
      <c r="K7" s="44">
        <v>2307.3481433553029</v>
      </c>
      <c r="L7" s="45">
        <v>-7.6728520955585022E-2</v>
      </c>
    </row>
    <row r="8" spans="3:12" ht="15.6" x14ac:dyDescent="0.3">
      <c r="C8" s="6" t="s">
        <v>11</v>
      </c>
      <c r="D8" s="4" t="s">
        <v>1</v>
      </c>
      <c r="E8" s="2"/>
      <c r="F8" s="20"/>
      <c r="G8" s="42">
        <v>6694.7845748982054</v>
      </c>
      <c r="H8" s="42">
        <v>6239.7317041030701</v>
      </c>
      <c r="I8" s="43">
        <v>7.2928275184637403E-2</v>
      </c>
      <c r="J8" s="44">
        <v>31117.68477184089</v>
      </c>
      <c r="K8" s="44">
        <v>29605.721698546338</v>
      </c>
      <c r="L8" s="45">
        <v>5.1069961701652788E-2</v>
      </c>
    </row>
    <row r="9" spans="3:12" ht="15.75" customHeight="1" x14ac:dyDescent="0.3">
      <c r="C9" s="6"/>
      <c r="D9" s="34" t="s">
        <v>24</v>
      </c>
      <c r="E9" s="5" t="s">
        <v>2</v>
      </c>
      <c r="F9" s="21"/>
      <c r="G9" s="44">
        <v>833.11018032205436</v>
      </c>
      <c r="H9" s="42">
        <v>922.98853779764011</v>
      </c>
      <c r="I9" s="46">
        <v>-9.7377544568479801E-2</v>
      </c>
      <c r="J9" s="44">
        <v>4926.327073278002</v>
      </c>
      <c r="K9" s="44">
        <v>8235.731396656498</v>
      </c>
      <c r="L9" s="47">
        <v>-0.40183490257125576</v>
      </c>
    </row>
    <row r="10" spans="3:12" ht="18" customHeight="1" x14ac:dyDescent="0.3">
      <c r="C10" s="6"/>
      <c r="D10" s="35"/>
      <c r="E10" s="5" t="s">
        <v>3</v>
      </c>
      <c r="F10" s="21"/>
      <c r="G10" s="44">
        <v>552.41515887541095</v>
      </c>
      <c r="H10" s="42">
        <v>218.86757986332785</v>
      </c>
      <c r="I10" s="46">
        <v>1.5239697867558428</v>
      </c>
      <c r="J10" s="44">
        <v>2347.248936653189</v>
      </c>
      <c r="K10" s="44">
        <v>1381.4004519164832</v>
      </c>
      <c r="L10" s="47">
        <v>0.69918066364951437</v>
      </c>
    </row>
    <row r="11" spans="3:12" ht="17.25" customHeight="1" x14ac:dyDescent="0.3">
      <c r="C11" s="6"/>
      <c r="D11" s="35"/>
      <c r="E11" s="5" t="s">
        <v>4</v>
      </c>
      <c r="F11" s="21"/>
      <c r="G11" s="44">
        <v>3046.0731101179927</v>
      </c>
      <c r="H11" s="42">
        <v>2961.2894008654321</v>
      </c>
      <c r="I11" s="46">
        <v>2.8630673255975125E-2</v>
      </c>
      <c r="J11" s="44">
        <v>13392.908918209549</v>
      </c>
      <c r="K11" s="44">
        <v>13167.892410300065</v>
      </c>
      <c r="L11" s="47">
        <v>1.7088270537012784E-2</v>
      </c>
    </row>
    <row r="12" spans="3:12" ht="17.25" customHeight="1" x14ac:dyDescent="0.3">
      <c r="C12" s="6"/>
      <c r="D12" s="35"/>
      <c r="E12" s="5" t="s">
        <v>5</v>
      </c>
      <c r="F12" s="21"/>
      <c r="G12" s="44">
        <v>1138.4472682130952</v>
      </c>
      <c r="H12" s="42">
        <v>1282.042036367076</v>
      </c>
      <c r="I12" s="46">
        <v>-0.1120047268971659</v>
      </c>
      <c r="J12" s="44">
        <v>4754.5734123099483</v>
      </c>
      <c r="K12" s="44">
        <v>3613.6015740464877</v>
      </c>
      <c r="L12" s="47">
        <v>0.31574367424956806</v>
      </c>
    </row>
    <row r="13" spans="3:12" ht="14.25" customHeight="1" x14ac:dyDescent="0.3">
      <c r="C13" s="6"/>
      <c r="D13" s="35"/>
      <c r="E13" s="5" t="s">
        <v>18</v>
      </c>
      <c r="F13" s="21"/>
      <c r="G13" s="44">
        <v>239.7548948003122</v>
      </c>
      <c r="H13" s="42">
        <v>171.3895274981034</v>
      </c>
      <c r="I13" s="46">
        <v>0.39888882535699466</v>
      </c>
      <c r="J13" s="44">
        <v>1130.2586869794759</v>
      </c>
      <c r="K13" s="44">
        <v>296.95346559147703</v>
      </c>
      <c r="L13" s="47">
        <v>2.806181162857309</v>
      </c>
    </row>
    <row r="14" spans="3:12" ht="14.25" customHeight="1" x14ac:dyDescent="0.3">
      <c r="C14" s="6"/>
      <c r="D14" s="35"/>
      <c r="E14" s="5" t="s">
        <v>23</v>
      </c>
      <c r="F14" s="21"/>
      <c r="G14" s="44">
        <v>596.80061696341988</v>
      </c>
      <c r="H14" s="42">
        <v>584.40682708004761</v>
      </c>
      <c r="I14" s="46">
        <v>2.1207469367353404E-2</v>
      </c>
      <c r="J14" s="44">
        <v>3134.8153253410892</v>
      </c>
      <c r="K14" s="44">
        <v>2694.5659048990233</v>
      </c>
      <c r="L14" s="47">
        <v>0.16338417243447001</v>
      </c>
    </row>
    <row r="15" spans="3:12" ht="14.25" customHeight="1" x14ac:dyDescent="0.3">
      <c r="C15" s="6"/>
      <c r="D15" s="35"/>
      <c r="E15" s="5" t="s">
        <v>25</v>
      </c>
      <c r="F15" s="21"/>
      <c r="G15" s="44">
        <v>283.9492840557092</v>
      </c>
      <c r="H15" s="42">
        <v>88.184095245851168</v>
      </c>
      <c r="I15" s="46">
        <v>2.2199602804119971</v>
      </c>
      <c r="J15" s="44">
        <v>1412.0292560592075</v>
      </c>
      <c r="K15" s="44">
        <v>148.81323336434338</v>
      </c>
      <c r="L15" s="47">
        <v>8.4886000669181012</v>
      </c>
    </row>
    <row r="16" spans="3:12" ht="15.6" x14ac:dyDescent="0.3">
      <c r="C16" s="6"/>
      <c r="D16" s="35"/>
      <c r="E16" s="5" t="s">
        <v>6</v>
      </c>
      <c r="F16" s="22">
        <v>0</v>
      </c>
      <c r="G16" s="44">
        <v>0.49884155021162901</v>
      </c>
      <c r="H16" s="42">
        <v>1.1850233855903147</v>
      </c>
      <c r="I16" s="46">
        <v>-0.57904497389886278</v>
      </c>
      <c r="J16" s="44">
        <v>0.86034901042775069</v>
      </c>
      <c r="K16" s="44">
        <v>21.15328377196094</v>
      </c>
      <c r="L16" s="47">
        <v>-0.95932787458899604</v>
      </c>
    </row>
    <row r="17" spans="3:12" ht="16.5" customHeight="1" x14ac:dyDescent="0.3">
      <c r="C17" s="6"/>
      <c r="D17" s="36"/>
      <c r="E17" s="5" t="s">
        <v>19</v>
      </c>
      <c r="F17" s="21"/>
      <c r="G17" s="42">
        <v>3.73522</v>
      </c>
      <c r="H17" s="42">
        <v>9.3786759999999987</v>
      </c>
      <c r="I17" s="46">
        <v>-0.60173269659811246</v>
      </c>
      <c r="J17" s="44">
        <v>18.662813999999997</v>
      </c>
      <c r="K17" s="44">
        <v>45.609977999999998</v>
      </c>
      <c r="L17" s="47">
        <v>-0.59081729879369815</v>
      </c>
    </row>
    <row r="18" spans="3:12" ht="15.6" x14ac:dyDescent="0.3">
      <c r="C18" s="6" t="s">
        <v>14</v>
      </c>
      <c r="D18" s="4" t="s">
        <v>7</v>
      </c>
      <c r="E18" s="4"/>
      <c r="F18" s="23"/>
      <c r="G18" s="48">
        <v>16.964688278830014</v>
      </c>
      <c r="H18" s="42">
        <v>18.430568962663454</v>
      </c>
      <c r="I18" s="43">
        <v>-7.9535291981653544E-2</v>
      </c>
      <c r="J18" s="44">
        <v>113.28332439526139</v>
      </c>
      <c r="K18" s="44">
        <v>161.19554146272256</v>
      </c>
      <c r="L18" s="45">
        <v>-0.29723041116829629</v>
      </c>
    </row>
    <row r="19" spans="3:12" ht="15.6" x14ac:dyDescent="0.3">
      <c r="C19" s="6" t="s">
        <v>12</v>
      </c>
      <c r="D19" s="4" t="s">
        <v>20</v>
      </c>
      <c r="E19" s="4"/>
      <c r="F19" s="23"/>
      <c r="G19" s="27">
        <v>2175.4579289210619</v>
      </c>
      <c r="H19" s="42">
        <v>2641.0526563971066</v>
      </c>
      <c r="I19" s="43">
        <v>-0.17629134593295226</v>
      </c>
      <c r="J19" s="26">
        <v>-2978.0338147754442</v>
      </c>
      <c r="K19" s="44">
        <v>-3074.1247042678101</v>
      </c>
      <c r="L19" s="45">
        <v>-3.1257967303331191E-2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49">
        <v>4921.9803544686383</v>
      </c>
      <c r="H20" s="49">
        <v>4050.85711910482</v>
      </c>
      <c r="I20" s="50">
        <v>0.21504664562356224</v>
      </c>
      <c r="J20" s="51">
        <v>36112.743995207107</v>
      </c>
      <c r="K20" s="51">
        <v>34825.999004706726</v>
      </c>
      <c r="L20" s="52">
        <v>3.6947827119804266E-2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2019-05-28T09:18:26Z</cp:lastPrinted>
  <dcterms:created xsi:type="dcterms:W3CDTF">2005-02-22T07:47:00Z</dcterms:created>
  <dcterms:modified xsi:type="dcterms:W3CDTF">2019-07-11T07:34:29Z</dcterms:modified>
</cp:coreProperties>
</file>