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Ottobre  2019" sheetId="1" r:id="rId1"/>
  </sheets>
  <externalReferences>
    <externalReference r:id="rId2"/>
  </externalReferences>
  <definedNames>
    <definedName name="_xlnm.Print_Area" localSheetId="0">'Preconsuntivo Ottobre  2019'!#REF!</definedName>
  </definedNames>
  <calcPr calcId="162913"/>
</workbook>
</file>

<file path=xl/calcChain.xml><?xml version="1.0" encoding="utf-8"?>
<calcChain xmlns="http://schemas.openxmlformats.org/spreadsheetml/2006/main">
  <c r="K20" i="1" l="1"/>
  <c r="H20" i="1"/>
  <c r="K19" i="1"/>
  <c r="J19" i="1"/>
  <c r="L19" i="1" s="1"/>
  <c r="I19" i="1"/>
  <c r="H19" i="1"/>
  <c r="G19" i="1"/>
  <c r="K18" i="1"/>
  <c r="H18" i="1"/>
  <c r="G18" i="1"/>
  <c r="J18" i="1" s="1"/>
  <c r="L18" i="1" s="1"/>
  <c r="K17" i="1"/>
  <c r="J17" i="1"/>
  <c r="L17" i="1" s="1"/>
  <c r="I17" i="1"/>
  <c r="H17" i="1"/>
  <c r="G17" i="1"/>
  <c r="K16" i="1"/>
  <c r="H16" i="1"/>
  <c r="G16" i="1"/>
  <c r="G8" i="1" s="1"/>
  <c r="J15" i="1"/>
  <c r="H15" i="1"/>
  <c r="K15" i="1" s="1"/>
  <c r="G15" i="1"/>
  <c r="K14" i="1"/>
  <c r="J14" i="1"/>
  <c r="L14" i="1" s="1"/>
  <c r="H14" i="1"/>
  <c r="G14" i="1"/>
  <c r="I14" i="1" s="1"/>
  <c r="J13" i="1"/>
  <c r="H13" i="1"/>
  <c r="K13" i="1" s="1"/>
  <c r="L13" i="1" s="1"/>
  <c r="G13" i="1"/>
  <c r="K12" i="1"/>
  <c r="J12" i="1"/>
  <c r="L12" i="1" s="1"/>
  <c r="H12" i="1"/>
  <c r="G12" i="1"/>
  <c r="I12" i="1" s="1"/>
  <c r="J11" i="1"/>
  <c r="H11" i="1"/>
  <c r="K11" i="1" s="1"/>
  <c r="L11" i="1" s="1"/>
  <c r="G11" i="1"/>
  <c r="K10" i="1"/>
  <c r="J10" i="1"/>
  <c r="L10" i="1" s="1"/>
  <c r="H10" i="1"/>
  <c r="G10" i="1"/>
  <c r="I10" i="1" s="1"/>
  <c r="J9" i="1"/>
  <c r="H9" i="1"/>
  <c r="K9" i="1" s="1"/>
  <c r="L9" i="1" s="1"/>
  <c r="G9" i="1"/>
  <c r="K8" i="1"/>
  <c r="H8" i="1"/>
  <c r="J7" i="1"/>
  <c r="H7" i="1"/>
  <c r="K7" i="1" s="1"/>
  <c r="L7" i="1" s="1"/>
  <c r="G7" i="1"/>
  <c r="J6" i="1"/>
  <c r="K6" i="1" s="1"/>
  <c r="H6" i="1"/>
  <c r="G6" i="1"/>
  <c r="J8" i="1" l="1"/>
  <c r="L8" i="1" s="1"/>
  <c r="G20" i="1"/>
  <c r="I8" i="1"/>
  <c r="I7" i="1"/>
  <c r="I9" i="1"/>
  <c r="I11" i="1"/>
  <c r="I13" i="1"/>
  <c r="I15" i="1"/>
  <c r="I18" i="1"/>
  <c r="J16" i="1"/>
  <c r="L16" i="1" s="1"/>
  <c r="J20" i="1" l="1"/>
  <c r="L20" i="1" s="1"/>
  <c r="I20" i="1"/>
</calcChain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<sst xmlns="http://schemas.openxmlformats.org/spreadsheetml/2006/main" count="31" uniqueCount="30">
  <si>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</si>
  <si>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</si>
  <si>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</si>
  <si>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</si>
  <si>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</si>
  <si>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</si>
  <si>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</si>
  <si>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</si>
  <si>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</si>
  <si>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</si>
  <si>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</si>
  <si>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</si>
  <si>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</si>
  <si>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</si>
  <si>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</si>
  <si>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</si>
  <si>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</si>
  <si>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</si>
  <si>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</si>
  <si>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</si>
  <si>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</si>
  <si>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</si>
  <si>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</si>
  <si>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</si>
  <si>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</si>
  <si>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</si>
  <si>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</si>
  <si>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</si>
  <si>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Ottobre</t>
  </si>
  <si>
    <t xml:space="preserve"> 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</si>
</sst>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Border="1"/>
    <xf numFmtId="164" fontId="5" fillId="0" borderId="1" xfId="2" applyNumberFormat="1" applyFont="1" applyBorder="1"/>
    <xf numFmtId="41" fontId="5" fillId="0" borderId="1" xfId="2" applyFont="1" applyFill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41" fontId="5" fillId="0" borderId="5" xfId="2" applyFont="1" applyFill="1" applyBorder="1"/>
    <xf numFmtId="164" fontId="5" fillId="0" borderId="6" xfId="2" applyNumberFormat="1" applyFont="1" applyBorder="1"/>
    <xf numFmtId="164" fontId="2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8"/>
    </sheetNames>
    <sheetDataSet>
      <sheetData sheetId="0">
        <row r="4">
          <cell r="K4">
            <v>637.34503492468843</v>
          </cell>
        </row>
        <row r="5">
          <cell r="K5">
            <v>506.16990877491673</v>
          </cell>
        </row>
        <row r="6">
          <cell r="K6">
            <v>1711.1408147359962</v>
          </cell>
        </row>
        <row r="7">
          <cell r="K7">
            <v>1178.0400663971056</v>
          </cell>
        </row>
        <row r="11">
          <cell r="K11">
            <v>7.9294513726324753</v>
          </cell>
        </row>
        <row r="14">
          <cell r="K14">
            <v>0</v>
          </cell>
        </row>
        <row r="25">
          <cell r="K25">
            <v>171.5365354330709</v>
          </cell>
        </row>
        <row r="26">
          <cell r="K26">
            <v>629.06856163249859</v>
          </cell>
        </row>
        <row r="27">
          <cell r="K27">
            <v>358.51378865479649</v>
          </cell>
        </row>
        <row r="32">
          <cell r="K32">
            <v>351.55716696225335</v>
          </cell>
        </row>
        <row r="34">
          <cell r="K34">
            <v>3.3848799999999999</v>
          </cell>
        </row>
        <row r="38">
          <cell r="K38">
            <v>25.939921307133904</v>
          </cell>
        </row>
        <row r="44">
          <cell r="K44">
            <v>393.72495726708229</v>
          </cell>
        </row>
      </sheetData>
      <sheetData sheetId="1">
        <row r="6">
          <cell r="G6">
            <v>2019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J7">
            <v>3709.6064490482827</v>
          </cell>
          <cell r="K7">
            <v>4101.7468369588842</v>
          </cell>
        </row>
        <row r="8">
          <cell r="J8">
            <v>55018.913430132248</v>
          </cell>
          <cell r="K8">
            <v>51898.399765800124</v>
          </cell>
        </row>
        <row r="9">
          <cell r="J9">
            <v>7771.0702608119918</v>
          </cell>
          <cell r="K9">
            <v>12207.780048899294</v>
          </cell>
        </row>
        <row r="10">
          <cell r="J10">
            <v>4245.5987877326143</v>
          </cell>
          <cell r="K10">
            <v>3064.5385876900523</v>
          </cell>
        </row>
        <row r="11">
          <cell r="J11">
            <v>23302.723398926482</v>
          </cell>
          <cell r="K11">
            <v>24033.912684684685</v>
          </cell>
        </row>
        <row r="12">
          <cell r="J12">
            <v>9021.2209040221333</v>
          </cell>
          <cell r="K12">
            <v>6794.6517254262135</v>
          </cell>
        </row>
        <row r="13">
          <cell r="J13">
            <v>2063.2822036615121</v>
          </cell>
          <cell r="K13">
            <v>638.44199559727895</v>
          </cell>
        </row>
        <row r="14">
          <cell r="J14">
            <v>5887.6624441134045</v>
          </cell>
          <cell r="K14">
            <v>4912.2605500048176</v>
          </cell>
        </row>
        <row r="15">
          <cell r="J15">
            <v>2687.4056708472253</v>
          </cell>
          <cell r="K15">
            <v>148.81323336834311</v>
          </cell>
        </row>
        <row r="16">
          <cell r="J16">
            <v>8.0809460168830256</v>
          </cell>
          <cell r="K16">
            <v>22.932586129436526</v>
          </cell>
        </row>
        <row r="17">
          <cell r="J17">
            <v>31.868813999999997</v>
          </cell>
          <cell r="K17">
            <v>75.068353999999999</v>
          </cell>
        </row>
        <row r="18">
          <cell r="J18">
            <v>202.39227012839612</v>
          </cell>
          <cell r="K18">
            <v>248.15921921921918</v>
          </cell>
        </row>
        <row r="19">
          <cell r="J19">
            <v>4160.9080400873572</v>
          </cell>
          <cell r="K19">
            <v>3939.8138459674637</v>
          </cell>
        </row>
        <row r="20">
          <cell r="J20">
            <v>54365.219568964771</v>
          </cell>
          <cell r="K20">
            <v>51812.173537572322</v>
          </cell>
        </row>
      </sheetData>
      <sheetData sheetId="10"/>
      <sheetData sheetId="11"/>
      <sheetData sheetId="12"/>
      <sheetData sheetId="13">
        <row r="7">
          <cell r="L7">
            <v>449.70798074970793</v>
          </cell>
        </row>
        <row r="8">
          <cell r="L8">
            <v>4929.4609343507336</v>
          </cell>
        </row>
        <row r="9">
          <cell r="L9">
            <v>1672.9004937220689</v>
          </cell>
        </row>
        <row r="10">
          <cell r="L10">
            <v>530.63588432527024</v>
          </cell>
        </row>
        <row r="11">
          <cell r="L11">
            <v>1291.5244439715304</v>
          </cell>
        </row>
        <row r="12">
          <cell r="L12">
            <v>535.88999465607333</v>
          </cell>
        </row>
        <row r="13">
          <cell r="L13">
            <v>85.426640373656127</v>
          </cell>
        </row>
        <row r="14">
          <cell r="L14">
            <v>533.43244406711324</v>
          </cell>
        </row>
        <row r="15">
          <cell r="L15">
            <v>267.2791698480126</v>
          </cell>
        </row>
        <row r="16">
          <cell r="L16">
            <v>0.55236338700905629</v>
          </cell>
        </row>
        <row r="17">
          <cell r="L17">
            <v>11.8195</v>
          </cell>
        </row>
        <row r="18">
          <cell r="L18">
            <v>26.029979617412689</v>
          </cell>
        </row>
        <row r="19">
          <cell r="L19">
            <v>331.36084604289726</v>
          </cell>
        </row>
        <row r="20">
          <cell r="L20">
            <v>5021.7780894401312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40" t="s">
        <v>15</v>
      </c>
      <c r="D2" s="41"/>
      <c r="E2" s="41"/>
      <c r="F2" s="41"/>
      <c r="G2" s="41"/>
      <c r="H2" s="41"/>
      <c r="I2" s="41"/>
      <c r="J2" s="41"/>
      <c r="K2" s="41"/>
      <c r="L2" s="42"/>
    </row>
    <row r="3" spans="3:12" ht="21" x14ac:dyDescent="0.4">
      <c r="C3" s="50" t="s">
        <v>16</v>
      </c>
      <c r="D3" s="51"/>
      <c r="E3" s="51"/>
      <c r="F3" s="51"/>
      <c r="G3" s="51"/>
      <c r="H3" s="51"/>
      <c r="I3" s="51"/>
      <c r="J3" s="51"/>
      <c r="K3" s="51"/>
      <c r="L3" s="52"/>
    </row>
    <row r="4" spans="3:12" ht="21" x14ac:dyDescent="0.4">
      <c r="C4" s="50" t="s">
        <v>22</v>
      </c>
      <c r="D4" s="51"/>
      <c r="E4" s="51"/>
      <c r="F4" s="51"/>
      <c r="G4" s="53"/>
      <c r="H4" s="53"/>
      <c r="I4" s="53"/>
      <c r="J4" s="51"/>
      <c r="K4" s="51"/>
      <c r="L4" s="52"/>
    </row>
    <row r="5" spans="3:12" ht="21" x14ac:dyDescent="0.4">
      <c r="C5" s="6"/>
      <c r="D5" s="1"/>
      <c r="E5" s="1"/>
      <c r="F5" s="19"/>
      <c r="G5" s="43" t="s">
        <v>28</v>
      </c>
      <c r="H5" s="44"/>
      <c r="I5" s="49"/>
      <c r="J5" s="43" t="s">
        <v>29</v>
      </c>
      <c r="K5" s="44"/>
      <c r="L5" s="45"/>
    </row>
    <row r="6" spans="3:12" ht="17.399999999999999" x14ac:dyDescent="0.3">
      <c r="C6" s="7"/>
      <c r="D6" s="2"/>
      <c r="E6" s="2"/>
      <c r="F6" s="20"/>
      <c r="G6" s="3">
        <f>[1]Gennaio!G6</f>
        <v>2019</v>
      </c>
      <c r="H6" s="3">
        <f>G6-1</f>
        <v>2018</v>
      </c>
      <c r="I6" s="1" t="s">
        <v>0</v>
      </c>
      <c r="J6" s="3">
        <f>G6</f>
        <v>2019</v>
      </c>
      <c r="K6" s="3">
        <f>J6-1</f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8">
        <f>[1]AppoggioNew!K44</f>
        <v>393.72495726708229</v>
      </c>
      <c r="H7" s="28">
        <f>'[1]consuntivo 2018'!L7</f>
        <v>449.70798074970793</v>
      </c>
      <c r="I7" s="29">
        <f>G7/H7-100%</f>
        <v>-0.1244875027329877</v>
      </c>
      <c r="J7" s="30">
        <f>G7+[1]Settembre!J7</f>
        <v>4103.3314063153648</v>
      </c>
      <c r="K7" s="30">
        <f>H7+[1]Settembre!K7</f>
        <v>4551.4548177085917</v>
      </c>
      <c r="L7" s="31">
        <f>J7/K7-100%</f>
        <v>-9.8457181130237492E-2</v>
      </c>
    </row>
    <row r="8" spans="3:12" ht="15.6" x14ac:dyDescent="0.3">
      <c r="C8" s="6" t="s">
        <v>11</v>
      </c>
      <c r="D8" s="4" t="s">
        <v>1</v>
      </c>
      <c r="E8" s="2"/>
      <c r="F8" s="20"/>
      <c r="G8" s="28">
        <f>SUM(G9:G17)</f>
        <v>5203.1290419257057</v>
      </c>
      <c r="H8" s="28">
        <f>'[1]consuntivo 2018'!L8</f>
        <v>4929.4609343507336</v>
      </c>
      <c r="I8" s="29">
        <f>G8/H8-100%</f>
        <v>5.5516842758186247E-2</v>
      </c>
      <c r="J8" s="30">
        <f>G8+[1]Settembre!J8</f>
        <v>60222.042472057954</v>
      </c>
      <c r="K8" s="30">
        <f>H8+[1]Settembre!K8</f>
        <v>56827.860700150857</v>
      </c>
      <c r="L8" s="31">
        <f>J8/K8-100%</f>
        <v>5.9727424718947431E-2</v>
      </c>
    </row>
    <row r="9" spans="3:12" ht="15.75" customHeight="1" x14ac:dyDescent="0.3">
      <c r="C9" s="6"/>
      <c r="D9" s="46" t="s">
        <v>24</v>
      </c>
      <c r="E9" s="5" t="s">
        <v>2</v>
      </c>
      <c r="F9" s="21"/>
      <c r="G9" s="30">
        <f>[1]AppoggioNew!K4-[1]AppoggioNew!K14</f>
        <v>637.34503492468843</v>
      </c>
      <c r="H9" s="28">
        <f>'[1]consuntivo 2018'!L9</f>
        <v>1672.9004937220689</v>
      </c>
      <c r="I9" s="32">
        <f t="shared" ref="I9:I20" si="0">G9/H9-100%</f>
        <v>-0.61901796471668979</v>
      </c>
      <c r="J9" s="30">
        <f>G9+[1]Settembre!J9</f>
        <v>8408.4152957366805</v>
      </c>
      <c r="K9" s="30">
        <f>H9+[1]Settembre!K9</f>
        <v>13880.680542621363</v>
      </c>
      <c r="L9" s="33">
        <f>J9/K9-100%</f>
        <v>-0.39423609167301299</v>
      </c>
    </row>
    <row r="10" spans="3:12" ht="18" customHeight="1" x14ac:dyDescent="0.3">
      <c r="C10" s="6"/>
      <c r="D10" s="47"/>
      <c r="E10" s="5" t="s">
        <v>3</v>
      </c>
      <c r="F10" s="21"/>
      <c r="G10" s="30">
        <f>[1]AppoggioNew!K5</f>
        <v>506.16990877491673</v>
      </c>
      <c r="H10" s="28">
        <f>'[1]consuntivo 2018'!L10</f>
        <v>530.63588432527024</v>
      </c>
      <c r="I10" s="32">
        <f t="shared" si="0"/>
        <v>-4.6106899802796364E-2</v>
      </c>
      <c r="J10" s="30">
        <f>G10+[1]Settembre!J10</f>
        <v>4751.7686965075309</v>
      </c>
      <c r="K10" s="30">
        <f>H10+[1]Settembre!K10</f>
        <v>3595.1744720153224</v>
      </c>
      <c r="L10" s="33">
        <f>J10/K10-100%</f>
        <v>0.32170739792883096</v>
      </c>
    </row>
    <row r="11" spans="3:12" ht="17.25" customHeight="1" x14ac:dyDescent="0.3">
      <c r="C11" s="6"/>
      <c r="D11" s="47"/>
      <c r="E11" s="5" t="s">
        <v>4</v>
      </c>
      <c r="F11" s="21"/>
      <c r="G11" s="30">
        <f>[1]AppoggioNew!K6</f>
        <v>1711.1408147359962</v>
      </c>
      <c r="H11" s="28">
        <f>'[1]consuntivo 2018'!L11</f>
        <v>1291.5244439715304</v>
      </c>
      <c r="I11" s="32">
        <f t="shared" si="0"/>
        <v>0.32490006110462399</v>
      </c>
      <c r="J11" s="30">
        <f>G11+[1]Settembre!J11</f>
        <v>25013.864213662477</v>
      </c>
      <c r="K11" s="30">
        <f>H11+[1]Settembre!K11</f>
        <v>25325.437128656216</v>
      </c>
      <c r="L11" s="33">
        <f t="shared" ref="L11:L20" si="1">J11/K11-100%</f>
        <v>-1.2302765532176685E-2</v>
      </c>
    </row>
    <row r="12" spans="3:12" ht="17.25" customHeight="1" x14ac:dyDescent="0.3">
      <c r="C12" s="6"/>
      <c r="D12" s="47"/>
      <c r="E12" s="5" t="s">
        <v>5</v>
      </c>
      <c r="F12" s="21"/>
      <c r="G12" s="30">
        <f>[1]AppoggioNew!K7</f>
        <v>1178.0400663971056</v>
      </c>
      <c r="H12" s="28">
        <f>'[1]consuntivo 2018'!L12</f>
        <v>535.88999465607333</v>
      </c>
      <c r="I12" s="32">
        <f t="shared" si="0"/>
        <v>1.1982871076985777</v>
      </c>
      <c r="J12" s="30">
        <f>G12+[1]Settembre!J12</f>
        <v>10199.260970419238</v>
      </c>
      <c r="K12" s="30">
        <f>H12+[1]Settembre!K12</f>
        <v>7330.5417200822867</v>
      </c>
      <c r="L12" s="33">
        <f t="shared" si="1"/>
        <v>0.39133796107837293</v>
      </c>
    </row>
    <row r="13" spans="3:12" ht="14.25" customHeight="1" x14ac:dyDescent="0.3">
      <c r="C13" s="6"/>
      <c r="D13" s="47"/>
      <c r="E13" s="5" t="s">
        <v>18</v>
      </c>
      <c r="F13" s="21"/>
      <c r="G13" s="30">
        <f>[1]AppoggioNew!K25</f>
        <v>171.5365354330709</v>
      </c>
      <c r="H13" s="28">
        <f>'[1]consuntivo 2018'!L13</f>
        <v>85.426640373656127</v>
      </c>
      <c r="I13" s="32">
        <f t="shared" si="0"/>
        <v>1.0079981453416651</v>
      </c>
      <c r="J13" s="30">
        <f>G13+[1]Settembre!J13</f>
        <v>2234.8187390945832</v>
      </c>
      <c r="K13" s="30">
        <f>H13+[1]Settembre!K13</f>
        <v>723.86863597093509</v>
      </c>
      <c r="L13" s="33">
        <f t="shared" si="1"/>
        <v>2.0873263849828079</v>
      </c>
    </row>
    <row r="14" spans="3:12" ht="14.25" customHeight="1" x14ac:dyDescent="0.3">
      <c r="C14" s="6"/>
      <c r="D14" s="47"/>
      <c r="E14" s="5" t="s">
        <v>23</v>
      </c>
      <c r="F14" s="21"/>
      <c r="G14" s="30">
        <f>[1]AppoggioNew!K26</f>
        <v>629.06856163249859</v>
      </c>
      <c r="H14" s="28">
        <f>'[1]consuntivo 2018'!L14</f>
        <v>533.43244406711324</v>
      </c>
      <c r="I14" s="32">
        <f t="shared" si="0"/>
        <v>0.17928440354361541</v>
      </c>
      <c r="J14" s="30">
        <f>G14+[1]Settembre!J14</f>
        <v>6516.7310057459035</v>
      </c>
      <c r="K14" s="30">
        <f>H14+[1]Settembre!K14</f>
        <v>5445.692994071931</v>
      </c>
      <c r="L14" s="33">
        <f t="shared" si="1"/>
        <v>0.19667616460198589</v>
      </c>
    </row>
    <row r="15" spans="3:12" ht="14.25" customHeight="1" x14ac:dyDescent="0.3">
      <c r="C15" s="6"/>
      <c r="D15" s="47"/>
      <c r="E15" s="5" t="s">
        <v>25</v>
      </c>
      <c r="F15" s="21"/>
      <c r="G15" s="30">
        <f>[1]AppoggioNew!K27</f>
        <v>358.51378865479649</v>
      </c>
      <c r="H15" s="28">
        <f>'[1]consuntivo 2018'!L15</f>
        <v>267.2791698480126</v>
      </c>
      <c r="I15" s="32">
        <f t="shared" si="0"/>
        <v>0.34134578784670788</v>
      </c>
      <c r="J15" s="30">
        <f>G15+[1]Settembre!J15</f>
        <v>3045.9194595020217</v>
      </c>
      <c r="K15" s="30">
        <f>H15+[1]Settembre!K15</f>
        <v>416.09240321635571</v>
      </c>
      <c r="L15" s="33">
        <v>6.3202957707406977</v>
      </c>
    </row>
    <row r="16" spans="3:12" ht="15.6" x14ac:dyDescent="0.3">
      <c r="C16" s="6"/>
      <c r="D16" s="47"/>
      <c r="E16" s="5" t="s">
        <v>6</v>
      </c>
      <c r="F16" s="22">
        <v>0</v>
      </c>
      <c r="G16" s="30">
        <f>[1]AppoggioNew!K11</f>
        <v>7.9294513726324753</v>
      </c>
      <c r="H16" s="28">
        <f>'[1]consuntivo 2018'!L16</f>
        <v>0.55236338700905629</v>
      </c>
      <c r="I16" s="39" t="s">
        <v>27</v>
      </c>
      <c r="J16" s="30">
        <f>G16+[1]Settembre!J16</f>
        <v>16.0103973895155</v>
      </c>
      <c r="K16" s="30">
        <f>H16+[1]Settembre!K16</f>
        <v>23.484949516445582</v>
      </c>
      <c r="L16" s="33">
        <f t="shared" si="1"/>
        <v>-0.31826988266233858</v>
      </c>
    </row>
    <row r="17" spans="3:12" ht="16.5" customHeight="1" x14ac:dyDescent="0.3">
      <c r="C17" s="6"/>
      <c r="D17" s="48"/>
      <c r="E17" s="5" t="s">
        <v>19</v>
      </c>
      <c r="F17" s="21"/>
      <c r="G17" s="28">
        <f>[1]AppoggioNew!K34</f>
        <v>3.3848799999999999</v>
      </c>
      <c r="H17" s="28">
        <f>'[1]consuntivo 2018'!L17</f>
        <v>11.8195</v>
      </c>
      <c r="I17" s="32">
        <f t="shared" si="0"/>
        <v>-0.71361901941706507</v>
      </c>
      <c r="J17" s="26">
        <f>G17+[1]Settembre!J17</f>
        <v>35.253693999999996</v>
      </c>
      <c r="K17" s="30">
        <f>H17+[1]Settembre!K17</f>
        <v>86.887854000000004</v>
      </c>
      <c r="L17" s="33">
        <f t="shared" si="1"/>
        <v>-0.59426211631374859</v>
      </c>
    </row>
    <row r="18" spans="3:12" ht="15.6" x14ac:dyDescent="0.3">
      <c r="C18" s="6" t="s">
        <v>14</v>
      </c>
      <c r="D18" s="4" t="s">
        <v>7</v>
      </c>
      <c r="E18" s="4"/>
      <c r="F18" s="23"/>
      <c r="G18" s="34">
        <f>[1]AppoggioNew!K38</f>
        <v>25.939921307133904</v>
      </c>
      <c r="H18" s="28">
        <f>'[1]consuntivo 2018'!L18</f>
        <v>26.029979617412689</v>
      </c>
      <c r="I18" s="29">
        <f t="shared" si="0"/>
        <v>-3.4597918093850488E-3</v>
      </c>
      <c r="J18" s="30">
        <f>G18+[1]Settembre!J18</f>
        <v>228.33219143553004</v>
      </c>
      <c r="K18" s="30">
        <f>H18+[1]Settembre!K18</f>
        <v>274.18919883663187</v>
      </c>
      <c r="L18" s="31">
        <f t="shared" si="1"/>
        <v>-0.16724585649496893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f>[1]AppoggioNew!K32</f>
        <v>351.55716696225335</v>
      </c>
      <c r="H19" s="28">
        <f>'[1]consuntivo 2018'!L19</f>
        <v>331.36084604289726</v>
      </c>
      <c r="I19" s="29">
        <f t="shared" si="0"/>
        <v>6.0949629868887634E-2</v>
      </c>
      <c r="J19" s="30">
        <f>G19+[1]Settembre!J19</f>
        <v>4512.4652070496104</v>
      </c>
      <c r="K19" s="30">
        <f>H19+[1]Settembre!K19</f>
        <v>4271.1746920103615</v>
      </c>
      <c r="L19" s="31">
        <f t="shared" si="1"/>
        <v>5.6492775978141507E-2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35">
        <f>G7+G8-G18-G19</f>
        <v>5219.3569109234013</v>
      </c>
      <c r="H20" s="35">
        <f>'[1]consuntivo 2018'!L20</f>
        <v>5021.7780894401312</v>
      </c>
      <c r="I20" s="36">
        <f t="shared" si="0"/>
        <v>3.9344395145365363E-2</v>
      </c>
      <c r="J20" s="37">
        <f>G20+[1]Settembre!J20</f>
        <v>59584.576479888172</v>
      </c>
      <c r="K20" s="37">
        <f>H20+[1]Settembre!K20</f>
        <v>56833.951627012451</v>
      </c>
      <c r="L20" s="38">
        <f t="shared" si="1"/>
        <v>4.8397564732563625E-2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2019-11-28T09:03:19Z</cp:lastPrinted>
  <dcterms:created xsi:type="dcterms:W3CDTF">2005-02-22T07:47:00Z</dcterms:created>
  <dcterms:modified xsi:type="dcterms:W3CDTF">2019-11-28T09:03:22Z</dcterms:modified>
</cp:coreProperties>
</file>