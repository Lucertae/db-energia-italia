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Dicembre  2019" sheetId="1" r:id="rId1"/>
  </sheets>
  <externalReferences>
    <externalReference r:id="rId2"/>
  </externalReferences>
  <definedNames>
    <definedName name="_xlnm.Print_Area" localSheetId="0">'Preconsuntivo Dicembre  2019'!#REF!</definedName>
  </definedNames>
  <calcPr calcId="162913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<sst xmlns="http://schemas.openxmlformats.org/spreadsheetml/2006/main" count="30" uniqueCount="29">
  <si>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</si>
  <si>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</si>
  <si>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</si>
  <si>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</si>
  <si>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</si>
  <si>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</si>
  <si>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</si>
  <si>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</si>
  <si>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</si>
  <si>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</si>
  <si>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</si>
  <si>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</si>
  <si>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</si>
  <si>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</si>
  <si>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</si>
  <si>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</si>
  <si>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</si>
  <si>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</si>
  <si>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</si>
  <si>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</si>
  <si>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</si>
  <si>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</si>
  <si>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</si>
  <si>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</si>
  <si>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</si>
  <si>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</si>
  <si>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</si>
  <si>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Dicembre</t>
  </si>
  <si>
    <t xml:space="preserve"> Gennaio-Dicembre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</si>
</sst>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Fill="1" applyBorder="1"/>
    <xf numFmtId="41" fontId="5" fillId="0" borderId="5" xfId="2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41" fontId="5" fillId="0" borderId="5" xfId="2" applyNumberFormat="1" applyFont="1" applyFill="1" applyBorder="1"/>
    <xf numFmtId="164" fontId="5" fillId="0" borderId="6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8"/>
    </sheetNames>
    <sheetDataSet>
      <sheetData sheetId="0"/>
      <sheetData sheetId="1">
        <row r="6">
          <cell r="G6">
            <v>2019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40" t="s">
        <v>16</v>
      </c>
      <c r="D3" s="41"/>
      <c r="E3" s="41"/>
      <c r="F3" s="41"/>
      <c r="G3" s="41"/>
      <c r="H3" s="41"/>
      <c r="I3" s="41"/>
      <c r="J3" s="41"/>
      <c r="K3" s="41"/>
      <c r="L3" s="42"/>
    </row>
    <row r="4" spans="3:12" ht="21" x14ac:dyDescent="0.4">
      <c r="C4" s="40" t="s">
        <v>22</v>
      </c>
      <c r="D4" s="41"/>
      <c r="E4" s="41"/>
      <c r="F4" s="41"/>
      <c r="G4" s="43"/>
      <c r="H4" s="43"/>
      <c r="I4" s="43"/>
      <c r="J4" s="41"/>
      <c r="K4" s="41"/>
      <c r="L4" s="42"/>
    </row>
    <row r="5" spans="3:12" ht="21" x14ac:dyDescent="0.4">
      <c r="C5" s="6"/>
      <c r="D5" s="1"/>
      <c r="E5" s="1"/>
      <c r="F5" s="19"/>
      <c r="G5" s="33" t="s">
        <v>27</v>
      </c>
      <c r="H5" s="34"/>
      <c r="I5" s="39"/>
      <c r="J5" s="33" t="s">
        <v>28</v>
      </c>
      <c r="K5" s="34"/>
      <c r="L5" s="35"/>
    </row>
    <row r="6" spans="3:12" ht="17.399999999999999" x14ac:dyDescent="0.3">
      <c r="C6" s="7"/>
      <c r="D6" s="2"/>
      <c r="E6" s="2"/>
      <c r="F6" s="20"/>
      <c r="G6" s="3">
        <f>[1]Gennaio!G6</f>
        <v>2019</v>
      </c>
      <c r="H6" s="3">
        <f>G6-1</f>
        <v>2018</v>
      </c>
      <c r="I6" s="1" t="s">
        <v>0</v>
      </c>
      <c r="J6" s="3">
        <f>G6</f>
        <v>2019</v>
      </c>
      <c r="K6" s="3">
        <f>J6-1</f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8">
        <v>373.6693063265929</v>
      </c>
      <c r="H7" s="28">
        <v>455.52158641773048</v>
      </c>
      <c r="I7" s="44">
        <v>-0.17968913555740018</v>
      </c>
      <c r="J7" s="26">
        <v>4851.7033471777604</v>
      </c>
      <c r="K7" s="26">
        <v>5447.9757710491594</v>
      </c>
      <c r="L7" s="45">
        <v>-0.10944843533262816</v>
      </c>
    </row>
    <row r="8" spans="3:12" ht="15.6" x14ac:dyDescent="0.3">
      <c r="C8" s="6" t="s">
        <v>11</v>
      </c>
      <c r="D8" s="4" t="s">
        <v>1</v>
      </c>
      <c r="E8" s="2"/>
      <c r="F8" s="20"/>
      <c r="G8" s="28">
        <v>5362.9689756465104</v>
      </c>
      <c r="H8" s="28">
        <v>5909.0921872201397</v>
      </c>
      <c r="I8" s="44">
        <v>-9.2420831198869235E-2</v>
      </c>
      <c r="J8" s="26">
        <v>70918.55882120211</v>
      </c>
      <c r="K8" s="28">
        <v>67872.446300595722</v>
      </c>
      <c r="L8" s="45">
        <v>4.4879957724164976E-2</v>
      </c>
    </row>
    <row r="9" spans="3:12" ht="15.75" customHeight="1" x14ac:dyDescent="0.3">
      <c r="C9" s="6"/>
      <c r="D9" s="36" t="s">
        <v>24</v>
      </c>
      <c r="E9" s="5" t="s">
        <v>2</v>
      </c>
      <c r="F9" s="21"/>
      <c r="G9" s="28">
        <v>1152.6988578184478</v>
      </c>
      <c r="H9" s="28">
        <v>1649.5964003688728</v>
      </c>
      <c r="I9" s="46">
        <v>-0.30122370686509248</v>
      </c>
      <c r="J9" s="28">
        <v>10205.788787874488</v>
      </c>
      <c r="K9" s="28">
        <v>17094.841396703792</v>
      </c>
      <c r="L9" s="47">
        <v>-0.40299014474376138</v>
      </c>
    </row>
    <row r="10" spans="3:12" ht="18" customHeight="1" x14ac:dyDescent="0.3">
      <c r="C10" s="6"/>
      <c r="D10" s="37"/>
      <c r="E10" s="5" t="s">
        <v>3</v>
      </c>
      <c r="F10" s="21"/>
      <c r="G10" s="28">
        <v>459.95715627438466</v>
      </c>
      <c r="H10" s="28">
        <v>416.47093575465232</v>
      </c>
      <c r="I10" s="46">
        <v>0.10441597909091693</v>
      </c>
      <c r="J10" s="28">
        <v>5700.7652747865977</v>
      </c>
      <c r="K10" s="28">
        <v>4466.7452256035567</v>
      </c>
      <c r="L10" s="47">
        <v>0.27626828638212686</v>
      </c>
    </row>
    <row r="11" spans="3:12" ht="17.25" customHeight="1" x14ac:dyDescent="0.3">
      <c r="C11" s="6"/>
      <c r="D11" s="37"/>
      <c r="E11" s="5" t="s">
        <v>4</v>
      </c>
      <c r="F11" s="21"/>
      <c r="G11" s="28">
        <v>2162.0371331961887</v>
      </c>
      <c r="H11" s="28">
        <v>2505.63440060533</v>
      </c>
      <c r="I11" s="46">
        <v>-0.13712984916160653</v>
      </c>
      <c r="J11" s="28">
        <v>29855.775075547986</v>
      </c>
      <c r="K11" s="28">
        <v>29687.666183348705</v>
      </c>
      <c r="L11" s="47">
        <v>5.662583618431194E-3</v>
      </c>
    </row>
    <row r="12" spans="3:12" ht="17.25" customHeight="1" x14ac:dyDescent="0.3">
      <c r="C12" s="6"/>
      <c r="D12" s="37"/>
      <c r="E12" s="5" t="s">
        <v>5</v>
      </c>
      <c r="F12" s="21"/>
      <c r="G12" s="28">
        <v>467.13882083658467</v>
      </c>
      <c r="H12" s="28">
        <v>356.74496219053708</v>
      </c>
      <c r="I12" s="46">
        <v>0.30944756155263198</v>
      </c>
      <c r="J12" s="28">
        <v>11127.125439644369</v>
      </c>
      <c r="K12" s="28">
        <v>7759.5204644959922</v>
      </c>
      <c r="L12" s="47">
        <v>0.43399653246060677</v>
      </c>
    </row>
    <row r="13" spans="3:12" ht="14.25" customHeight="1" x14ac:dyDescent="0.3">
      <c r="C13" s="6"/>
      <c r="D13" s="37"/>
      <c r="E13" s="5" t="s">
        <v>18</v>
      </c>
      <c r="F13" s="21"/>
      <c r="G13" s="28">
        <v>170.70635170603677</v>
      </c>
      <c r="H13" s="28">
        <v>85.67023623802443</v>
      </c>
      <c r="I13" s="46">
        <v>0.99259812044581897</v>
      </c>
      <c r="J13" s="28">
        <v>2448.3175018573461</v>
      </c>
      <c r="K13" s="28">
        <v>895.33527641085334</v>
      </c>
      <c r="L13" s="47">
        <v>1.7345258992496762</v>
      </c>
    </row>
    <row r="14" spans="3:12" ht="14.25" customHeight="1" x14ac:dyDescent="0.3">
      <c r="C14" s="6"/>
      <c r="D14" s="37"/>
      <c r="E14" s="5" t="s">
        <v>23</v>
      </c>
      <c r="F14" s="21"/>
      <c r="G14" s="28">
        <v>673.65548556430451</v>
      </c>
      <c r="H14" s="28">
        <v>620.30642453577093</v>
      </c>
      <c r="I14" s="46">
        <v>8.6004366420127543E-2</v>
      </c>
      <c r="J14" s="28">
        <v>7937.6401041356312</v>
      </c>
      <c r="K14" s="28">
        <v>6742.5172982521253</v>
      </c>
      <c r="L14" s="47">
        <v>0.17725172261602062</v>
      </c>
    </row>
    <row r="15" spans="3:12" ht="14.25" customHeight="1" x14ac:dyDescent="0.3">
      <c r="C15" s="6"/>
      <c r="D15" s="37"/>
      <c r="E15" s="5" t="s">
        <v>25</v>
      </c>
      <c r="F15" s="21"/>
      <c r="G15" s="28">
        <v>273.52390825056381</v>
      </c>
      <c r="H15" s="28">
        <v>269.09583684571879</v>
      </c>
      <c r="I15" s="46">
        <v>1.6455369420611987E-2</v>
      </c>
      <c r="J15" s="28">
        <v>3585.471604966177</v>
      </c>
      <c r="K15" s="28">
        <v>1104.5531615830198</v>
      </c>
      <c r="L15" s="47">
        <v>2.2460833300477479</v>
      </c>
    </row>
    <row r="16" spans="3:12" ht="15.6" x14ac:dyDescent="0.3">
      <c r="C16" s="6"/>
      <c r="D16" s="37"/>
      <c r="E16" s="5" t="s">
        <v>6</v>
      </c>
      <c r="F16" s="22">
        <v>0</v>
      </c>
      <c r="G16" s="28">
        <v>0</v>
      </c>
      <c r="H16" s="28">
        <v>1.5710906812324135</v>
      </c>
      <c r="I16" s="28">
        <v>0</v>
      </c>
      <c r="J16" s="28">
        <v>16.0103973895155</v>
      </c>
      <c r="K16" s="28">
        <v>25.056040197677994</v>
      </c>
      <c r="L16" s="47">
        <v>-0.36101645498640189</v>
      </c>
    </row>
    <row r="17" spans="3:12" ht="16.5" customHeight="1" x14ac:dyDescent="0.3">
      <c r="C17" s="6"/>
      <c r="D17" s="38"/>
      <c r="E17" s="5" t="s">
        <v>19</v>
      </c>
      <c r="F17" s="21"/>
      <c r="G17" s="28">
        <v>3.2512620000000001</v>
      </c>
      <c r="H17" s="28">
        <v>4.0019</v>
      </c>
      <c r="I17" s="46">
        <v>-0.18757040405807235</v>
      </c>
      <c r="J17" s="28">
        <v>41.66463499999999</v>
      </c>
      <c r="K17" s="28">
        <v>96.211254000000011</v>
      </c>
      <c r="L17" s="47">
        <v>-0.56694634704584579</v>
      </c>
    </row>
    <row r="18" spans="3:12" ht="15.6" x14ac:dyDescent="0.3">
      <c r="C18" s="6" t="s">
        <v>14</v>
      </c>
      <c r="D18" s="4" t="s">
        <v>7</v>
      </c>
      <c r="E18" s="4"/>
      <c r="F18" s="23"/>
      <c r="G18" s="26">
        <v>55.329281691139954</v>
      </c>
      <c r="H18" s="28">
        <v>30.649863375186207</v>
      </c>
      <c r="I18" s="44">
        <v>0.80520483937732434</v>
      </c>
      <c r="J18" s="26">
        <v>325.43957097254736</v>
      </c>
      <c r="K18" s="28">
        <v>390.50440708424958</v>
      </c>
      <c r="L18" s="45">
        <v>-0.16661741821946907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v>-2362.6098225154115</v>
      </c>
      <c r="H19" s="28">
        <v>-2599.8635280733483</v>
      </c>
      <c r="I19" s="44">
        <v>-9.1256215180554379E-2</v>
      </c>
      <c r="J19" s="26">
        <v>1123.9672484296066</v>
      </c>
      <c r="K19" s="28">
        <v>264.21361453359259</v>
      </c>
      <c r="L19" s="45">
        <v>3.2540095839259005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29">
        <v>8043.9188227973755</v>
      </c>
      <c r="H20" s="29">
        <v>8933.8274383360331</v>
      </c>
      <c r="I20" s="48">
        <v>-9.9611126550302798E-2</v>
      </c>
      <c r="J20" s="49">
        <v>74320.855348977711</v>
      </c>
      <c r="K20" s="49">
        <v>72665.704050027038</v>
      </c>
      <c r="L20" s="50">
        <v>2.2777613188901036E-2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2020-01-29T14:45:27Z</cp:lastPrinted>
  <dcterms:created xsi:type="dcterms:W3CDTF">2005-02-22T07:47:00Z</dcterms:created>
  <dcterms:modified xsi:type="dcterms:W3CDTF">2020-01-29T14:45:31Z</dcterms:modified>
</cp:coreProperties>
</file>