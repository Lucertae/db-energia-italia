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J15"/>
  <c r="J23" s="1"/>
  <c r="F16"/>
  <c r="F23" s="1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J26"/>
  <c r="J30" s="1"/>
  <c r="F27"/>
  <c r="F30" s="1"/>
  <c r="J27"/>
  <c r="F28"/>
  <c r="J28"/>
  <c r="F29"/>
  <c r="J29"/>
  <c r="C30"/>
  <c r="D30"/>
  <c r="E30"/>
  <c r="G30"/>
  <c r="H30"/>
  <c r="I30"/>
  <c r="K30"/>
  <c r="L30"/>
  <c r="M30"/>
  <c r="N30"/>
  <c r="O30"/>
  <c r="F31"/>
  <c r="F43" s="1"/>
  <c r="J31"/>
  <c r="J43" s="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K43"/>
  <c r="L43"/>
  <c r="M43"/>
  <c r="N43"/>
  <c r="O43"/>
  <c r="F44"/>
  <c r="J44"/>
  <c r="F45"/>
  <c r="J45"/>
  <c r="C46"/>
  <c r="D46"/>
  <c r="E46"/>
  <c r="F46"/>
  <c r="G46"/>
  <c r="H46"/>
  <c r="I46"/>
  <c r="J46"/>
  <c r="K46"/>
  <c r="L46"/>
  <c r="M46"/>
  <c r="N46"/>
  <c r="O46"/>
  <c r="F47"/>
  <c r="J47"/>
  <c r="F48"/>
  <c r="F51" s="1"/>
  <c r="J48"/>
  <c r="F49"/>
  <c r="J49"/>
  <c r="F50"/>
  <c r="J50"/>
  <c r="C51"/>
  <c r="D51"/>
  <c r="E51"/>
  <c r="G51"/>
  <c r="H51"/>
  <c r="I51"/>
  <c r="J51"/>
  <c r="K51"/>
  <c r="L51"/>
  <c r="M51"/>
  <c r="N51"/>
  <c r="O51"/>
  <c r="F52"/>
  <c r="J52"/>
  <c r="F53"/>
  <c r="J53"/>
  <c r="F54"/>
  <c r="J54"/>
  <c r="F55"/>
  <c r="J55"/>
  <c r="F56"/>
  <c r="J56"/>
  <c r="F57"/>
  <c r="J57"/>
  <c r="F58"/>
  <c r="J58"/>
  <c r="C59"/>
  <c r="D59"/>
  <c r="E59"/>
  <c r="F59"/>
  <c r="G59"/>
  <c r="H59"/>
  <c r="I59"/>
  <c r="J59"/>
  <c r="K59"/>
  <c r="L59"/>
  <c r="M59"/>
  <c r="N59"/>
  <c r="O59"/>
  <c r="F60"/>
  <c r="J60"/>
  <c r="F61"/>
  <c r="F69" s="1"/>
  <c r="J61"/>
  <c r="J69" s="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K69"/>
  <c r="L69"/>
  <c r="M69"/>
  <c r="N69"/>
  <c r="O69"/>
  <c r="F70"/>
  <c r="J70"/>
  <c r="F7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F80"/>
  <c r="G80"/>
  <c r="H80"/>
  <c r="I80"/>
  <c r="J80"/>
  <c r="K80"/>
  <c r="L80"/>
  <c r="M80"/>
  <c r="N80"/>
  <c r="O80"/>
  <c r="F81"/>
  <c r="J81"/>
  <c r="F82"/>
  <c r="F86" s="1"/>
  <c r="J82"/>
  <c r="J86" s="1"/>
  <c r="F83"/>
  <c r="J83"/>
  <c r="F84"/>
  <c r="J84"/>
  <c r="F85"/>
  <c r="J85"/>
  <c r="C86"/>
  <c r="D86"/>
  <c r="E86"/>
  <c r="G86"/>
  <c r="H86"/>
  <c r="I86"/>
  <c r="K86"/>
  <c r="L86"/>
  <c r="M86"/>
  <c r="N86"/>
  <c r="O86"/>
  <c r="F87"/>
  <c r="J87"/>
  <c r="F88"/>
  <c r="J88"/>
  <c r="C89"/>
  <c r="D89"/>
  <c r="E89"/>
  <c r="F89"/>
  <c r="G89"/>
  <c r="H89"/>
  <c r="I89"/>
  <c r="J89"/>
  <c r="K89"/>
  <c r="L89"/>
  <c r="M89"/>
  <c r="N89"/>
  <c r="O89"/>
  <c r="F90"/>
  <c r="J90"/>
  <c r="F91"/>
  <c r="F95" s="1"/>
  <c r="J91"/>
  <c r="J95" s="1"/>
  <c r="F92"/>
  <c r="J92"/>
  <c r="F93"/>
  <c r="J93"/>
  <c r="F94"/>
  <c r="J94"/>
  <c r="C95"/>
  <c r="D95"/>
  <c r="E95"/>
  <c r="G95"/>
  <c r="H95"/>
  <c r="I95"/>
  <c r="K95"/>
  <c r="L95"/>
  <c r="M95"/>
  <c r="N95"/>
  <c r="O95"/>
  <c r="F96"/>
  <c r="J96"/>
  <c r="F97"/>
  <c r="J97"/>
  <c r="C98"/>
  <c r="D98"/>
  <c r="E98"/>
  <c r="F98"/>
  <c r="G98"/>
  <c r="H98"/>
  <c r="I98"/>
  <c r="J98"/>
  <c r="K98"/>
  <c r="L98"/>
  <c r="M98"/>
  <c r="N98"/>
  <c r="O98"/>
  <c r="F99"/>
  <c r="J99"/>
  <c r="F100"/>
  <c r="F103" s="1"/>
  <c r="J100"/>
  <c r="F101"/>
  <c r="J101"/>
  <c r="F102"/>
  <c r="J102"/>
  <c r="C103"/>
  <c r="D103"/>
  <c r="E103"/>
  <c r="G103"/>
  <c r="H103"/>
  <c r="I103"/>
  <c r="J103"/>
  <c r="K103"/>
  <c r="L103"/>
  <c r="M103"/>
  <c r="N103"/>
  <c r="O103"/>
  <c r="F104"/>
  <c r="J104"/>
  <c r="F105"/>
  <c r="J105"/>
  <c r="F106"/>
  <c r="J106"/>
  <c r="F107"/>
  <c r="J107"/>
  <c r="F108"/>
  <c r="J108"/>
  <c r="C109"/>
  <c r="D109"/>
  <c r="E109"/>
  <c r="F109"/>
  <c r="G109"/>
  <c r="H109"/>
  <c r="I109"/>
  <c r="J109"/>
  <c r="K109"/>
  <c r="L109"/>
  <c r="M109"/>
  <c r="N109"/>
  <c r="O109"/>
  <c r="F110"/>
  <c r="J110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J116"/>
  <c r="K116"/>
  <c r="L116"/>
  <c r="M116"/>
  <c r="N116"/>
  <c r="O116"/>
  <c r="F117"/>
  <c r="J117"/>
  <c r="J119" s="1"/>
  <c r="F118"/>
  <c r="F119" s="1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F122"/>
  <c r="J122"/>
  <c r="F123"/>
  <c r="J123"/>
  <c r="F124"/>
  <c r="J124"/>
  <c r="C125"/>
  <c r="D125"/>
  <c r="E125"/>
  <c r="G125"/>
  <c r="H125"/>
  <c r="I125"/>
  <c r="J125"/>
  <c r="K125"/>
  <c r="L125"/>
  <c r="M125"/>
  <c r="N125"/>
  <c r="O125"/>
  <c r="F126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C145" s="1"/>
  <c r="D135"/>
  <c r="E135"/>
  <c r="F135"/>
  <c r="G135"/>
  <c r="G145" s="1"/>
  <c r="H135"/>
  <c r="I135"/>
  <c r="J135"/>
  <c r="K135"/>
  <c r="K145" s="1"/>
  <c r="L135"/>
  <c r="M135"/>
  <c r="N135"/>
  <c r="O135"/>
  <c r="O145" s="1"/>
  <c r="F136"/>
  <c r="J136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E144"/>
  <c r="E145" s="1"/>
  <c r="G144"/>
  <c r="H144"/>
  <c r="I144"/>
  <c r="I145" s="1"/>
  <c r="J144"/>
  <c r="K144"/>
  <c r="L144"/>
  <c r="M144"/>
  <c r="M145" s="1"/>
  <c r="N144"/>
  <c r="N145" s="1"/>
  <c r="O144"/>
  <c r="D145"/>
  <c r="H145"/>
  <c r="L145"/>
  <c r="F15" i="2"/>
  <c r="F23" s="1"/>
  <c r="J15"/>
  <c r="J23" s="1"/>
  <c r="F16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F30" s="1"/>
  <c r="J26"/>
  <c r="J30" s="1"/>
  <c r="F27"/>
  <c r="J27"/>
  <c r="F28"/>
  <c r="J28"/>
  <c r="F29"/>
  <c r="J29"/>
  <c r="C30"/>
  <c r="D30"/>
  <c r="E30"/>
  <c r="G30"/>
  <c r="H30"/>
  <c r="I30"/>
  <c r="K30"/>
  <c r="L30"/>
  <c r="M30"/>
  <c r="N30"/>
  <c r="O30"/>
  <c r="F3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J43"/>
  <c r="K43"/>
  <c r="L43"/>
  <c r="M43"/>
  <c r="N43"/>
  <c r="O43"/>
  <c r="F44"/>
  <c r="J44"/>
  <c r="F45"/>
  <c r="F46" s="1"/>
  <c r="J45"/>
  <c r="C46"/>
  <c r="D46"/>
  <c r="E46"/>
  <c r="G46"/>
  <c r="H46"/>
  <c r="I46"/>
  <c r="J46"/>
  <c r="K46"/>
  <c r="L46"/>
  <c r="M46"/>
  <c r="N46"/>
  <c r="O46"/>
  <c r="F47"/>
  <c r="J47"/>
  <c r="J51" s="1"/>
  <c r="F48"/>
  <c r="F51" s="1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F54"/>
  <c r="J54"/>
  <c r="F55"/>
  <c r="J55"/>
  <c r="F56"/>
  <c r="J56"/>
  <c r="F57"/>
  <c r="J57"/>
  <c r="F58"/>
  <c r="J58"/>
  <c r="C59"/>
  <c r="D59"/>
  <c r="E59"/>
  <c r="G59"/>
  <c r="H59"/>
  <c r="I59"/>
  <c r="J59"/>
  <c r="K59"/>
  <c r="L59"/>
  <c r="M59"/>
  <c r="N59"/>
  <c r="O59"/>
  <c r="F60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J69"/>
  <c r="K69"/>
  <c r="L69"/>
  <c r="M69"/>
  <c r="N69"/>
  <c r="O69"/>
  <c r="F70"/>
  <c r="J70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J80"/>
  <c r="K80"/>
  <c r="L80"/>
  <c r="M80"/>
  <c r="N80"/>
  <c r="O80"/>
  <c r="F81"/>
  <c r="J81"/>
  <c r="F82"/>
  <c r="J82"/>
  <c r="F83"/>
  <c r="J83"/>
  <c r="F84"/>
  <c r="J84"/>
  <c r="F85"/>
  <c r="J85"/>
  <c r="C86"/>
  <c r="D86"/>
  <c r="E86"/>
  <c r="F86"/>
  <c r="G86"/>
  <c r="H86"/>
  <c r="I86"/>
  <c r="J86"/>
  <c r="K86"/>
  <c r="L86"/>
  <c r="M86"/>
  <c r="N86"/>
  <c r="O86"/>
  <c r="F87"/>
  <c r="J87"/>
  <c r="F88"/>
  <c r="F89" s="1"/>
  <c r="J88"/>
  <c r="C89"/>
  <c r="D89"/>
  <c r="E89"/>
  <c r="G89"/>
  <c r="H89"/>
  <c r="I89"/>
  <c r="J89"/>
  <c r="K89"/>
  <c r="L89"/>
  <c r="M89"/>
  <c r="N89"/>
  <c r="O89"/>
  <c r="F90"/>
  <c r="J90"/>
  <c r="F91"/>
  <c r="J91"/>
  <c r="F92"/>
  <c r="J92"/>
  <c r="F93"/>
  <c r="J93"/>
  <c r="F94"/>
  <c r="J94"/>
  <c r="C95"/>
  <c r="D95"/>
  <c r="E95"/>
  <c r="F95"/>
  <c r="G95"/>
  <c r="H95"/>
  <c r="I95"/>
  <c r="J95"/>
  <c r="K95"/>
  <c r="L95"/>
  <c r="M95"/>
  <c r="N95"/>
  <c r="O95"/>
  <c r="F96"/>
  <c r="J96"/>
  <c r="F97"/>
  <c r="F98" s="1"/>
  <c r="J97"/>
  <c r="C98"/>
  <c r="D98"/>
  <c r="E98"/>
  <c r="G98"/>
  <c r="H98"/>
  <c r="I98"/>
  <c r="J98"/>
  <c r="K98"/>
  <c r="L98"/>
  <c r="M98"/>
  <c r="N98"/>
  <c r="O98"/>
  <c r="F99"/>
  <c r="J99"/>
  <c r="J103" s="1"/>
  <c r="F100"/>
  <c r="F103" s="1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F106"/>
  <c r="J106"/>
  <c r="F107"/>
  <c r="J107"/>
  <c r="F108"/>
  <c r="J108"/>
  <c r="C109"/>
  <c r="D109"/>
  <c r="E109"/>
  <c r="G109"/>
  <c r="H109"/>
  <c r="I109"/>
  <c r="J109"/>
  <c r="K109"/>
  <c r="L109"/>
  <c r="M109"/>
  <c r="N109"/>
  <c r="O109"/>
  <c r="F110"/>
  <c r="J110"/>
  <c r="J116" s="1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F119" s="1"/>
  <c r="J117"/>
  <c r="J119" s="1"/>
  <c r="F118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J135"/>
  <c r="K135"/>
  <c r="L135"/>
  <c r="M135"/>
  <c r="N135"/>
  <c r="N145" s="1"/>
  <c r="O135"/>
  <c r="F136"/>
  <c r="J136"/>
  <c r="J144" s="1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D145" s="1"/>
  <c r="E144"/>
  <c r="E145" s="1"/>
  <c r="G144"/>
  <c r="H144"/>
  <c r="H145" s="1"/>
  <c r="I144"/>
  <c r="I145" s="1"/>
  <c r="K144"/>
  <c r="L144"/>
  <c r="L145" s="1"/>
  <c r="M144"/>
  <c r="M145" s="1"/>
  <c r="N144"/>
  <c r="O144"/>
  <c r="C145"/>
  <c r="G145"/>
  <c r="K145"/>
  <c r="O145"/>
  <c r="J145" l="1"/>
  <c r="F145"/>
  <c r="F145" i="1"/>
  <c r="J145"/>
</calcChain>
</file>

<file path=xl/sharedStrings.xml><?xml version="1.0" encoding="utf-8"?>
<sst xmlns="http://schemas.openxmlformats.org/spreadsheetml/2006/main" count="544" uniqueCount="271">
  <si>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</si>
  <si>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</si>
  <si>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</si>
  <si>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</si>
  <si>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</si>
  <si>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</si>
  <si>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provvisori</t>
  </si>
  <si>
    <t>Periodo: luglio 2015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</si>
  <si>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</si>
  <si>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</si>
  <si>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</si>
  <si>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</si>
  <si>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</si>
  <si>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</si>
  <si>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</si>
  <si>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</si>
  <si>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</si>
  <si>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</si>
  <si>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</si>
  <si>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</si>
  <si>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</si>
  <si>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</si>
  <si>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</si>
  <si>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</si>
  <si>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</si>
  <si>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</si>
  <si>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</si>
  <si>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</si>
  <si>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</si>
  <si>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</si>
  <si>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</si>
  <si>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</si>
  <si>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</si>
  <si>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</si>
  <si>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</si>
  <si>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</si>
  <si>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</si>
  <si>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</si>
  <si>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</si>
  <si>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</si>
  <si>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</si>
  <si>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</si>
  <si>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</si>
  <si>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</si>
  <si>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</si>
  <si>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</si>
  <si>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</si>
  <si>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</si>
  <si>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</si>
  <si>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</si>
  <si>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</si>
  <si>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</si>
  <si>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</si>
  <si>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</si>
  <si>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</si>
  <si>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</si>
  <si>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</si>
  <si>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</si>
  <si>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</si>
  <si>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</si>
  <si>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</si>
  <si>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</si>
  <si>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</si>
  <si>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</si>
  <si>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</si>
  <si>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</si>
  <si>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</si>
  <si>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</si>
  <si>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</si>
  <si>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</si>
  <si>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</si>
  <si>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</si>
  <si>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</si>
  <si>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</si>
  <si>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</si>
  <si>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</si>
  <si>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</si>
  <si>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</si>
  <si>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</si>
  <si>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</si>
  <si>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</si>
  <si>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</si>
  <si>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</si>
  <si>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</si>
  <si>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</si>
  <si>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</si>
  <si>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</si>
  <si>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</si>
  <si>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</si>
  <si>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</si>
  <si>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</si>
  <si>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</si>
  <si>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</si>
  <si>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</si>
  <si>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</si>
  <si>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</si>
  <si>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</si>
  <si>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</si>
  <si>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</si>
  <si>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</si>
  <si>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</si>
  <si>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</si>
  <si>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</si>
  <si>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</si>
  <si>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</si>
  <si>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</si>
  <si>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</si>
  <si>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</si>
  <si>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</si>
  <si>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</si>
  <si>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</si>
  <si>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</si>
  <si>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</si>
  <si>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</si>
  <si>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</si>
  <si>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</si>
  <si>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</si>
  <si>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</si>
  <si>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</si>
  <si>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</si>
  <si>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</si>
  <si>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</si>
  <si>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</si>
  <si>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</si>
  <si>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</si>
  <si>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</si>
  <si>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</si>
  <si>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</si>
  <si>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</si>
  <si>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</si>
  <si>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</si>
  <si>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</si>
  <si>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</si>
  <si>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</si>
  <si>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</si>
  <si>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</si>
  <si>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</si>
  <si>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</si>
  <si>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</si>
  <si>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</si>
  <si>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</si>
  <si>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</si>
  <si>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</si>
  <si>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</si>
  <si>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</si>
  <si>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</si>
  <si>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</si>
  <si>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</si>
  <si>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</si>
  <si>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</si>
  <si>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</si>
  <si>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</si>
  <si>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</si>
  <si>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</si>
  <si>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</si>
  <si>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</si>
  <si>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</si>
  <si>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</si>
  <si>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</si>
  <si>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</si>
  <si>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</si>
  <si>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</si>
  <si>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</si>
  <si>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</si>
  <si>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</si>
  <si>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</si>
  <si>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</si>
  <si>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</si>
  <si>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</si>
  <si>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</si>
  <si>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</si>
  <si>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</si>
  <si>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</si>
  <si>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</si>
  <si>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</si>
  <si>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</si>
  <si>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</si>
  <si>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</si>
  <si>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</si>
  <si>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</si>
  <si>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</si>
  <si>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</si>
  <si>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</si>
  <si>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</si>
  <si>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</si>
  <si>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</si>
  <si>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</si>
  <si>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</si>
  <si>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</si>
  <si>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</si>
  <si>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</si>
  <si>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</si>
  <si>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</si>
  <si>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</si>
  <si>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</si>
  <si>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</si>
  <si>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</si>
  <si>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</si>
  <si>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</si>
  <si>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</si>
  <si>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</si>
  <si>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</si>
  <si>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</si>
  <si>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</si>
  <si>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</si>
  <si>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</si>
  <si>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</si>
  <si>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</si>
  <si>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</si>
  <si>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</si>
  <si>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</si>
  <si>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</si>
  <si>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</si>
  <si>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</si>
  <si>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</si>
  <si>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</si>
  <si>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</si>
  <si>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</si>
  <si>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</si>
  <si>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</si>
  <si>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</si>
  <si>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</si>
  <si>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</si>
  <si>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</si>
  <si>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</si>
  <si>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</si>
  <si>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</si>
  <si>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</si>
  <si>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</si>
  <si>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</si>
  <si>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</si>
  <si>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</si>
  <si>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</si>
  <si>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</si>
  <si>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</si>
  <si>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</si>
  <si>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</si>
  <si>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</si>
  <si>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</si>
  <si>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</si>
  <si>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</si>
  <si>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</si>
  <si>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</si>
  <si>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</si>
  <si>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</si>
  <si>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</si>
  <si>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</si>
  <si>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</si>
  <si>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</si>
  <si>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</si>
  <si>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</si>
  <si>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</si>
  <si>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</si>
  <si>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</si>
  <si>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</si>
  <si>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</si>
  <si>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</si>
  <si>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</si>
  <si>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</si>
  <si>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</si>
  <si>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</si>
  <si>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</si>
  <si>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</si>
  <si>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</si>
  <si>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</si>
  <si>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</si>
  <si>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</si>
  <si>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</si>
  <si>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</si>
  <si>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</si>
  <si>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gennaio-luglio 2015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</si>
</sst>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8179</v>
      </c>
      <c r="D15" s="28">
        <v>4319</v>
      </c>
      <c r="E15" s="28">
        <v>1015</v>
      </c>
      <c r="F15" s="28">
        <f t="shared" ref="F15:F22" si="0">SUM(C15-D15-E15)</f>
        <v>2845</v>
      </c>
      <c r="G15" s="28">
        <v>29114</v>
      </c>
      <c r="H15" s="28">
        <v>10367</v>
      </c>
      <c r="I15" s="28">
        <v>3612</v>
      </c>
      <c r="J15" s="28">
        <f t="shared" ref="J15:J22" si="1">SUM(G15-H15-I15)</f>
        <v>15135</v>
      </c>
      <c r="K15" s="28">
        <v>490</v>
      </c>
      <c r="L15" s="28">
        <v>0</v>
      </c>
      <c r="M15" s="28">
        <v>3623</v>
      </c>
      <c r="N15" s="28">
        <v>652</v>
      </c>
      <c r="O15" s="28">
        <v>652</v>
      </c>
    </row>
    <row r="16" spans="1:15" ht="12.75" customHeight="1">
      <c r="A16" s="4" t="s">
        <v>29</v>
      </c>
      <c r="B16" s="5" t="s">
        <v>30</v>
      </c>
      <c r="C16" s="28">
        <v>4297</v>
      </c>
      <c r="D16" s="28">
        <v>2039</v>
      </c>
      <c r="E16" s="28">
        <v>113</v>
      </c>
      <c r="F16" s="28">
        <f t="shared" si="0"/>
        <v>2145</v>
      </c>
      <c r="G16" s="28">
        <v>26016</v>
      </c>
      <c r="H16" s="28">
        <v>4397</v>
      </c>
      <c r="I16" s="28">
        <v>593</v>
      </c>
      <c r="J16" s="28">
        <f t="shared" si="1"/>
        <v>21026</v>
      </c>
      <c r="K16" s="28">
        <v>266</v>
      </c>
      <c r="L16" s="28">
        <v>0</v>
      </c>
      <c r="M16" s="28">
        <v>3190</v>
      </c>
      <c r="N16" s="28">
        <v>8</v>
      </c>
      <c r="O16" s="28">
        <v>8</v>
      </c>
    </row>
    <row r="17" spans="1:15" ht="12.75" customHeight="1">
      <c r="A17" s="4" t="s">
        <v>31</v>
      </c>
      <c r="B17" s="5" t="s">
        <v>32</v>
      </c>
      <c r="C17" s="28">
        <v>1999</v>
      </c>
      <c r="D17" s="28">
        <v>1960</v>
      </c>
      <c r="E17" s="28">
        <v>0</v>
      </c>
      <c r="F17" s="28">
        <f t="shared" si="0"/>
        <v>39</v>
      </c>
      <c r="G17" s="28">
        <v>4001</v>
      </c>
      <c r="H17" s="28">
        <v>3411</v>
      </c>
      <c r="I17" s="28">
        <v>0</v>
      </c>
      <c r="J17" s="28">
        <f t="shared" si="1"/>
        <v>590</v>
      </c>
      <c r="K17" s="28">
        <v>246</v>
      </c>
      <c r="L17" s="28">
        <v>0</v>
      </c>
      <c r="M17" s="28">
        <v>120</v>
      </c>
      <c r="N17" s="28">
        <v>32</v>
      </c>
      <c r="O17" s="28">
        <v>32</v>
      </c>
    </row>
    <row r="18" spans="1:15" ht="12.75" customHeight="1">
      <c r="A18" s="4" t="s">
        <v>33</v>
      </c>
      <c r="B18" s="5" t="s">
        <v>34</v>
      </c>
      <c r="C18" s="28">
        <v>5265</v>
      </c>
      <c r="D18" s="28">
        <v>4918</v>
      </c>
      <c r="E18" s="28">
        <v>183</v>
      </c>
      <c r="F18" s="28">
        <f t="shared" si="0"/>
        <v>164</v>
      </c>
      <c r="G18" s="28">
        <v>14694</v>
      </c>
      <c r="H18" s="28">
        <v>10365</v>
      </c>
      <c r="I18" s="28">
        <v>548</v>
      </c>
      <c r="J18" s="28">
        <f t="shared" si="1"/>
        <v>3781</v>
      </c>
      <c r="K18" s="28">
        <v>341</v>
      </c>
      <c r="L18" s="28">
        <v>0</v>
      </c>
      <c r="M18" s="28">
        <v>2212</v>
      </c>
      <c r="N18" s="28">
        <v>105</v>
      </c>
      <c r="O18" s="28">
        <v>105</v>
      </c>
    </row>
    <row r="19" spans="1:15" ht="12.75" customHeight="1">
      <c r="A19" s="4" t="s">
        <v>35</v>
      </c>
      <c r="B19" s="5" t="s">
        <v>36</v>
      </c>
      <c r="C19" s="28">
        <v>4339</v>
      </c>
      <c r="D19" s="28">
        <v>4075</v>
      </c>
      <c r="E19" s="28">
        <v>263</v>
      </c>
      <c r="F19" s="28">
        <f t="shared" si="0"/>
        <v>1</v>
      </c>
      <c r="G19" s="28">
        <v>10249</v>
      </c>
      <c r="H19" s="28">
        <v>8337</v>
      </c>
      <c r="I19" s="28">
        <v>1040</v>
      </c>
      <c r="J19" s="28">
        <f t="shared" si="1"/>
        <v>872</v>
      </c>
      <c r="K19" s="28">
        <v>30</v>
      </c>
      <c r="L19" s="28">
        <v>0</v>
      </c>
      <c r="M19" s="28">
        <v>37</v>
      </c>
      <c r="N19" s="28">
        <v>108</v>
      </c>
      <c r="O19" s="28">
        <v>108</v>
      </c>
    </row>
    <row r="20" spans="1:15" ht="12.75" customHeight="1">
      <c r="A20" s="4" t="s">
        <v>37</v>
      </c>
      <c r="B20" s="5" t="s">
        <v>38</v>
      </c>
      <c r="C20" s="28">
        <v>23532</v>
      </c>
      <c r="D20" s="28">
        <v>21493</v>
      </c>
      <c r="E20" s="28">
        <v>862</v>
      </c>
      <c r="F20" s="28">
        <f t="shared" si="0"/>
        <v>1177</v>
      </c>
      <c r="G20" s="28">
        <v>54277</v>
      </c>
      <c r="H20" s="28">
        <v>41726</v>
      </c>
      <c r="I20" s="28">
        <v>3759</v>
      </c>
      <c r="J20" s="28">
        <f t="shared" si="1"/>
        <v>8792</v>
      </c>
      <c r="K20" s="28">
        <v>1394</v>
      </c>
      <c r="L20" s="28">
        <v>0</v>
      </c>
      <c r="M20" s="28">
        <v>1225</v>
      </c>
      <c r="N20" s="28">
        <v>1880</v>
      </c>
      <c r="O20" s="28">
        <v>1657</v>
      </c>
    </row>
    <row r="21" spans="1:15" ht="12.75" customHeight="1">
      <c r="A21" s="4" t="s">
        <v>39</v>
      </c>
      <c r="B21" s="5" t="s">
        <v>40</v>
      </c>
      <c r="C21" s="28">
        <v>2254</v>
      </c>
      <c r="D21" s="28">
        <v>2187</v>
      </c>
      <c r="E21" s="28">
        <v>0</v>
      </c>
      <c r="F21" s="28">
        <f t="shared" si="0"/>
        <v>67</v>
      </c>
      <c r="G21" s="28">
        <v>3484</v>
      </c>
      <c r="H21" s="28">
        <v>3299</v>
      </c>
      <c r="I21" s="28">
        <v>0</v>
      </c>
      <c r="J21" s="28">
        <f t="shared" si="1"/>
        <v>185</v>
      </c>
      <c r="K21" s="28">
        <v>0</v>
      </c>
      <c r="L21" s="28">
        <v>0</v>
      </c>
      <c r="M21" s="28">
        <v>0</v>
      </c>
      <c r="N21" s="28">
        <v>8</v>
      </c>
      <c r="O21" s="28">
        <v>8</v>
      </c>
    </row>
    <row r="22" spans="1:15" ht="12.75" customHeight="1">
      <c r="A22" s="4" t="s">
        <v>41</v>
      </c>
      <c r="B22" s="5" t="s">
        <v>42</v>
      </c>
      <c r="C22" s="28">
        <v>1916</v>
      </c>
      <c r="D22" s="28">
        <v>1529</v>
      </c>
      <c r="E22" s="28">
        <v>325</v>
      </c>
      <c r="F22" s="28">
        <f t="shared" si="0"/>
        <v>62</v>
      </c>
      <c r="G22" s="28">
        <v>4781</v>
      </c>
      <c r="H22" s="28">
        <v>2978</v>
      </c>
      <c r="I22" s="28">
        <v>1001</v>
      </c>
      <c r="J22" s="28">
        <f t="shared" si="1"/>
        <v>802</v>
      </c>
      <c r="K22" s="28">
        <v>131</v>
      </c>
      <c r="L22" s="28">
        <v>0</v>
      </c>
      <c r="M22" s="28">
        <v>569</v>
      </c>
      <c r="N22" s="28">
        <v>30</v>
      </c>
      <c r="O22" s="28">
        <v>30</v>
      </c>
    </row>
    <row r="23" spans="1:15" ht="12.75" customHeight="1">
      <c r="A23" s="8"/>
      <c r="B23" s="9" t="s">
        <v>43</v>
      </c>
      <c r="C23" s="29">
        <f t="shared" ref="C23:O23" si="2">SUM(C15:C22)</f>
        <v>51781</v>
      </c>
      <c r="D23" s="29">
        <f t="shared" si="2"/>
        <v>42520</v>
      </c>
      <c r="E23" s="29">
        <f t="shared" si="2"/>
        <v>2761</v>
      </c>
      <c r="F23" s="29">
        <f t="shared" si="2"/>
        <v>6500</v>
      </c>
      <c r="G23" s="29">
        <f t="shared" si="2"/>
        <v>146616</v>
      </c>
      <c r="H23" s="29">
        <f t="shared" si="2"/>
        <v>84880</v>
      </c>
      <c r="I23" s="29">
        <f t="shared" si="2"/>
        <v>10553</v>
      </c>
      <c r="J23" s="29">
        <f t="shared" si="2"/>
        <v>51183</v>
      </c>
      <c r="K23" s="29">
        <f t="shared" si="2"/>
        <v>2898</v>
      </c>
      <c r="L23" s="29">
        <f t="shared" si="2"/>
        <v>0</v>
      </c>
      <c r="M23" s="29">
        <f t="shared" si="2"/>
        <v>10976</v>
      </c>
      <c r="N23" s="29">
        <f t="shared" si="2"/>
        <v>2823</v>
      </c>
      <c r="O23" s="29">
        <f t="shared" si="2"/>
        <v>2600</v>
      </c>
    </row>
    <row r="24" spans="1:15" ht="14.25" customHeight="1">
      <c r="A24" s="4" t="s">
        <v>44</v>
      </c>
      <c r="B24" s="5" t="s">
        <v>45</v>
      </c>
      <c r="C24" s="28">
        <v>2669</v>
      </c>
      <c r="D24" s="28">
        <v>2247</v>
      </c>
      <c r="E24" s="28">
        <v>235</v>
      </c>
      <c r="F24" s="28">
        <f>SUM(C24-D24-E24)</f>
        <v>187</v>
      </c>
      <c r="G24" s="28">
        <v>5532</v>
      </c>
      <c r="H24" s="28">
        <v>3132</v>
      </c>
      <c r="I24" s="28">
        <v>676</v>
      </c>
      <c r="J24" s="28">
        <f>SUM(G24-H24-I24)</f>
        <v>1724</v>
      </c>
      <c r="K24" s="28">
        <v>729</v>
      </c>
      <c r="L24" s="28">
        <v>0</v>
      </c>
      <c r="M24" s="28">
        <v>354</v>
      </c>
      <c r="N24" s="28">
        <v>332</v>
      </c>
      <c r="O24" s="28">
        <v>332</v>
      </c>
    </row>
    <row r="25" spans="1:15" ht="14.25" customHeight="1">
      <c r="A25" s="10"/>
      <c r="B25" s="9" t="s">
        <v>46</v>
      </c>
      <c r="C25" s="29">
        <f t="shared" ref="C25:O25" si="3">SUM(C24)</f>
        <v>2669</v>
      </c>
      <c r="D25" s="29">
        <f t="shared" si="3"/>
        <v>2247</v>
      </c>
      <c r="E25" s="29">
        <f t="shared" si="3"/>
        <v>235</v>
      </c>
      <c r="F25" s="29">
        <f t="shared" si="3"/>
        <v>187</v>
      </c>
      <c r="G25" s="29">
        <f t="shared" si="3"/>
        <v>5532</v>
      </c>
      <c r="H25" s="29">
        <f t="shared" si="3"/>
        <v>3132</v>
      </c>
      <c r="I25" s="29">
        <f t="shared" si="3"/>
        <v>676</v>
      </c>
      <c r="J25" s="29">
        <f t="shared" si="3"/>
        <v>1724</v>
      </c>
      <c r="K25" s="29">
        <f t="shared" si="3"/>
        <v>729</v>
      </c>
      <c r="L25" s="29">
        <f t="shared" si="3"/>
        <v>0</v>
      </c>
      <c r="M25" s="29">
        <f t="shared" si="3"/>
        <v>354</v>
      </c>
      <c r="N25" s="29">
        <f t="shared" si="3"/>
        <v>332</v>
      </c>
      <c r="O25" s="29">
        <f t="shared" si="3"/>
        <v>332</v>
      </c>
    </row>
    <row r="26" spans="1:15" ht="12.75" customHeight="1">
      <c r="A26" s="4" t="s">
        <v>47</v>
      </c>
      <c r="B26" s="5" t="s">
        <v>48</v>
      </c>
      <c r="C26" s="28">
        <v>18690</v>
      </c>
      <c r="D26" s="28">
        <v>8426</v>
      </c>
      <c r="E26" s="28">
        <v>836</v>
      </c>
      <c r="F26" s="28">
        <f>SUM(C26-D26-E26)</f>
        <v>9428</v>
      </c>
      <c r="G26" s="28">
        <v>41049</v>
      </c>
      <c r="H26" s="28">
        <v>12157</v>
      </c>
      <c r="I26" s="28">
        <v>2207</v>
      </c>
      <c r="J26" s="28">
        <f>SUM(G26-H26-I26)</f>
        <v>26685</v>
      </c>
      <c r="K26" s="28">
        <v>1076</v>
      </c>
      <c r="L26" s="28">
        <v>24</v>
      </c>
      <c r="M26" s="28">
        <v>1919</v>
      </c>
      <c r="N26" s="28">
        <v>758</v>
      </c>
      <c r="O26" s="28">
        <v>758</v>
      </c>
    </row>
    <row r="27" spans="1:15" ht="12.75" customHeight="1">
      <c r="A27" s="4" t="s">
        <v>49</v>
      </c>
      <c r="B27" s="5" t="s">
        <v>50</v>
      </c>
      <c r="C27" s="28">
        <v>3191</v>
      </c>
      <c r="D27" s="28">
        <v>2807</v>
      </c>
      <c r="E27" s="28">
        <v>301</v>
      </c>
      <c r="F27" s="28">
        <f>SUM(C27-D27-E27)</f>
        <v>83</v>
      </c>
      <c r="G27" s="28">
        <v>6521</v>
      </c>
      <c r="H27" s="28">
        <v>3403</v>
      </c>
      <c r="I27" s="28">
        <v>842</v>
      </c>
      <c r="J27" s="28">
        <f>SUM(G27-H27-I27)</f>
        <v>2276</v>
      </c>
      <c r="K27" s="28">
        <v>252</v>
      </c>
      <c r="L27" s="28">
        <v>0</v>
      </c>
      <c r="M27" s="28">
        <v>137</v>
      </c>
      <c r="N27" s="28">
        <v>56</v>
      </c>
      <c r="O27" s="28">
        <v>56</v>
      </c>
    </row>
    <row r="28" spans="1:15" ht="12.75" customHeight="1">
      <c r="A28" s="4" t="s">
        <v>51</v>
      </c>
      <c r="B28" s="5" t="s">
        <v>52</v>
      </c>
      <c r="C28" s="28">
        <v>3528</v>
      </c>
      <c r="D28" s="28">
        <v>2430</v>
      </c>
      <c r="E28" s="28">
        <v>441</v>
      </c>
      <c r="F28" s="28">
        <f>SUM(C28-D28-E28)</f>
        <v>657</v>
      </c>
      <c r="G28" s="28">
        <v>7190</v>
      </c>
      <c r="H28" s="28">
        <v>4003</v>
      </c>
      <c r="I28" s="28">
        <v>1663</v>
      </c>
      <c r="J28" s="28">
        <f>SUM(G28-H28-I28)</f>
        <v>1524</v>
      </c>
      <c r="K28" s="28">
        <v>77</v>
      </c>
      <c r="L28" s="28">
        <v>254</v>
      </c>
      <c r="M28" s="28">
        <v>15</v>
      </c>
      <c r="N28" s="28">
        <v>44</v>
      </c>
      <c r="O28" s="28">
        <v>44</v>
      </c>
    </row>
    <row r="29" spans="1:15" ht="12.75" customHeight="1">
      <c r="A29" s="4" t="s">
        <v>53</v>
      </c>
      <c r="B29" s="5" t="s">
        <v>54</v>
      </c>
      <c r="C29" s="28">
        <v>4659</v>
      </c>
      <c r="D29" s="28">
        <v>3876</v>
      </c>
      <c r="E29" s="28">
        <v>692</v>
      </c>
      <c r="F29" s="28">
        <f>SUM(C29-D29-E29)</f>
        <v>91</v>
      </c>
      <c r="G29" s="28">
        <v>8144</v>
      </c>
      <c r="H29" s="28">
        <v>6090</v>
      </c>
      <c r="I29" s="28">
        <v>1951</v>
      </c>
      <c r="J29" s="28">
        <f>SUM(G29-H29-I29)</f>
        <v>103</v>
      </c>
      <c r="K29" s="28">
        <v>0</v>
      </c>
      <c r="L29" s="28">
        <v>13</v>
      </c>
      <c r="M29" s="28">
        <v>0</v>
      </c>
      <c r="N29" s="28">
        <v>0</v>
      </c>
      <c r="O29" s="28">
        <v>0</v>
      </c>
    </row>
    <row r="30" spans="1:15" ht="12.75" customHeight="1">
      <c r="A30" s="8"/>
      <c r="B30" s="9" t="s">
        <v>55</v>
      </c>
      <c r="C30" s="29">
        <f t="shared" ref="C30:O30" si="4">SUM(C26:C29)</f>
        <v>30068</v>
      </c>
      <c r="D30" s="29">
        <f t="shared" si="4"/>
        <v>17539</v>
      </c>
      <c r="E30" s="29">
        <f t="shared" si="4"/>
        <v>2270</v>
      </c>
      <c r="F30" s="29">
        <f t="shared" si="4"/>
        <v>10259</v>
      </c>
      <c r="G30" s="29">
        <f t="shared" si="4"/>
        <v>62904</v>
      </c>
      <c r="H30" s="29">
        <f t="shared" si="4"/>
        <v>25653</v>
      </c>
      <c r="I30" s="29">
        <f t="shared" si="4"/>
        <v>6663</v>
      </c>
      <c r="J30" s="29">
        <f t="shared" si="4"/>
        <v>30588</v>
      </c>
      <c r="K30" s="29">
        <f t="shared" si="4"/>
        <v>1405</v>
      </c>
      <c r="L30" s="29">
        <f t="shared" si="4"/>
        <v>291</v>
      </c>
      <c r="M30" s="29">
        <f t="shared" si="4"/>
        <v>2071</v>
      </c>
      <c r="N30" s="29">
        <f t="shared" si="4"/>
        <v>858</v>
      </c>
      <c r="O30" s="29">
        <f t="shared" si="4"/>
        <v>858</v>
      </c>
    </row>
    <row r="31" spans="1:15" ht="12.75" customHeight="1">
      <c r="A31" s="4" t="s">
        <v>56</v>
      </c>
      <c r="B31" s="5" t="s">
        <v>57</v>
      </c>
      <c r="C31" s="28">
        <v>11327</v>
      </c>
      <c r="D31" s="28">
        <v>10535</v>
      </c>
      <c r="E31" s="28">
        <v>335</v>
      </c>
      <c r="F31" s="28">
        <f t="shared" ref="F31:F42" si="5">SUM(C31-D31-E31)</f>
        <v>457</v>
      </c>
      <c r="G31" s="28">
        <v>28315</v>
      </c>
      <c r="H31" s="28">
        <v>19963</v>
      </c>
      <c r="I31" s="28">
        <v>1065</v>
      </c>
      <c r="J31" s="28">
        <f t="shared" ref="J31:J42" si="6">SUM(G31-H31-I31)</f>
        <v>7287</v>
      </c>
      <c r="K31" s="28">
        <v>85</v>
      </c>
      <c r="L31" s="28">
        <v>0</v>
      </c>
      <c r="M31" s="28">
        <v>487</v>
      </c>
      <c r="N31" s="28">
        <v>92</v>
      </c>
      <c r="O31" s="28">
        <v>92</v>
      </c>
    </row>
    <row r="32" spans="1:15" ht="12.75" customHeight="1">
      <c r="A32" s="4" t="s">
        <v>58</v>
      </c>
      <c r="B32" s="5" t="s">
        <v>59</v>
      </c>
      <c r="C32" s="28">
        <v>14954</v>
      </c>
      <c r="D32" s="28">
        <v>13117</v>
      </c>
      <c r="E32" s="28">
        <v>807</v>
      </c>
      <c r="F32" s="28">
        <f t="shared" si="5"/>
        <v>1030</v>
      </c>
      <c r="G32" s="28">
        <v>52095</v>
      </c>
      <c r="H32" s="28">
        <v>28708</v>
      </c>
      <c r="I32" s="28">
        <v>3384</v>
      </c>
      <c r="J32" s="28">
        <f t="shared" si="6"/>
        <v>20003</v>
      </c>
      <c r="K32" s="28">
        <v>461</v>
      </c>
      <c r="L32" s="28">
        <v>0</v>
      </c>
      <c r="M32" s="28">
        <v>8907</v>
      </c>
      <c r="N32" s="28">
        <v>921</v>
      </c>
      <c r="O32" s="28">
        <v>921</v>
      </c>
    </row>
    <row r="33" spans="1:256" ht="12.75" customHeight="1">
      <c r="A33" s="4" t="s">
        <v>60</v>
      </c>
      <c r="B33" s="5" t="s">
        <v>61</v>
      </c>
      <c r="C33" s="28">
        <v>7720</v>
      </c>
      <c r="D33" s="28">
        <v>6536</v>
      </c>
      <c r="E33" s="28">
        <v>379</v>
      </c>
      <c r="F33" s="28">
        <f t="shared" si="5"/>
        <v>805</v>
      </c>
      <c r="G33" s="28">
        <v>25653</v>
      </c>
      <c r="H33" s="28">
        <v>8074</v>
      </c>
      <c r="I33" s="28">
        <v>888</v>
      </c>
      <c r="J33" s="28">
        <f t="shared" si="6"/>
        <v>16691</v>
      </c>
      <c r="K33" s="28">
        <v>439</v>
      </c>
      <c r="L33" s="28">
        <v>0</v>
      </c>
      <c r="M33" s="28">
        <v>4514</v>
      </c>
      <c r="N33" s="28">
        <v>475</v>
      </c>
      <c r="O33" s="28">
        <v>475</v>
      </c>
    </row>
    <row r="34" spans="1:256" ht="12.75" customHeight="1">
      <c r="A34" s="4" t="s">
        <v>62</v>
      </c>
      <c r="B34" s="5" t="s">
        <v>63</v>
      </c>
      <c r="C34" s="28">
        <v>7670</v>
      </c>
      <c r="D34" s="28">
        <v>2955</v>
      </c>
      <c r="E34" s="28">
        <v>70</v>
      </c>
      <c r="F34" s="28">
        <f t="shared" si="5"/>
        <v>4645</v>
      </c>
      <c r="G34" s="28">
        <v>18591</v>
      </c>
      <c r="H34" s="28">
        <v>6926</v>
      </c>
      <c r="I34" s="28">
        <v>257</v>
      </c>
      <c r="J34" s="28">
        <f t="shared" si="6"/>
        <v>11408</v>
      </c>
      <c r="K34" s="28">
        <v>138</v>
      </c>
      <c r="L34" s="28">
        <v>0</v>
      </c>
      <c r="M34" s="28">
        <v>6128</v>
      </c>
      <c r="N34" s="28">
        <v>0</v>
      </c>
      <c r="O34" s="28">
        <v>0</v>
      </c>
    </row>
    <row r="35" spans="1:256" ht="12.75" customHeight="1">
      <c r="A35" s="4" t="s">
        <v>64</v>
      </c>
      <c r="B35" s="5" t="s">
        <v>65</v>
      </c>
      <c r="C35" s="28">
        <v>3887</v>
      </c>
      <c r="D35" s="28">
        <v>3863</v>
      </c>
      <c r="E35" s="28">
        <v>0</v>
      </c>
      <c r="F35" s="28">
        <f t="shared" si="5"/>
        <v>24</v>
      </c>
      <c r="G35" s="28">
        <v>6469</v>
      </c>
      <c r="H35" s="28">
        <v>5983</v>
      </c>
      <c r="I35" s="28">
        <v>0</v>
      </c>
      <c r="J35" s="28">
        <f t="shared" si="6"/>
        <v>486</v>
      </c>
      <c r="K35" s="28">
        <v>3</v>
      </c>
      <c r="L35" s="28">
        <v>0</v>
      </c>
      <c r="M35" s="28">
        <v>2</v>
      </c>
      <c r="N35" s="28">
        <v>222</v>
      </c>
      <c r="O35" s="28">
        <v>222</v>
      </c>
    </row>
    <row r="36" spans="1:256" ht="12.75" customHeight="1">
      <c r="A36" s="4" t="s">
        <v>66</v>
      </c>
      <c r="B36" s="5" t="s">
        <v>67</v>
      </c>
      <c r="C36" s="28">
        <v>2234</v>
      </c>
      <c r="D36" s="28">
        <v>1861</v>
      </c>
      <c r="E36" s="28">
        <v>315</v>
      </c>
      <c r="F36" s="28">
        <f t="shared" si="5"/>
        <v>58</v>
      </c>
      <c r="G36" s="28">
        <v>6302</v>
      </c>
      <c r="H36" s="28">
        <v>4485</v>
      </c>
      <c r="I36" s="28">
        <v>1412</v>
      </c>
      <c r="J36" s="28">
        <f t="shared" si="6"/>
        <v>405</v>
      </c>
      <c r="K36" s="28">
        <v>0</v>
      </c>
      <c r="L36" s="28">
        <v>0</v>
      </c>
      <c r="M36" s="28">
        <v>313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3993</v>
      </c>
      <c r="D37" s="28">
        <v>3235</v>
      </c>
      <c r="E37" s="28">
        <v>153</v>
      </c>
      <c r="F37" s="28">
        <f t="shared" si="5"/>
        <v>605</v>
      </c>
      <c r="G37" s="28">
        <v>18651</v>
      </c>
      <c r="H37" s="28">
        <v>7698</v>
      </c>
      <c r="I37" s="28">
        <v>392</v>
      </c>
      <c r="J37" s="28">
        <f t="shared" si="6"/>
        <v>10561</v>
      </c>
      <c r="K37" s="28">
        <v>341</v>
      </c>
      <c r="L37" s="28">
        <v>0</v>
      </c>
      <c r="M37" s="28">
        <v>6057</v>
      </c>
      <c r="N37" s="28">
        <v>816</v>
      </c>
      <c r="O37" s="28">
        <v>816</v>
      </c>
    </row>
    <row r="38" spans="1:256" ht="12.75" customHeight="1">
      <c r="A38" s="4" t="s">
        <v>70</v>
      </c>
      <c r="B38" s="5" t="s">
        <v>71</v>
      </c>
      <c r="C38" s="28">
        <v>59475</v>
      </c>
      <c r="D38" s="28">
        <v>43986</v>
      </c>
      <c r="E38" s="28">
        <v>2003</v>
      </c>
      <c r="F38" s="28">
        <f t="shared" si="5"/>
        <v>13486</v>
      </c>
      <c r="G38" s="28">
        <v>161027</v>
      </c>
      <c r="H38" s="28">
        <v>71403</v>
      </c>
      <c r="I38" s="28">
        <v>7233</v>
      </c>
      <c r="J38" s="28">
        <f t="shared" si="6"/>
        <v>82391</v>
      </c>
      <c r="K38" s="28">
        <v>3609</v>
      </c>
      <c r="L38" s="28">
        <v>4</v>
      </c>
      <c r="M38" s="28">
        <v>16189</v>
      </c>
      <c r="N38" s="28">
        <v>28679</v>
      </c>
      <c r="O38" s="28">
        <v>8682</v>
      </c>
    </row>
    <row r="39" spans="1:256" ht="12.75" customHeight="1">
      <c r="A39" s="4" t="s">
        <v>72</v>
      </c>
      <c r="B39" s="5" t="s">
        <v>73</v>
      </c>
      <c r="C39" s="28">
        <v>6742</v>
      </c>
      <c r="D39" s="28">
        <v>6293</v>
      </c>
      <c r="E39" s="28">
        <v>277</v>
      </c>
      <c r="F39" s="28">
        <f t="shared" si="5"/>
        <v>172</v>
      </c>
      <c r="G39" s="28">
        <v>12027</v>
      </c>
      <c r="H39" s="28">
        <v>9936</v>
      </c>
      <c r="I39" s="28">
        <v>1534</v>
      </c>
      <c r="J39" s="28">
        <f t="shared" si="6"/>
        <v>557</v>
      </c>
      <c r="K39" s="28">
        <v>0</v>
      </c>
      <c r="L39" s="28">
        <v>0</v>
      </c>
      <c r="M39" s="28">
        <v>9</v>
      </c>
      <c r="N39" s="28">
        <v>0</v>
      </c>
      <c r="O39" s="28">
        <v>0</v>
      </c>
    </row>
    <row r="40" spans="1:256" ht="12.75" customHeight="1">
      <c r="A40" s="4" t="s">
        <v>74</v>
      </c>
      <c r="B40" s="5" t="s">
        <v>75</v>
      </c>
      <c r="C40" s="28">
        <v>6006</v>
      </c>
      <c r="D40" s="28">
        <v>5299</v>
      </c>
      <c r="E40" s="28">
        <v>407</v>
      </c>
      <c r="F40" s="28">
        <f t="shared" si="5"/>
        <v>300</v>
      </c>
      <c r="G40" s="28">
        <v>15939</v>
      </c>
      <c r="H40" s="28">
        <v>10343</v>
      </c>
      <c r="I40" s="28">
        <v>1342</v>
      </c>
      <c r="J40" s="28">
        <f t="shared" si="6"/>
        <v>4254</v>
      </c>
      <c r="K40" s="28">
        <v>62</v>
      </c>
      <c r="L40" s="28">
        <v>0</v>
      </c>
      <c r="M40" s="28">
        <v>2561</v>
      </c>
      <c r="N40" s="28">
        <v>59</v>
      </c>
      <c r="O40" s="28">
        <v>59</v>
      </c>
    </row>
    <row r="41" spans="1:256" ht="12.75" customHeight="1">
      <c r="A41" s="4" t="s">
        <v>76</v>
      </c>
      <c r="B41" s="5" t="s">
        <v>77</v>
      </c>
      <c r="C41" s="28">
        <v>2624</v>
      </c>
      <c r="D41" s="28">
        <v>2445</v>
      </c>
      <c r="E41" s="28">
        <v>0</v>
      </c>
      <c r="F41" s="28">
        <f t="shared" si="5"/>
        <v>179</v>
      </c>
      <c r="G41" s="28">
        <v>6420</v>
      </c>
      <c r="H41" s="28">
        <v>4711</v>
      </c>
      <c r="I41" s="28">
        <v>0</v>
      </c>
      <c r="J41" s="28">
        <f t="shared" si="6"/>
        <v>1709</v>
      </c>
      <c r="K41" s="28">
        <v>187</v>
      </c>
      <c r="L41" s="28">
        <v>0</v>
      </c>
      <c r="M41" s="28">
        <v>76</v>
      </c>
      <c r="N41" s="28">
        <v>40</v>
      </c>
      <c r="O41" s="28">
        <v>40</v>
      </c>
    </row>
    <row r="42" spans="1:256" ht="12.75" customHeight="1">
      <c r="A42" s="4" t="s">
        <v>78</v>
      </c>
      <c r="B42" s="5" t="s">
        <v>79</v>
      </c>
      <c r="C42" s="28">
        <v>12673</v>
      </c>
      <c r="D42" s="28">
        <v>11060</v>
      </c>
      <c r="E42" s="28">
        <v>360</v>
      </c>
      <c r="F42" s="28">
        <f t="shared" si="5"/>
        <v>1253</v>
      </c>
      <c r="G42" s="28">
        <v>20739</v>
      </c>
      <c r="H42" s="28">
        <v>16646</v>
      </c>
      <c r="I42" s="28">
        <v>815</v>
      </c>
      <c r="J42" s="28">
        <f t="shared" si="6"/>
        <v>3278</v>
      </c>
      <c r="K42" s="28">
        <v>173</v>
      </c>
      <c r="L42" s="28">
        <v>0</v>
      </c>
      <c r="M42" s="28">
        <v>9</v>
      </c>
      <c r="N42" s="28">
        <v>60</v>
      </c>
      <c r="O42" s="28">
        <v>60</v>
      </c>
    </row>
    <row r="43" spans="1:256" ht="12.75" customHeight="1">
      <c r="A43" s="8"/>
      <c r="B43" s="9" t="s">
        <v>80</v>
      </c>
      <c r="C43" s="29">
        <f t="shared" ref="C43:O43" si="7">SUM(C31:C42)</f>
        <v>139305</v>
      </c>
      <c r="D43" s="29">
        <f t="shared" si="7"/>
        <v>111185</v>
      </c>
      <c r="E43" s="29">
        <f t="shared" si="7"/>
        <v>5106</v>
      </c>
      <c r="F43" s="29">
        <f t="shared" si="7"/>
        <v>23014</v>
      </c>
      <c r="G43" s="29">
        <f t="shared" si="7"/>
        <v>372228</v>
      </c>
      <c r="H43" s="29">
        <f t="shared" si="7"/>
        <v>194876</v>
      </c>
      <c r="I43" s="29">
        <f t="shared" si="7"/>
        <v>18322</v>
      </c>
      <c r="J43" s="29">
        <f t="shared" si="7"/>
        <v>159030</v>
      </c>
      <c r="K43" s="29">
        <f t="shared" si="7"/>
        <v>5498</v>
      </c>
      <c r="L43" s="29">
        <f t="shared" si="7"/>
        <v>4</v>
      </c>
      <c r="M43" s="29">
        <f t="shared" si="7"/>
        <v>45252</v>
      </c>
      <c r="N43" s="29">
        <f t="shared" si="7"/>
        <v>31364</v>
      </c>
      <c r="O43" s="29">
        <f t="shared" si="7"/>
        <v>11367</v>
      </c>
    </row>
    <row r="44" spans="1:256" ht="12.75" customHeight="1">
      <c r="A44" s="4" t="s">
        <v>81</v>
      </c>
      <c r="B44" s="5" t="s">
        <v>82</v>
      </c>
      <c r="C44" s="28">
        <v>8041</v>
      </c>
      <c r="D44" s="28">
        <v>6080</v>
      </c>
      <c r="E44" s="28">
        <v>275</v>
      </c>
      <c r="F44" s="28">
        <f>SUM(C44-D44-E44)</f>
        <v>1686</v>
      </c>
      <c r="G44" s="28">
        <v>26133</v>
      </c>
      <c r="H44" s="28">
        <v>12684</v>
      </c>
      <c r="I44" s="28">
        <v>674</v>
      </c>
      <c r="J44" s="28">
        <f>SUM(G44-H44-I44)</f>
        <v>12775</v>
      </c>
      <c r="K44" s="28">
        <v>1663</v>
      </c>
      <c r="L44" s="28">
        <v>0</v>
      </c>
      <c r="M44" s="28">
        <v>3503</v>
      </c>
      <c r="N44" s="28">
        <v>308</v>
      </c>
      <c r="O44" s="28">
        <v>308</v>
      </c>
    </row>
    <row r="45" spans="1:256" ht="12.75" customHeight="1">
      <c r="A45" s="4" t="s">
        <v>83</v>
      </c>
      <c r="B45" s="5" t="s">
        <v>84</v>
      </c>
      <c r="C45" s="28">
        <v>8653</v>
      </c>
      <c r="D45" s="28">
        <v>6746</v>
      </c>
      <c r="E45" s="28">
        <v>427</v>
      </c>
      <c r="F45" s="28">
        <f>SUM(C45-D45-E45)</f>
        <v>1480</v>
      </c>
      <c r="G45" s="28">
        <v>27786</v>
      </c>
      <c r="H45" s="28">
        <v>13190</v>
      </c>
      <c r="I45" s="28">
        <v>1154</v>
      </c>
      <c r="J45" s="28">
        <f>SUM(G45-H45-I45)</f>
        <v>13442</v>
      </c>
      <c r="K45" s="28">
        <v>2196</v>
      </c>
      <c r="L45" s="28">
        <v>0</v>
      </c>
      <c r="M45" s="28">
        <v>1785</v>
      </c>
      <c r="N45" s="28">
        <v>30</v>
      </c>
      <c r="O45" s="28">
        <v>30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16694</v>
      </c>
      <c r="D46" s="29">
        <f t="shared" si="8"/>
        <v>12826</v>
      </c>
      <c r="E46" s="29">
        <f t="shared" si="8"/>
        <v>702</v>
      </c>
      <c r="F46" s="29">
        <f t="shared" si="8"/>
        <v>3166</v>
      </c>
      <c r="G46" s="29">
        <f t="shared" si="8"/>
        <v>53919</v>
      </c>
      <c r="H46" s="29">
        <f t="shared" si="8"/>
        <v>25874</v>
      </c>
      <c r="I46" s="29">
        <f t="shared" si="8"/>
        <v>1828</v>
      </c>
      <c r="J46" s="29">
        <f t="shared" si="8"/>
        <v>26217</v>
      </c>
      <c r="K46" s="29">
        <f t="shared" si="8"/>
        <v>3859</v>
      </c>
      <c r="L46" s="29">
        <f t="shared" si="8"/>
        <v>0</v>
      </c>
      <c r="M46" s="29">
        <f t="shared" si="8"/>
        <v>5288</v>
      </c>
      <c r="N46" s="29">
        <f t="shared" si="8"/>
        <v>338</v>
      </c>
      <c r="O46" s="29">
        <f t="shared" si="8"/>
        <v>338</v>
      </c>
    </row>
    <row r="47" spans="1:256" ht="12.75" customHeight="1">
      <c r="A47" s="4" t="s">
        <v>86</v>
      </c>
      <c r="B47" s="5" t="s">
        <v>87</v>
      </c>
      <c r="C47" s="28">
        <v>1593</v>
      </c>
      <c r="D47" s="28">
        <v>1479</v>
      </c>
      <c r="E47" s="28">
        <v>0</v>
      </c>
      <c r="F47" s="28">
        <f>SUM(C47-D47-E47)</f>
        <v>114</v>
      </c>
      <c r="G47" s="28">
        <v>1142</v>
      </c>
      <c r="H47" s="28">
        <v>1001</v>
      </c>
      <c r="I47" s="28">
        <v>0</v>
      </c>
      <c r="J47" s="28">
        <f>SUM(G47-H47-I47)</f>
        <v>141</v>
      </c>
      <c r="K47" s="28">
        <v>28</v>
      </c>
      <c r="L47" s="28">
        <v>0</v>
      </c>
      <c r="M47" s="28">
        <v>0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3241</v>
      </c>
      <c r="D48" s="28">
        <v>3124</v>
      </c>
      <c r="E48" s="28">
        <v>39</v>
      </c>
      <c r="F48" s="28">
        <f>SUM(C48-D48-E48)</f>
        <v>78</v>
      </c>
      <c r="G48" s="28">
        <v>5918</v>
      </c>
      <c r="H48" s="28">
        <v>5389</v>
      </c>
      <c r="I48" s="28">
        <v>111</v>
      </c>
      <c r="J48" s="28">
        <f>SUM(G48-H48-I48)</f>
        <v>418</v>
      </c>
      <c r="K48" s="28">
        <v>71</v>
      </c>
      <c r="L48" s="28">
        <v>0</v>
      </c>
      <c r="M48" s="28">
        <v>219</v>
      </c>
      <c r="N48" s="28">
        <v>0</v>
      </c>
      <c r="O48" s="28">
        <v>0</v>
      </c>
    </row>
    <row r="49" spans="1:15" ht="12.75" customHeight="1">
      <c r="A49" s="4" t="s">
        <v>90</v>
      </c>
      <c r="B49" s="5" t="s">
        <v>91</v>
      </c>
      <c r="C49" s="28">
        <v>1962</v>
      </c>
      <c r="D49" s="28">
        <v>1768</v>
      </c>
      <c r="E49" s="28">
        <v>164</v>
      </c>
      <c r="F49" s="28">
        <f>SUM(C49-D49-E49)</f>
        <v>30</v>
      </c>
      <c r="G49" s="28">
        <v>3017</v>
      </c>
      <c r="H49" s="28">
        <v>1280</v>
      </c>
      <c r="I49" s="28">
        <v>351</v>
      </c>
      <c r="J49" s="28">
        <f>SUM(G49-H49-I49)</f>
        <v>1386</v>
      </c>
      <c r="K49" s="28">
        <v>1362</v>
      </c>
      <c r="L49" s="28">
        <v>0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9561</v>
      </c>
      <c r="D50" s="28">
        <v>9070</v>
      </c>
      <c r="E50" s="28">
        <v>331</v>
      </c>
      <c r="F50" s="28">
        <f>SUM(C50-D50-E50)</f>
        <v>160</v>
      </c>
      <c r="G50" s="28">
        <v>19756</v>
      </c>
      <c r="H50" s="28">
        <v>14346</v>
      </c>
      <c r="I50" s="28">
        <v>874</v>
      </c>
      <c r="J50" s="28">
        <f>SUM(G50-H50-I50)</f>
        <v>4536</v>
      </c>
      <c r="K50" s="28">
        <v>809</v>
      </c>
      <c r="L50" s="28">
        <v>62</v>
      </c>
      <c r="M50" s="28">
        <v>1726</v>
      </c>
      <c r="N50" s="28">
        <v>0</v>
      </c>
      <c r="O50" s="28">
        <v>0</v>
      </c>
    </row>
    <row r="51" spans="1:15" ht="12.75" customHeight="1">
      <c r="A51" s="8"/>
      <c r="B51" s="9" t="s">
        <v>94</v>
      </c>
      <c r="C51" s="29">
        <f t="shared" ref="C51:O51" si="9">SUM(C47:C50)</f>
        <v>16357</v>
      </c>
      <c r="D51" s="29">
        <f t="shared" si="9"/>
        <v>15441</v>
      </c>
      <c r="E51" s="29">
        <f t="shared" si="9"/>
        <v>534</v>
      </c>
      <c r="F51" s="29">
        <f t="shared" si="9"/>
        <v>382</v>
      </c>
      <c r="G51" s="29">
        <f t="shared" si="9"/>
        <v>29833</v>
      </c>
      <c r="H51" s="29">
        <f t="shared" si="9"/>
        <v>22016</v>
      </c>
      <c r="I51" s="29">
        <f t="shared" si="9"/>
        <v>1336</v>
      </c>
      <c r="J51" s="29">
        <f t="shared" si="9"/>
        <v>6481</v>
      </c>
      <c r="K51" s="29">
        <f t="shared" si="9"/>
        <v>2270</v>
      </c>
      <c r="L51" s="29">
        <f t="shared" si="9"/>
        <v>62</v>
      </c>
      <c r="M51" s="29">
        <f t="shared" si="9"/>
        <v>1945</v>
      </c>
      <c r="N51" s="29">
        <f t="shared" si="9"/>
        <v>0</v>
      </c>
      <c r="O51" s="29">
        <f t="shared" si="9"/>
        <v>0</v>
      </c>
    </row>
    <row r="52" spans="1:15" ht="12.75" customHeight="1">
      <c r="A52" s="4" t="s">
        <v>95</v>
      </c>
      <c r="B52" s="5" t="s">
        <v>96</v>
      </c>
      <c r="C52" s="28">
        <v>1805</v>
      </c>
      <c r="D52" s="28">
        <v>1691</v>
      </c>
      <c r="E52" s="28">
        <v>14</v>
      </c>
      <c r="F52" s="28">
        <f t="shared" ref="F52:F58" si="10">SUM(C52-D52-E52)</f>
        <v>100</v>
      </c>
      <c r="G52" s="28">
        <v>5174</v>
      </c>
      <c r="H52" s="28">
        <v>3431</v>
      </c>
      <c r="I52" s="28">
        <v>36</v>
      </c>
      <c r="J52" s="28">
        <f t="shared" ref="J52:J58" si="11">SUM(G52-H52-I52)</f>
        <v>1707</v>
      </c>
      <c r="K52" s="28">
        <v>1153</v>
      </c>
      <c r="L52" s="28">
        <v>0</v>
      </c>
      <c r="M52" s="28">
        <v>103</v>
      </c>
      <c r="N52" s="28">
        <v>59</v>
      </c>
      <c r="O52" s="28">
        <v>59</v>
      </c>
    </row>
    <row r="53" spans="1:15" ht="12.75" customHeight="1">
      <c r="A53" s="4" t="s">
        <v>97</v>
      </c>
      <c r="B53" s="5" t="s">
        <v>98</v>
      </c>
      <c r="C53" s="28">
        <v>11718</v>
      </c>
      <c r="D53" s="28">
        <v>7495</v>
      </c>
      <c r="E53" s="28">
        <v>214</v>
      </c>
      <c r="F53" s="28">
        <f t="shared" si="10"/>
        <v>4009</v>
      </c>
      <c r="G53" s="28">
        <v>32339</v>
      </c>
      <c r="H53" s="28">
        <v>18641</v>
      </c>
      <c r="I53" s="28">
        <v>1011</v>
      </c>
      <c r="J53" s="28">
        <f t="shared" si="11"/>
        <v>12687</v>
      </c>
      <c r="K53" s="28">
        <v>305</v>
      </c>
      <c r="L53" s="28">
        <v>0</v>
      </c>
      <c r="M53" s="28">
        <v>988</v>
      </c>
      <c r="N53" s="28">
        <v>290</v>
      </c>
      <c r="O53" s="28">
        <v>290</v>
      </c>
    </row>
    <row r="54" spans="1:15" ht="12.75" customHeight="1">
      <c r="A54" s="4" t="s">
        <v>99</v>
      </c>
      <c r="B54" s="5" t="s">
        <v>100</v>
      </c>
      <c r="C54" s="28">
        <v>1862</v>
      </c>
      <c r="D54" s="28">
        <v>1048</v>
      </c>
      <c r="E54" s="28">
        <v>86</v>
      </c>
      <c r="F54" s="28">
        <f t="shared" si="10"/>
        <v>728</v>
      </c>
      <c r="G54" s="28">
        <v>5678</v>
      </c>
      <c r="H54" s="28">
        <v>2838</v>
      </c>
      <c r="I54" s="28">
        <v>445</v>
      </c>
      <c r="J54" s="28">
        <f t="shared" si="11"/>
        <v>2395</v>
      </c>
      <c r="K54" s="28">
        <v>9</v>
      </c>
      <c r="L54" s="28">
        <v>0</v>
      </c>
      <c r="M54" s="28">
        <v>619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7846</v>
      </c>
      <c r="D55" s="28">
        <v>5309</v>
      </c>
      <c r="E55" s="28">
        <v>262</v>
      </c>
      <c r="F55" s="28">
        <f t="shared" si="10"/>
        <v>2275</v>
      </c>
      <c r="G55" s="28">
        <v>23360</v>
      </c>
      <c r="H55" s="28">
        <v>12022</v>
      </c>
      <c r="I55" s="28">
        <v>798</v>
      </c>
      <c r="J55" s="28">
        <f t="shared" si="11"/>
        <v>10540</v>
      </c>
      <c r="K55" s="28">
        <v>911</v>
      </c>
      <c r="L55" s="28">
        <v>0</v>
      </c>
      <c r="M55" s="28">
        <v>1811</v>
      </c>
      <c r="N55" s="28">
        <v>1658</v>
      </c>
      <c r="O55" s="28">
        <v>1658</v>
      </c>
    </row>
    <row r="56" spans="1:15" ht="12.75" customHeight="1">
      <c r="A56" s="4" t="s">
        <v>103</v>
      </c>
      <c r="B56" s="5" t="s">
        <v>104</v>
      </c>
      <c r="C56" s="28">
        <v>12323</v>
      </c>
      <c r="D56" s="28">
        <v>5460</v>
      </c>
      <c r="E56" s="28">
        <v>760</v>
      </c>
      <c r="F56" s="28">
        <f t="shared" si="10"/>
        <v>6103</v>
      </c>
      <c r="G56" s="28">
        <v>38554</v>
      </c>
      <c r="H56" s="28">
        <v>11353</v>
      </c>
      <c r="I56" s="28">
        <v>3055</v>
      </c>
      <c r="J56" s="28">
        <f t="shared" si="11"/>
        <v>24146</v>
      </c>
      <c r="K56" s="28">
        <v>1882</v>
      </c>
      <c r="L56" s="28">
        <v>105</v>
      </c>
      <c r="M56" s="28">
        <v>6731</v>
      </c>
      <c r="N56" s="28">
        <v>588</v>
      </c>
      <c r="O56" s="28">
        <v>588</v>
      </c>
    </row>
    <row r="57" spans="1:15" ht="12.75" customHeight="1">
      <c r="A57" s="4" t="s">
        <v>105</v>
      </c>
      <c r="B57" s="5" t="s">
        <v>106</v>
      </c>
      <c r="C57" s="28">
        <v>10685</v>
      </c>
      <c r="D57" s="28">
        <v>6311</v>
      </c>
      <c r="E57" s="28">
        <v>900</v>
      </c>
      <c r="F57" s="28">
        <f t="shared" si="10"/>
        <v>3474</v>
      </c>
      <c r="G57" s="28">
        <v>36360</v>
      </c>
      <c r="H57" s="28">
        <v>16327</v>
      </c>
      <c r="I57" s="28">
        <v>3082</v>
      </c>
      <c r="J57" s="28">
        <f t="shared" si="11"/>
        <v>16951</v>
      </c>
      <c r="K57" s="28">
        <v>238</v>
      </c>
      <c r="L57" s="28">
        <v>0</v>
      </c>
      <c r="M57" s="28">
        <v>5526</v>
      </c>
      <c r="N57" s="28">
        <v>0</v>
      </c>
      <c r="O57" s="28">
        <v>0</v>
      </c>
    </row>
    <row r="58" spans="1:15" ht="12.75" customHeight="1">
      <c r="A58" s="4" t="s">
        <v>107</v>
      </c>
      <c r="B58" s="5" t="s">
        <v>108</v>
      </c>
      <c r="C58" s="28">
        <v>10272</v>
      </c>
      <c r="D58" s="28">
        <v>5355</v>
      </c>
      <c r="E58" s="28">
        <v>262</v>
      </c>
      <c r="F58" s="28">
        <f t="shared" si="10"/>
        <v>4655</v>
      </c>
      <c r="G58" s="28">
        <v>31819</v>
      </c>
      <c r="H58" s="28">
        <v>12007</v>
      </c>
      <c r="I58" s="28">
        <v>1011</v>
      </c>
      <c r="J58" s="28">
        <f t="shared" si="11"/>
        <v>18801</v>
      </c>
      <c r="K58" s="28">
        <v>354</v>
      </c>
      <c r="L58" s="28">
        <v>20</v>
      </c>
      <c r="M58" s="28">
        <v>2832</v>
      </c>
      <c r="N58" s="28">
        <v>2426</v>
      </c>
      <c r="O58" s="28">
        <v>2426</v>
      </c>
    </row>
    <row r="59" spans="1:15" ht="12.75" customHeight="1">
      <c r="A59" s="8"/>
      <c r="B59" s="9" t="s">
        <v>109</v>
      </c>
      <c r="C59" s="29">
        <f t="shared" ref="C59:O59" si="12">SUM(C52:C58)</f>
        <v>56511</v>
      </c>
      <c r="D59" s="29">
        <f t="shared" si="12"/>
        <v>32669</v>
      </c>
      <c r="E59" s="29">
        <f t="shared" si="12"/>
        <v>2498</v>
      </c>
      <c r="F59" s="29">
        <f t="shared" si="12"/>
        <v>21344</v>
      </c>
      <c r="G59" s="29">
        <f t="shared" si="12"/>
        <v>173284</v>
      </c>
      <c r="H59" s="29">
        <f t="shared" si="12"/>
        <v>76619</v>
      </c>
      <c r="I59" s="29">
        <f t="shared" si="12"/>
        <v>9438</v>
      </c>
      <c r="J59" s="29">
        <f t="shared" si="12"/>
        <v>87227</v>
      </c>
      <c r="K59" s="29">
        <f t="shared" si="12"/>
        <v>4852</v>
      </c>
      <c r="L59" s="29">
        <f t="shared" si="12"/>
        <v>125</v>
      </c>
      <c r="M59" s="29">
        <f t="shared" si="12"/>
        <v>18610</v>
      </c>
      <c r="N59" s="29">
        <f t="shared" si="12"/>
        <v>5021</v>
      </c>
      <c r="O59" s="29">
        <f t="shared" si="12"/>
        <v>5021</v>
      </c>
    </row>
    <row r="60" spans="1:15" ht="12.75" customHeight="1">
      <c r="A60" s="4" t="s">
        <v>110</v>
      </c>
      <c r="B60" s="5" t="s">
        <v>111</v>
      </c>
      <c r="C60" s="28">
        <v>11413</v>
      </c>
      <c r="D60" s="28">
        <v>8238</v>
      </c>
      <c r="E60" s="28">
        <v>1460</v>
      </c>
      <c r="F60" s="28">
        <f t="shared" ref="F60:F68" si="13">SUM(C60-D60-E60)</f>
        <v>1715</v>
      </c>
      <c r="G60" s="28">
        <v>32724</v>
      </c>
      <c r="H60" s="28">
        <v>18499</v>
      </c>
      <c r="I60" s="28">
        <v>5729</v>
      </c>
      <c r="J60" s="28">
        <f t="shared" ref="J60:J68" si="14">SUM(G60-H60-I60)</f>
        <v>8496</v>
      </c>
      <c r="K60" s="28">
        <v>15</v>
      </c>
      <c r="L60" s="28">
        <v>0</v>
      </c>
      <c r="M60" s="28">
        <v>2778</v>
      </c>
      <c r="N60" s="28">
        <v>85</v>
      </c>
      <c r="O60" s="28">
        <v>85</v>
      </c>
    </row>
    <row r="61" spans="1:15" ht="12.75" customHeight="1">
      <c r="A61" s="4" t="s">
        <v>112</v>
      </c>
      <c r="B61" s="5" t="s">
        <v>113</v>
      </c>
      <c r="C61" s="28">
        <v>3039</v>
      </c>
      <c r="D61" s="28">
        <v>2590</v>
      </c>
      <c r="E61" s="28">
        <v>54</v>
      </c>
      <c r="F61" s="28">
        <f t="shared" si="13"/>
        <v>395</v>
      </c>
      <c r="G61" s="28">
        <v>6690</v>
      </c>
      <c r="H61" s="28">
        <v>5441</v>
      </c>
      <c r="I61" s="28">
        <v>213</v>
      </c>
      <c r="J61" s="28">
        <f t="shared" si="14"/>
        <v>1036</v>
      </c>
      <c r="K61" s="28">
        <v>0</v>
      </c>
      <c r="L61" s="28">
        <v>151</v>
      </c>
      <c r="M61" s="28">
        <v>2060</v>
      </c>
      <c r="N61" s="28">
        <v>3</v>
      </c>
      <c r="O61" s="28">
        <v>3</v>
      </c>
    </row>
    <row r="62" spans="1:15" ht="12.75" customHeight="1">
      <c r="A62" s="4" t="s">
        <v>114</v>
      </c>
      <c r="B62" s="5" t="s">
        <v>115</v>
      </c>
      <c r="C62" s="28">
        <v>5379</v>
      </c>
      <c r="D62" s="28">
        <v>3110</v>
      </c>
      <c r="E62" s="28">
        <v>475</v>
      </c>
      <c r="F62" s="28">
        <f t="shared" si="13"/>
        <v>1794</v>
      </c>
      <c r="G62" s="28">
        <v>19156</v>
      </c>
      <c r="H62" s="28">
        <v>6832</v>
      </c>
      <c r="I62" s="28">
        <v>1841</v>
      </c>
      <c r="J62" s="28">
        <f t="shared" si="14"/>
        <v>10483</v>
      </c>
      <c r="K62" s="28">
        <v>513</v>
      </c>
      <c r="L62" s="28">
        <v>251</v>
      </c>
      <c r="M62" s="28">
        <v>2393</v>
      </c>
      <c r="N62" s="28">
        <v>1352</v>
      </c>
      <c r="O62" s="28">
        <v>1352</v>
      </c>
    </row>
    <row r="63" spans="1:15" ht="12.75" customHeight="1">
      <c r="A63" s="4" t="s">
        <v>116</v>
      </c>
      <c r="B63" s="5" t="s">
        <v>117</v>
      </c>
      <c r="C63" s="28">
        <v>6851</v>
      </c>
      <c r="D63" s="28">
        <v>4403</v>
      </c>
      <c r="E63" s="28">
        <v>576</v>
      </c>
      <c r="F63" s="28">
        <f t="shared" si="13"/>
        <v>1872</v>
      </c>
      <c r="G63" s="28">
        <v>22195</v>
      </c>
      <c r="H63" s="28">
        <v>12650</v>
      </c>
      <c r="I63" s="28">
        <v>2701</v>
      </c>
      <c r="J63" s="28">
        <f t="shared" si="14"/>
        <v>6844</v>
      </c>
      <c r="K63" s="28">
        <v>15</v>
      </c>
      <c r="L63" s="28">
        <v>0</v>
      </c>
      <c r="M63" s="28">
        <v>2490</v>
      </c>
      <c r="N63" s="28">
        <v>0</v>
      </c>
      <c r="O63" s="28">
        <v>0</v>
      </c>
    </row>
    <row r="64" spans="1:15" ht="12.75" customHeight="1">
      <c r="A64" s="4" t="s">
        <v>118</v>
      </c>
      <c r="B64" s="5" t="s">
        <v>119</v>
      </c>
      <c r="C64" s="28">
        <v>6829</v>
      </c>
      <c r="D64" s="28">
        <v>3675</v>
      </c>
      <c r="E64" s="28">
        <v>841</v>
      </c>
      <c r="F64" s="28">
        <f t="shared" si="13"/>
        <v>2313</v>
      </c>
      <c r="G64" s="28">
        <v>23283</v>
      </c>
      <c r="H64" s="28">
        <v>9544</v>
      </c>
      <c r="I64" s="28">
        <v>2943</v>
      </c>
      <c r="J64" s="28">
        <f t="shared" si="14"/>
        <v>10796</v>
      </c>
      <c r="K64" s="28">
        <v>1</v>
      </c>
      <c r="L64" s="28">
        <v>0</v>
      </c>
      <c r="M64" s="28">
        <v>922</v>
      </c>
      <c r="N64" s="28">
        <v>83</v>
      </c>
      <c r="O64" s="28">
        <v>83</v>
      </c>
    </row>
    <row r="65" spans="1:15" ht="12.75" customHeight="1">
      <c r="A65" s="4" t="s">
        <v>120</v>
      </c>
      <c r="B65" s="5" t="s">
        <v>121</v>
      </c>
      <c r="C65" s="28">
        <v>3555</v>
      </c>
      <c r="D65" s="28">
        <v>2657</v>
      </c>
      <c r="E65" s="28">
        <v>539</v>
      </c>
      <c r="F65" s="28">
        <f t="shared" si="13"/>
        <v>359</v>
      </c>
      <c r="G65" s="28">
        <v>14106</v>
      </c>
      <c r="H65" s="28">
        <v>6700</v>
      </c>
      <c r="I65" s="28">
        <v>2068</v>
      </c>
      <c r="J65" s="28">
        <f t="shared" si="14"/>
        <v>5338</v>
      </c>
      <c r="K65" s="28">
        <v>486</v>
      </c>
      <c r="L65" s="28">
        <v>0</v>
      </c>
      <c r="M65" s="28">
        <v>2383</v>
      </c>
      <c r="N65" s="28">
        <v>482</v>
      </c>
      <c r="O65" s="28">
        <v>482</v>
      </c>
    </row>
    <row r="66" spans="1:15" ht="12.75" customHeight="1">
      <c r="A66" s="4" t="s">
        <v>122</v>
      </c>
      <c r="B66" s="5" t="s">
        <v>123</v>
      </c>
      <c r="C66" s="28">
        <v>6382</v>
      </c>
      <c r="D66" s="28">
        <v>2934</v>
      </c>
      <c r="E66" s="28">
        <v>352</v>
      </c>
      <c r="F66" s="28">
        <f t="shared" si="13"/>
        <v>3096</v>
      </c>
      <c r="G66" s="28">
        <v>32064</v>
      </c>
      <c r="H66" s="28">
        <v>6622</v>
      </c>
      <c r="I66" s="28">
        <v>1133</v>
      </c>
      <c r="J66" s="28">
        <f t="shared" si="14"/>
        <v>24309</v>
      </c>
      <c r="K66" s="28">
        <v>705</v>
      </c>
      <c r="L66" s="28">
        <v>30</v>
      </c>
      <c r="M66" s="28">
        <v>7848</v>
      </c>
      <c r="N66" s="28">
        <v>29</v>
      </c>
      <c r="O66" s="28">
        <v>29</v>
      </c>
    </row>
    <row r="67" spans="1:15" ht="12.75" customHeight="1">
      <c r="A67" s="4" t="s">
        <v>124</v>
      </c>
      <c r="B67" s="5" t="s">
        <v>125</v>
      </c>
      <c r="C67" s="28">
        <v>12191</v>
      </c>
      <c r="D67" s="28">
        <v>3011</v>
      </c>
      <c r="E67" s="28">
        <v>0</v>
      </c>
      <c r="F67" s="28">
        <f t="shared" si="13"/>
        <v>9180</v>
      </c>
      <c r="G67" s="28">
        <v>49594</v>
      </c>
      <c r="H67" s="28">
        <v>7301</v>
      </c>
      <c r="I67" s="28">
        <v>0</v>
      </c>
      <c r="J67" s="28">
        <f t="shared" si="14"/>
        <v>42293</v>
      </c>
      <c r="K67" s="28">
        <v>1234</v>
      </c>
      <c r="L67" s="28">
        <v>0</v>
      </c>
      <c r="M67" s="28">
        <v>19563</v>
      </c>
      <c r="N67" s="28">
        <v>142</v>
      </c>
      <c r="O67" s="28">
        <v>142</v>
      </c>
    </row>
    <row r="68" spans="1:15" ht="12.75" customHeight="1">
      <c r="A68" s="4" t="s">
        <v>126</v>
      </c>
      <c r="B68" s="5" t="s">
        <v>127</v>
      </c>
      <c r="C68" s="28">
        <v>5390</v>
      </c>
      <c r="D68" s="28">
        <v>3911</v>
      </c>
      <c r="E68" s="28">
        <v>173</v>
      </c>
      <c r="F68" s="28">
        <f t="shared" si="13"/>
        <v>1306</v>
      </c>
      <c r="G68" s="28">
        <v>17477</v>
      </c>
      <c r="H68" s="28">
        <v>7490</v>
      </c>
      <c r="I68" s="28">
        <v>756</v>
      </c>
      <c r="J68" s="28">
        <f t="shared" si="14"/>
        <v>9231</v>
      </c>
      <c r="K68" s="28">
        <v>30</v>
      </c>
      <c r="L68" s="28">
        <v>12</v>
      </c>
      <c r="M68" s="28">
        <v>1361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61029</v>
      </c>
      <c r="D69" s="29">
        <f t="shared" si="15"/>
        <v>34529</v>
      </c>
      <c r="E69" s="29">
        <f t="shared" si="15"/>
        <v>4470</v>
      </c>
      <c r="F69" s="29">
        <f t="shared" si="15"/>
        <v>22030</v>
      </c>
      <c r="G69" s="29">
        <f t="shared" si="15"/>
        <v>217289</v>
      </c>
      <c r="H69" s="29">
        <f t="shared" si="15"/>
        <v>81079</v>
      </c>
      <c r="I69" s="29">
        <f t="shared" si="15"/>
        <v>17384</v>
      </c>
      <c r="J69" s="29">
        <f t="shared" si="15"/>
        <v>118826</v>
      </c>
      <c r="K69" s="29">
        <f t="shared" si="15"/>
        <v>2999</v>
      </c>
      <c r="L69" s="29">
        <f t="shared" si="15"/>
        <v>444</v>
      </c>
      <c r="M69" s="29">
        <f t="shared" si="15"/>
        <v>41798</v>
      </c>
      <c r="N69" s="29">
        <f t="shared" si="15"/>
        <v>2176</v>
      </c>
      <c r="O69" s="29">
        <f t="shared" si="15"/>
        <v>2176</v>
      </c>
    </row>
    <row r="70" spans="1:15" ht="12.75" customHeight="1">
      <c r="A70" s="4" t="s">
        <v>129</v>
      </c>
      <c r="B70" s="5" t="s">
        <v>130</v>
      </c>
      <c r="C70" s="28">
        <v>3884</v>
      </c>
      <c r="D70" s="28">
        <v>3198</v>
      </c>
      <c r="E70" s="28">
        <v>380</v>
      </c>
      <c r="F70" s="28">
        <f t="shared" ref="F70:F79" si="16">SUM(C70-D70-E70)</f>
        <v>306</v>
      </c>
      <c r="G70" s="28">
        <v>11820</v>
      </c>
      <c r="H70" s="28">
        <v>7282</v>
      </c>
      <c r="I70" s="28">
        <v>2055</v>
      </c>
      <c r="J70" s="28">
        <f t="shared" ref="J70:J79" si="17">SUM(G70-H70-I70)</f>
        <v>2483</v>
      </c>
      <c r="K70" s="28">
        <v>111</v>
      </c>
      <c r="L70" s="28">
        <v>0</v>
      </c>
      <c r="M70" s="28">
        <v>396</v>
      </c>
      <c r="N70" s="28">
        <v>12</v>
      </c>
      <c r="O70" s="28">
        <v>12</v>
      </c>
    </row>
    <row r="71" spans="1:15" ht="12.75" customHeight="1">
      <c r="A71" s="4" t="s">
        <v>131</v>
      </c>
      <c r="B71" s="5" t="s">
        <v>132</v>
      </c>
      <c r="C71" s="28">
        <v>17813</v>
      </c>
      <c r="D71" s="28">
        <v>10141</v>
      </c>
      <c r="E71" s="28">
        <v>864</v>
      </c>
      <c r="F71" s="28">
        <f t="shared" si="16"/>
        <v>6808</v>
      </c>
      <c r="G71" s="28">
        <v>39674</v>
      </c>
      <c r="H71" s="28">
        <v>17856</v>
      </c>
      <c r="I71" s="28">
        <v>3422</v>
      </c>
      <c r="J71" s="28">
        <f t="shared" si="17"/>
        <v>18396</v>
      </c>
      <c r="K71" s="28">
        <v>396</v>
      </c>
      <c r="L71" s="28">
        <v>0</v>
      </c>
      <c r="M71" s="28">
        <v>1373</v>
      </c>
      <c r="N71" s="28">
        <v>2092</v>
      </c>
      <c r="O71" s="28">
        <v>2092</v>
      </c>
    </row>
    <row r="72" spans="1:15" ht="12.75" customHeight="1">
      <c r="A72" s="4" t="s">
        <v>133</v>
      </c>
      <c r="B72" s="5" t="s">
        <v>134</v>
      </c>
      <c r="C72" s="28">
        <v>3769</v>
      </c>
      <c r="D72" s="28">
        <v>3332</v>
      </c>
      <c r="E72" s="28">
        <v>0</v>
      </c>
      <c r="F72" s="28">
        <f t="shared" si="16"/>
        <v>437</v>
      </c>
      <c r="G72" s="28">
        <v>9522</v>
      </c>
      <c r="H72" s="28">
        <v>7248</v>
      </c>
      <c r="I72" s="28">
        <v>0</v>
      </c>
      <c r="J72" s="28">
        <f t="shared" si="17"/>
        <v>2274</v>
      </c>
      <c r="K72" s="28">
        <v>156</v>
      </c>
      <c r="L72" s="28">
        <v>259</v>
      </c>
      <c r="M72" s="28">
        <v>1675</v>
      </c>
      <c r="N72" s="28">
        <v>15</v>
      </c>
      <c r="O72" s="28">
        <v>15</v>
      </c>
    </row>
    <row r="73" spans="1:15" ht="12.75" customHeight="1">
      <c r="A73" s="4" t="s">
        <v>135</v>
      </c>
      <c r="B73" s="5" t="s">
        <v>136</v>
      </c>
      <c r="C73" s="28">
        <v>9025</v>
      </c>
      <c r="D73" s="28">
        <v>6441</v>
      </c>
      <c r="E73" s="28">
        <v>135</v>
      </c>
      <c r="F73" s="28">
        <f t="shared" si="16"/>
        <v>2449</v>
      </c>
      <c r="G73" s="28">
        <v>23429</v>
      </c>
      <c r="H73" s="28">
        <v>12604</v>
      </c>
      <c r="I73" s="28">
        <v>300</v>
      </c>
      <c r="J73" s="28">
        <f t="shared" si="17"/>
        <v>10525</v>
      </c>
      <c r="K73" s="28">
        <v>445</v>
      </c>
      <c r="L73" s="28">
        <v>16</v>
      </c>
      <c r="M73" s="28">
        <v>3161</v>
      </c>
      <c r="N73" s="28">
        <v>6316</v>
      </c>
      <c r="O73" s="28">
        <v>6316</v>
      </c>
    </row>
    <row r="74" spans="1:15" ht="12.75" customHeight="1">
      <c r="A74" s="4" t="s">
        <v>137</v>
      </c>
      <c r="B74" s="5" t="s">
        <v>138</v>
      </c>
      <c r="C74" s="28">
        <v>6087</v>
      </c>
      <c r="D74" s="28">
        <v>5145</v>
      </c>
      <c r="E74" s="28">
        <v>311</v>
      </c>
      <c r="F74" s="28">
        <f t="shared" si="16"/>
        <v>631</v>
      </c>
      <c r="G74" s="28">
        <v>12484</v>
      </c>
      <c r="H74" s="28">
        <v>8213</v>
      </c>
      <c r="I74" s="28">
        <v>974</v>
      </c>
      <c r="J74" s="28">
        <f t="shared" si="17"/>
        <v>3297</v>
      </c>
      <c r="K74" s="28">
        <v>137</v>
      </c>
      <c r="L74" s="28">
        <v>0</v>
      </c>
      <c r="M74" s="28">
        <v>109</v>
      </c>
      <c r="N74" s="28">
        <v>69</v>
      </c>
      <c r="O74" s="28">
        <v>69</v>
      </c>
    </row>
    <row r="75" spans="1:15" ht="12.75" customHeight="1">
      <c r="A75" s="4" t="s">
        <v>139</v>
      </c>
      <c r="B75" s="5" t="s">
        <v>140</v>
      </c>
      <c r="C75" s="28">
        <v>3149</v>
      </c>
      <c r="D75" s="28">
        <v>2925</v>
      </c>
      <c r="E75" s="28">
        <v>139</v>
      </c>
      <c r="F75" s="28">
        <f t="shared" si="16"/>
        <v>85</v>
      </c>
      <c r="G75" s="28">
        <v>5384</v>
      </c>
      <c r="H75" s="28">
        <v>4274</v>
      </c>
      <c r="I75" s="28">
        <v>588</v>
      </c>
      <c r="J75" s="28">
        <f t="shared" si="17"/>
        <v>522</v>
      </c>
      <c r="K75" s="28">
        <v>3</v>
      </c>
      <c r="L75" s="28">
        <v>0</v>
      </c>
      <c r="M75" s="28">
        <v>3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6184</v>
      </c>
      <c r="D76" s="28">
        <v>4760</v>
      </c>
      <c r="E76" s="28">
        <v>223</v>
      </c>
      <c r="F76" s="28">
        <f t="shared" si="16"/>
        <v>1201</v>
      </c>
      <c r="G76" s="28">
        <v>15797</v>
      </c>
      <c r="H76" s="28">
        <v>9599</v>
      </c>
      <c r="I76" s="28">
        <v>679</v>
      </c>
      <c r="J76" s="28">
        <f t="shared" si="17"/>
        <v>5519</v>
      </c>
      <c r="K76" s="28">
        <v>74</v>
      </c>
      <c r="L76" s="28">
        <v>25</v>
      </c>
      <c r="M76" s="28">
        <v>878</v>
      </c>
      <c r="N76" s="28">
        <v>60</v>
      </c>
      <c r="O76" s="28">
        <v>60</v>
      </c>
    </row>
    <row r="77" spans="1:15" ht="12.75" customHeight="1">
      <c r="A77" s="4" t="s">
        <v>143</v>
      </c>
      <c r="B77" s="5" t="s">
        <v>144</v>
      </c>
      <c r="C77" s="28">
        <v>5255</v>
      </c>
      <c r="D77" s="28">
        <v>2824</v>
      </c>
      <c r="E77" s="28">
        <v>114</v>
      </c>
      <c r="F77" s="28">
        <f t="shared" si="16"/>
        <v>2317</v>
      </c>
      <c r="G77" s="28">
        <v>12724</v>
      </c>
      <c r="H77" s="28">
        <v>5409</v>
      </c>
      <c r="I77" s="28">
        <v>366</v>
      </c>
      <c r="J77" s="28">
        <f t="shared" si="17"/>
        <v>6949</v>
      </c>
      <c r="K77" s="28">
        <v>222</v>
      </c>
      <c r="L77" s="28">
        <v>0</v>
      </c>
      <c r="M77" s="28">
        <v>391</v>
      </c>
      <c r="N77" s="28">
        <v>21</v>
      </c>
      <c r="O77" s="28">
        <v>21</v>
      </c>
    </row>
    <row r="78" spans="1:15" ht="12.75" customHeight="1">
      <c r="A78" s="4" t="s">
        <v>145</v>
      </c>
      <c r="B78" s="5" t="s">
        <v>146</v>
      </c>
      <c r="C78" s="28">
        <v>2835</v>
      </c>
      <c r="D78" s="28">
        <v>2329</v>
      </c>
      <c r="E78" s="28">
        <v>0</v>
      </c>
      <c r="F78" s="28">
        <f t="shared" si="16"/>
        <v>506</v>
      </c>
      <c r="G78" s="28">
        <v>5685</v>
      </c>
      <c r="H78" s="28">
        <v>4076</v>
      </c>
      <c r="I78" s="28">
        <v>0</v>
      </c>
      <c r="J78" s="28">
        <f t="shared" si="17"/>
        <v>1609</v>
      </c>
      <c r="K78" s="28">
        <v>15</v>
      </c>
      <c r="L78" s="28">
        <v>0</v>
      </c>
      <c r="M78" s="28">
        <v>17</v>
      </c>
      <c r="N78" s="28">
        <v>26</v>
      </c>
      <c r="O78" s="28">
        <v>26</v>
      </c>
    </row>
    <row r="79" spans="1:15" ht="12.75" customHeight="1">
      <c r="A79" s="4" t="s">
        <v>147</v>
      </c>
      <c r="B79" s="5" t="s">
        <v>148</v>
      </c>
      <c r="C79" s="28">
        <v>3530</v>
      </c>
      <c r="D79" s="28">
        <v>2968</v>
      </c>
      <c r="E79" s="28">
        <v>128</v>
      </c>
      <c r="F79" s="28">
        <f t="shared" si="16"/>
        <v>434</v>
      </c>
      <c r="G79" s="28">
        <v>10019</v>
      </c>
      <c r="H79" s="28">
        <v>6564</v>
      </c>
      <c r="I79" s="28">
        <v>541</v>
      </c>
      <c r="J79" s="28">
        <f t="shared" si="17"/>
        <v>2914</v>
      </c>
      <c r="K79" s="28">
        <v>140</v>
      </c>
      <c r="L79" s="28">
        <v>107</v>
      </c>
      <c r="M79" s="28">
        <v>2925</v>
      </c>
      <c r="N79" s="28">
        <v>74</v>
      </c>
      <c r="O79" s="28">
        <v>74</v>
      </c>
    </row>
    <row r="80" spans="1:15" ht="12.75" customHeight="1">
      <c r="A80" s="8"/>
      <c r="B80" s="9" t="s">
        <v>149</v>
      </c>
      <c r="C80" s="29">
        <f t="shared" ref="C80:O80" si="18">SUM(C70:C79)</f>
        <v>61531</v>
      </c>
      <c r="D80" s="29">
        <f t="shared" si="18"/>
        <v>44063</v>
      </c>
      <c r="E80" s="29">
        <f t="shared" si="18"/>
        <v>2294</v>
      </c>
      <c r="F80" s="29">
        <f t="shared" si="18"/>
        <v>15174</v>
      </c>
      <c r="G80" s="29">
        <f t="shared" si="18"/>
        <v>146538</v>
      </c>
      <c r="H80" s="29">
        <f t="shared" si="18"/>
        <v>83125</v>
      </c>
      <c r="I80" s="29">
        <f t="shared" si="18"/>
        <v>8925</v>
      </c>
      <c r="J80" s="29">
        <f t="shared" si="18"/>
        <v>54488</v>
      </c>
      <c r="K80" s="29">
        <f t="shared" si="18"/>
        <v>1699</v>
      </c>
      <c r="L80" s="29">
        <f t="shared" si="18"/>
        <v>407</v>
      </c>
      <c r="M80" s="29">
        <f t="shared" si="18"/>
        <v>10928</v>
      </c>
      <c r="N80" s="29">
        <f t="shared" si="18"/>
        <v>8685</v>
      </c>
      <c r="O80" s="29">
        <f t="shared" si="18"/>
        <v>8685</v>
      </c>
    </row>
    <row r="81" spans="1:15" ht="12.75" customHeight="1">
      <c r="A81" s="4" t="s">
        <v>150</v>
      </c>
      <c r="B81" s="5" t="s">
        <v>151</v>
      </c>
      <c r="C81" s="28">
        <v>6071</v>
      </c>
      <c r="D81" s="28">
        <v>3723</v>
      </c>
      <c r="E81" s="28">
        <v>339</v>
      </c>
      <c r="F81" s="28">
        <f>SUM(C81-D81-E81)</f>
        <v>2009</v>
      </c>
      <c r="G81" s="28">
        <v>21218</v>
      </c>
      <c r="H81" s="28">
        <v>10887</v>
      </c>
      <c r="I81" s="28">
        <v>1714</v>
      </c>
      <c r="J81" s="28">
        <f>SUM(G81-H81-I81)</f>
        <v>8617</v>
      </c>
      <c r="K81" s="28">
        <v>75</v>
      </c>
      <c r="L81" s="28">
        <v>0</v>
      </c>
      <c r="M81" s="28">
        <v>2472</v>
      </c>
      <c r="N81" s="28">
        <v>324</v>
      </c>
      <c r="O81" s="28">
        <v>324</v>
      </c>
    </row>
    <row r="82" spans="1:15" ht="12.75" customHeight="1">
      <c r="A82" s="4" t="s">
        <v>152</v>
      </c>
      <c r="B82" s="5" t="s">
        <v>153</v>
      </c>
      <c r="C82" s="28">
        <v>2851</v>
      </c>
      <c r="D82" s="28">
        <v>2104</v>
      </c>
      <c r="E82" s="28">
        <v>57</v>
      </c>
      <c r="F82" s="28">
        <f>SUM(C82-D82-E82)</f>
        <v>690</v>
      </c>
      <c r="G82" s="28">
        <v>11455</v>
      </c>
      <c r="H82" s="28">
        <v>5771</v>
      </c>
      <c r="I82" s="28">
        <v>364</v>
      </c>
      <c r="J82" s="28">
        <f>SUM(G82-H82-I82)</f>
        <v>5320</v>
      </c>
      <c r="K82" s="28">
        <v>37</v>
      </c>
      <c r="L82" s="28">
        <v>0</v>
      </c>
      <c r="M82" s="28">
        <v>1710</v>
      </c>
      <c r="N82" s="28">
        <v>88</v>
      </c>
      <c r="O82" s="28">
        <v>88</v>
      </c>
    </row>
    <row r="83" spans="1:15" ht="12.75" customHeight="1">
      <c r="A83" s="4" t="s">
        <v>154</v>
      </c>
      <c r="B83" s="5" t="s">
        <v>155</v>
      </c>
      <c r="C83" s="28">
        <v>1022</v>
      </c>
      <c r="D83" s="28">
        <v>818</v>
      </c>
      <c r="E83" s="28">
        <v>204</v>
      </c>
      <c r="F83" s="28">
        <f>SUM(C83-D83-E83)</f>
        <v>0</v>
      </c>
      <c r="G83" s="28">
        <v>2980</v>
      </c>
      <c r="H83" s="28">
        <v>2258</v>
      </c>
      <c r="I83" s="28">
        <v>707</v>
      </c>
      <c r="J83" s="28">
        <f>SUM(G83-H83-I83)</f>
        <v>15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2693</v>
      </c>
      <c r="D84" s="28">
        <v>2386</v>
      </c>
      <c r="E84" s="28">
        <v>64</v>
      </c>
      <c r="F84" s="28">
        <f>SUM(C84-D84-E84)</f>
        <v>243</v>
      </c>
      <c r="G84" s="28">
        <v>9513</v>
      </c>
      <c r="H84" s="28">
        <v>6505</v>
      </c>
      <c r="I84" s="28">
        <v>397</v>
      </c>
      <c r="J84" s="28">
        <f>SUM(G84-H84-I84)</f>
        <v>2611</v>
      </c>
      <c r="K84" s="28">
        <v>28</v>
      </c>
      <c r="L84" s="28">
        <v>0</v>
      </c>
      <c r="M84" s="28">
        <v>1698</v>
      </c>
      <c r="N84" s="28">
        <v>62</v>
      </c>
      <c r="O84" s="28">
        <v>62</v>
      </c>
    </row>
    <row r="85" spans="1:15" ht="12.75" customHeight="1">
      <c r="A85" s="4" t="s">
        <v>158</v>
      </c>
      <c r="B85" s="5" t="s">
        <v>159</v>
      </c>
      <c r="C85" s="28">
        <v>4095</v>
      </c>
      <c r="D85" s="28">
        <v>3464</v>
      </c>
      <c r="E85" s="28">
        <v>330</v>
      </c>
      <c r="F85" s="28">
        <f>SUM(C85-D85-E85)</f>
        <v>301</v>
      </c>
      <c r="G85" s="28">
        <v>10612</v>
      </c>
      <c r="H85" s="28">
        <v>7821</v>
      </c>
      <c r="I85" s="28">
        <v>1145</v>
      </c>
      <c r="J85" s="28">
        <f>SUM(G85-H85-I85)</f>
        <v>1646</v>
      </c>
      <c r="K85" s="28">
        <v>155</v>
      </c>
      <c r="L85" s="28">
        <v>41</v>
      </c>
      <c r="M85" s="28">
        <v>1324</v>
      </c>
      <c r="N85" s="28">
        <v>1229</v>
      </c>
      <c r="O85" s="28">
        <v>1229</v>
      </c>
    </row>
    <row r="86" spans="1:15" ht="12.75" customHeight="1">
      <c r="A86" s="8"/>
      <c r="B86" s="9" t="s">
        <v>160</v>
      </c>
      <c r="C86" s="29">
        <f t="shared" ref="C86:O86" si="19">SUM(C81:C85)</f>
        <v>16732</v>
      </c>
      <c r="D86" s="29">
        <f t="shared" si="19"/>
        <v>12495</v>
      </c>
      <c r="E86" s="29">
        <f t="shared" si="19"/>
        <v>994</v>
      </c>
      <c r="F86" s="29">
        <f t="shared" si="19"/>
        <v>3243</v>
      </c>
      <c r="G86" s="29">
        <f t="shared" si="19"/>
        <v>55778</v>
      </c>
      <c r="H86" s="29">
        <f t="shared" si="19"/>
        <v>33242</v>
      </c>
      <c r="I86" s="29">
        <f t="shared" si="19"/>
        <v>4327</v>
      </c>
      <c r="J86" s="29">
        <f t="shared" si="19"/>
        <v>18209</v>
      </c>
      <c r="K86" s="29">
        <f t="shared" si="19"/>
        <v>295</v>
      </c>
      <c r="L86" s="29">
        <f t="shared" si="19"/>
        <v>41</v>
      </c>
      <c r="M86" s="29">
        <f t="shared" si="19"/>
        <v>7204</v>
      </c>
      <c r="N86" s="29">
        <f t="shared" si="19"/>
        <v>1703</v>
      </c>
      <c r="O86" s="29">
        <f t="shared" si="19"/>
        <v>1703</v>
      </c>
    </row>
    <row r="87" spans="1:15" ht="12.75" customHeight="1">
      <c r="A87" s="4" t="s">
        <v>161</v>
      </c>
      <c r="B87" s="5" t="s">
        <v>162</v>
      </c>
      <c r="C87" s="28">
        <v>6400</v>
      </c>
      <c r="D87" s="28">
        <v>5060</v>
      </c>
      <c r="E87" s="28">
        <v>0</v>
      </c>
      <c r="F87" s="28">
        <f>SUM(C87-D87-E87)</f>
        <v>1340</v>
      </c>
      <c r="G87" s="28">
        <v>24528</v>
      </c>
      <c r="H87" s="28">
        <v>13579</v>
      </c>
      <c r="I87" s="28">
        <v>0</v>
      </c>
      <c r="J87" s="28">
        <f>SUM(G87-H87-I87)</f>
        <v>10949</v>
      </c>
      <c r="K87" s="28">
        <v>51</v>
      </c>
      <c r="L87" s="28">
        <v>179</v>
      </c>
      <c r="M87" s="28">
        <v>2662</v>
      </c>
      <c r="N87" s="28">
        <v>112</v>
      </c>
      <c r="O87" s="28">
        <v>112</v>
      </c>
    </row>
    <row r="88" spans="1:15" ht="12.75" customHeight="1">
      <c r="A88" s="4" t="s">
        <v>163</v>
      </c>
      <c r="B88" s="5" t="s">
        <v>164</v>
      </c>
      <c r="C88" s="28">
        <v>4491</v>
      </c>
      <c r="D88" s="28">
        <v>2350</v>
      </c>
      <c r="E88" s="28">
        <v>286</v>
      </c>
      <c r="F88" s="28">
        <f>SUM(C88-D88-E88)</f>
        <v>1855</v>
      </c>
      <c r="G88" s="28">
        <v>12689</v>
      </c>
      <c r="H88" s="28">
        <v>5937</v>
      </c>
      <c r="I88" s="28">
        <v>1582</v>
      </c>
      <c r="J88" s="28">
        <f>SUM(G88-H88-I88)</f>
        <v>5170</v>
      </c>
      <c r="K88" s="28">
        <v>44</v>
      </c>
      <c r="L88" s="28">
        <v>0</v>
      </c>
      <c r="M88" s="28">
        <v>862</v>
      </c>
      <c r="N88" s="28">
        <v>34</v>
      </c>
      <c r="O88" s="28">
        <v>34</v>
      </c>
    </row>
    <row r="89" spans="1:15" ht="12.75" customHeight="1">
      <c r="A89" s="8"/>
      <c r="B89" s="9" t="s">
        <v>165</v>
      </c>
      <c r="C89" s="29">
        <f t="shared" ref="C89:O89" si="20">SUM(C87:C88)</f>
        <v>10891</v>
      </c>
      <c r="D89" s="29">
        <f t="shared" si="20"/>
        <v>7410</v>
      </c>
      <c r="E89" s="29">
        <f t="shared" si="20"/>
        <v>286</v>
      </c>
      <c r="F89" s="29">
        <f t="shared" si="20"/>
        <v>3195</v>
      </c>
      <c r="G89" s="29">
        <f t="shared" si="20"/>
        <v>37217</v>
      </c>
      <c r="H89" s="29">
        <f t="shared" si="20"/>
        <v>19516</v>
      </c>
      <c r="I89" s="29">
        <f t="shared" si="20"/>
        <v>1582</v>
      </c>
      <c r="J89" s="29">
        <f t="shared" si="20"/>
        <v>16119</v>
      </c>
      <c r="K89" s="29">
        <f t="shared" si="20"/>
        <v>95</v>
      </c>
      <c r="L89" s="29">
        <f t="shared" si="20"/>
        <v>179</v>
      </c>
      <c r="M89" s="29">
        <f t="shared" si="20"/>
        <v>3524</v>
      </c>
      <c r="N89" s="29">
        <f t="shared" si="20"/>
        <v>146</v>
      </c>
      <c r="O89" s="29">
        <f t="shared" si="20"/>
        <v>146</v>
      </c>
    </row>
    <row r="90" spans="1:15" ht="12.75" customHeight="1">
      <c r="A90" s="4" t="s">
        <v>166</v>
      </c>
      <c r="B90" s="5" t="s">
        <v>167</v>
      </c>
      <c r="C90" s="28">
        <v>5725</v>
      </c>
      <c r="D90" s="28">
        <v>3542</v>
      </c>
      <c r="E90" s="28">
        <v>569</v>
      </c>
      <c r="F90" s="28">
        <f>SUM(C90-D90-E90)</f>
        <v>1614</v>
      </c>
      <c r="G90" s="28">
        <v>25539</v>
      </c>
      <c r="H90" s="28">
        <v>10322</v>
      </c>
      <c r="I90" s="28">
        <v>3077</v>
      </c>
      <c r="J90" s="28">
        <f>SUM(G90-H90-I90)</f>
        <v>12140</v>
      </c>
      <c r="K90" s="28">
        <v>28</v>
      </c>
      <c r="L90" s="28">
        <v>0</v>
      </c>
      <c r="M90" s="28">
        <v>611</v>
      </c>
      <c r="N90" s="28">
        <v>39</v>
      </c>
      <c r="O90" s="28">
        <v>39</v>
      </c>
    </row>
    <row r="91" spans="1:15" ht="12.75" customHeight="1">
      <c r="A91" s="4" t="s">
        <v>168</v>
      </c>
      <c r="B91" s="5" t="s">
        <v>169</v>
      </c>
      <c r="C91" s="28">
        <v>7432</v>
      </c>
      <c r="D91" s="28">
        <v>6094</v>
      </c>
      <c r="E91" s="28">
        <v>0</v>
      </c>
      <c r="F91" s="28">
        <f>SUM(C91-D91-E91)</f>
        <v>1338</v>
      </c>
      <c r="G91" s="28">
        <v>25894</v>
      </c>
      <c r="H91" s="28">
        <v>13706</v>
      </c>
      <c r="I91" s="28">
        <v>0</v>
      </c>
      <c r="J91" s="28">
        <f>SUM(G91-H91-I91)</f>
        <v>12188</v>
      </c>
      <c r="K91" s="28">
        <v>27</v>
      </c>
      <c r="L91" s="28">
        <v>132</v>
      </c>
      <c r="M91" s="28">
        <v>3073</v>
      </c>
      <c r="N91" s="28">
        <v>15</v>
      </c>
      <c r="O91" s="28">
        <v>15</v>
      </c>
    </row>
    <row r="92" spans="1:15" ht="12.75" customHeight="1">
      <c r="A92" s="4" t="s">
        <v>170</v>
      </c>
      <c r="B92" s="5" t="s">
        <v>171</v>
      </c>
      <c r="C92" s="28">
        <v>1758</v>
      </c>
      <c r="D92" s="28">
        <v>902</v>
      </c>
      <c r="E92" s="28">
        <v>213</v>
      </c>
      <c r="F92" s="28">
        <f>SUM(C92-D92-E92)</f>
        <v>643</v>
      </c>
      <c r="G92" s="28">
        <v>5066</v>
      </c>
      <c r="H92" s="28">
        <v>2248</v>
      </c>
      <c r="I92" s="28">
        <v>1593</v>
      </c>
      <c r="J92" s="28">
        <f>SUM(G92-H92-I92)</f>
        <v>1225</v>
      </c>
      <c r="K92" s="28">
        <v>21</v>
      </c>
      <c r="L92" s="28">
        <v>0</v>
      </c>
      <c r="M92" s="28">
        <v>268</v>
      </c>
      <c r="N92" s="28">
        <v>26</v>
      </c>
      <c r="O92" s="28">
        <v>26</v>
      </c>
    </row>
    <row r="93" spans="1:15" ht="12.75" customHeight="1">
      <c r="A93" s="4" t="s">
        <v>172</v>
      </c>
      <c r="B93" s="5" t="s">
        <v>173</v>
      </c>
      <c r="C93" s="28">
        <v>56637</v>
      </c>
      <c r="D93" s="28">
        <v>36049</v>
      </c>
      <c r="E93" s="28">
        <v>2555</v>
      </c>
      <c r="F93" s="28">
        <f>SUM(C93-D93-E93)</f>
        <v>18033</v>
      </c>
      <c r="G93" s="28">
        <v>177276</v>
      </c>
      <c r="H93" s="28">
        <v>60818</v>
      </c>
      <c r="I93" s="28">
        <v>8211</v>
      </c>
      <c r="J93" s="28">
        <f>SUM(G93-H93-I93)</f>
        <v>108247</v>
      </c>
      <c r="K93" s="28">
        <v>3538</v>
      </c>
      <c r="L93" s="28">
        <v>25</v>
      </c>
      <c r="M93" s="28">
        <v>22978</v>
      </c>
      <c r="N93" s="28">
        <v>7055</v>
      </c>
      <c r="O93" s="28">
        <v>6693</v>
      </c>
    </row>
    <row r="94" spans="1:15" ht="12.75" customHeight="1">
      <c r="A94" s="4" t="s">
        <v>174</v>
      </c>
      <c r="B94" s="5" t="s">
        <v>175</v>
      </c>
      <c r="C94" s="28">
        <v>13142</v>
      </c>
      <c r="D94" s="28">
        <v>9282</v>
      </c>
      <c r="E94" s="28">
        <v>945</v>
      </c>
      <c r="F94" s="28">
        <f>SUM(C94-D94-E94)</f>
        <v>2915</v>
      </c>
      <c r="G94" s="28">
        <v>28645</v>
      </c>
      <c r="H94" s="28">
        <v>17278</v>
      </c>
      <c r="I94" s="28">
        <v>2788</v>
      </c>
      <c r="J94" s="28">
        <f>SUM(G94-H94-I94)</f>
        <v>8579</v>
      </c>
      <c r="K94" s="28">
        <v>83</v>
      </c>
      <c r="L94" s="28">
        <v>219</v>
      </c>
      <c r="M94" s="28">
        <v>2484</v>
      </c>
      <c r="N94" s="28">
        <v>0</v>
      </c>
      <c r="O94" s="28">
        <v>0</v>
      </c>
    </row>
    <row r="95" spans="1:15" ht="12.75" customHeight="1">
      <c r="A95" s="8"/>
      <c r="B95" s="9" t="s">
        <v>176</v>
      </c>
      <c r="C95" s="29">
        <f t="shared" ref="C95:O95" si="21">SUM(C90:C94)</f>
        <v>84694</v>
      </c>
      <c r="D95" s="29">
        <f t="shared" si="21"/>
        <v>55869</v>
      </c>
      <c r="E95" s="29">
        <f t="shared" si="21"/>
        <v>4282</v>
      </c>
      <c r="F95" s="29">
        <f t="shared" si="21"/>
        <v>24543</v>
      </c>
      <c r="G95" s="29">
        <f t="shared" si="21"/>
        <v>262420</v>
      </c>
      <c r="H95" s="29">
        <f t="shared" si="21"/>
        <v>104372</v>
      </c>
      <c r="I95" s="29">
        <f t="shared" si="21"/>
        <v>15669</v>
      </c>
      <c r="J95" s="29">
        <f t="shared" si="21"/>
        <v>142379</v>
      </c>
      <c r="K95" s="29">
        <f t="shared" si="21"/>
        <v>3697</v>
      </c>
      <c r="L95" s="29">
        <f t="shared" si="21"/>
        <v>376</v>
      </c>
      <c r="M95" s="29">
        <f t="shared" si="21"/>
        <v>29414</v>
      </c>
      <c r="N95" s="29">
        <f t="shared" si="21"/>
        <v>7135</v>
      </c>
      <c r="O95" s="29">
        <f t="shared" si="21"/>
        <v>6773</v>
      </c>
    </row>
    <row r="96" spans="1:15" ht="12.75" customHeight="1">
      <c r="A96" s="4" t="s">
        <v>177</v>
      </c>
      <c r="B96" s="5" t="s">
        <v>178</v>
      </c>
      <c r="C96" s="28">
        <v>1354</v>
      </c>
      <c r="D96" s="28">
        <v>1097</v>
      </c>
      <c r="E96" s="28">
        <v>127</v>
      </c>
      <c r="F96" s="28">
        <f>SUM(C96-D96-E96)</f>
        <v>130</v>
      </c>
      <c r="G96" s="28">
        <v>7757</v>
      </c>
      <c r="H96" s="28">
        <v>4044</v>
      </c>
      <c r="I96" s="28">
        <v>642</v>
      </c>
      <c r="J96" s="28">
        <f>SUM(G96-H96-I96)</f>
        <v>3071</v>
      </c>
      <c r="K96" s="28">
        <v>0</v>
      </c>
      <c r="L96" s="28">
        <v>0</v>
      </c>
      <c r="M96" s="28">
        <v>2252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500</v>
      </c>
      <c r="D97" s="28">
        <v>471</v>
      </c>
      <c r="E97" s="28">
        <v>0</v>
      </c>
      <c r="F97" s="28">
        <f>SUM(C97-D97-E97)</f>
        <v>29</v>
      </c>
      <c r="G97" s="28">
        <v>1588</v>
      </c>
      <c r="H97" s="28">
        <v>1421</v>
      </c>
      <c r="I97" s="28">
        <v>0</v>
      </c>
      <c r="J97" s="28">
        <f>SUM(G97-H97-I97)</f>
        <v>167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1854</v>
      </c>
      <c r="D98" s="29">
        <f t="shared" si="22"/>
        <v>1568</v>
      </c>
      <c r="E98" s="29">
        <f t="shared" si="22"/>
        <v>127</v>
      </c>
      <c r="F98" s="29">
        <f t="shared" si="22"/>
        <v>159</v>
      </c>
      <c r="G98" s="29">
        <f t="shared" si="22"/>
        <v>9345</v>
      </c>
      <c r="H98" s="29">
        <f t="shared" si="22"/>
        <v>5465</v>
      </c>
      <c r="I98" s="29">
        <f t="shared" si="22"/>
        <v>642</v>
      </c>
      <c r="J98" s="29">
        <f t="shared" si="22"/>
        <v>3238</v>
      </c>
      <c r="K98" s="29">
        <f t="shared" si="22"/>
        <v>0</v>
      </c>
      <c r="L98" s="29">
        <f t="shared" si="22"/>
        <v>0</v>
      </c>
      <c r="M98" s="29">
        <f t="shared" si="22"/>
        <v>2252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4017</v>
      </c>
      <c r="D99" s="28">
        <v>3365</v>
      </c>
      <c r="E99" s="28">
        <v>277</v>
      </c>
      <c r="F99" s="28">
        <f>SUM(C99-D99-E99)</f>
        <v>375</v>
      </c>
      <c r="G99" s="28">
        <v>15501</v>
      </c>
      <c r="H99" s="28">
        <v>9595</v>
      </c>
      <c r="I99" s="28">
        <v>1234</v>
      </c>
      <c r="J99" s="28">
        <f>SUM(G99-H99-I99)</f>
        <v>4672</v>
      </c>
      <c r="K99" s="28">
        <v>21</v>
      </c>
      <c r="L99" s="28">
        <v>0</v>
      </c>
      <c r="M99" s="28">
        <v>1156</v>
      </c>
      <c r="N99" s="28">
        <v>14</v>
      </c>
      <c r="O99" s="28">
        <v>14</v>
      </c>
    </row>
    <row r="100" spans="1:15" ht="12.75" customHeight="1">
      <c r="A100" s="4" t="s">
        <v>184</v>
      </c>
      <c r="B100" s="5" t="s">
        <v>185</v>
      </c>
      <c r="C100" s="28">
        <v>3674</v>
      </c>
      <c r="D100" s="28">
        <v>2067</v>
      </c>
      <c r="E100" s="28">
        <v>279</v>
      </c>
      <c r="F100" s="28">
        <f>SUM(C100-D100-E100)</f>
        <v>1328</v>
      </c>
      <c r="G100" s="28">
        <v>12799</v>
      </c>
      <c r="H100" s="28">
        <v>5372</v>
      </c>
      <c r="I100" s="28">
        <v>1067</v>
      </c>
      <c r="J100" s="28">
        <f>SUM(G100-H100-I100)</f>
        <v>6360</v>
      </c>
      <c r="K100" s="28">
        <v>30</v>
      </c>
      <c r="L100" s="28">
        <v>0</v>
      </c>
      <c r="M100" s="28">
        <v>878</v>
      </c>
      <c r="N100" s="28">
        <v>189</v>
      </c>
      <c r="O100" s="28">
        <v>189</v>
      </c>
    </row>
    <row r="101" spans="1:15" ht="12.75" customHeight="1">
      <c r="A101" s="4" t="s">
        <v>186</v>
      </c>
      <c r="B101" s="5" t="s">
        <v>187</v>
      </c>
      <c r="C101" s="28">
        <v>1878</v>
      </c>
      <c r="D101" s="28">
        <v>1735</v>
      </c>
      <c r="E101" s="28">
        <v>0</v>
      </c>
      <c r="F101" s="28">
        <f>SUM(C101-D101-E101)</f>
        <v>143</v>
      </c>
      <c r="G101" s="28">
        <v>6090</v>
      </c>
      <c r="H101" s="28">
        <v>4399</v>
      </c>
      <c r="I101" s="28">
        <v>0</v>
      </c>
      <c r="J101" s="28">
        <f>SUM(G101-H101-I101)</f>
        <v>1691</v>
      </c>
      <c r="K101" s="28">
        <v>0</v>
      </c>
      <c r="L101" s="28">
        <v>0</v>
      </c>
      <c r="M101" s="28">
        <v>292</v>
      </c>
      <c r="N101" s="28">
        <v>27</v>
      </c>
      <c r="O101" s="28">
        <v>27</v>
      </c>
    </row>
    <row r="102" spans="1:15" ht="12.75" customHeight="1">
      <c r="A102" s="4" t="s">
        <v>188</v>
      </c>
      <c r="B102" s="5" t="s">
        <v>189</v>
      </c>
      <c r="C102" s="28">
        <v>3676</v>
      </c>
      <c r="D102" s="28">
        <v>2738</v>
      </c>
      <c r="E102" s="28">
        <v>343</v>
      </c>
      <c r="F102" s="28">
        <f>SUM(C102-D102-E102)</f>
        <v>595</v>
      </c>
      <c r="G102" s="28">
        <v>12220</v>
      </c>
      <c r="H102" s="28">
        <v>6851</v>
      </c>
      <c r="I102" s="28">
        <v>1932</v>
      </c>
      <c r="J102" s="28">
        <f>SUM(G102-H102-I102)</f>
        <v>3437</v>
      </c>
      <c r="K102" s="28">
        <v>11</v>
      </c>
      <c r="L102" s="28">
        <v>0</v>
      </c>
      <c r="M102" s="28">
        <v>670</v>
      </c>
      <c r="N102" s="28">
        <v>0</v>
      </c>
      <c r="O102" s="28">
        <v>0</v>
      </c>
    </row>
    <row r="103" spans="1:15" ht="12.75" customHeight="1">
      <c r="A103" s="8"/>
      <c r="B103" s="9" t="s">
        <v>190</v>
      </c>
      <c r="C103" s="29">
        <f t="shared" ref="C103:O103" si="23">SUM(C99:C102)</f>
        <v>13245</v>
      </c>
      <c r="D103" s="29">
        <f t="shared" si="23"/>
        <v>9905</v>
      </c>
      <c r="E103" s="29">
        <f t="shared" si="23"/>
        <v>899</v>
      </c>
      <c r="F103" s="29">
        <f t="shared" si="23"/>
        <v>2441</v>
      </c>
      <c r="G103" s="29">
        <f t="shared" si="23"/>
        <v>46610</v>
      </c>
      <c r="H103" s="29">
        <f t="shared" si="23"/>
        <v>26217</v>
      </c>
      <c r="I103" s="29">
        <f t="shared" si="23"/>
        <v>4233</v>
      </c>
      <c r="J103" s="29">
        <f t="shared" si="23"/>
        <v>16160</v>
      </c>
      <c r="K103" s="29">
        <f t="shared" si="23"/>
        <v>62</v>
      </c>
      <c r="L103" s="29">
        <f t="shared" si="23"/>
        <v>0</v>
      </c>
      <c r="M103" s="29">
        <f t="shared" si="23"/>
        <v>2996</v>
      </c>
      <c r="N103" s="29">
        <f t="shared" si="23"/>
        <v>230</v>
      </c>
      <c r="O103" s="29">
        <f t="shared" si="23"/>
        <v>230</v>
      </c>
    </row>
    <row r="104" spans="1:15" ht="12.75" customHeight="1">
      <c r="A104" s="4" t="s">
        <v>191</v>
      </c>
      <c r="B104" s="5" t="s">
        <v>192</v>
      </c>
      <c r="C104" s="28">
        <v>2216</v>
      </c>
      <c r="D104" s="28">
        <v>1769</v>
      </c>
      <c r="E104" s="28">
        <v>128</v>
      </c>
      <c r="F104" s="28">
        <f>SUM(C104-D104-E104)</f>
        <v>319</v>
      </c>
      <c r="G104" s="28">
        <v>9576</v>
      </c>
      <c r="H104" s="28">
        <v>5709</v>
      </c>
      <c r="I104" s="28">
        <v>838</v>
      </c>
      <c r="J104" s="28">
        <f>SUM(G104-H104-I104)</f>
        <v>3029</v>
      </c>
      <c r="K104" s="28">
        <v>72</v>
      </c>
      <c r="L104" s="28">
        <v>0</v>
      </c>
      <c r="M104" s="28">
        <v>706</v>
      </c>
      <c r="N104" s="28">
        <v>83</v>
      </c>
      <c r="O104" s="28">
        <v>83</v>
      </c>
    </row>
    <row r="105" spans="1:15" ht="12.75" customHeight="1">
      <c r="A105" s="4" t="s">
        <v>193</v>
      </c>
      <c r="B105" s="5" t="s">
        <v>194</v>
      </c>
      <c r="C105" s="28">
        <v>1517</v>
      </c>
      <c r="D105" s="28">
        <v>1100</v>
      </c>
      <c r="E105" s="28">
        <v>0</v>
      </c>
      <c r="F105" s="28">
        <f>SUM(C105-D105-E105)</f>
        <v>417</v>
      </c>
      <c r="G105" s="28">
        <v>7693</v>
      </c>
      <c r="H105" s="28">
        <v>3436</v>
      </c>
      <c r="I105" s="28">
        <v>0</v>
      </c>
      <c r="J105" s="28">
        <f>SUM(G105-H105-I105)</f>
        <v>4257</v>
      </c>
      <c r="K105" s="28">
        <v>21</v>
      </c>
      <c r="L105" s="28">
        <v>0</v>
      </c>
      <c r="M105" s="28">
        <v>1120</v>
      </c>
      <c r="N105" s="28">
        <v>32</v>
      </c>
      <c r="O105" s="28">
        <v>32</v>
      </c>
    </row>
    <row r="106" spans="1:15" ht="12.75" customHeight="1">
      <c r="A106" s="4" t="s">
        <v>195</v>
      </c>
      <c r="B106" s="5" t="s">
        <v>196</v>
      </c>
      <c r="C106" s="28">
        <v>8488</v>
      </c>
      <c r="D106" s="28">
        <v>5477</v>
      </c>
      <c r="E106" s="28">
        <v>359</v>
      </c>
      <c r="F106" s="28">
        <f>SUM(C106-D106-E106)</f>
        <v>2652</v>
      </c>
      <c r="G106" s="28">
        <v>38871</v>
      </c>
      <c r="H106" s="28">
        <v>16086</v>
      </c>
      <c r="I106" s="28">
        <v>1743</v>
      </c>
      <c r="J106" s="28">
        <f>SUM(G106-H106-I106)</f>
        <v>21042</v>
      </c>
      <c r="K106" s="28">
        <v>5</v>
      </c>
      <c r="L106" s="28">
        <v>0</v>
      </c>
      <c r="M106" s="28">
        <v>7193</v>
      </c>
      <c r="N106" s="28">
        <v>241</v>
      </c>
      <c r="O106" s="28">
        <v>241</v>
      </c>
    </row>
    <row r="107" spans="1:15" ht="12.75" customHeight="1">
      <c r="A107" s="4" t="s">
        <v>197</v>
      </c>
      <c r="B107" s="5" t="s">
        <v>198</v>
      </c>
      <c r="C107" s="28">
        <v>25660</v>
      </c>
      <c r="D107" s="28">
        <v>17479</v>
      </c>
      <c r="E107" s="28">
        <v>946</v>
      </c>
      <c r="F107" s="28">
        <f>SUM(C107-D107-E107)</f>
        <v>7235</v>
      </c>
      <c r="G107" s="28">
        <v>73988</v>
      </c>
      <c r="H107" s="28">
        <v>32058</v>
      </c>
      <c r="I107" s="28">
        <v>2319</v>
      </c>
      <c r="J107" s="28">
        <f>SUM(G107-H107-I107)</f>
        <v>39611</v>
      </c>
      <c r="K107" s="28">
        <v>2512</v>
      </c>
      <c r="L107" s="28">
        <v>0</v>
      </c>
      <c r="M107" s="28">
        <v>2599</v>
      </c>
      <c r="N107" s="28">
        <v>2076</v>
      </c>
      <c r="O107" s="28">
        <v>2076</v>
      </c>
    </row>
    <row r="108" spans="1:15" ht="12.75" customHeight="1">
      <c r="A108" s="4" t="s">
        <v>199</v>
      </c>
      <c r="B108" s="5" t="s">
        <v>200</v>
      </c>
      <c r="C108" s="28">
        <v>7520</v>
      </c>
      <c r="D108" s="28">
        <v>5481</v>
      </c>
      <c r="E108" s="28">
        <v>328</v>
      </c>
      <c r="F108" s="28">
        <f>SUM(C108-D108-E108)</f>
        <v>1711</v>
      </c>
      <c r="G108" s="28">
        <v>35964</v>
      </c>
      <c r="H108" s="28">
        <v>14425</v>
      </c>
      <c r="I108" s="28">
        <v>1669</v>
      </c>
      <c r="J108" s="28">
        <f>SUM(G108-H108-I108)</f>
        <v>19870</v>
      </c>
      <c r="K108" s="28">
        <v>76</v>
      </c>
      <c r="L108" s="28">
        <v>0</v>
      </c>
      <c r="M108" s="28">
        <v>2482</v>
      </c>
      <c r="N108" s="28">
        <v>1431</v>
      </c>
      <c r="O108" s="28">
        <v>1431</v>
      </c>
    </row>
    <row r="109" spans="1:15" ht="12.75" customHeight="1">
      <c r="A109" s="8"/>
      <c r="B109" s="9" t="s">
        <v>201</v>
      </c>
      <c r="C109" s="29">
        <f t="shared" ref="C109:O109" si="24">SUM(C104:C108)</f>
        <v>45401</v>
      </c>
      <c r="D109" s="29">
        <f t="shared" si="24"/>
        <v>31306</v>
      </c>
      <c r="E109" s="29">
        <f t="shared" si="24"/>
        <v>1761</v>
      </c>
      <c r="F109" s="29">
        <f t="shared" si="24"/>
        <v>12334</v>
      </c>
      <c r="G109" s="29">
        <f t="shared" si="24"/>
        <v>166092</v>
      </c>
      <c r="H109" s="29">
        <f t="shared" si="24"/>
        <v>71714</v>
      </c>
      <c r="I109" s="29">
        <f t="shared" si="24"/>
        <v>6569</v>
      </c>
      <c r="J109" s="29">
        <f t="shared" si="24"/>
        <v>87809</v>
      </c>
      <c r="K109" s="29">
        <f t="shared" si="24"/>
        <v>2686</v>
      </c>
      <c r="L109" s="29">
        <f t="shared" si="24"/>
        <v>0</v>
      </c>
      <c r="M109" s="29">
        <f t="shared" si="24"/>
        <v>14100</v>
      </c>
      <c r="N109" s="29">
        <f t="shared" si="24"/>
        <v>3863</v>
      </c>
      <c r="O109" s="29">
        <f t="shared" si="24"/>
        <v>3863</v>
      </c>
    </row>
    <row r="110" spans="1:15" ht="12.75" customHeight="1">
      <c r="A110" s="4" t="s">
        <v>202</v>
      </c>
      <c r="B110" s="5" t="s">
        <v>203</v>
      </c>
      <c r="C110" s="28">
        <v>12303</v>
      </c>
      <c r="D110" s="28">
        <v>10060</v>
      </c>
      <c r="E110" s="28">
        <v>308</v>
      </c>
      <c r="F110" s="28">
        <f t="shared" ref="F110:F115" si="25">SUM(C110-D110-E110)</f>
        <v>1935</v>
      </c>
      <c r="G110" s="28">
        <v>49596</v>
      </c>
      <c r="H110" s="28">
        <v>30251</v>
      </c>
      <c r="I110" s="28">
        <v>1563</v>
      </c>
      <c r="J110" s="28">
        <f t="shared" ref="J110:J115" si="26">SUM(G110-H110-I110)</f>
        <v>17782</v>
      </c>
      <c r="K110" s="28">
        <v>578</v>
      </c>
      <c r="L110" s="28">
        <v>0</v>
      </c>
      <c r="M110" s="28">
        <v>4588</v>
      </c>
      <c r="N110" s="28">
        <v>458</v>
      </c>
      <c r="O110" s="28">
        <v>458</v>
      </c>
    </row>
    <row r="111" spans="1:15" ht="12.75" customHeight="1">
      <c r="A111" s="4" t="s">
        <v>204</v>
      </c>
      <c r="B111" s="5" t="s">
        <v>205</v>
      </c>
      <c r="C111" s="28">
        <v>1424</v>
      </c>
      <c r="D111" s="28">
        <v>1318</v>
      </c>
      <c r="E111" s="28">
        <v>69</v>
      </c>
      <c r="F111" s="28">
        <f t="shared" si="25"/>
        <v>37</v>
      </c>
      <c r="G111" s="28">
        <v>4703</v>
      </c>
      <c r="H111" s="28">
        <v>3387</v>
      </c>
      <c r="I111" s="28">
        <v>345</v>
      </c>
      <c r="J111" s="28">
        <f t="shared" si="26"/>
        <v>971</v>
      </c>
      <c r="K111" s="28">
        <v>9</v>
      </c>
      <c r="L111" s="28">
        <v>0</v>
      </c>
      <c r="M111" s="28">
        <v>637</v>
      </c>
      <c r="N111" s="28">
        <v>0</v>
      </c>
      <c r="O111" s="28">
        <v>0</v>
      </c>
    </row>
    <row r="112" spans="1:15" ht="12.75" customHeight="1">
      <c r="A112" s="4" t="s">
        <v>206</v>
      </c>
      <c r="B112" s="5" t="s">
        <v>207</v>
      </c>
      <c r="C112" s="28">
        <v>3807</v>
      </c>
      <c r="D112" s="28">
        <v>3253</v>
      </c>
      <c r="E112" s="28">
        <v>0</v>
      </c>
      <c r="F112" s="28">
        <f t="shared" si="25"/>
        <v>554</v>
      </c>
      <c r="G112" s="28">
        <v>11490</v>
      </c>
      <c r="H112" s="28">
        <v>9153</v>
      </c>
      <c r="I112" s="28">
        <v>0</v>
      </c>
      <c r="J112" s="28">
        <f t="shared" si="26"/>
        <v>2337</v>
      </c>
      <c r="K112" s="28">
        <v>6</v>
      </c>
      <c r="L112" s="28">
        <v>489</v>
      </c>
      <c r="M112" s="28">
        <v>731</v>
      </c>
      <c r="N112" s="28">
        <v>9229</v>
      </c>
      <c r="O112" s="28">
        <v>9229</v>
      </c>
    </row>
    <row r="113" spans="1:15" ht="12.75" customHeight="1">
      <c r="A113" s="4" t="s">
        <v>208</v>
      </c>
      <c r="B113" s="5" t="s">
        <v>209</v>
      </c>
      <c r="C113" s="28">
        <v>4254</v>
      </c>
      <c r="D113" s="28">
        <v>2714</v>
      </c>
      <c r="E113" s="28">
        <v>360</v>
      </c>
      <c r="F113" s="28">
        <f t="shared" si="25"/>
        <v>1180</v>
      </c>
      <c r="G113" s="28">
        <v>15610</v>
      </c>
      <c r="H113" s="28">
        <v>8161</v>
      </c>
      <c r="I113" s="28">
        <v>1424</v>
      </c>
      <c r="J113" s="28">
        <f t="shared" si="26"/>
        <v>6025</v>
      </c>
      <c r="K113" s="28">
        <v>71</v>
      </c>
      <c r="L113" s="28">
        <v>0</v>
      </c>
      <c r="M113" s="28">
        <v>5496</v>
      </c>
      <c r="N113" s="28">
        <v>54</v>
      </c>
      <c r="O113" s="28">
        <v>54</v>
      </c>
    </row>
    <row r="114" spans="1:15" ht="12.75" customHeight="1">
      <c r="A114" s="4" t="s">
        <v>210</v>
      </c>
      <c r="B114" s="5" t="s">
        <v>211</v>
      </c>
      <c r="C114" s="28">
        <v>15330</v>
      </c>
      <c r="D114" s="28">
        <v>8014</v>
      </c>
      <c r="E114" s="28">
        <v>0</v>
      </c>
      <c r="F114" s="28">
        <f t="shared" si="25"/>
        <v>7316</v>
      </c>
      <c r="G114" s="28">
        <v>40690</v>
      </c>
      <c r="H114" s="28">
        <v>18040</v>
      </c>
      <c r="I114" s="28">
        <v>0</v>
      </c>
      <c r="J114" s="28">
        <f t="shared" si="26"/>
        <v>22650</v>
      </c>
      <c r="K114" s="28">
        <v>3132</v>
      </c>
      <c r="L114" s="28">
        <v>0</v>
      </c>
      <c r="M114" s="28">
        <v>2625</v>
      </c>
      <c r="N114" s="28">
        <v>1154</v>
      </c>
      <c r="O114" s="28">
        <v>1154</v>
      </c>
    </row>
    <row r="115" spans="1:15" ht="12.75" customHeight="1">
      <c r="A115" s="4" t="s">
        <v>212</v>
      </c>
      <c r="B115" s="5" t="s">
        <v>213</v>
      </c>
      <c r="C115" s="28">
        <v>5056</v>
      </c>
      <c r="D115" s="28">
        <v>4651</v>
      </c>
      <c r="E115" s="28">
        <v>0</v>
      </c>
      <c r="F115" s="28">
        <f t="shared" si="25"/>
        <v>405</v>
      </c>
      <c r="G115" s="28">
        <v>14376</v>
      </c>
      <c r="H115" s="28">
        <v>12455</v>
      </c>
      <c r="I115" s="28">
        <v>0</v>
      </c>
      <c r="J115" s="28">
        <f t="shared" si="26"/>
        <v>1921</v>
      </c>
      <c r="K115" s="28">
        <v>6</v>
      </c>
      <c r="L115" s="28">
        <v>0</v>
      </c>
      <c r="M115" s="28">
        <v>868</v>
      </c>
      <c r="N115" s="28">
        <v>475</v>
      </c>
      <c r="O115" s="28">
        <v>475</v>
      </c>
    </row>
    <row r="116" spans="1:15" ht="12.75" customHeight="1">
      <c r="A116" s="8"/>
      <c r="B116" s="9" t="s">
        <v>214</v>
      </c>
      <c r="C116" s="29">
        <f t="shared" ref="C116:O116" si="27">SUM(C110:C115)</f>
        <v>42174</v>
      </c>
      <c r="D116" s="29">
        <f t="shared" si="27"/>
        <v>30010</v>
      </c>
      <c r="E116" s="29">
        <f t="shared" si="27"/>
        <v>737</v>
      </c>
      <c r="F116" s="29">
        <f t="shared" si="27"/>
        <v>11427</v>
      </c>
      <c r="G116" s="29">
        <f t="shared" si="27"/>
        <v>136465</v>
      </c>
      <c r="H116" s="29">
        <f t="shared" si="27"/>
        <v>81447</v>
      </c>
      <c r="I116" s="29">
        <f t="shared" si="27"/>
        <v>3332</v>
      </c>
      <c r="J116" s="29">
        <f t="shared" si="27"/>
        <v>51686</v>
      </c>
      <c r="K116" s="29">
        <f t="shared" si="27"/>
        <v>3802</v>
      </c>
      <c r="L116" s="29">
        <f t="shared" si="27"/>
        <v>489</v>
      </c>
      <c r="M116" s="29">
        <f t="shared" si="27"/>
        <v>14945</v>
      </c>
      <c r="N116" s="29">
        <f t="shared" si="27"/>
        <v>11370</v>
      </c>
      <c r="O116" s="29">
        <f t="shared" si="27"/>
        <v>11370</v>
      </c>
    </row>
    <row r="117" spans="1:15" ht="12.75" customHeight="1">
      <c r="A117" s="4" t="s">
        <v>215</v>
      </c>
      <c r="B117" s="5" t="s">
        <v>216</v>
      </c>
      <c r="C117" s="28">
        <v>1359</v>
      </c>
      <c r="D117" s="28">
        <v>1077</v>
      </c>
      <c r="E117" s="28">
        <v>0</v>
      </c>
      <c r="F117" s="28">
        <f>SUM(C117-D117-E117)</f>
        <v>282</v>
      </c>
      <c r="G117" s="28">
        <v>5164</v>
      </c>
      <c r="H117" s="28">
        <v>3405</v>
      </c>
      <c r="I117" s="28">
        <v>0</v>
      </c>
      <c r="J117" s="28">
        <f>SUM(G117-H117-I117)</f>
        <v>1759</v>
      </c>
      <c r="K117" s="28">
        <v>0</v>
      </c>
      <c r="L117" s="28">
        <v>0</v>
      </c>
      <c r="M117" s="28">
        <v>1317</v>
      </c>
      <c r="N117" s="28">
        <v>0</v>
      </c>
      <c r="O117" s="28">
        <v>0</v>
      </c>
    </row>
    <row r="118" spans="1:15" ht="12.75" customHeight="1">
      <c r="A118" s="4" t="s">
        <v>217</v>
      </c>
      <c r="B118" s="5" t="s">
        <v>218</v>
      </c>
      <c r="C118" s="28">
        <v>2959</v>
      </c>
      <c r="D118" s="28">
        <v>2673</v>
      </c>
      <c r="E118" s="28">
        <v>131</v>
      </c>
      <c r="F118" s="28">
        <f>SUM(C118-D118-E118)</f>
        <v>155</v>
      </c>
      <c r="G118" s="28">
        <v>11921</v>
      </c>
      <c r="H118" s="28">
        <v>7618</v>
      </c>
      <c r="I118" s="28">
        <v>598</v>
      </c>
      <c r="J118" s="28">
        <f>SUM(G118-H118-I118)</f>
        <v>3705</v>
      </c>
      <c r="K118" s="28">
        <v>13</v>
      </c>
      <c r="L118" s="28">
        <v>0</v>
      </c>
      <c r="M118" s="28">
        <v>1426</v>
      </c>
      <c r="N118" s="28">
        <v>605</v>
      </c>
      <c r="O118" s="28">
        <v>605</v>
      </c>
    </row>
    <row r="119" spans="1:15" ht="12.75" customHeight="1">
      <c r="A119" s="8"/>
      <c r="B119" s="9" t="s">
        <v>219</v>
      </c>
      <c r="C119" s="29">
        <f t="shared" ref="C119:O119" si="28">SUM(C117:C118)</f>
        <v>4318</v>
      </c>
      <c r="D119" s="29">
        <f t="shared" si="28"/>
        <v>3750</v>
      </c>
      <c r="E119" s="29">
        <f t="shared" si="28"/>
        <v>131</v>
      </c>
      <c r="F119" s="29">
        <f t="shared" si="28"/>
        <v>437</v>
      </c>
      <c r="G119" s="29">
        <f t="shared" si="28"/>
        <v>17085</v>
      </c>
      <c r="H119" s="29">
        <f t="shared" si="28"/>
        <v>11023</v>
      </c>
      <c r="I119" s="29">
        <f t="shared" si="28"/>
        <v>598</v>
      </c>
      <c r="J119" s="29">
        <f t="shared" si="28"/>
        <v>5464</v>
      </c>
      <c r="K119" s="29">
        <f t="shared" si="28"/>
        <v>13</v>
      </c>
      <c r="L119" s="29">
        <f t="shared" si="28"/>
        <v>0</v>
      </c>
      <c r="M119" s="29">
        <f t="shared" si="28"/>
        <v>2743</v>
      </c>
      <c r="N119" s="29">
        <f t="shared" si="28"/>
        <v>605</v>
      </c>
      <c r="O119" s="29">
        <f t="shared" si="28"/>
        <v>605</v>
      </c>
    </row>
    <row r="120" spans="1:15" ht="12.75" customHeight="1">
      <c r="A120" s="4" t="s">
        <v>220</v>
      </c>
      <c r="B120" s="5" t="s">
        <v>221</v>
      </c>
      <c r="C120" s="28">
        <v>3925</v>
      </c>
      <c r="D120" s="28">
        <v>3663</v>
      </c>
      <c r="E120" s="28">
        <v>83</v>
      </c>
      <c r="F120" s="28">
        <f>SUM(C120-D120-E120)</f>
        <v>179</v>
      </c>
      <c r="G120" s="28">
        <v>11070</v>
      </c>
      <c r="H120" s="28">
        <v>9019</v>
      </c>
      <c r="I120" s="28">
        <v>650</v>
      </c>
      <c r="J120" s="28">
        <f>SUM(G120-H120-I120)</f>
        <v>1401</v>
      </c>
      <c r="K120" s="28">
        <v>177</v>
      </c>
      <c r="L120" s="28">
        <v>0</v>
      </c>
      <c r="M120" s="28">
        <v>597</v>
      </c>
      <c r="N120" s="28">
        <v>129</v>
      </c>
      <c r="O120" s="28">
        <v>129</v>
      </c>
    </row>
    <row r="121" spans="1:15" ht="12.75" customHeight="1">
      <c r="A121" s="4" t="s">
        <v>222</v>
      </c>
      <c r="B121" s="5" t="s">
        <v>223</v>
      </c>
      <c r="C121" s="28">
        <v>6491</v>
      </c>
      <c r="D121" s="28">
        <v>5834</v>
      </c>
      <c r="E121" s="28">
        <v>267</v>
      </c>
      <c r="F121" s="28">
        <f>SUM(C121-D121-E121)</f>
        <v>390</v>
      </c>
      <c r="G121" s="28">
        <v>20967</v>
      </c>
      <c r="H121" s="28">
        <v>15632</v>
      </c>
      <c r="I121" s="28">
        <v>1316</v>
      </c>
      <c r="J121" s="28">
        <f>SUM(G121-H121-I121)</f>
        <v>4019</v>
      </c>
      <c r="K121" s="28">
        <v>27</v>
      </c>
      <c r="L121" s="28">
        <v>3</v>
      </c>
      <c r="M121" s="28">
        <v>1029</v>
      </c>
      <c r="N121" s="28">
        <v>34</v>
      </c>
      <c r="O121" s="28">
        <v>34</v>
      </c>
    </row>
    <row r="122" spans="1:15" ht="12.75" customHeight="1">
      <c r="A122" s="4" t="s">
        <v>224</v>
      </c>
      <c r="B122" s="5" t="s">
        <v>225</v>
      </c>
      <c r="C122" s="28">
        <v>1223</v>
      </c>
      <c r="D122" s="28">
        <v>1037</v>
      </c>
      <c r="E122" s="28">
        <v>0</v>
      </c>
      <c r="F122" s="28">
        <f>SUM(C122-D122-E122)</f>
        <v>186</v>
      </c>
      <c r="G122" s="28">
        <v>3832</v>
      </c>
      <c r="H122" s="28">
        <v>2677</v>
      </c>
      <c r="I122" s="28">
        <v>0</v>
      </c>
      <c r="J122" s="28">
        <f>SUM(G122-H122-I122)</f>
        <v>1155</v>
      </c>
      <c r="K122" s="28">
        <v>0</v>
      </c>
      <c r="L122" s="28">
        <v>0</v>
      </c>
      <c r="M122" s="28">
        <v>1337</v>
      </c>
      <c r="N122" s="28">
        <v>0</v>
      </c>
      <c r="O122" s="28">
        <v>0</v>
      </c>
    </row>
    <row r="123" spans="1:15" ht="12.75" customHeight="1">
      <c r="A123" s="4" t="s">
        <v>226</v>
      </c>
      <c r="B123" s="5" t="s">
        <v>227</v>
      </c>
      <c r="C123" s="28">
        <v>5261</v>
      </c>
      <c r="D123" s="28">
        <v>4760</v>
      </c>
      <c r="E123" s="28">
        <v>107</v>
      </c>
      <c r="F123" s="28">
        <f>SUM(C123-D123-E123)</f>
        <v>394</v>
      </c>
      <c r="G123" s="28">
        <v>14175</v>
      </c>
      <c r="H123" s="28">
        <v>11011</v>
      </c>
      <c r="I123" s="28">
        <v>633</v>
      </c>
      <c r="J123" s="28">
        <f>SUM(G123-H123-I123)</f>
        <v>2531</v>
      </c>
      <c r="K123" s="28">
        <v>107</v>
      </c>
      <c r="L123" s="28">
        <v>0</v>
      </c>
      <c r="M123" s="28">
        <v>402</v>
      </c>
      <c r="N123" s="28">
        <v>0</v>
      </c>
      <c r="O123" s="28">
        <v>0</v>
      </c>
    </row>
    <row r="124" spans="1:15" ht="12.75" customHeight="1">
      <c r="A124" s="4" t="s">
        <v>228</v>
      </c>
      <c r="B124" s="5" t="s">
        <v>229</v>
      </c>
      <c r="C124" s="28">
        <v>1685</v>
      </c>
      <c r="D124" s="28">
        <v>1604</v>
      </c>
      <c r="E124" s="28">
        <v>36</v>
      </c>
      <c r="F124" s="28">
        <f>SUM(C124-D124-E124)</f>
        <v>45</v>
      </c>
      <c r="G124" s="28">
        <v>4453</v>
      </c>
      <c r="H124" s="28">
        <v>3696</v>
      </c>
      <c r="I124" s="28">
        <v>265</v>
      </c>
      <c r="J124" s="28">
        <f>SUM(G124-H124-I124)</f>
        <v>492</v>
      </c>
      <c r="K124" s="28">
        <v>18</v>
      </c>
      <c r="L124" s="28">
        <v>0</v>
      </c>
      <c r="M124" s="28">
        <v>74</v>
      </c>
      <c r="N124" s="28">
        <v>10</v>
      </c>
      <c r="O124" s="28">
        <v>10</v>
      </c>
    </row>
    <row r="125" spans="1:15" ht="12.75" customHeight="1">
      <c r="A125" s="8"/>
      <c r="B125" s="9" t="s">
        <v>230</v>
      </c>
      <c r="C125" s="29">
        <f t="shared" ref="C125:O125" si="29">SUM(C120:C124)</f>
        <v>18585</v>
      </c>
      <c r="D125" s="29">
        <f t="shared" si="29"/>
        <v>16898</v>
      </c>
      <c r="E125" s="29">
        <f t="shared" si="29"/>
        <v>493</v>
      </c>
      <c r="F125" s="29">
        <f t="shared" si="29"/>
        <v>1194</v>
      </c>
      <c r="G125" s="29">
        <f t="shared" si="29"/>
        <v>54497</v>
      </c>
      <c r="H125" s="29">
        <f t="shared" si="29"/>
        <v>42035</v>
      </c>
      <c r="I125" s="29">
        <f t="shared" si="29"/>
        <v>2864</v>
      </c>
      <c r="J125" s="29">
        <f t="shared" si="29"/>
        <v>9598</v>
      </c>
      <c r="K125" s="29">
        <f t="shared" si="29"/>
        <v>329</v>
      </c>
      <c r="L125" s="29">
        <f t="shared" si="29"/>
        <v>3</v>
      </c>
      <c r="M125" s="29">
        <f t="shared" si="29"/>
        <v>3439</v>
      </c>
      <c r="N125" s="29">
        <f t="shared" si="29"/>
        <v>173</v>
      </c>
      <c r="O125" s="29">
        <f t="shared" si="29"/>
        <v>173</v>
      </c>
    </row>
    <row r="126" spans="1:15" ht="12.75" customHeight="1">
      <c r="A126" s="4" t="s">
        <v>231</v>
      </c>
      <c r="B126" s="5" t="s">
        <v>232</v>
      </c>
      <c r="C126" s="28">
        <v>4043</v>
      </c>
      <c r="D126" s="28">
        <v>3319</v>
      </c>
      <c r="E126" s="28">
        <v>0</v>
      </c>
      <c r="F126" s="28">
        <f t="shared" ref="F126:F134" si="30">SUM(C126-D126-E126)</f>
        <v>724</v>
      </c>
      <c r="G126" s="28">
        <v>9810</v>
      </c>
      <c r="H126" s="28">
        <v>6637</v>
      </c>
      <c r="I126" s="28">
        <v>0</v>
      </c>
      <c r="J126" s="28">
        <f t="shared" ref="J126:J134" si="31">SUM(G126-H126-I126)</f>
        <v>3173</v>
      </c>
      <c r="K126" s="28">
        <v>0</v>
      </c>
      <c r="L126" s="28">
        <v>0</v>
      </c>
      <c r="M126" s="28">
        <v>1394</v>
      </c>
      <c r="N126" s="28">
        <v>28</v>
      </c>
      <c r="O126" s="28">
        <v>28</v>
      </c>
    </row>
    <row r="127" spans="1:15" ht="12.75" customHeight="1">
      <c r="A127" s="4" t="s">
        <v>233</v>
      </c>
      <c r="B127" s="5" t="s">
        <v>234</v>
      </c>
      <c r="C127" s="28">
        <v>1966</v>
      </c>
      <c r="D127" s="28">
        <v>1581</v>
      </c>
      <c r="E127" s="28">
        <v>0</v>
      </c>
      <c r="F127" s="28">
        <f t="shared" si="30"/>
        <v>385</v>
      </c>
      <c r="G127" s="28">
        <v>5406</v>
      </c>
      <c r="H127" s="28">
        <v>4279</v>
      </c>
      <c r="I127" s="28">
        <v>0</v>
      </c>
      <c r="J127" s="28">
        <f t="shared" si="31"/>
        <v>1127</v>
      </c>
      <c r="K127" s="28">
        <v>0</v>
      </c>
      <c r="L127" s="28">
        <v>0</v>
      </c>
      <c r="M127" s="28">
        <v>412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13030</v>
      </c>
      <c r="D128" s="28">
        <v>10062</v>
      </c>
      <c r="E128" s="28">
        <v>296</v>
      </c>
      <c r="F128" s="28">
        <f t="shared" si="30"/>
        <v>2672</v>
      </c>
      <c r="G128" s="28">
        <v>29233</v>
      </c>
      <c r="H128" s="28">
        <v>20417</v>
      </c>
      <c r="I128" s="28">
        <v>1259</v>
      </c>
      <c r="J128" s="28">
        <f t="shared" si="31"/>
        <v>7557</v>
      </c>
      <c r="K128" s="28">
        <v>80</v>
      </c>
      <c r="L128" s="28">
        <v>0</v>
      </c>
      <c r="M128" s="28">
        <v>2021</v>
      </c>
      <c r="N128" s="28">
        <v>194</v>
      </c>
      <c r="O128" s="28">
        <v>194</v>
      </c>
    </row>
    <row r="129" spans="1:15" ht="12.75" customHeight="1">
      <c r="A129" s="4" t="s">
        <v>237</v>
      </c>
      <c r="B129" s="5" t="s">
        <v>238</v>
      </c>
      <c r="C129" s="28">
        <v>1077</v>
      </c>
      <c r="D129" s="28">
        <v>820</v>
      </c>
      <c r="E129" s="28">
        <v>68</v>
      </c>
      <c r="F129" s="28">
        <f t="shared" si="30"/>
        <v>189</v>
      </c>
      <c r="G129" s="28">
        <v>4359</v>
      </c>
      <c r="H129" s="28">
        <v>2013</v>
      </c>
      <c r="I129" s="28">
        <v>449</v>
      </c>
      <c r="J129" s="28">
        <f t="shared" si="31"/>
        <v>1897</v>
      </c>
      <c r="K129" s="28">
        <v>33</v>
      </c>
      <c r="L129" s="28">
        <v>0</v>
      </c>
      <c r="M129" s="28">
        <v>1647</v>
      </c>
      <c r="N129" s="28">
        <v>105</v>
      </c>
      <c r="O129" s="28">
        <v>105</v>
      </c>
    </row>
    <row r="130" spans="1:15" ht="12.75" customHeight="1">
      <c r="A130" s="4" t="s">
        <v>239</v>
      </c>
      <c r="B130" s="5" t="s">
        <v>240</v>
      </c>
      <c r="C130" s="28">
        <v>8148</v>
      </c>
      <c r="D130" s="28">
        <v>6748</v>
      </c>
      <c r="E130" s="28">
        <v>503</v>
      </c>
      <c r="F130" s="28">
        <f t="shared" si="30"/>
        <v>897</v>
      </c>
      <c r="G130" s="28">
        <v>20836</v>
      </c>
      <c r="H130" s="28">
        <v>10104</v>
      </c>
      <c r="I130" s="28">
        <v>1912</v>
      </c>
      <c r="J130" s="28">
        <f t="shared" si="31"/>
        <v>8820</v>
      </c>
      <c r="K130" s="28">
        <v>102</v>
      </c>
      <c r="L130" s="28">
        <v>1024</v>
      </c>
      <c r="M130" s="28">
        <v>114</v>
      </c>
      <c r="N130" s="28">
        <v>76648</v>
      </c>
      <c r="O130" s="28">
        <v>22215</v>
      </c>
    </row>
    <row r="131" spans="1:15" ht="12.75" customHeight="1">
      <c r="A131" s="4" t="s">
        <v>241</v>
      </c>
      <c r="B131" s="5" t="s">
        <v>242</v>
      </c>
      <c r="C131" s="28">
        <v>14920</v>
      </c>
      <c r="D131" s="28">
        <v>12288</v>
      </c>
      <c r="E131" s="28">
        <v>100</v>
      </c>
      <c r="F131" s="28">
        <f t="shared" si="30"/>
        <v>2532</v>
      </c>
      <c r="G131" s="28">
        <v>31932</v>
      </c>
      <c r="H131" s="28">
        <v>18189</v>
      </c>
      <c r="I131" s="28">
        <v>364</v>
      </c>
      <c r="J131" s="28">
        <f t="shared" si="31"/>
        <v>13379</v>
      </c>
      <c r="K131" s="28">
        <v>134</v>
      </c>
      <c r="L131" s="28">
        <v>7</v>
      </c>
      <c r="M131" s="28">
        <v>736</v>
      </c>
      <c r="N131" s="28">
        <v>26</v>
      </c>
      <c r="O131" s="28">
        <v>26</v>
      </c>
    </row>
    <row r="132" spans="1:15" ht="12.75" customHeight="1">
      <c r="A132" s="4" t="s">
        <v>243</v>
      </c>
      <c r="B132" s="5" t="s">
        <v>244</v>
      </c>
      <c r="C132" s="28">
        <v>7100</v>
      </c>
      <c r="D132" s="28">
        <v>6191</v>
      </c>
      <c r="E132" s="28">
        <v>0</v>
      </c>
      <c r="F132" s="28">
        <f t="shared" si="30"/>
        <v>909</v>
      </c>
      <c r="G132" s="28">
        <v>18527</v>
      </c>
      <c r="H132" s="28">
        <v>13224</v>
      </c>
      <c r="I132" s="28">
        <v>0</v>
      </c>
      <c r="J132" s="28">
        <f t="shared" si="31"/>
        <v>5303</v>
      </c>
      <c r="K132" s="28">
        <v>642</v>
      </c>
      <c r="L132" s="28">
        <v>0</v>
      </c>
      <c r="M132" s="28">
        <v>837</v>
      </c>
      <c r="N132" s="28">
        <v>17</v>
      </c>
      <c r="O132" s="28">
        <v>17</v>
      </c>
    </row>
    <row r="133" spans="1:15" ht="12.75" customHeight="1">
      <c r="A133" s="4" t="s">
        <v>245</v>
      </c>
      <c r="B133" s="5" t="s">
        <v>246</v>
      </c>
      <c r="C133" s="28">
        <v>4831</v>
      </c>
      <c r="D133" s="28">
        <v>4296</v>
      </c>
      <c r="E133" s="28">
        <v>0</v>
      </c>
      <c r="F133" s="28">
        <f t="shared" si="30"/>
        <v>535</v>
      </c>
      <c r="G133" s="28">
        <v>11902</v>
      </c>
      <c r="H133" s="28">
        <v>8283</v>
      </c>
      <c r="I133" s="28">
        <v>0</v>
      </c>
      <c r="J133" s="28">
        <f t="shared" si="31"/>
        <v>3619</v>
      </c>
      <c r="K133" s="28">
        <v>18</v>
      </c>
      <c r="L133" s="28">
        <v>39</v>
      </c>
      <c r="M133" s="28">
        <v>947</v>
      </c>
      <c r="N133" s="28">
        <v>1288</v>
      </c>
      <c r="O133" s="28">
        <v>1288</v>
      </c>
    </row>
    <row r="134" spans="1:15" ht="12.75" customHeight="1">
      <c r="A134" s="4" t="s">
        <v>247</v>
      </c>
      <c r="B134" s="5" t="s">
        <v>248</v>
      </c>
      <c r="C134" s="28">
        <v>4736</v>
      </c>
      <c r="D134" s="28">
        <v>3268</v>
      </c>
      <c r="E134" s="28">
        <v>0</v>
      </c>
      <c r="F134" s="28">
        <f t="shared" si="30"/>
        <v>1468</v>
      </c>
      <c r="G134" s="28">
        <v>15165</v>
      </c>
      <c r="H134" s="28">
        <v>5819</v>
      </c>
      <c r="I134" s="28">
        <v>0</v>
      </c>
      <c r="J134" s="28">
        <f t="shared" si="31"/>
        <v>9346</v>
      </c>
      <c r="K134" s="28">
        <v>4</v>
      </c>
      <c r="L134" s="28">
        <v>0</v>
      </c>
      <c r="M134" s="28">
        <v>1375</v>
      </c>
      <c r="N134" s="28">
        <v>0</v>
      </c>
      <c r="O134" s="28">
        <v>0</v>
      </c>
    </row>
    <row r="135" spans="1:15" ht="12.75" customHeight="1">
      <c r="A135" s="10"/>
      <c r="B135" s="9" t="s">
        <v>249</v>
      </c>
      <c r="C135" s="29">
        <f t="shared" ref="C135:O135" si="32">SUM(C126:C134)</f>
        <v>59851</v>
      </c>
      <c r="D135" s="29">
        <f t="shared" si="32"/>
        <v>48573</v>
      </c>
      <c r="E135" s="29">
        <f t="shared" si="32"/>
        <v>967</v>
      </c>
      <c r="F135" s="29">
        <f t="shared" si="32"/>
        <v>10311</v>
      </c>
      <c r="G135" s="29">
        <f t="shared" si="32"/>
        <v>147170</v>
      </c>
      <c r="H135" s="29">
        <f t="shared" si="32"/>
        <v>88965</v>
      </c>
      <c r="I135" s="29">
        <f t="shared" si="32"/>
        <v>3984</v>
      </c>
      <c r="J135" s="29">
        <f t="shared" si="32"/>
        <v>54221</v>
      </c>
      <c r="K135" s="29">
        <f t="shared" si="32"/>
        <v>1013</v>
      </c>
      <c r="L135" s="29">
        <f t="shared" si="32"/>
        <v>1070</v>
      </c>
      <c r="M135" s="29">
        <f t="shared" si="32"/>
        <v>9483</v>
      </c>
      <c r="N135" s="29">
        <f t="shared" si="32"/>
        <v>78306</v>
      </c>
      <c r="O135" s="29">
        <f t="shared" si="32"/>
        <v>23873</v>
      </c>
    </row>
    <row r="136" spans="1:15" ht="12.75" customHeight="1">
      <c r="A136" s="4" t="s">
        <v>250</v>
      </c>
      <c r="B136" s="5" t="s">
        <v>251</v>
      </c>
      <c r="C136" s="28">
        <v>9074</v>
      </c>
      <c r="D136" s="28">
        <v>8463</v>
      </c>
      <c r="E136" s="28">
        <v>0</v>
      </c>
      <c r="F136" s="28">
        <f t="shared" ref="F136:F143" si="33">SUM(C136-D136-E136)</f>
        <v>611</v>
      </c>
      <c r="G136" s="28">
        <v>20856</v>
      </c>
      <c r="H136" s="28">
        <v>16449</v>
      </c>
      <c r="I136" s="28">
        <v>0</v>
      </c>
      <c r="J136" s="28">
        <f t="shared" ref="J136:J143" si="34">SUM(G136-H136-I136)</f>
        <v>4407</v>
      </c>
      <c r="K136" s="28">
        <v>631</v>
      </c>
      <c r="L136" s="28">
        <v>655</v>
      </c>
      <c r="M136" s="28">
        <v>1605</v>
      </c>
      <c r="N136" s="28">
        <v>4427</v>
      </c>
      <c r="O136" s="28">
        <v>4203</v>
      </c>
    </row>
    <row r="137" spans="1:15" ht="12.75" customHeight="1">
      <c r="A137" s="4" t="s">
        <v>252</v>
      </c>
      <c r="B137" s="5" t="s">
        <v>253</v>
      </c>
      <c r="C137" s="28">
        <v>1297</v>
      </c>
      <c r="D137" s="28">
        <v>972</v>
      </c>
      <c r="E137" s="28">
        <v>0</v>
      </c>
      <c r="F137" s="28">
        <f t="shared" si="33"/>
        <v>325</v>
      </c>
      <c r="G137" s="28">
        <v>2424</v>
      </c>
      <c r="H137" s="28">
        <v>1795</v>
      </c>
      <c r="I137" s="28">
        <v>0</v>
      </c>
      <c r="J137" s="28">
        <f t="shared" si="34"/>
        <v>629</v>
      </c>
      <c r="K137" s="28">
        <v>5</v>
      </c>
      <c r="L137" s="28">
        <v>0</v>
      </c>
      <c r="M137" s="28">
        <v>0</v>
      </c>
      <c r="N137" s="28">
        <v>0</v>
      </c>
      <c r="O137" s="28">
        <v>0</v>
      </c>
    </row>
    <row r="138" spans="1:15" ht="12.75" customHeight="1">
      <c r="A138" s="4" t="s">
        <v>254</v>
      </c>
      <c r="B138" s="5" t="s">
        <v>255</v>
      </c>
      <c r="C138" s="28">
        <v>579</v>
      </c>
      <c r="D138" s="28">
        <v>510</v>
      </c>
      <c r="E138" s="28">
        <v>0</v>
      </c>
      <c r="F138" s="28">
        <f t="shared" si="33"/>
        <v>69</v>
      </c>
      <c r="G138" s="28">
        <v>1455</v>
      </c>
      <c r="H138" s="28">
        <v>1349</v>
      </c>
      <c r="I138" s="28">
        <v>0</v>
      </c>
      <c r="J138" s="28">
        <f t="shared" si="34"/>
        <v>106</v>
      </c>
      <c r="K138" s="28">
        <v>0</v>
      </c>
      <c r="L138" s="28">
        <v>0</v>
      </c>
      <c r="M138" s="28">
        <v>109</v>
      </c>
      <c r="N138" s="28">
        <v>277</v>
      </c>
      <c r="O138" s="28">
        <v>26</v>
      </c>
    </row>
    <row r="139" spans="1:15" ht="12.75" customHeight="1">
      <c r="A139" s="4" t="s">
        <v>256</v>
      </c>
      <c r="B139" s="5" t="s">
        <v>257</v>
      </c>
      <c r="C139" s="28">
        <v>2220</v>
      </c>
      <c r="D139" s="28">
        <v>2188</v>
      </c>
      <c r="E139" s="28">
        <v>0</v>
      </c>
      <c r="F139" s="28">
        <f t="shared" si="33"/>
        <v>32</v>
      </c>
      <c r="G139" s="28">
        <v>5563</v>
      </c>
      <c r="H139" s="28">
        <v>5091</v>
      </c>
      <c r="I139" s="28">
        <v>0</v>
      </c>
      <c r="J139" s="28">
        <f t="shared" si="34"/>
        <v>472</v>
      </c>
      <c r="K139" s="28">
        <v>339</v>
      </c>
      <c r="L139" s="28">
        <v>25</v>
      </c>
      <c r="M139" s="28">
        <v>691</v>
      </c>
      <c r="N139" s="28">
        <v>151</v>
      </c>
      <c r="O139" s="28">
        <v>143</v>
      </c>
    </row>
    <row r="140" spans="1:15" ht="12.75" customHeight="1">
      <c r="A140" s="4" t="s">
        <v>258</v>
      </c>
      <c r="B140" s="5" t="s">
        <v>259</v>
      </c>
      <c r="C140" s="28">
        <v>517</v>
      </c>
      <c r="D140" s="28">
        <v>371</v>
      </c>
      <c r="E140" s="28">
        <v>0</v>
      </c>
      <c r="F140" s="28">
        <f t="shared" si="33"/>
        <v>146</v>
      </c>
      <c r="G140" s="28">
        <v>1152</v>
      </c>
      <c r="H140" s="28">
        <v>776</v>
      </c>
      <c r="I140" s="28">
        <v>0</v>
      </c>
      <c r="J140" s="28">
        <f t="shared" si="34"/>
        <v>376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2611</v>
      </c>
      <c r="D141" s="28">
        <v>2327</v>
      </c>
      <c r="E141" s="28">
        <v>0</v>
      </c>
      <c r="F141" s="28">
        <f t="shared" si="33"/>
        <v>284</v>
      </c>
      <c r="G141" s="28">
        <v>5562</v>
      </c>
      <c r="H141" s="28">
        <v>4369</v>
      </c>
      <c r="I141" s="28">
        <v>0</v>
      </c>
      <c r="J141" s="28">
        <f t="shared" si="34"/>
        <v>1193</v>
      </c>
      <c r="K141" s="28">
        <v>188</v>
      </c>
      <c r="L141" s="28">
        <v>0</v>
      </c>
      <c r="M141" s="28">
        <v>102</v>
      </c>
      <c r="N141" s="28">
        <v>448</v>
      </c>
      <c r="O141" s="28">
        <v>448</v>
      </c>
    </row>
    <row r="142" spans="1:15" ht="12.75" customHeight="1">
      <c r="A142" s="4" t="s">
        <v>262</v>
      </c>
      <c r="B142" s="5" t="s">
        <v>263</v>
      </c>
      <c r="C142" s="28">
        <v>2133</v>
      </c>
      <c r="D142" s="28">
        <v>1605</v>
      </c>
      <c r="E142" s="28">
        <v>0</v>
      </c>
      <c r="F142" s="28">
        <f t="shared" si="33"/>
        <v>528</v>
      </c>
      <c r="G142" s="28">
        <v>6262</v>
      </c>
      <c r="H142" s="28">
        <v>4960</v>
      </c>
      <c r="I142" s="28">
        <v>0</v>
      </c>
      <c r="J142" s="28">
        <f t="shared" si="34"/>
        <v>1302</v>
      </c>
      <c r="K142" s="28">
        <v>196</v>
      </c>
      <c r="L142" s="28">
        <v>0</v>
      </c>
      <c r="M142" s="28">
        <v>1051</v>
      </c>
      <c r="N142" s="28">
        <v>620</v>
      </c>
      <c r="O142" s="28">
        <v>594</v>
      </c>
    </row>
    <row r="143" spans="1:15" ht="12.75" customHeight="1">
      <c r="A143" s="4" t="s">
        <v>264</v>
      </c>
      <c r="B143" s="5" t="s">
        <v>265</v>
      </c>
      <c r="C143" s="28">
        <v>7450</v>
      </c>
      <c r="D143" s="28">
        <v>5908</v>
      </c>
      <c r="E143" s="28">
        <v>0</v>
      </c>
      <c r="F143" s="28">
        <f t="shared" si="33"/>
        <v>1542</v>
      </c>
      <c r="G143" s="28">
        <v>18683</v>
      </c>
      <c r="H143" s="28">
        <v>9521</v>
      </c>
      <c r="I143" s="28">
        <v>0</v>
      </c>
      <c r="J143" s="28">
        <f t="shared" si="34"/>
        <v>9162</v>
      </c>
      <c r="K143" s="28">
        <v>922</v>
      </c>
      <c r="L143" s="28">
        <v>0</v>
      </c>
      <c r="M143" s="28">
        <v>1191</v>
      </c>
      <c r="N143" s="28">
        <v>1202</v>
      </c>
      <c r="O143" s="28">
        <v>1118</v>
      </c>
    </row>
    <row r="144" spans="1:15" ht="12.75" customHeight="1">
      <c r="A144" s="10"/>
      <c r="B144" s="9" t="s">
        <v>266</v>
      </c>
      <c r="C144" s="30">
        <f t="shared" ref="C144:O144" si="35">SUM(C136:C143)</f>
        <v>25881</v>
      </c>
      <c r="D144" s="30">
        <f t="shared" si="35"/>
        <v>22344</v>
      </c>
      <c r="E144" s="30">
        <f t="shared" si="35"/>
        <v>0</v>
      </c>
      <c r="F144" s="30">
        <f t="shared" si="35"/>
        <v>3537</v>
      </c>
      <c r="G144" s="30">
        <f t="shared" si="35"/>
        <v>61957</v>
      </c>
      <c r="H144" s="30">
        <f t="shared" si="35"/>
        <v>44310</v>
      </c>
      <c r="I144" s="30">
        <f t="shared" si="35"/>
        <v>0</v>
      </c>
      <c r="J144" s="30">
        <f t="shared" si="35"/>
        <v>17647</v>
      </c>
      <c r="K144" s="30">
        <f t="shared" si="35"/>
        <v>2281</v>
      </c>
      <c r="L144" s="30">
        <f t="shared" si="35"/>
        <v>680</v>
      </c>
      <c r="M144" s="30">
        <f t="shared" si="35"/>
        <v>4749</v>
      </c>
      <c r="N144" s="30">
        <f t="shared" si="35"/>
        <v>7125</v>
      </c>
      <c r="O144" s="30">
        <f t="shared" si="35"/>
        <v>6532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759571</v>
      </c>
      <c r="D145" s="31">
        <f t="shared" si="36"/>
        <v>553147</v>
      </c>
      <c r="E145" s="31">
        <f t="shared" si="36"/>
        <v>31547</v>
      </c>
      <c r="F145" s="31">
        <f t="shared" si="36"/>
        <v>174877</v>
      </c>
      <c r="G145" s="31">
        <f t="shared" si="36"/>
        <v>2202779</v>
      </c>
      <c r="H145" s="31">
        <f t="shared" si="36"/>
        <v>1125560</v>
      </c>
      <c r="I145" s="31">
        <f t="shared" si="36"/>
        <v>118925</v>
      </c>
      <c r="J145" s="31">
        <f t="shared" si="36"/>
        <v>958294</v>
      </c>
      <c r="K145" s="31">
        <f t="shared" si="36"/>
        <v>40482</v>
      </c>
      <c r="L145" s="31">
        <f t="shared" si="36"/>
        <v>4171</v>
      </c>
      <c r="M145" s="31">
        <f t="shared" si="36"/>
        <v>232071</v>
      </c>
      <c r="N145" s="31">
        <f t="shared" si="36"/>
        <v>162253</v>
      </c>
      <c r="O145" s="31">
        <f t="shared" si="36"/>
        <v>86645</v>
      </c>
    </row>
  </sheetData>
  <sheetProtection selectLockedCells="1" selectUnlockedCells="1"/>
  <mergeCells count="29"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A1:D1"/>
    <mergeCell ref="A2:D2"/>
    <mergeCell ref="A6:D6"/>
    <mergeCell ref="I6:M6"/>
    <mergeCell ref="A3:C3"/>
    <mergeCell ref="A4:C4"/>
    <mergeCell ref="E4:L4"/>
    <mergeCell ref="G12:G13"/>
    <mergeCell ref="E1:L1"/>
    <mergeCell ref="E3:L3"/>
    <mergeCell ref="A12:A13"/>
    <mergeCell ref="B12:B13"/>
    <mergeCell ref="C12:C13"/>
    <mergeCell ref="D12:E12"/>
    <mergeCell ref="C11:F11"/>
    <mergeCell ref="F12:F13"/>
    <mergeCell ref="A11:B11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tabSelected="1" workbookViewId="0">
      <selection activeCell="B145" sqref="B145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269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270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47126</v>
      </c>
      <c r="D15" s="28">
        <v>26333</v>
      </c>
      <c r="E15" s="28">
        <v>3929</v>
      </c>
      <c r="F15" s="28">
        <f t="shared" ref="F15:F22" si="0">SUM(C15-D15-E15)</f>
        <v>16864</v>
      </c>
      <c r="G15" s="28">
        <v>181212</v>
      </c>
      <c r="H15" s="28">
        <v>65027</v>
      </c>
      <c r="I15" s="28">
        <v>19356</v>
      </c>
      <c r="J15" s="28">
        <f t="shared" ref="J15:J22" si="1">SUM(G15-H15-I15)</f>
        <v>96829</v>
      </c>
      <c r="K15" s="28">
        <v>7833</v>
      </c>
      <c r="L15" s="28">
        <v>0</v>
      </c>
      <c r="M15" s="28">
        <v>17865</v>
      </c>
      <c r="N15" s="28">
        <v>6333</v>
      </c>
      <c r="O15" s="28">
        <v>6333</v>
      </c>
    </row>
    <row r="16" spans="1:15" ht="12.75" customHeight="1">
      <c r="A16" s="4" t="s">
        <v>29</v>
      </c>
      <c r="B16" s="5" t="s">
        <v>30</v>
      </c>
      <c r="C16" s="28">
        <v>23882</v>
      </c>
      <c r="D16" s="28">
        <v>12756</v>
      </c>
      <c r="E16" s="28">
        <v>628</v>
      </c>
      <c r="F16" s="28">
        <f t="shared" si="0"/>
        <v>10498</v>
      </c>
      <c r="G16" s="28">
        <v>168114</v>
      </c>
      <c r="H16" s="28">
        <v>27853</v>
      </c>
      <c r="I16" s="28">
        <v>4006</v>
      </c>
      <c r="J16" s="28">
        <f t="shared" si="1"/>
        <v>136255</v>
      </c>
      <c r="K16" s="28">
        <v>4062</v>
      </c>
      <c r="L16" s="28">
        <v>0</v>
      </c>
      <c r="M16" s="28">
        <v>19235</v>
      </c>
      <c r="N16" s="28">
        <v>45</v>
      </c>
      <c r="O16" s="28">
        <v>45</v>
      </c>
    </row>
    <row r="17" spans="1:15" ht="12.75" customHeight="1">
      <c r="A17" s="4" t="s">
        <v>31</v>
      </c>
      <c r="B17" s="5" t="s">
        <v>32</v>
      </c>
      <c r="C17" s="28">
        <v>12715</v>
      </c>
      <c r="D17" s="28">
        <v>11915</v>
      </c>
      <c r="E17" s="28">
        <v>0</v>
      </c>
      <c r="F17" s="28">
        <f t="shared" si="0"/>
        <v>800</v>
      </c>
      <c r="G17" s="28">
        <v>26154</v>
      </c>
      <c r="H17" s="28">
        <v>21482</v>
      </c>
      <c r="I17" s="28">
        <v>0</v>
      </c>
      <c r="J17" s="28">
        <f t="shared" si="1"/>
        <v>4672</v>
      </c>
      <c r="K17" s="28">
        <v>1993</v>
      </c>
      <c r="L17" s="28">
        <v>0</v>
      </c>
      <c r="M17" s="28">
        <v>810</v>
      </c>
      <c r="N17" s="28">
        <v>671</v>
      </c>
      <c r="O17" s="28">
        <v>671</v>
      </c>
    </row>
    <row r="18" spans="1:15" ht="12.75" customHeight="1">
      <c r="A18" s="4" t="s">
        <v>33</v>
      </c>
      <c r="B18" s="5" t="s">
        <v>34</v>
      </c>
      <c r="C18" s="28">
        <v>32649</v>
      </c>
      <c r="D18" s="28">
        <v>29734</v>
      </c>
      <c r="E18" s="28">
        <v>682</v>
      </c>
      <c r="F18" s="28">
        <f t="shared" si="0"/>
        <v>2233</v>
      </c>
      <c r="G18" s="28">
        <v>94973</v>
      </c>
      <c r="H18" s="28">
        <v>67493</v>
      </c>
      <c r="I18" s="28">
        <v>2963</v>
      </c>
      <c r="J18" s="28">
        <f t="shared" si="1"/>
        <v>24517</v>
      </c>
      <c r="K18" s="28">
        <v>4909</v>
      </c>
      <c r="L18" s="28">
        <v>0</v>
      </c>
      <c r="M18" s="28">
        <v>10346</v>
      </c>
      <c r="N18" s="28">
        <v>999</v>
      </c>
      <c r="O18" s="28">
        <v>999</v>
      </c>
    </row>
    <row r="19" spans="1:15" ht="12.75" customHeight="1">
      <c r="A19" s="4" t="s">
        <v>35</v>
      </c>
      <c r="B19" s="5" t="s">
        <v>36</v>
      </c>
      <c r="C19" s="28">
        <v>27567</v>
      </c>
      <c r="D19" s="28">
        <v>26189</v>
      </c>
      <c r="E19" s="28">
        <v>1250</v>
      </c>
      <c r="F19" s="28">
        <f t="shared" si="0"/>
        <v>128</v>
      </c>
      <c r="G19" s="28">
        <v>66347</v>
      </c>
      <c r="H19" s="28">
        <v>54292</v>
      </c>
      <c r="I19" s="28">
        <v>6339</v>
      </c>
      <c r="J19" s="28">
        <f t="shared" si="1"/>
        <v>5716</v>
      </c>
      <c r="K19" s="28">
        <v>718</v>
      </c>
      <c r="L19" s="28">
        <v>0</v>
      </c>
      <c r="M19" s="28">
        <v>95</v>
      </c>
      <c r="N19" s="28">
        <v>524</v>
      </c>
      <c r="O19" s="28">
        <v>524</v>
      </c>
    </row>
    <row r="20" spans="1:15" ht="12.75" customHeight="1">
      <c r="A20" s="4" t="s">
        <v>37</v>
      </c>
      <c r="B20" s="5" t="s">
        <v>38</v>
      </c>
      <c r="C20" s="28">
        <v>151747</v>
      </c>
      <c r="D20" s="28">
        <v>139966</v>
      </c>
      <c r="E20" s="28">
        <v>4499</v>
      </c>
      <c r="F20" s="28">
        <f t="shared" si="0"/>
        <v>7282</v>
      </c>
      <c r="G20" s="28">
        <v>339118</v>
      </c>
      <c r="H20" s="28">
        <v>264628</v>
      </c>
      <c r="I20" s="28">
        <v>23344</v>
      </c>
      <c r="J20" s="28">
        <f t="shared" si="1"/>
        <v>51146</v>
      </c>
      <c r="K20" s="28">
        <v>12445</v>
      </c>
      <c r="L20" s="28">
        <v>0</v>
      </c>
      <c r="M20" s="28">
        <v>8337</v>
      </c>
      <c r="N20" s="28">
        <v>13360</v>
      </c>
      <c r="O20" s="28">
        <v>11858</v>
      </c>
    </row>
    <row r="21" spans="1:15" ht="12.75" customHeight="1">
      <c r="A21" s="4" t="s">
        <v>39</v>
      </c>
      <c r="B21" s="5" t="s">
        <v>40</v>
      </c>
      <c r="C21" s="28">
        <v>12715</v>
      </c>
      <c r="D21" s="28">
        <v>12391</v>
      </c>
      <c r="E21" s="28">
        <v>0</v>
      </c>
      <c r="F21" s="28">
        <f t="shared" si="0"/>
        <v>324</v>
      </c>
      <c r="G21" s="28">
        <v>20810</v>
      </c>
      <c r="H21" s="28">
        <v>19820</v>
      </c>
      <c r="I21" s="28">
        <v>0</v>
      </c>
      <c r="J21" s="28">
        <f t="shared" si="1"/>
        <v>990</v>
      </c>
      <c r="K21" s="28">
        <v>57</v>
      </c>
      <c r="L21" s="28">
        <v>0</v>
      </c>
      <c r="M21" s="28">
        <v>30</v>
      </c>
      <c r="N21" s="28">
        <v>24</v>
      </c>
      <c r="O21" s="28">
        <v>24</v>
      </c>
    </row>
    <row r="22" spans="1:15" ht="12.75" customHeight="1">
      <c r="A22" s="4" t="s">
        <v>41</v>
      </c>
      <c r="B22" s="5" t="s">
        <v>42</v>
      </c>
      <c r="C22" s="28">
        <v>11915</v>
      </c>
      <c r="D22" s="28">
        <v>9892</v>
      </c>
      <c r="E22" s="28">
        <v>1499</v>
      </c>
      <c r="F22" s="28">
        <f t="shared" si="0"/>
        <v>524</v>
      </c>
      <c r="G22" s="28">
        <v>30547</v>
      </c>
      <c r="H22" s="28">
        <v>19483</v>
      </c>
      <c r="I22" s="28">
        <v>6190</v>
      </c>
      <c r="J22" s="28">
        <f t="shared" si="1"/>
        <v>4874</v>
      </c>
      <c r="K22" s="28">
        <v>2016</v>
      </c>
      <c r="L22" s="28">
        <v>0</v>
      </c>
      <c r="M22" s="28">
        <v>4747</v>
      </c>
      <c r="N22" s="28">
        <v>944</v>
      </c>
      <c r="O22" s="28">
        <v>944</v>
      </c>
    </row>
    <row r="23" spans="1:15" ht="12.75" customHeight="1">
      <c r="A23" s="8"/>
      <c r="B23" s="9" t="s">
        <v>43</v>
      </c>
      <c r="C23" s="29">
        <f t="shared" ref="C23:O23" si="2">SUM(C15:C22)</f>
        <v>320316</v>
      </c>
      <c r="D23" s="29">
        <f t="shared" si="2"/>
        <v>269176</v>
      </c>
      <c r="E23" s="29">
        <f t="shared" si="2"/>
        <v>12487</v>
      </c>
      <c r="F23" s="29">
        <f t="shared" si="2"/>
        <v>38653</v>
      </c>
      <c r="G23" s="29">
        <f t="shared" si="2"/>
        <v>927275</v>
      </c>
      <c r="H23" s="29">
        <f t="shared" si="2"/>
        <v>540078</v>
      </c>
      <c r="I23" s="29">
        <f t="shared" si="2"/>
        <v>62198</v>
      </c>
      <c r="J23" s="29">
        <f t="shared" si="2"/>
        <v>324999</v>
      </c>
      <c r="K23" s="29">
        <f t="shared" si="2"/>
        <v>34033</v>
      </c>
      <c r="L23" s="29">
        <f t="shared" si="2"/>
        <v>0</v>
      </c>
      <c r="M23" s="29">
        <f t="shared" si="2"/>
        <v>61465</v>
      </c>
      <c r="N23" s="29">
        <f t="shared" si="2"/>
        <v>22900</v>
      </c>
      <c r="O23" s="29">
        <f t="shared" si="2"/>
        <v>21398</v>
      </c>
    </row>
    <row r="24" spans="1:15" ht="14.25" customHeight="1">
      <c r="A24" s="4" t="s">
        <v>44</v>
      </c>
      <c r="B24" s="5" t="s">
        <v>45</v>
      </c>
      <c r="C24" s="28">
        <v>46866</v>
      </c>
      <c r="D24" s="28">
        <v>12603</v>
      </c>
      <c r="E24" s="28">
        <v>906</v>
      </c>
      <c r="F24" s="28">
        <f>SUM(C24-D24-E24)</f>
        <v>33357</v>
      </c>
      <c r="G24" s="28">
        <v>141430</v>
      </c>
      <c r="H24" s="28">
        <v>17575</v>
      </c>
      <c r="I24" s="28">
        <v>3394</v>
      </c>
      <c r="J24" s="28">
        <f>SUM(G24-H24-I24)</f>
        <v>120461</v>
      </c>
      <c r="K24" s="28">
        <v>39596</v>
      </c>
      <c r="L24" s="28">
        <v>0</v>
      </c>
      <c r="M24" s="28">
        <v>11867</v>
      </c>
      <c r="N24" s="28">
        <v>4964</v>
      </c>
      <c r="O24" s="28">
        <v>4964</v>
      </c>
    </row>
    <row r="25" spans="1:15" ht="14.25" customHeight="1">
      <c r="A25" s="10"/>
      <c r="B25" s="9" t="s">
        <v>46</v>
      </c>
      <c r="C25" s="29">
        <f t="shared" ref="C25:O25" si="3">SUM(C24)</f>
        <v>46866</v>
      </c>
      <c r="D25" s="29">
        <f t="shared" si="3"/>
        <v>12603</v>
      </c>
      <c r="E25" s="29">
        <f t="shared" si="3"/>
        <v>906</v>
      </c>
      <c r="F25" s="29">
        <f t="shared" si="3"/>
        <v>33357</v>
      </c>
      <c r="G25" s="29">
        <f t="shared" si="3"/>
        <v>141430</v>
      </c>
      <c r="H25" s="29">
        <f t="shared" si="3"/>
        <v>17575</v>
      </c>
      <c r="I25" s="29">
        <f t="shared" si="3"/>
        <v>3394</v>
      </c>
      <c r="J25" s="29">
        <f t="shared" si="3"/>
        <v>120461</v>
      </c>
      <c r="K25" s="29">
        <f t="shared" si="3"/>
        <v>39596</v>
      </c>
      <c r="L25" s="29">
        <f t="shared" si="3"/>
        <v>0</v>
      </c>
      <c r="M25" s="29">
        <f t="shared" si="3"/>
        <v>11867</v>
      </c>
      <c r="N25" s="29">
        <f t="shared" si="3"/>
        <v>4964</v>
      </c>
      <c r="O25" s="29">
        <f t="shared" si="3"/>
        <v>4964</v>
      </c>
    </row>
    <row r="26" spans="1:15" ht="12.75" customHeight="1">
      <c r="A26" s="4" t="s">
        <v>47</v>
      </c>
      <c r="B26" s="5" t="s">
        <v>48</v>
      </c>
      <c r="C26" s="28">
        <v>103330</v>
      </c>
      <c r="D26" s="28">
        <v>49856</v>
      </c>
      <c r="E26" s="28">
        <v>3528</v>
      </c>
      <c r="F26" s="28">
        <f>SUM(C26-D26-E26)</f>
        <v>49946</v>
      </c>
      <c r="G26" s="28">
        <v>229651</v>
      </c>
      <c r="H26" s="28">
        <v>75902</v>
      </c>
      <c r="I26" s="28">
        <v>11619</v>
      </c>
      <c r="J26" s="28">
        <f>SUM(G26-H26-I26)</f>
        <v>142130</v>
      </c>
      <c r="K26" s="28">
        <v>13139</v>
      </c>
      <c r="L26" s="28">
        <v>225</v>
      </c>
      <c r="M26" s="28">
        <v>9357</v>
      </c>
      <c r="N26" s="28">
        <v>4140</v>
      </c>
      <c r="O26" s="28">
        <v>4140</v>
      </c>
    </row>
    <row r="27" spans="1:15" ht="12.75" customHeight="1">
      <c r="A27" s="4" t="s">
        <v>49</v>
      </c>
      <c r="B27" s="5" t="s">
        <v>50</v>
      </c>
      <c r="C27" s="28">
        <v>17392</v>
      </c>
      <c r="D27" s="28">
        <v>16005</v>
      </c>
      <c r="E27" s="28">
        <v>1167</v>
      </c>
      <c r="F27" s="28">
        <f>SUM(C27-D27-E27)</f>
        <v>220</v>
      </c>
      <c r="G27" s="28">
        <v>36803</v>
      </c>
      <c r="H27" s="28">
        <v>20541</v>
      </c>
      <c r="I27" s="28">
        <v>4078</v>
      </c>
      <c r="J27" s="28">
        <f>SUM(G27-H27-I27)</f>
        <v>12184</v>
      </c>
      <c r="K27" s="28">
        <v>4904</v>
      </c>
      <c r="L27" s="28">
        <v>0</v>
      </c>
      <c r="M27" s="28">
        <v>1172</v>
      </c>
      <c r="N27" s="28">
        <v>846</v>
      </c>
      <c r="O27" s="28">
        <v>846</v>
      </c>
    </row>
    <row r="28" spans="1:15" ht="12.75" customHeight="1">
      <c r="A28" s="4" t="s">
        <v>51</v>
      </c>
      <c r="B28" s="5" t="s">
        <v>52</v>
      </c>
      <c r="C28" s="28">
        <v>18588</v>
      </c>
      <c r="D28" s="28">
        <v>13855</v>
      </c>
      <c r="E28" s="28">
        <v>1654</v>
      </c>
      <c r="F28" s="28">
        <f>SUM(C28-D28-E28)</f>
        <v>3079</v>
      </c>
      <c r="G28" s="28">
        <v>46316</v>
      </c>
      <c r="H28" s="28">
        <v>25786</v>
      </c>
      <c r="I28" s="28">
        <v>8899</v>
      </c>
      <c r="J28" s="28">
        <f>SUM(G28-H28-I28)</f>
        <v>11631</v>
      </c>
      <c r="K28" s="28">
        <v>1861</v>
      </c>
      <c r="L28" s="28">
        <v>1748</v>
      </c>
      <c r="M28" s="28">
        <v>208</v>
      </c>
      <c r="N28" s="28">
        <v>2877</v>
      </c>
      <c r="O28" s="28">
        <v>2877</v>
      </c>
    </row>
    <row r="29" spans="1:15" ht="12.75" customHeight="1">
      <c r="A29" s="4" t="s">
        <v>53</v>
      </c>
      <c r="B29" s="5" t="s">
        <v>54</v>
      </c>
      <c r="C29" s="28">
        <v>24059</v>
      </c>
      <c r="D29" s="28">
        <v>20617</v>
      </c>
      <c r="E29" s="28">
        <v>2750</v>
      </c>
      <c r="F29" s="28">
        <f>SUM(C29-D29-E29)</f>
        <v>692</v>
      </c>
      <c r="G29" s="28">
        <v>48165</v>
      </c>
      <c r="H29" s="28">
        <v>37119</v>
      </c>
      <c r="I29" s="28">
        <v>9914</v>
      </c>
      <c r="J29" s="28">
        <f>SUM(G29-H29-I29)</f>
        <v>1132</v>
      </c>
      <c r="K29" s="28">
        <v>301</v>
      </c>
      <c r="L29" s="28">
        <v>168</v>
      </c>
      <c r="M29" s="28">
        <v>15</v>
      </c>
      <c r="N29" s="28">
        <v>168</v>
      </c>
      <c r="O29" s="28">
        <v>168</v>
      </c>
    </row>
    <row r="30" spans="1:15" ht="12.75" customHeight="1">
      <c r="A30" s="8"/>
      <c r="B30" s="9" t="s">
        <v>55</v>
      </c>
      <c r="C30" s="29">
        <f t="shared" ref="C30:O30" si="4">SUM(C26:C29)</f>
        <v>163369</v>
      </c>
      <c r="D30" s="29">
        <f t="shared" si="4"/>
        <v>100333</v>
      </c>
      <c r="E30" s="29">
        <f t="shared" si="4"/>
        <v>9099</v>
      </c>
      <c r="F30" s="29">
        <f t="shared" si="4"/>
        <v>53937</v>
      </c>
      <c r="G30" s="29">
        <f t="shared" si="4"/>
        <v>360935</v>
      </c>
      <c r="H30" s="29">
        <f t="shared" si="4"/>
        <v>159348</v>
      </c>
      <c r="I30" s="29">
        <f t="shared" si="4"/>
        <v>34510</v>
      </c>
      <c r="J30" s="29">
        <f t="shared" si="4"/>
        <v>167077</v>
      </c>
      <c r="K30" s="29">
        <f t="shared" si="4"/>
        <v>20205</v>
      </c>
      <c r="L30" s="29">
        <f t="shared" si="4"/>
        <v>2141</v>
      </c>
      <c r="M30" s="29">
        <f t="shared" si="4"/>
        <v>10752</v>
      </c>
      <c r="N30" s="29">
        <f t="shared" si="4"/>
        <v>8031</v>
      </c>
      <c r="O30" s="29">
        <f t="shared" si="4"/>
        <v>8031</v>
      </c>
    </row>
    <row r="31" spans="1:15" ht="12.75" customHeight="1">
      <c r="A31" s="4" t="s">
        <v>56</v>
      </c>
      <c r="B31" s="5" t="s">
        <v>57</v>
      </c>
      <c r="C31" s="28">
        <v>74199</v>
      </c>
      <c r="D31" s="28">
        <v>68689</v>
      </c>
      <c r="E31" s="28">
        <v>1468</v>
      </c>
      <c r="F31" s="28">
        <f t="shared" ref="F31:F42" si="5">SUM(C31-D31-E31)</f>
        <v>4042</v>
      </c>
      <c r="G31" s="28">
        <v>184830</v>
      </c>
      <c r="H31" s="28">
        <v>130532</v>
      </c>
      <c r="I31" s="28">
        <v>6089</v>
      </c>
      <c r="J31" s="28">
        <f t="shared" ref="J31:J42" si="6">SUM(G31-H31-I31)</f>
        <v>48209</v>
      </c>
      <c r="K31" s="28">
        <v>2709</v>
      </c>
      <c r="L31" s="28">
        <v>0</v>
      </c>
      <c r="M31" s="28">
        <v>2652</v>
      </c>
      <c r="N31" s="28">
        <v>1200</v>
      </c>
      <c r="O31" s="28">
        <v>1200</v>
      </c>
    </row>
    <row r="32" spans="1:15" ht="12.75" customHeight="1">
      <c r="A32" s="4" t="s">
        <v>58</v>
      </c>
      <c r="B32" s="5" t="s">
        <v>59</v>
      </c>
      <c r="C32" s="28">
        <v>92279</v>
      </c>
      <c r="D32" s="28">
        <v>81488</v>
      </c>
      <c r="E32" s="28">
        <v>3802</v>
      </c>
      <c r="F32" s="28">
        <f t="shared" si="5"/>
        <v>6989</v>
      </c>
      <c r="G32" s="28">
        <v>330867</v>
      </c>
      <c r="H32" s="28">
        <v>181773</v>
      </c>
      <c r="I32" s="28">
        <v>20530</v>
      </c>
      <c r="J32" s="28">
        <f t="shared" si="6"/>
        <v>128564</v>
      </c>
      <c r="K32" s="28">
        <v>8518</v>
      </c>
      <c r="L32" s="28">
        <v>0</v>
      </c>
      <c r="M32" s="28">
        <v>39241</v>
      </c>
      <c r="N32" s="28">
        <v>5707</v>
      </c>
      <c r="O32" s="28">
        <v>5707</v>
      </c>
    </row>
    <row r="33" spans="1:256" ht="12.75" customHeight="1">
      <c r="A33" s="4" t="s">
        <v>60</v>
      </c>
      <c r="B33" s="5" t="s">
        <v>61</v>
      </c>
      <c r="C33" s="28">
        <v>47427</v>
      </c>
      <c r="D33" s="28">
        <v>39816</v>
      </c>
      <c r="E33" s="28">
        <v>1472</v>
      </c>
      <c r="F33" s="28">
        <f t="shared" si="5"/>
        <v>6139</v>
      </c>
      <c r="G33" s="28">
        <v>168705</v>
      </c>
      <c r="H33" s="28">
        <v>50516</v>
      </c>
      <c r="I33" s="28">
        <v>4057</v>
      </c>
      <c r="J33" s="28">
        <f t="shared" si="6"/>
        <v>114132</v>
      </c>
      <c r="K33" s="28">
        <v>13952</v>
      </c>
      <c r="L33" s="28">
        <v>58</v>
      </c>
      <c r="M33" s="28">
        <v>18165</v>
      </c>
      <c r="N33" s="28">
        <v>3607</v>
      </c>
      <c r="O33" s="28">
        <v>3607</v>
      </c>
    </row>
    <row r="34" spans="1:256" ht="12.75" customHeight="1">
      <c r="A34" s="4" t="s">
        <v>62</v>
      </c>
      <c r="B34" s="5" t="s">
        <v>63</v>
      </c>
      <c r="C34" s="28">
        <v>50400</v>
      </c>
      <c r="D34" s="28">
        <v>19264</v>
      </c>
      <c r="E34" s="28">
        <v>315</v>
      </c>
      <c r="F34" s="28">
        <f t="shared" si="5"/>
        <v>30821</v>
      </c>
      <c r="G34" s="28">
        <v>121559</v>
      </c>
      <c r="H34" s="28">
        <v>43488</v>
      </c>
      <c r="I34" s="28">
        <v>1514</v>
      </c>
      <c r="J34" s="28">
        <f t="shared" si="6"/>
        <v>76557</v>
      </c>
      <c r="K34" s="28">
        <v>2913</v>
      </c>
      <c r="L34" s="28">
        <v>0</v>
      </c>
      <c r="M34" s="28">
        <v>25533</v>
      </c>
      <c r="N34" s="28">
        <v>57</v>
      </c>
      <c r="O34" s="28">
        <v>57</v>
      </c>
    </row>
    <row r="35" spans="1:256" ht="12.75" customHeight="1">
      <c r="A35" s="4" t="s">
        <v>64</v>
      </c>
      <c r="B35" s="5" t="s">
        <v>65</v>
      </c>
      <c r="C35" s="28">
        <v>23652</v>
      </c>
      <c r="D35" s="28">
        <v>23471</v>
      </c>
      <c r="E35" s="28">
        <v>0</v>
      </c>
      <c r="F35" s="28">
        <f t="shared" si="5"/>
        <v>181</v>
      </c>
      <c r="G35" s="28">
        <v>40454</v>
      </c>
      <c r="H35" s="28">
        <v>37755</v>
      </c>
      <c r="I35" s="28">
        <v>0</v>
      </c>
      <c r="J35" s="28">
        <f t="shared" si="6"/>
        <v>2699</v>
      </c>
      <c r="K35" s="28">
        <v>271</v>
      </c>
      <c r="L35" s="28">
        <v>0</v>
      </c>
      <c r="M35" s="28">
        <v>116</v>
      </c>
      <c r="N35" s="28">
        <v>1911</v>
      </c>
      <c r="O35" s="28">
        <v>1911</v>
      </c>
    </row>
    <row r="36" spans="1:256" ht="12.75" customHeight="1">
      <c r="A36" s="4" t="s">
        <v>66</v>
      </c>
      <c r="B36" s="5" t="s">
        <v>67</v>
      </c>
      <c r="C36" s="28">
        <v>14363</v>
      </c>
      <c r="D36" s="28">
        <v>12408</v>
      </c>
      <c r="E36" s="28">
        <v>1287</v>
      </c>
      <c r="F36" s="28">
        <f t="shared" si="5"/>
        <v>668</v>
      </c>
      <c r="G36" s="28">
        <v>41107</v>
      </c>
      <c r="H36" s="28">
        <v>30477</v>
      </c>
      <c r="I36" s="28">
        <v>7720</v>
      </c>
      <c r="J36" s="28">
        <f t="shared" si="6"/>
        <v>2910</v>
      </c>
      <c r="K36" s="28">
        <v>120</v>
      </c>
      <c r="L36" s="28">
        <v>0</v>
      </c>
      <c r="M36" s="28">
        <v>883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25874</v>
      </c>
      <c r="D37" s="28">
        <v>21929</v>
      </c>
      <c r="E37" s="28">
        <v>547</v>
      </c>
      <c r="F37" s="28">
        <f t="shared" si="5"/>
        <v>3398</v>
      </c>
      <c r="G37" s="28">
        <v>121203</v>
      </c>
      <c r="H37" s="28">
        <v>52481</v>
      </c>
      <c r="I37" s="28">
        <v>1952</v>
      </c>
      <c r="J37" s="28">
        <f t="shared" si="6"/>
        <v>66770</v>
      </c>
      <c r="K37" s="28">
        <v>5004</v>
      </c>
      <c r="L37" s="28">
        <v>6</v>
      </c>
      <c r="M37" s="28">
        <v>22129</v>
      </c>
      <c r="N37" s="28">
        <v>2457</v>
      </c>
      <c r="O37" s="28">
        <v>2388</v>
      </c>
    </row>
    <row r="38" spans="1:256" ht="12.75" customHeight="1">
      <c r="A38" s="4" t="s">
        <v>70</v>
      </c>
      <c r="B38" s="5" t="s">
        <v>71</v>
      </c>
      <c r="C38" s="28">
        <v>367224</v>
      </c>
      <c r="D38" s="28">
        <v>277223</v>
      </c>
      <c r="E38" s="28">
        <v>11002</v>
      </c>
      <c r="F38" s="28">
        <f t="shared" si="5"/>
        <v>78999</v>
      </c>
      <c r="G38" s="28">
        <v>1023857</v>
      </c>
      <c r="H38" s="28">
        <v>449006</v>
      </c>
      <c r="I38" s="28">
        <v>44818</v>
      </c>
      <c r="J38" s="28">
        <f t="shared" si="6"/>
        <v>530033</v>
      </c>
      <c r="K38" s="28">
        <v>78472</v>
      </c>
      <c r="L38" s="28">
        <v>344</v>
      </c>
      <c r="M38" s="28">
        <v>74946</v>
      </c>
      <c r="N38" s="28">
        <v>226702</v>
      </c>
      <c r="O38" s="28">
        <v>46279</v>
      </c>
    </row>
    <row r="39" spans="1:256" ht="12.75" customHeight="1">
      <c r="A39" s="4" t="s">
        <v>72</v>
      </c>
      <c r="B39" s="5" t="s">
        <v>73</v>
      </c>
      <c r="C39" s="28">
        <v>34681</v>
      </c>
      <c r="D39" s="28">
        <v>31679</v>
      </c>
      <c r="E39" s="28">
        <v>1786</v>
      </c>
      <c r="F39" s="28">
        <f t="shared" si="5"/>
        <v>1216</v>
      </c>
      <c r="G39" s="28">
        <v>66037</v>
      </c>
      <c r="H39" s="28">
        <v>51073</v>
      </c>
      <c r="I39" s="28">
        <v>9673</v>
      </c>
      <c r="J39" s="28">
        <f t="shared" si="6"/>
        <v>5291</v>
      </c>
      <c r="K39" s="28">
        <v>471</v>
      </c>
      <c r="L39" s="28">
        <v>0</v>
      </c>
      <c r="M39" s="28">
        <v>74</v>
      </c>
      <c r="N39" s="28">
        <v>37</v>
      </c>
      <c r="O39" s="28">
        <v>37</v>
      </c>
    </row>
    <row r="40" spans="1:256" ht="12.75" customHeight="1">
      <c r="A40" s="4" t="s">
        <v>74</v>
      </c>
      <c r="B40" s="5" t="s">
        <v>75</v>
      </c>
      <c r="C40" s="28">
        <v>37846</v>
      </c>
      <c r="D40" s="28">
        <v>33997</v>
      </c>
      <c r="E40" s="28">
        <v>1672</v>
      </c>
      <c r="F40" s="28">
        <f t="shared" si="5"/>
        <v>2177</v>
      </c>
      <c r="G40" s="28">
        <v>102219</v>
      </c>
      <c r="H40" s="28">
        <v>66067</v>
      </c>
      <c r="I40" s="28">
        <v>7503</v>
      </c>
      <c r="J40" s="28">
        <f t="shared" si="6"/>
        <v>28649</v>
      </c>
      <c r="K40" s="28">
        <v>1803</v>
      </c>
      <c r="L40" s="28">
        <v>0</v>
      </c>
      <c r="M40" s="28">
        <v>16716</v>
      </c>
      <c r="N40" s="28">
        <v>459</v>
      </c>
      <c r="O40" s="28">
        <v>459</v>
      </c>
    </row>
    <row r="41" spans="1:256" ht="12.75" customHeight="1">
      <c r="A41" s="4" t="s">
        <v>76</v>
      </c>
      <c r="B41" s="5" t="s">
        <v>77</v>
      </c>
      <c r="C41" s="28">
        <v>14698</v>
      </c>
      <c r="D41" s="28">
        <v>12413</v>
      </c>
      <c r="E41" s="28">
        <v>0</v>
      </c>
      <c r="F41" s="28">
        <f t="shared" si="5"/>
        <v>2285</v>
      </c>
      <c r="G41" s="28">
        <v>41372</v>
      </c>
      <c r="H41" s="28">
        <v>26587</v>
      </c>
      <c r="I41" s="28">
        <v>0</v>
      </c>
      <c r="J41" s="28">
        <f t="shared" si="6"/>
        <v>14785</v>
      </c>
      <c r="K41" s="28">
        <v>2914</v>
      </c>
      <c r="L41" s="28">
        <v>0</v>
      </c>
      <c r="M41" s="28">
        <v>635</v>
      </c>
      <c r="N41" s="28">
        <v>737</v>
      </c>
      <c r="O41" s="28">
        <v>737</v>
      </c>
    </row>
    <row r="42" spans="1:256" ht="12.75" customHeight="1">
      <c r="A42" s="4" t="s">
        <v>78</v>
      </c>
      <c r="B42" s="5" t="s">
        <v>79</v>
      </c>
      <c r="C42" s="28">
        <v>77757</v>
      </c>
      <c r="D42" s="28">
        <v>67165</v>
      </c>
      <c r="E42" s="28">
        <v>2034</v>
      </c>
      <c r="F42" s="28">
        <f t="shared" si="5"/>
        <v>8558</v>
      </c>
      <c r="G42" s="28">
        <v>126270</v>
      </c>
      <c r="H42" s="28">
        <v>98474</v>
      </c>
      <c r="I42" s="28">
        <v>4948</v>
      </c>
      <c r="J42" s="28">
        <f t="shared" si="6"/>
        <v>22848</v>
      </c>
      <c r="K42" s="28">
        <v>2333</v>
      </c>
      <c r="L42" s="28">
        <v>0</v>
      </c>
      <c r="M42" s="28">
        <v>82</v>
      </c>
      <c r="N42" s="28">
        <v>511</v>
      </c>
      <c r="O42" s="28">
        <v>511</v>
      </c>
    </row>
    <row r="43" spans="1:256" ht="12.75" customHeight="1">
      <c r="A43" s="8"/>
      <c r="B43" s="9" t="s">
        <v>80</v>
      </c>
      <c r="C43" s="29">
        <f t="shared" ref="C43:O43" si="7">SUM(C31:C42)</f>
        <v>860400</v>
      </c>
      <c r="D43" s="29">
        <f t="shared" si="7"/>
        <v>689542</v>
      </c>
      <c r="E43" s="29">
        <f t="shared" si="7"/>
        <v>25385</v>
      </c>
      <c r="F43" s="29">
        <f t="shared" si="7"/>
        <v>145473</v>
      </c>
      <c r="G43" s="29">
        <f t="shared" si="7"/>
        <v>2368480</v>
      </c>
      <c r="H43" s="29">
        <f t="shared" si="7"/>
        <v>1218229</v>
      </c>
      <c r="I43" s="29">
        <f t="shared" si="7"/>
        <v>108804</v>
      </c>
      <c r="J43" s="29">
        <f t="shared" si="7"/>
        <v>1041447</v>
      </c>
      <c r="K43" s="29">
        <f t="shared" si="7"/>
        <v>119480</v>
      </c>
      <c r="L43" s="29">
        <f t="shared" si="7"/>
        <v>408</v>
      </c>
      <c r="M43" s="29">
        <f t="shared" si="7"/>
        <v>201172</v>
      </c>
      <c r="N43" s="29">
        <f t="shared" si="7"/>
        <v>243385</v>
      </c>
      <c r="O43" s="29">
        <f t="shared" si="7"/>
        <v>62893</v>
      </c>
    </row>
    <row r="44" spans="1:256" ht="12.75" customHeight="1">
      <c r="A44" s="4" t="s">
        <v>81</v>
      </c>
      <c r="B44" s="5" t="s">
        <v>82</v>
      </c>
      <c r="C44" s="28">
        <v>42860</v>
      </c>
      <c r="D44" s="28">
        <v>32719</v>
      </c>
      <c r="E44" s="28">
        <v>978</v>
      </c>
      <c r="F44" s="28">
        <f>SUM(C44-D44-E44)</f>
        <v>9163</v>
      </c>
      <c r="G44" s="28">
        <v>154991</v>
      </c>
      <c r="H44" s="28">
        <v>76317</v>
      </c>
      <c r="I44" s="28">
        <v>3462</v>
      </c>
      <c r="J44" s="28">
        <f>SUM(G44-H44-I44)</f>
        <v>75212</v>
      </c>
      <c r="K44" s="28">
        <v>20641</v>
      </c>
      <c r="L44" s="28">
        <v>0</v>
      </c>
      <c r="M44" s="28">
        <v>14072</v>
      </c>
      <c r="N44" s="28">
        <v>1622</v>
      </c>
      <c r="O44" s="28">
        <v>1622</v>
      </c>
    </row>
    <row r="45" spans="1:256" ht="12.75" customHeight="1">
      <c r="A45" s="4" t="s">
        <v>83</v>
      </c>
      <c r="B45" s="5" t="s">
        <v>84</v>
      </c>
      <c r="C45" s="28">
        <v>46349</v>
      </c>
      <c r="D45" s="28">
        <v>37675</v>
      </c>
      <c r="E45" s="28">
        <v>1498</v>
      </c>
      <c r="F45" s="28">
        <f>SUM(C45-D45-E45)</f>
        <v>7176</v>
      </c>
      <c r="G45" s="28">
        <v>171144</v>
      </c>
      <c r="H45" s="28">
        <v>81779</v>
      </c>
      <c r="I45" s="28">
        <v>6346</v>
      </c>
      <c r="J45" s="28">
        <f>SUM(G45-H45-I45)</f>
        <v>83019</v>
      </c>
      <c r="K45" s="28">
        <v>28711</v>
      </c>
      <c r="L45" s="28">
        <v>0</v>
      </c>
      <c r="M45" s="28">
        <v>11924</v>
      </c>
      <c r="N45" s="28">
        <v>117</v>
      </c>
      <c r="O45" s="28">
        <v>117</v>
      </c>
    </row>
    <row r="46" spans="1:256" ht="12.75" customHeight="1">
      <c r="A46" s="8"/>
      <c r="B46" s="9" t="s">
        <v>85</v>
      </c>
      <c r="C46" s="29">
        <f t="shared" ref="C46:O46" si="8">SUM(C44:C45)</f>
        <v>89209</v>
      </c>
      <c r="D46" s="29">
        <f t="shared" si="8"/>
        <v>70394</v>
      </c>
      <c r="E46" s="29">
        <f t="shared" si="8"/>
        <v>2476</v>
      </c>
      <c r="F46" s="29">
        <f t="shared" si="8"/>
        <v>16339</v>
      </c>
      <c r="G46" s="29">
        <f t="shared" si="8"/>
        <v>326135</v>
      </c>
      <c r="H46" s="29">
        <f t="shared" si="8"/>
        <v>158096</v>
      </c>
      <c r="I46" s="29">
        <f t="shared" si="8"/>
        <v>9808</v>
      </c>
      <c r="J46" s="29">
        <f t="shared" si="8"/>
        <v>158231</v>
      </c>
      <c r="K46" s="29">
        <f t="shared" si="8"/>
        <v>49352</v>
      </c>
      <c r="L46" s="29">
        <f t="shared" si="8"/>
        <v>0</v>
      </c>
      <c r="M46" s="29">
        <f t="shared" si="8"/>
        <v>25996</v>
      </c>
      <c r="N46" s="29">
        <f t="shared" si="8"/>
        <v>1739</v>
      </c>
      <c r="O46" s="29">
        <f t="shared" si="8"/>
        <v>1739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10223</v>
      </c>
      <c r="D47" s="28">
        <v>9308</v>
      </c>
      <c r="E47" s="28">
        <v>0</v>
      </c>
      <c r="F47" s="28">
        <f>SUM(C47-D47-E47)</f>
        <v>915</v>
      </c>
      <c r="G47" s="28">
        <v>9095</v>
      </c>
      <c r="H47" s="28">
        <v>6401</v>
      </c>
      <c r="I47" s="28">
        <v>0</v>
      </c>
      <c r="J47" s="28">
        <f>SUM(G47-H47-I47)</f>
        <v>2694</v>
      </c>
      <c r="K47" s="28">
        <v>606</v>
      </c>
      <c r="L47" s="28">
        <v>21</v>
      </c>
      <c r="M47" s="28">
        <v>152</v>
      </c>
      <c r="N47" s="28">
        <v>193</v>
      </c>
      <c r="O47" s="28">
        <v>193</v>
      </c>
    </row>
    <row r="48" spans="1:256" ht="12.75" customHeight="1">
      <c r="A48" s="4" t="s">
        <v>88</v>
      </c>
      <c r="B48" s="5" t="s">
        <v>89</v>
      </c>
      <c r="C48" s="28">
        <v>21488</v>
      </c>
      <c r="D48" s="28">
        <v>20353</v>
      </c>
      <c r="E48" s="28">
        <v>219</v>
      </c>
      <c r="F48" s="28">
        <f>SUM(C48-D48-E48)</f>
        <v>916</v>
      </c>
      <c r="G48" s="28">
        <v>37234</v>
      </c>
      <c r="H48" s="28">
        <v>34055</v>
      </c>
      <c r="I48" s="28">
        <v>721</v>
      </c>
      <c r="J48" s="28">
        <f>SUM(G48-H48-I48)</f>
        <v>2458</v>
      </c>
      <c r="K48" s="28">
        <v>1295</v>
      </c>
      <c r="L48" s="28">
        <v>0</v>
      </c>
      <c r="M48" s="28">
        <v>787</v>
      </c>
      <c r="N48" s="28">
        <v>0</v>
      </c>
      <c r="O48" s="28">
        <v>0</v>
      </c>
    </row>
    <row r="49" spans="1:15" ht="12.75" customHeight="1">
      <c r="A49" s="4" t="s">
        <v>90</v>
      </c>
      <c r="B49" s="5" t="s">
        <v>91</v>
      </c>
      <c r="C49" s="28">
        <v>11643</v>
      </c>
      <c r="D49" s="28">
        <v>10649</v>
      </c>
      <c r="E49" s="28">
        <v>701</v>
      </c>
      <c r="F49" s="28">
        <f>SUM(C49-D49-E49)</f>
        <v>293</v>
      </c>
      <c r="G49" s="28">
        <v>11602</v>
      </c>
      <c r="H49" s="28">
        <v>7946</v>
      </c>
      <c r="I49" s="28">
        <v>1618</v>
      </c>
      <c r="J49" s="28">
        <f>SUM(G49-H49-I49)</f>
        <v>2038</v>
      </c>
      <c r="K49" s="28">
        <v>9164</v>
      </c>
      <c r="L49" s="28">
        <v>91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60346</v>
      </c>
      <c r="D50" s="28">
        <v>57103</v>
      </c>
      <c r="E50" s="28">
        <v>1151</v>
      </c>
      <c r="F50" s="28">
        <f>SUM(C50-D50-E50)</f>
        <v>2092</v>
      </c>
      <c r="G50" s="28">
        <v>128300</v>
      </c>
      <c r="H50" s="28">
        <v>89355</v>
      </c>
      <c r="I50" s="28">
        <v>4445</v>
      </c>
      <c r="J50" s="28">
        <f>SUM(G50-H50-I50)</f>
        <v>34500</v>
      </c>
      <c r="K50" s="28">
        <v>11986</v>
      </c>
      <c r="L50" s="28">
        <v>658</v>
      </c>
      <c r="M50" s="28">
        <v>12079</v>
      </c>
      <c r="N50" s="28">
        <v>1006</v>
      </c>
      <c r="O50" s="28">
        <v>1006</v>
      </c>
    </row>
    <row r="51" spans="1:15" ht="12.75" customHeight="1">
      <c r="A51" s="8"/>
      <c r="B51" s="9" t="s">
        <v>94</v>
      </c>
      <c r="C51" s="29">
        <f t="shared" ref="C51:O51" si="9">SUM(C47:C50)</f>
        <v>103700</v>
      </c>
      <c r="D51" s="29">
        <f t="shared" si="9"/>
        <v>97413</v>
      </c>
      <c r="E51" s="29">
        <f t="shared" si="9"/>
        <v>2071</v>
      </c>
      <c r="F51" s="29">
        <f t="shared" si="9"/>
        <v>4216</v>
      </c>
      <c r="G51" s="29">
        <f t="shared" si="9"/>
        <v>186231</v>
      </c>
      <c r="H51" s="29">
        <f t="shared" si="9"/>
        <v>137757</v>
      </c>
      <c r="I51" s="29">
        <f t="shared" si="9"/>
        <v>6784</v>
      </c>
      <c r="J51" s="29">
        <f t="shared" si="9"/>
        <v>41690</v>
      </c>
      <c r="K51" s="29">
        <f t="shared" si="9"/>
        <v>23051</v>
      </c>
      <c r="L51" s="29">
        <f t="shared" si="9"/>
        <v>770</v>
      </c>
      <c r="M51" s="29">
        <f t="shared" si="9"/>
        <v>13018</v>
      </c>
      <c r="N51" s="29">
        <f t="shared" si="9"/>
        <v>1199</v>
      </c>
      <c r="O51" s="29">
        <f t="shared" si="9"/>
        <v>1199</v>
      </c>
    </row>
    <row r="52" spans="1:15" ht="12.75" customHeight="1">
      <c r="A52" s="4" t="s">
        <v>95</v>
      </c>
      <c r="B52" s="5" t="s">
        <v>96</v>
      </c>
      <c r="C52" s="28">
        <v>10967</v>
      </c>
      <c r="D52" s="28">
        <v>10065</v>
      </c>
      <c r="E52" s="28">
        <v>94</v>
      </c>
      <c r="F52" s="28">
        <f t="shared" ref="F52:F58" si="10">SUM(C52-D52-E52)</f>
        <v>808</v>
      </c>
      <c r="G52" s="28">
        <v>32473</v>
      </c>
      <c r="H52" s="28">
        <v>21594</v>
      </c>
      <c r="I52" s="28">
        <v>312</v>
      </c>
      <c r="J52" s="28">
        <f t="shared" ref="J52:J58" si="11">SUM(G52-H52-I52)</f>
        <v>10567</v>
      </c>
      <c r="K52" s="28">
        <v>11039</v>
      </c>
      <c r="L52" s="28">
        <v>0</v>
      </c>
      <c r="M52" s="28">
        <v>484</v>
      </c>
      <c r="N52" s="28">
        <v>836</v>
      </c>
      <c r="O52" s="28">
        <v>836</v>
      </c>
    </row>
    <row r="53" spans="1:15" ht="12.75" customHeight="1">
      <c r="A53" s="4" t="s">
        <v>97</v>
      </c>
      <c r="B53" s="5" t="s">
        <v>98</v>
      </c>
      <c r="C53" s="28">
        <v>70486</v>
      </c>
      <c r="D53" s="28">
        <v>50055</v>
      </c>
      <c r="E53" s="28">
        <v>904</v>
      </c>
      <c r="F53" s="28">
        <f t="shared" si="10"/>
        <v>19527</v>
      </c>
      <c r="G53" s="28">
        <v>198873</v>
      </c>
      <c r="H53" s="28">
        <v>122100</v>
      </c>
      <c r="I53" s="28">
        <v>5583</v>
      </c>
      <c r="J53" s="28">
        <f t="shared" si="11"/>
        <v>71190</v>
      </c>
      <c r="K53" s="28">
        <v>6322</v>
      </c>
      <c r="L53" s="28">
        <v>0</v>
      </c>
      <c r="M53" s="28">
        <v>5269</v>
      </c>
      <c r="N53" s="28">
        <v>2837</v>
      </c>
      <c r="O53" s="28">
        <v>2837</v>
      </c>
    </row>
    <row r="54" spans="1:15" ht="12.75" customHeight="1">
      <c r="A54" s="4" t="s">
        <v>99</v>
      </c>
      <c r="B54" s="5" t="s">
        <v>100</v>
      </c>
      <c r="C54" s="28">
        <v>11634</v>
      </c>
      <c r="D54" s="28">
        <v>6691</v>
      </c>
      <c r="E54" s="28">
        <v>354</v>
      </c>
      <c r="F54" s="28">
        <f t="shared" si="10"/>
        <v>4589</v>
      </c>
      <c r="G54" s="28">
        <v>36499</v>
      </c>
      <c r="H54" s="28">
        <v>18501</v>
      </c>
      <c r="I54" s="28">
        <v>2655</v>
      </c>
      <c r="J54" s="28">
        <f t="shared" si="11"/>
        <v>15343</v>
      </c>
      <c r="K54" s="28">
        <v>374</v>
      </c>
      <c r="L54" s="28">
        <v>86</v>
      </c>
      <c r="M54" s="28">
        <v>1710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50463</v>
      </c>
      <c r="D55" s="28">
        <v>34952</v>
      </c>
      <c r="E55" s="28">
        <v>906</v>
      </c>
      <c r="F55" s="28">
        <f t="shared" si="10"/>
        <v>14605</v>
      </c>
      <c r="G55" s="28">
        <v>149841</v>
      </c>
      <c r="H55" s="28">
        <v>76931</v>
      </c>
      <c r="I55" s="28">
        <v>3677</v>
      </c>
      <c r="J55" s="28">
        <f t="shared" si="11"/>
        <v>69233</v>
      </c>
      <c r="K55" s="28">
        <v>16391</v>
      </c>
      <c r="L55" s="28">
        <v>0</v>
      </c>
      <c r="M55" s="28">
        <v>9445</v>
      </c>
      <c r="N55" s="28">
        <v>11278</v>
      </c>
      <c r="O55" s="28">
        <v>11278</v>
      </c>
    </row>
    <row r="56" spans="1:15" ht="12.75" customHeight="1">
      <c r="A56" s="4" t="s">
        <v>103</v>
      </c>
      <c r="B56" s="5" t="s">
        <v>104</v>
      </c>
      <c r="C56" s="28">
        <v>68698</v>
      </c>
      <c r="D56" s="28">
        <v>30264</v>
      </c>
      <c r="E56" s="28">
        <v>3273</v>
      </c>
      <c r="F56" s="28">
        <f t="shared" si="10"/>
        <v>35161</v>
      </c>
      <c r="G56" s="28">
        <v>221692</v>
      </c>
      <c r="H56" s="28">
        <v>64565</v>
      </c>
      <c r="I56" s="28">
        <v>16837</v>
      </c>
      <c r="J56" s="28">
        <f t="shared" si="11"/>
        <v>140290</v>
      </c>
      <c r="K56" s="28">
        <v>16851</v>
      </c>
      <c r="L56" s="28">
        <v>966</v>
      </c>
      <c r="M56" s="28">
        <v>28554</v>
      </c>
      <c r="N56" s="28">
        <v>2692</v>
      </c>
      <c r="O56" s="28">
        <v>2692</v>
      </c>
    </row>
    <row r="57" spans="1:15" ht="12.75" customHeight="1">
      <c r="A57" s="4" t="s">
        <v>105</v>
      </c>
      <c r="B57" s="5" t="s">
        <v>106</v>
      </c>
      <c r="C57" s="28">
        <v>62438</v>
      </c>
      <c r="D57" s="28">
        <v>35343</v>
      </c>
      <c r="E57" s="28">
        <v>3595</v>
      </c>
      <c r="F57" s="28">
        <f t="shared" si="10"/>
        <v>23500</v>
      </c>
      <c r="G57" s="28">
        <v>221395</v>
      </c>
      <c r="H57" s="28">
        <v>100084</v>
      </c>
      <c r="I57" s="28">
        <v>17668</v>
      </c>
      <c r="J57" s="28">
        <f t="shared" si="11"/>
        <v>103643</v>
      </c>
      <c r="K57" s="28">
        <v>3557</v>
      </c>
      <c r="L57" s="28">
        <v>0</v>
      </c>
      <c r="M57" s="28">
        <v>17846</v>
      </c>
      <c r="N57" s="28">
        <v>263</v>
      </c>
      <c r="O57" s="28">
        <v>263</v>
      </c>
    </row>
    <row r="58" spans="1:15" ht="12.75" customHeight="1">
      <c r="A58" s="4" t="s">
        <v>107</v>
      </c>
      <c r="B58" s="5" t="s">
        <v>108</v>
      </c>
      <c r="C58" s="28">
        <v>64483</v>
      </c>
      <c r="D58" s="28">
        <v>35136</v>
      </c>
      <c r="E58" s="28">
        <v>1153</v>
      </c>
      <c r="F58" s="28">
        <f t="shared" si="10"/>
        <v>28194</v>
      </c>
      <c r="G58" s="28">
        <v>195188</v>
      </c>
      <c r="H58" s="28">
        <v>77475</v>
      </c>
      <c r="I58" s="28">
        <v>5679</v>
      </c>
      <c r="J58" s="28">
        <f t="shared" si="11"/>
        <v>112034</v>
      </c>
      <c r="K58" s="28">
        <v>4984</v>
      </c>
      <c r="L58" s="28">
        <v>193</v>
      </c>
      <c r="M58" s="28">
        <v>10361</v>
      </c>
      <c r="N58" s="28">
        <v>20748</v>
      </c>
      <c r="O58" s="28">
        <v>20748</v>
      </c>
    </row>
    <row r="59" spans="1:15" ht="12.75" customHeight="1">
      <c r="A59" s="8"/>
      <c r="B59" s="9" t="s">
        <v>109</v>
      </c>
      <c r="C59" s="29">
        <f t="shared" ref="C59:O59" si="12">SUM(C52:C58)</f>
        <v>339169</v>
      </c>
      <c r="D59" s="29">
        <f t="shared" si="12"/>
        <v>202506</v>
      </c>
      <c r="E59" s="29">
        <f t="shared" si="12"/>
        <v>10279</v>
      </c>
      <c r="F59" s="29">
        <f t="shared" si="12"/>
        <v>126384</v>
      </c>
      <c r="G59" s="29">
        <f t="shared" si="12"/>
        <v>1055961</v>
      </c>
      <c r="H59" s="29">
        <f t="shared" si="12"/>
        <v>481250</v>
      </c>
      <c r="I59" s="29">
        <f t="shared" si="12"/>
        <v>52411</v>
      </c>
      <c r="J59" s="29">
        <f t="shared" si="12"/>
        <v>522300</v>
      </c>
      <c r="K59" s="29">
        <f t="shared" si="12"/>
        <v>59518</v>
      </c>
      <c r="L59" s="29">
        <f t="shared" si="12"/>
        <v>1245</v>
      </c>
      <c r="M59" s="29">
        <f t="shared" si="12"/>
        <v>73669</v>
      </c>
      <c r="N59" s="29">
        <f t="shared" si="12"/>
        <v>38654</v>
      </c>
      <c r="O59" s="29">
        <f t="shared" si="12"/>
        <v>38654</v>
      </c>
    </row>
    <row r="60" spans="1:15" ht="12.75" customHeight="1">
      <c r="A60" s="4" t="s">
        <v>110</v>
      </c>
      <c r="B60" s="5" t="s">
        <v>111</v>
      </c>
      <c r="C60" s="28">
        <v>73121</v>
      </c>
      <c r="D60" s="28">
        <v>55376</v>
      </c>
      <c r="E60" s="28">
        <v>5515</v>
      </c>
      <c r="F60" s="28">
        <f t="shared" ref="F60:F68" si="13">SUM(C60-D60-E60)</f>
        <v>12230</v>
      </c>
      <c r="G60" s="28">
        <v>209343</v>
      </c>
      <c r="H60" s="28">
        <v>121416</v>
      </c>
      <c r="I60" s="28">
        <v>32460</v>
      </c>
      <c r="J60" s="28">
        <f t="shared" ref="J60:J68" si="14">SUM(G60-H60-I60)</f>
        <v>55467</v>
      </c>
      <c r="K60" s="28">
        <v>1794</v>
      </c>
      <c r="L60" s="28">
        <v>0</v>
      </c>
      <c r="M60" s="28">
        <v>9128</v>
      </c>
      <c r="N60" s="28">
        <v>1149</v>
      </c>
      <c r="O60" s="28">
        <v>1149</v>
      </c>
    </row>
    <row r="61" spans="1:15" ht="12.75" customHeight="1">
      <c r="A61" s="4" t="s">
        <v>112</v>
      </c>
      <c r="B61" s="5" t="s">
        <v>113</v>
      </c>
      <c r="C61" s="28">
        <v>18773</v>
      </c>
      <c r="D61" s="28">
        <v>15054</v>
      </c>
      <c r="E61" s="28">
        <v>234</v>
      </c>
      <c r="F61" s="28">
        <f t="shared" si="13"/>
        <v>3485</v>
      </c>
      <c r="G61" s="28">
        <v>42732</v>
      </c>
      <c r="H61" s="28">
        <v>33194</v>
      </c>
      <c r="I61" s="28">
        <v>1176</v>
      </c>
      <c r="J61" s="28">
        <f t="shared" si="14"/>
        <v>8362</v>
      </c>
      <c r="K61" s="28">
        <v>67</v>
      </c>
      <c r="L61" s="28">
        <v>920</v>
      </c>
      <c r="M61" s="28">
        <v>5778</v>
      </c>
      <c r="N61" s="28">
        <v>20</v>
      </c>
      <c r="O61" s="28">
        <v>20</v>
      </c>
    </row>
    <row r="62" spans="1:15" ht="12.75" customHeight="1">
      <c r="A62" s="4" t="s">
        <v>114</v>
      </c>
      <c r="B62" s="5" t="s">
        <v>115</v>
      </c>
      <c r="C62" s="28">
        <v>31888</v>
      </c>
      <c r="D62" s="28">
        <v>19250</v>
      </c>
      <c r="E62" s="28">
        <v>1603</v>
      </c>
      <c r="F62" s="28">
        <f t="shared" si="13"/>
        <v>11035</v>
      </c>
      <c r="G62" s="28">
        <v>122186</v>
      </c>
      <c r="H62" s="28">
        <v>48288</v>
      </c>
      <c r="I62" s="28">
        <v>9961</v>
      </c>
      <c r="J62" s="28">
        <f t="shared" si="14"/>
        <v>63937</v>
      </c>
      <c r="K62" s="28">
        <v>13861</v>
      </c>
      <c r="L62" s="28">
        <v>999</v>
      </c>
      <c r="M62" s="28">
        <v>11589</v>
      </c>
      <c r="N62" s="28">
        <v>8849</v>
      </c>
      <c r="O62" s="28">
        <v>8849</v>
      </c>
    </row>
    <row r="63" spans="1:15" ht="12.75" customHeight="1">
      <c r="A63" s="4" t="s">
        <v>116</v>
      </c>
      <c r="B63" s="5" t="s">
        <v>117</v>
      </c>
      <c r="C63" s="28">
        <v>47120</v>
      </c>
      <c r="D63" s="28">
        <v>32287</v>
      </c>
      <c r="E63" s="28">
        <v>2308</v>
      </c>
      <c r="F63" s="28">
        <f t="shared" si="13"/>
        <v>12525</v>
      </c>
      <c r="G63" s="28">
        <v>147107</v>
      </c>
      <c r="H63" s="28">
        <v>87039</v>
      </c>
      <c r="I63" s="28">
        <v>16593</v>
      </c>
      <c r="J63" s="28">
        <f t="shared" si="14"/>
        <v>43475</v>
      </c>
      <c r="K63" s="28">
        <v>1039</v>
      </c>
      <c r="L63" s="28">
        <v>0</v>
      </c>
      <c r="M63" s="28">
        <v>8294</v>
      </c>
      <c r="N63" s="28">
        <v>58</v>
      </c>
      <c r="O63" s="28">
        <v>58</v>
      </c>
    </row>
    <row r="64" spans="1:15" ht="12.75" customHeight="1">
      <c r="A64" s="4" t="s">
        <v>118</v>
      </c>
      <c r="B64" s="5" t="s">
        <v>119</v>
      </c>
      <c r="C64" s="28">
        <v>40872</v>
      </c>
      <c r="D64" s="28">
        <v>22716</v>
      </c>
      <c r="E64" s="28">
        <v>2842</v>
      </c>
      <c r="F64" s="28">
        <f t="shared" si="13"/>
        <v>15314</v>
      </c>
      <c r="G64" s="28">
        <v>146914</v>
      </c>
      <c r="H64" s="28">
        <v>60189</v>
      </c>
      <c r="I64" s="28">
        <v>15853</v>
      </c>
      <c r="J64" s="28">
        <f t="shared" si="14"/>
        <v>70872</v>
      </c>
      <c r="K64" s="28">
        <v>563</v>
      </c>
      <c r="L64" s="28">
        <v>44</v>
      </c>
      <c r="M64" s="28">
        <v>3355</v>
      </c>
      <c r="N64" s="28">
        <v>191</v>
      </c>
      <c r="O64" s="28">
        <v>191</v>
      </c>
    </row>
    <row r="65" spans="1:15" ht="12.75" customHeight="1">
      <c r="A65" s="4" t="s">
        <v>120</v>
      </c>
      <c r="B65" s="5" t="s">
        <v>121</v>
      </c>
      <c r="C65" s="28">
        <v>20868</v>
      </c>
      <c r="D65" s="28">
        <v>16523</v>
      </c>
      <c r="E65" s="28">
        <v>1960</v>
      </c>
      <c r="F65" s="28">
        <f t="shared" si="13"/>
        <v>2385</v>
      </c>
      <c r="G65" s="28">
        <v>87522</v>
      </c>
      <c r="H65" s="28">
        <v>42319</v>
      </c>
      <c r="I65" s="28">
        <v>11722</v>
      </c>
      <c r="J65" s="28">
        <f t="shared" si="14"/>
        <v>33481</v>
      </c>
      <c r="K65" s="28">
        <v>4034</v>
      </c>
      <c r="L65" s="28">
        <v>1</v>
      </c>
      <c r="M65" s="28">
        <v>7524</v>
      </c>
      <c r="N65" s="28">
        <v>814</v>
      </c>
      <c r="O65" s="28">
        <v>814</v>
      </c>
    </row>
    <row r="66" spans="1:15" ht="12.75" customHeight="1">
      <c r="A66" s="4" t="s">
        <v>122</v>
      </c>
      <c r="B66" s="5" t="s">
        <v>123</v>
      </c>
      <c r="C66" s="28">
        <v>38680</v>
      </c>
      <c r="D66" s="28">
        <v>15595</v>
      </c>
      <c r="E66" s="28">
        <v>1176</v>
      </c>
      <c r="F66" s="28">
        <f t="shared" si="13"/>
        <v>21909</v>
      </c>
      <c r="G66" s="28">
        <v>214810</v>
      </c>
      <c r="H66" s="28">
        <v>38003</v>
      </c>
      <c r="I66" s="28">
        <v>6091</v>
      </c>
      <c r="J66" s="28">
        <f t="shared" si="14"/>
        <v>170716</v>
      </c>
      <c r="K66" s="28">
        <v>15796</v>
      </c>
      <c r="L66" s="28">
        <v>119</v>
      </c>
      <c r="M66" s="28">
        <v>37898</v>
      </c>
      <c r="N66" s="28">
        <v>615</v>
      </c>
      <c r="O66" s="28">
        <v>301</v>
      </c>
    </row>
    <row r="67" spans="1:15" ht="12.75" customHeight="1">
      <c r="A67" s="4" t="s">
        <v>124</v>
      </c>
      <c r="B67" s="5" t="s">
        <v>125</v>
      </c>
      <c r="C67" s="28">
        <v>69102</v>
      </c>
      <c r="D67" s="28">
        <v>22421</v>
      </c>
      <c r="E67" s="28">
        <v>0</v>
      </c>
      <c r="F67" s="28">
        <f t="shared" si="13"/>
        <v>46681</v>
      </c>
      <c r="G67" s="28">
        <v>311620</v>
      </c>
      <c r="H67" s="28">
        <v>51597</v>
      </c>
      <c r="I67" s="28">
        <v>0</v>
      </c>
      <c r="J67" s="28">
        <f t="shared" si="14"/>
        <v>260023</v>
      </c>
      <c r="K67" s="28">
        <v>17724</v>
      </c>
      <c r="L67" s="28">
        <v>0</v>
      </c>
      <c r="M67" s="28">
        <v>82920</v>
      </c>
      <c r="N67" s="28">
        <v>1035</v>
      </c>
      <c r="O67" s="28">
        <v>1035</v>
      </c>
    </row>
    <row r="68" spans="1:15" ht="12.75" customHeight="1">
      <c r="A68" s="4" t="s">
        <v>126</v>
      </c>
      <c r="B68" s="5" t="s">
        <v>127</v>
      </c>
      <c r="C68" s="28">
        <v>30334</v>
      </c>
      <c r="D68" s="28">
        <v>21232</v>
      </c>
      <c r="E68" s="28">
        <v>654</v>
      </c>
      <c r="F68" s="28">
        <f t="shared" si="13"/>
        <v>8448</v>
      </c>
      <c r="G68" s="28">
        <v>108476</v>
      </c>
      <c r="H68" s="28">
        <v>43722</v>
      </c>
      <c r="I68" s="28">
        <v>3865</v>
      </c>
      <c r="J68" s="28">
        <f t="shared" si="14"/>
        <v>60889</v>
      </c>
      <c r="K68" s="28">
        <v>235</v>
      </c>
      <c r="L68" s="28">
        <v>37</v>
      </c>
      <c r="M68" s="28">
        <v>3842</v>
      </c>
      <c r="N68" s="28">
        <v>94</v>
      </c>
      <c r="O68" s="28">
        <v>94</v>
      </c>
    </row>
    <row r="69" spans="1:15" ht="12.75" customHeight="1">
      <c r="A69" s="8"/>
      <c r="B69" s="9" t="s">
        <v>128</v>
      </c>
      <c r="C69" s="29">
        <f t="shared" ref="C69:O69" si="15">SUM(C60:C68)</f>
        <v>370758</v>
      </c>
      <c r="D69" s="29">
        <f t="shared" si="15"/>
        <v>220454</v>
      </c>
      <c r="E69" s="29">
        <f t="shared" si="15"/>
        <v>16292</v>
      </c>
      <c r="F69" s="29">
        <f t="shared" si="15"/>
        <v>134012</v>
      </c>
      <c r="G69" s="29">
        <f t="shared" si="15"/>
        <v>1390710</v>
      </c>
      <c r="H69" s="29">
        <f t="shared" si="15"/>
        <v>525767</v>
      </c>
      <c r="I69" s="29">
        <f t="shared" si="15"/>
        <v>97721</v>
      </c>
      <c r="J69" s="29">
        <f t="shared" si="15"/>
        <v>767222</v>
      </c>
      <c r="K69" s="29">
        <f t="shared" si="15"/>
        <v>55113</v>
      </c>
      <c r="L69" s="29">
        <f t="shared" si="15"/>
        <v>2120</v>
      </c>
      <c r="M69" s="29">
        <f t="shared" si="15"/>
        <v>170328</v>
      </c>
      <c r="N69" s="29">
        <f t="shared" si="15"/>
        <v>12825</v>
      </c>
      <c r="O69" s="29">
        <f t="shared" si="15"/>
        <v>12511</v>
      </c>
    </row>
    <row r="70" spans="1:15" ht="12.75" customHeight="1">
      <c r="A70" s="4" t="s">
        <v>129</v>
      </c>
      <c r="B70" s="5" t="s">
        <v>130</v>
      </c>
      <c r="C70" s="28">
        <v>23679</v>
      </c>
      <c r="D70" s="28">
        <v>20109</v>
      </c>
      <c r="E70" s="28">
        <v>1580</v>
      </c>
      <c r="F70" s="28">
        <f t="shared" ref="F70:F79" si="16">SUM(C70-D70-E70)</f>
        <v>1990</v>
      </c>
      <c r="G70" s="28">
        <v>73198</v>
      </c>
      <c r="H70" s="28">
        <v>45486</v>
      </c>
      <c r="I70" s="28">
        <v>11990</v>
      </c>
      <c r="J70" s="28">
        <f t="shared" ref="J70:J79" si="17">SUM(G70-H70-I70)</f>
        <v>15722</v>
      </c>
      <c r="K70" s="28">
        <v>1505</v>
      </c>
      <c r="L70" s="28">
        <v>17</v>
      </c>
      <c r="M70" s="28">
        <v>2426</v>
      </c>
      <c r="N70" s="28">
        <v>295</v>
      </c>
      <c r="O70" s="28">
        <v>295</v>
      </c>
    </row>
    <row r="71" spans="1:15" ht="12.75" customHeight="1">
      <c r="A71" s="4" t="s">
        <v>131</v>
      </c>
      <c r="B71" s="5" t="s">
        <v>132</v>
      </c>
      <c r="C71" s="28">
        <v>107913</v>
      </c>
      <c r="D71" s="28">
        <v>62573</v>
      </c>
      <c r="E71" s="28">
        <v>3663</v>
      </c>
      <c r="F71" s="28">
        <f t="shared" si="16"/>
        <v>41677</v>
      </c>
      <c r="G71" s="28">
        <v>240987</v>
      </c>
      <c r="H71" s="28">
        <v>106649</v>
      </c>
      <c r="I71" s="28">
        <v>19519</v>
      </c>
      <c r="J71" s="28">
        <f t="shared" si="17"/>
        <v>114819</v>
      </c>
      <c r="K71" s="28">
        <v>8653</v>
      </c>
      <c r="L71" s="28">
        <v>0</v>
      </c>
      <c r="M71" s="28">
        <v>7104</v>
      </c>
      <c r="N71" s="28">
        <v>13617</v>
      </c>
      <c r="O71" s="28">
        <v>13617</v>
      </c>
    </row>
    <row r="72" spans="1:15" ht="12.75" customHeight="1">
      <c r="A72" s="4" t="s">
        <v>133</v>
      </c>
      <c r="B72" s="5" t="s">
        <v>134</v>
      </c>
      <c r="C72" s="28">
        <v>18393</v>
      </c>
      <c r="D72" s="28">
        <v>15448</v>
      </c>
      <c r="E72" s="28">
        <v>0</v>
      </c>
      <c r="F72" s="28">
        <f t="shared" si="16"/>
        <v>2945</v>
      </c>
      <c r="G72" s="28">
        <v>49899</v>
      </c>
      <c r="H72" s="28">
        <v>36270</v>
      </c>
      <c r="I72" s="28">
        <v>0</v>
      </c>
      <c r="J72" s="28">
        <f t="shared" si="17"/>
        <v>13629</v>
      </c>
      <c r="K72" s="28">
        <v>2523</v>
      </c>
      <c r="L72" s="28">
        <v>1313</v>
      </c>
      <c r="M72" s="28">
        <v>7727</v>
      </c>
      <c r="N72" s="28">
        <v>158</v>
      </c>
      <c r="O72" s="28">
        <v>158</v>
      </c>
    </row>
    <row r="73" spans="1:15" ht="12.75" customHeight="1">
      <c r="A73" s="4" t="s">
        <v>135</v>
      </c>
      <c r="B73" s="5" t="s">
        <v>136</v>
      </c>
      <c r="C73" s="28">
        <v>45437</v>
      </c>
      <c r="D73" s="28">
        <v>32074</v>
      </c>
      <c r="E73" s="28">
        <v>442</v>
      </c>
      <c r="F73" s="28">
        <f t="shared" si="16"/>
        <v>12921</v>
      </c>
      <c r="G73" s="28">
        <v>129667</v>
      </c>
      <c r="H73" s="28">
        <v>65497</v>
      </c>
      <c r="I73" s="28">
        <v>1429</v>
      </c>
      <c r="J73" s="28">
        <f t="shared" si="17"/>
        <v>62741</v>
      </c>
      <c r="K73" s="28">
        <v>5819</v>
      </c>
      <c r="L73" s="28">
        <v>414</v>
      </c>
      <c r="M73" s="28">
        <v>14959</v>
      </c>
      <c r="N73" s="28">
        <v>31837</v>
      </c>
      <c r="O73" s="28">
        <v>31497</v>
      </c>
    </row>
    <row r="74" spans="1:15" ht="12.75" customHeight="1">
      <c r="A74" s="4" t="s">
        <v>137</v>
      </c>
      <c r="B74" s="5" t="s">
        <v>138</v>
      </c>
      <c r="C74" s="28">
        <v>34908</v>
      </c>
      <c r="D74" s="28">
        <v>29068</v>
      </c>
      <c r="E74" s="28">
        <v>1215</v>
      </c>
      <c r="F74" s="28">
        <f t="shared" si="16"/>
        <v>4625</v>
      </c>
      <c r="G74" s="28">
        <v>73432</v>
      </c>
      <c r="H74" s="28">
        <v>48416</v>
      </c>
      <c r="I74" s="28">
        <v>5294</v>
      </c>
      <c r="J74" s="28">
        <f t="shared" si="17"/>
        <v>19722</v>
      </c>
      <c r="K74" s="28">
        <v>2379</v>
      </c>
      <c r="L74" s="28">
        <v>0</v>
      </c>
      <c r="M74" s="28">
        <v>1132</v>
      </c>
      <c r="N74" s="28">
        <v>1133</v>
      </c>
      <c r="O74" s="28">
        <v>1133</v>
      </c>
    </row>
    <row r="75" spans="1:15" ht="12.75" customHeight="1">
      <c r="A75" s="4" t="s">
        <v>139</v>
      </c>
      <c r="B75" s="5" t="s">
        <v>140</v>
      </c>
      <c r="C75" s="28">
        <v>17718</v>
      </c>
      <c r="D75" s="28">
        <v>16831</v>
      </c>
      <c r="E75" s="28">
        <v>421</v>
      </c>
      <c r="F75" s="28">
        <f t="shared" si="16"/>
        <v>466</v>
      </c>
      <c r="G75" s="28">
        <v>33156</v>
      </c>
      <c r="H75" s="28">
        <v>26449</v>
      </c>
      <c r="I75" s="28">
        <v>2959</v>
      </c>
      <c r="J75" s="28">
        <f t="shared" si="17"/>
        <v>3748</v>
      </c>
      <c r="K75" s="28">
        <v>120</v>
      </c>
      <c r="L75" s="28">
        <v>0</v>
      </c>
      <c r="M75" s="28">
        <v>47</v>
      </c>
      <c r="N75" s="28">
        <v>68</v>
      </c>
      <c r="O75" s="28">
        <v>12</v>
      </c>
    </row>
    <row r="76" spans="1:15" ht="12.75" customHeight="1">
      <c r="A76" s="4" t="s">
        <v>141</v>
      </c>
      <c r="B76" s="5" t="s">
        <v>142</v>
      </c>
      <c r="C76" s="28">
        <v>36126</v>
      </c>
      <c r="D76" s="28">
        <v>27285</v>
      </c>
      <c r="E76" s="28">
        <v>758</v>
      </c>
      <c r="F76" s="28">
        <f t="shared" si="16"/>
        <v>8083</v>
      </c>
      <c r="G76" s="28">
        <v>94865</v>
      </c>
      <c r="H76" s="28">
        <v>57891</v>
      </c>
      <c r="I76" s="28">
        <v>3035</v>
      </c>
      <c r="J76" s="28">
        <f t="shared" si="17"/>
        <v>33939</v>
      </c>
      <c r="K76" s="28">
        <v>1383</v>
      </c>
      <c r="L76" s="28">
        <v>428</v>
      </c>
      <c r="M76" s="28">
        <v>3491</v>
      </c>
      <c r="N76" s="28">
        <v>1020</v>
      </c>
      <c r="O76" s="28">
        <v>1020</v>
      </c>
    </row>
    <row r="77" spans="1:15" ht="12.75" customHeight="1">
      <c r="A77" s="4" t="s">
        <v>143</v>
      </c>
      <c r="B77" s="5" t="s">
        <v>144</v>
      </c>
      <c r="C77" s="28">
        <v>31454</v>
      </c>
      <c r="D77" s="28">
        <v>19836</v>
      </c>
      <c r="E77" s="28">
        <v>506</v>
      </c>
      <c r="F77" s="28">
        <f t="shared" si="16"/>
        <v>11112</v>
      </c>
      <c r="G77" s="28">
        <v>73956</v>
      </c>
      <c r="H77" s="28">
        <v>36916</v>
      </c>
      <c r="I77" s="28">
        <v>2055</v>
      </c>
      <c r="J77" s="28">
        <f t="shared" si="17"/>
        <v>34985</v>
      </c>
      <c r="K77" s="28">
        <v>3387</v>
      </c>
      <c r="L77" s="28">
        <v>0</v>
      </c>
      <c r="M77" s="28">
        <v>3066</v>
      </c>
      <c r="N77" s="28">
        <v>646</v>
      </c>
      <c r="O77" s="28">
        <v>646</v>
      </c>
    </row>
    <row r="78" spans="1:15" ht="12.75" customHeight="1">
      <c r="A78" s="4" t="s">
        <v>145</v>
      </c>
      <c r="B78" s="5" t="s">
        <v>146</v>
      </c>
      <c r="C78" s="28">
        <v>18276</v>
      </c>
      <c r="D78" s="28">
        <v>14923</v>
      </c>
      <c r="E78" s="28">
        <v>0</v>
      </c>
      <c r="F78" s="28">
        <f t="shared" si="16"/>
        <v>3353</v>
      </c>
      <c r="G78" s="28">
        <v>35152</v>
      </c>
      <c r="H78" s="28">
        <v>25259</v>
      </c>
      <c r="I78" s="28">
        <v>0</v>
      </c>
      <c r="J78" s="28">
        <f t="shared" si="17"/>
        <v>9893</v>
      </c>
      <c r="K78" s="28">
        <v>574</v>
      </c>
      <c r="L78" s="28">
        <v>0</v>
      </c>
      <c r="M78" s="28">
        <v>46</v>
      </c>
      <c r="N78" s="28">
        <v>245</v>
      </c>
      <c r="O78" s="28">
        <v>245</v>
      </c>
    </row>
    <row r="79" spans="1:15" ht="12.75" customHeight="1">
      <c r="A79" s="4" t="s">
        <v>147</v>
      </c>
      <c r="B79" s="5" t="s">
        <v>148</v>
      </c>
      <c r="C79" s="28">
        <v>19334</v>
      </c>
      <c r="D79" s="28">
        <v>17425</v>
      </c>
      <c r="E79" s="28">
        <v>453</v>
      </c>
      <c r="F79" s="28">
        <f t="shared" si="16"/>
        <v>1456</v>
      </c>
      <c r="G79" s="28">
        <v>58105</v>
      </c>
      <c r="H79" s="28">
        <v>40182</v>
      </c>
      <c r="I79" s="28">
        <v>2641</v>
      </c>
      <c r="J79" s="28">
        <f t="shared" si="17"/>
        <v>15282</v>
      </c>
      <c r="K79" s="28">
        <v>2303</v>
      </c>
      <c r="L79" s="28">
        <v>423</v>
      </c>
      <c r="M79" s="28">
        <v>12524</v>
      </c>
      <c r="N79" s="28">
        <v>450</v>
      </c>
      <c r="O79" s="28">
        <v>450</v>
      </c>
    </row>
    <row r="80" spans="1:15" ht="12.75" customHeight="1">
      <c r="A80" s="8"/>
      <c r="B80" s="9" t="s">
        <v>149</v>
      </c>
      <c r="C80" s="29">
        <f t="shared" ref="C80:O80" si="18">SUM(C70:C79)</f>
        <v>353238</v>
      </c>
      <c r="D80" s="29">
        <f t="shared" si="18"/>
        <v>255572</v>
      </c>
      <c r="E80" s="29">
        <f t="shared" si="18"/>
        <v>9038</v>
      </c>
      <c r="F80" s="29">
        <f t="shared" si="18"/>
        <v>88628</v>
      </c>
      <c r="G80" s="29">
        <f t="shared" si="18"/>
        <v>862417</v>
      </c>
      <c r="H80" s="29">
        <f t="shared" si="18"/>
        <v>489015</v>
      </c>
      <c r="I80" s="29">
        <f t="shared" si="18"/>
        <v>48922</v>
      </c>
      <c r="J80" s="29">
        <f t="shared" si="18"/>
        <v>324480</v>
      </c>
      <c r="K80" s="29">
        <f t="shared" si="18"/>
        <v>28646</v>
      </c>
      <c r="L80" s="29">
        <f t="shared" si="18"/>
        <v>2595</v>
      </c>
      <c r="M80" s="29">
        <f t="shared" si="18"/>
        <v>52522</v>
      </c>
      <c r="N80" s="29">
        <f t="shared" si="18"/>
        <v>49469</v>
      </c>
      <c r="O80" s="29">
        <f t="shared" si="18"/>
        <v>49073</v>
      </c>
    </row>
    <row r="81" spans="1:15" ht="12.75" customHeight="1">
      <c r="A81" s="4" t="s">
        <v>150</v>
      </c>
      <c r="B81" s="5" t="s">
        <v>151</v>
      </c>
      <c r="C81" s="28">
        <v>33043</v>
      </c>
      <c r="D81" s="28">
        <v>20013</v>
      </c>
      <c r="E81" s="28">
        <v>980</v>
      </c>
      <c r="F81" s="28">
        <f>SUM(C81-D81-E81)</f>
        <v>12050</v>
      </c>
      <c r="G81" s="28">
        <v>127764</v>
      </c>
      <c r="H81" s="28">
        <v>63505</v>
      </c>
      <c r="I81" s="28">
        <v>8212</v>
      </c>
      <c r="J81" s="28">
        <f>SUM(G81-H81-I81)</f>
        <v>56047</v>
      </c>
      <c r="K81" s="28">
        <v>1436</v>
      </c>
      <c r="L81" s="28">
        <v>0</v>
      </c>
      <c r="M81" s="28">
        <v>8900</v>
      </c>
      <c r="N81" s="28">
        <v>2429</v>
      </c>
      <c r="O81" s="28">
        <v>2429</v>
      </c>
    </row>
    <row r="82" spans="1:15" ht="12.75" customHeight="1">
      <c r="A82" s="4" t="s">
        <v>152</v>
      </c>
      <c r="B82" s="5" t="s">
        <v>153</v>
      </c>
      <c r="C82" s="28">
        <v>16594</v>
      </c>
      <c r="D82" s="28">
        <v>12270</v>
      </c>
      <c r="E82" s="28">
        <v>219</v>
      </c>
      <c r="F82" s="28">
        <f>SUM(C82-D82-E82)</f>
        <v>4105</v>
      </c>
      <c r="G82" s="28">
        <v>71372</v>
      </c>
      <c r="H82" s="28">
        <v>35544</v>
      </c>
      <c r="I82" s="28">
        <v>1979</v>
      </c>
      <c r="J82" s="28">
        <f>SUM(G82-H82-I82)</f>
        <v>33849</v>
      </c>
      <c r="K82" s="28">
        <v>540</v>
      </c>
      <c r="L82" s="28">
        <v>8</v>
      </c>
      <c r="M82" s="28">
        <v>7002</v>
      </c>
      <c r="N82" s="28">
        <v>497</v>
      </c>
      <c r="O82" s="28">
        <v>497</v>
      </c>
    </row>
    <row r="83" spans="1:15" ht="12.75" customHeight="1">
      <c r="A83" s="4" t="s">
        <v>154</v>
      </c>
      <c r="B83" s="5" t="s">
        <v>155</v>
      </c>
      <c r="C83" s="28">
        <v>4691</v>
      </c>
      <c r="D83" s="28">
        <v>4227</v>
      </c>
      <c r="E83" s="28">
        <v>453</v>
      </c>
      <c r="F83" s="28">
        <f>SUM(C83-D83-E83)</f>
        <v>11</v>
      </c>
      <c r="G83" s="28">
        <v>14863</v>
      </c>
      <c r="H83" s="28">
        <v>12333</v>
      </c>
      <c r="I83" s="28">
        <v>2380</v>
      </c>
      <c r="J83" s="28">
        <f>SUM(G83-H83-I83)</f>
        <v>150</v>
      </c>
      <c r="K83" s="28">
        <v>0</v>
      </c>
      <c r="L83" s="28">
        <v>0</v>
      </c>
      <c r="M83" s="28">
        <v>15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15167</v>
      </c>
      <c r="D84" s="28">
        <v>13794</v>
      </c>
      <c r="E84" s="28">
        <v>233</v>
      </c>
      <c r="F84" s="28">
        <f>SUM(C84-D84-E84)</f>
        <v>1140</v>
      </c>
      <c r="G84" s="28">
        <v>57028</v>
      </c>
      <c r="H84" s="28">
        <v>40031</v>
      </c>
      <c r="I84" s="28">
        <v>2024</v>
      </c>
      <c r="J84" s="28">
        <f>SUM(G84-H84-I84)</f>
        <v>14973</v>
      </c>
      <c r="K84" s="28">
        <v>666</v>
      </c>
      <c r="L84" s="28">
        <v>0</v>
      </c>
      <c r="M84" s="28">
        <v>5570</v>
      </c>
      <c r="N84" s="28">
        <v>214</v>
      </c>
      <c r="O84" s="28">
        <v>214</v>
      </c>
    </row>
    <row r="85" spans="1:15" ht="12.75" customHeight="1">
      <c r="A85" s="4" t="s">
        <v>158</v>
      </c>
      <c r="B85" s="5" t="s">
        <v>159</v>
      </c>
      <c r="C85" s="28">
        <v>23876</v>
      </c>
      <c r="D85" s="28">
        <v>21107</v>
      </c>
      <c r="E85" s="28">
        <v>984</v>
      </c>
      <c r="F85" s="28">
        <f>SUM(C85-D85-E85)</f>
        <v>1785</v>
      </c>
      <c r="G85" s="28">
        <v>68941</v>
      </c>
      <c r="H85" s="28">
        <v>50301</v>
      </c>
      <c r="I85" s="28">
        <v>5270</v>
      </c>
      <c r="J85" s="28">
        <f>SUM(G85-H85-I85)</f>
        <v>13370</v>
      </c>
      <c r="K85" s="28">
        <v>1527</v>
      </c>
      <c r="L85" s="28">
        <v>71</v>
      </c>
      <c r="M85" s="28">
        <v>3828</v>
      </c>
      <c r="N85" s="28">
        <v>13163</v>
      </c>
      <c r="O85" s="28">
        <v>13163</v>
      </c>
    </row>
    <row r="86" spans="1:15" ht="12.75" customHeight="1">
      <c r="A86" s="8"/>
      <c r="B86" s="9" t="s">
        <v>160</v>
      </c>
      <c r="C86" s="29">
        <f t="shared" ref="C86:O86" si="19">SUM(C81:C85)</f>
        <v>93371</v>
      </c>
      <c r="D86" s="29">
        <f t="shared" si="19"/>
        <v>71411</v>
      </c>
      <c r="E86" s="29">
        <f t="shared" si="19"/>
        <v>2869</v>
      </c>
      <c r="F86" s="29">
        <f t="shared" si="19"/>
        <v>19091</v>
      </c>
      <c r="G86" s="29">
        <f t="shared" si="19"/>
        <v>339968</v>
      </c>
      <c r="H86" s="29">
        <f t="shared" si="19"/>
        <v>201714</v>
      </c>
      <c r="I86" s="29">
        <f t="shared" si="19"/>
        <v>19865</v>
      </c>
      <c r="J86" s="29">
        <f t="shared" si="19"/>
        <v>118389</v>
      </c>
      <c r="K86" s="29">
        <f t="shared" si="19"/>
        <v>4169</v>
      </c>
      <c r="L86" s="29">
        <f t="shared" si="19"/>
        <v>79</v>
      </c>
      <c r="M86" s="29">
        <f t="shared" si="19"/>
        <v>25315</v>
      </c>
      <c r="N86" s="29">
        <f t="shared" si="19"/>
        <v>16303</v>
      </c>
      <c r="O86" s="29">
        <f t="shared" si="19"/>
        <v>16303</v>
      </c>
    </row>
    <row r="87" spans="1:15" ht="12.75" customHeight="1">
      <c r="A87" s="4" t="s">
        <v>161</v>
      </c>
      <c r="B87" s="5" t="s">
        <v>162</v>
      </c>
      <c r="C87" s="28">
        <v>40302</v>
      </c>
      <c r="D87" s="28">
        <v>33706</v>
      </c>
      <c r="E87" s="28">
        <v>0</v>
      </c>
      <c r="F87" s="28">
        <f>SUM(C87-D87-E87)</f>
        <v>6596</v>
      </c>
      <c r="G87" s="28">
        <v>156790</v>
      </c>
      <c r="H87" s="28">
        <v>90831</v>
      </c>
      <c r="I87" s="28">
        <v>0</v>
      </c>
      <c r="J87" s="28">
        <f>SUM(G87-H87-I87)</f>
        <v>65959</v>
      </c>
      <c r="K87" s="28">
        <v>1927</v>
      </c>
      <c r="L87" s="28">
        <v>321</v>
      </c>
      <c r="M87" s="28">
        <v>10323</v>
      </c>
      <c r="N87" s="28">
        <v>918</v>
      </c>
      <c r="O87" s="28">
        <v>918</v>
      </c>
    </row>
    <row r="88" spans="1:15" ht="12.75" customHeight="1">
      <c r="A88" s="4" t="s">
        <v>163</v>
      </c>
      <c r="B88" s="5" t="s">
        <v>164</v>
      </c>
      <c r="C88" s="28">
        <v>32826</v>
      </c>
      <c r="D88" s="28">
        <v>15033</v>
      </c>
      <c r="E88" s="28">
        <v>1162</v>
      </c>
      <c r="F88" s="28">
        <f>SUM(C88-D88-E88)</f>
        <v>16631</v>
      </c>
      <c r="G88" s="28">
        <v>92700</v>
      </c>
      <c r="H88" s="28">
        <v>37875</v>
      </c>
      <c r="I88" s="28">
        <v>9562</v>
      </c>
      <c r="J88" s="28">
        <f>SUM(G88-H88-I88)</f>
        <v>45263</v>
      </c>
      <c r="K88" s="28">
        <v>632</v>
      </c>
      <c r="L88" s="28">
        <v>0</v>
      </c>
      <c r="M88" s="28">
        <v>3608</v>
      </c>
      <c r="N88" s="28">
        <v>222</v>
      </c>
      <c r="O88" s="28">
        <v>222</v>
      </c>
    </row>
    <row r="89" spans="1:15" ht="12.75" customHeight="1">
      <c r="A89" s="8"/>
      <c r="B89" s="9" t="s">
        <v>165</v>
      </c>
      <c r="C89" s="29">
        <f t="shared" ref="C89:O89" si="20">SUM(C87:C88)</f>
        <v>73128</v>
      </c>
      <c r="D89" s="29">
        <f t="shared" si="20"/>
        <v>48739</v>
      </c>
      <c r="E89" s="29">
        <f t="shared" si="20"/>
        <v>1162</v>
      </c>
      <c r="F89" s="29">
        <f t="shared" si="20"/>
        <v>23227</v>
      </c>
      <c r="G89" s="29">
        <f t="shared" si="20"/>
        <v>249490</v>
      </c>
      <c r="H89" s="29">
        <f t="shared" si="20"/>
        <v>128706</v>
      </c>
      <c r="I89" s="29">
        <f t="shared" si="20"/>
        <v>9562</v>
      </c>
      <c r="J89" s="29">
        <f t="shared" si="20"/>
        <v>111222</v>
      </c>
      <c r="K89" s="29">
        <f t="shared" si="20"/>
        <v>2559</v>
      </c>
      <c r="L89" s="29">
        <f t="shared" si="20"/>
        <v>321</v>
      </c>
      <c r="M89" s="29">
        <f t="shared" si="20"/>
        <v>13931</v>
      </c>
      <c r="N89" s="29">
        <f t="shared" si="20"/>
        <v>1140</v>
      </c>
      <c r="O89" s="29">
        <f t="shared" si="20"/>
        <v>1140</v>
      </c>
    </row>
    <row r="90" spans="1:15" ht="12.75" customHeight="1">
      <c r="A90" s="4" t="s">
        <v>166</v>
      </c>
      <c r="B90" s="5" t="s">
        <v>167</v>
      </c>
      <c r="C90" s="28">
        <v>34000</v>
      </c>
      <c r="D90" s="28">
        <v>23468</v>
      </c>
      <c r="E90" s="28">
        <v>2228</v>
      </c>
      <c r="F90" s="28">
        <f>SUM(C90-D90-E90)</f>
        <v>8304</v>
      </c>
      <c r="G90" s="28">
        <v>148478</v>
      </c>
      <c r="H90" s="28">
        <v>65321</v>
      </c>
      <c r="I90" s="28">
        <v>16277</v>
      </c>
      <c r="J90" s="28">
        <f>SUM(G90-H90-I90)</f>
        <v>66880</v>
      </c>
      <c r="K90" s="28">
        <v>1175</v>
      </c>
      <c r="L90" s="28">
        <v>67</v>
      </c>
      <c r="M90" s="28">
        <v>3189</v>
      </c>
      <c r="N90" s="28">
        <v>74</v>
      </c>
      <c r="O90" s="28">
        <v>74</v>
      </c>
    </row>
    <row r="91" spans="1:15" ht="12.75" customHeight="1">
      <c r="A91" s="4" t="s">
        <v>168</v>
      </c>
      <c r="B91" s="5" t="s">
        <v>169</v>
      </c>
      <c r="C91" s="28">
        <v>41831</v>
      </c>
      <c r="D91" s="28">
        <v>34287</v>
      </c>
      <c r="E91" s="28">
        <v>0</v>
      </c>
      <c r="F91" s="28">
        <f>SUM(C91-D91-E91)</f>
        <v>7544</v>
      </c>
      <c r="G91" s="28">
        <v>155983</v>
      </c>
      <c r="H91" s="28">
        <v>82163</v>
      </c>
      <c r="I91" s="28">
        <v>0</v>
      </c>
      <c r="J91" s="28">
        <f>SUM(G91-H91-I91)</f>
        <v>73820</v>
      </c>
      <c r="K91" s="28">
        <v>858</v>
      </c>
      <c r="L91" s="28">
        <v>432</v>
      </c>
      <c r="M91" s="28">
        <v>13503</v>
      </c>
      <c r="N91" s="28">
        <v>876</v>
      </c>
      <c r="O91" s="28">
        <v>876</v>
      </c>
    </row>
    <row r="92" spans="1:15" ht="12.75" customHeight="1">
      <c r="A92" s="4" t="s">
        <v>170</v>
      </c>
      <c r="B92" s="5" t="s">
        <v>171</v>
      </c>
      <c r="C92" s="28">
        <v>9241</v>
      </c>
      <c r="D92" s="28">
        <v>5474</v>
      </c>
      <c r="E92" s="28">
        <v>966</v>
      </c>
      <c r="F92" s="28">
        <f>SUM(C92-D92-E92)</f>
        <v>2801</v>
      </c>
      <c r="G92" s="28">
        <v>28181</v>
      </c>
      <c r="H92" s="28">
        <v>14052</v>
      </c>
      <c r="I92" s="28">
        <v>9451</v>
      </c>
      <c r="J92" s="28">
        <f>SUM(G92-H92-I92)</f>
        <v>4678</v>
      </c>
      <c r="K92" s="28">
        <v>496</v>
      </c>
      <c r="L92" s="28">
        <v>0</v>
      </c>
      <c r="M92" s="28">
        <v>1064</v>
      </c>
      <c r="N92" s="28">
        <v>55</v>
      </c>
      <c r="O92" s="28">
        <v>55</v>
      </c>
    </row>
    <row r="93" spans="1:15" ht="12.75" customHeight="1">
      <c r="A93" s="4" t="s">
        <v>172</v>
      </c>
      <c r="B93" s="5" t="s">
        <v>173</v>
      </c>
      <c r="C93" s="28">
        <v>352604</v>
      </c>
      <c r="D93" s="28">
        <v>266141</v>
      </c>
      <c r="E93" s="28">
        <v>15609</v>
      </c>
      <c r="F93" s="28">
        <f>SUM(C93-D93-E93)</f>
        <v>70854</v>
      </c>
      <c r="G93" s="28">
        <v>1015666</v>
      </c>
      <c r="H93" s="28">
        <v>439837</v>
      </c>
      <c r="I93" s="28">
        <v>52953</v>
      </c>
      <c r="J93" s="28">
        <f>SUM(G93-H93-I93)</f>
        <v>522876</v>
      </c>
      <c r="K93" s="28">
        <v>38688</v>
      </c>
      <c r="L93" s="28">
        <v>107</v>
      </c>
      <c r="M93" s="28">
        <v>92199</v>
      </c>
      <c r="N93" s="28">
        <v>28109</v>
      </c>
      <c r="O93" s="28">
        <v>24268</v>
      </c>
    </row>
    <row r="94" spans="1:15" ht="12.75" customHeight="1">
      <c r="A94" s="4" t="s">
        <v>174</v>
      </c>
      <c r="B94" s="5" t="s">
        <v>175</v>
      </c>
      <c r="C94" s="28">
        <v>45316</v>
      </c>
      <c r="D94" s="28">
        <v>25202</v>
      </c>
      <c r="E94" s="28">
        <v>1999</v>
      </c>
      <c r="F94" s="28">
        <f>SUM(C94-D94-E94)</f>
        <v>18115</v>
      </c>
      <c r="G94" s="28">
        <v>122860</v>
      </c>
      <c r="H94" s="28">
        <v>54045</v>
      </c>
      <c r="I94" s="28">
        <v>8055</v>
      </c>
      <c r="J94" s="28">
        <f>SUM(G94-H94-I94)</f>
        <v>60760</v>
      </c>
      <c r="K94" s="28">
        <v>2644</v>
      </c>
      <c r="L94" s="28">
        <v>1878</v>
      </c>
      <c r="M94" s="28">
        <v>11899</v>
      </c>
      <c r="N94" s="28">
        <v>157</v>
      </c>
      <c r="O94" s="28">
        <v>157</v>
      </c>
    </row>
    <row r="95" spans="1:15" ht="12.75" customHeight="1">
      <c r="A95" s="8"/>
      <c r="B95" s="9" t="s">
        <v>176</v>
      </c>
      <c r="C95" s="29">
        <f t="shared" ref="C95:O95" si="21">SUM(C90:C94)</f>
        <v>482992</v>
      </c>
      <c r="D95" s="29">
        <f t="shared" si="21"/>
        <v>354572</v>
      </c>
      <c r="E95" s="29">
        <f t="shared" si="21"/>
        <v>20802</v>
      </c>
      <c r="F95" s="29">
        <f t="shared" si="21"/>
        <v>107618</v>
      </c>
      <c r="G95" s="29">
        <f t="shared" si="21"/>
        <v>1471168</v>
      </c>
      <c r="H95" s="29">
        <f t="shared" si="21"/>
        <v>655418</v>
      </c>
      <c r="I95" s="29">
        <f t="shared" si="21"/>
        <v>86736</v>
      </c>
      <c r="J95" s="29">
        <f t="shared" si="21"/>
        <v>729014</v>
      </c>
      <c r="K95" s="29">
        <f t="shared" si="21"/>
        <v>43861</v>
      </c>
      <c r="L95" s="29">
        <f t="shared" si="21"/>
        <v>2484</v>
      </c>
      <c r="M95" s="29">
        <f t="shared" si="21"/>
        <v>121854</v>
      </c>
      <c r="N95" s="29">
        <f t="shared" si="21"/>
        <v>29271</v>
      </c>
      <c r="O95" s="29">
        <f t="shared" si="21"/>
        <v>25430</v>
      </c>
    </row>
    <row r="96" spans="1:15" ht="12.75" customHeight="1">
      <c r="A96" s="4" t="s">
        <v>177</v>
      </c>
      <c r="B96" s="5" t="s">
        <v>178</v>
      </c>
      <c r="C96" s="28">
        <v>7764</v>
      </c>
      <c r="D96" s="28">
        <v>6487</v>
      </c>
      <c r="E96" s="28">
        <v>312</v>
      </c>
      <c r="F96" s="28">
        <f>SUM(C96-D96-E96)</f>
        <v>965</v>
      </c>
      <c r="G96" s="28">
        <v>42131</v>
      </c>
      <c r="H96" s="28">
        <v>23958</v>
      </c>
      <c r="I96" s="28">
        <v>2362</v>
      </c>
      <c r="J96" s="28">
        <f>SUM(G96-H96-I96)</f>
        <v>15811</v>
      </c>
      <c r="K96" s="28">
        <v>31</v>
      </c>
      <c r="L96" s="28">
        <v>0</v>
      </c>
      <c r="M96" s="28">
        <v>9219</v>
      </c>
      <c r="N96" s="28">
        <v>71</v>
      </c>
      <c r="O96" s="28">
        <v>71</v>
      </c>
    </row>
    <row r="97" spans="1:15" ht="12.75" customHeight="1">
      <c r="A97" s="4" t="s">
        <v>179</v>
      </c>
      <c r="B97" s="5" t="s">
        <v>180</v>
      </c>
      <c r="C97" s="28">
        <v>3064</v>
      </c>
      <c r="D97" s="28">
        <v>2772</v>
      </c>
      <c r="E97" s="28">
        <v>0</v>
      </c>
      <c r="F97" s="28">
        <f>SUM(C97-D97-E97)</f>
        <v>292</v>
      </c>
      <c r="G97" s="28">
        <v>9816</v>
      </c>
      <c r="H97" s="28">
        <v>8367</v>
      </c>
      <c r="I97" s="28">
        <v>0</v>
      </c>
      <c r="J97" s="28">
        <f>SUM(G97-H97-I97)</f>
        <v>1449</v>
      </c>
      <c r="K97" s="28">
        <v>18</v>
      </c>
      <c r="L97" s="28">
        <v>0</v>
      </c>
      <c r="M97" s="28">
        <v>5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10828</v>
      </c>
      <c r="D98" s="29">
        <f t="shared" si="22"/>
        <v>9259</v>
      </c>
      <c r="E98" s="29">
        <f t="shared" si="22"/>
        <v>312</v>
      </c>
      <c r="F98" s="29">
        <f t="shared" si="22"/>
        <v>1257</v>
      </c>
      <c r="G98" s="29">
        <f t="shared" si="22"/>
        <v>51947</v>
      </c>
      <c r="H98" s="29">
        <f t="shared" si="22"/>
        <v>32325</v>
      </c>
      <c r="I98" s="29">
        <f t="shared" si="22"/>
        <v>2362</v>
      </c>
      <c r="J98" s="29">
        <f t="shared" si="22"/>
        <v>17260</v>
      </c>
      <c r="K98" s="29">
        <f t="shared" si="22"/>
        <v>49</v>
      </c>
      <c r="L98" s="29">
        <f t="shared" si="22"/>
        <v>0</v>
      </c>
      <c r="M98" s="29">
        <f t="shared" si="22"/>
        <v>9224</v>
      </c>
      <c r="N98" s="29">
        <f t="shared" si="22"/>
        <v>71</v>
      </c>
      <c r="O98" s="29">
        <f t="shared" si="22"/>
        <v>71</v>
      </c>
    </row>
    <row r="99" spans="1:15" ht="12.75" customHeight="1">
      <c r="A99" s="4" t="s">
        <v>182</v>
      </c>
      <c r="B99" s="5" t="s">
        <v>183</v>
      </c>
      <c r="C99" s="28">
        <v>21576</v>
      </c>
      <c r="D99" s="28">
        <v>19214</v>
      </c>
      <c r="E99" s="28">
        <v>763</v>
      </c>
      <c r="F99" s="28">
        <f>SUM(C99-D99-E99)</f>
        <v>1599</v>
      </c>
      <c r="G99" s="28">
        <v>89731</v>
      </c>
      <c r="H99" s="28">
        <v>56446</v>
      </c>
      <c r="I99" s="28">
        <v>5163</v>
      </c>
      <c r="J99" s="28">
        <f>SUM(G99-H99-I99)</f>
        <v>28122</v>
      </c>
      <c r="K99" s="28">
        <v>306</v>
      </c>
      <c r="L99" s="28">
        <v>0</v>
      </c>
      <c r="M99" s="28">
        <v>5061</v>
      </c>
      <c r="N99" s="28">
        <v>295</v>
      </c>
      <c r="O99" s="28">
        <v>295</v>
      </c>
    </row>
    <row r="100" spans="1:15" ht="12.75" customHeight="1">
      <c r="A100" s="4" t="s">
        <v>184</v>
      </c>
      <c r="B100" s="5" t="s">
        <v>185</v>
      </c>
      <c r="C100" s="28">
        <v>22801</v>
      </c>
      <c r="D100" s="28">
        <v>13327</v>
      </c>
      <c r="E100" s="28">
        <v>1118</v>
      </c>
      <c r="F100" s="28">
        <f>SUM(C100-D100-E100)</f>
        <v>8356</v>
      </c>
      <c r="G100" s="28">
        <v>74459</v>
      </c>
      <c r="H100" s="28">
        <v>35277</v>
      </c>
      <c r="I100" s="28">
        <v>5668</v>
      </c>
      <c r="J100" s="28">
        <f>SUM(G100-H100-I100)</f>
        <v>33514</v>
      </c>
      <c r="K100" s="28">
        <v>542</v>
      </c>
      <c r="L100" s="28">
        <v>0</v>
      </c>
      <c r="M100" s="28">
        <v>3071</v>
      </c>
      <c r="N100" s="28">
        <v>2186</v>
      </c>
      <c r="O100" s="28">
        <v>2186</v>
      </c>
    </row>
    <row r="101" spans="1:15" ht="12.75" customHeight="1">
      <c r="A101" s="4" t="s">
        <v>186</v>
      </c>
      <c r="B101" s="5" t="s">
        <v>187</v>
      </c>
      <c r="C101" s="28">
        <v>11461</v>
      </c>
      <c r="D101" s="28">
        <v>10385</v>
      </c>
      <c r="E101" s="28">
        <v>0</v>
      </c>
      <c r="F101" s="28">
        <f>SUM(C101-D101-E101)</f>
        <v>1076</v>
      </c>
      <c r="G101" s="28">
        <v>38152</v>
      </c>
      <c r="H101" s="28">
        <v>27072</v>
      </c>
      <c r="I101" s="28">
        <v>0</v>
      </c>
      <c r="J101" s="28">
        <f>SUM(G101-H101-I101)</f>
        <v>11080</v>
      </c>
      <c r="K101" s="28">
        <v>109</v>
      </c>
      <c r="L101" s="28">
        <v>0</v>
      </c>
      <c r="M101" s="28">
        <v>1592</v>
      </c>
      <c r="N101" s="28">
        <v>199</v>
      </c>
      <c r="O101" s="28">
        <v>199</v>
      </c>
    </row>
    <row r="102" spans="1:15" ht="12.75" customHeight="1">
      <c r="A102" s="4" t="s">
        <v>188</v>
      </c>
      <c r="B102" s="5" t="s">
        <v>189</v>
      </c>
      <c r="C102" s="28">
        <v>19319</v>
      </c>
      <c r="D102" s="28">
        <v>16276</v>
      </c>
      <c r="E102" s="28">
        <v>1096</v>
      </c>
      <c r="F102" s="28">
        <f>SUM(C102-D102-E102)</f>
        <v>1947</v>
      </c>
      <c r="G102" s="28">
        <v>68494</v>
      </c>
      <c r="H102" s="28">
        <v>39097</v>
      </c>
      <c r="I102" s="28">
        <v>9848</v>
      </c>
      <c r="J102" s="28">
        <f>SUM(G102-H102-I102)</f>
        <v>19549</v>
      </c>
      <c r="K102" s="28">
        <v>855</v>
      </c>
      <c r="L102" s="28">
        <v>0</v>
      </c>
      <c r="M102" s="28">
        <v>3489</v>
      </c>
      <c r="N102" s="28">
        <v>33</v>
      </c>
      <c r="O102" s="28">
        <v>33</v>
      </c>
    </row>
    <row r="103" spans="1:15" ht="12.75" customHeight="1">
      <c r="A103" s="8"/>
      <c r="B103" s="9" t="s">
        <v>190</v>
      </c>
      <c r="C103" s="29">
        <f t="shared" ref="C103:O103" si="23">SUM(C99:C102)</f>
        <v>75157</v>
      </c>
      <c r="D103" s="29">
        <f t="shared" si="23"/>
        <v>59202</v>
      </c>
      <c r="E103" s="29">
        <f t="shared" si="23"/>
        <v>2977</v>
      </c>
      <c r="F103" s="29">
        <f t="shared" si="23"/>
        <v>12978</v>
      </c>
      <c r="G103" s="29">
        <f t="shared" si="23"/>
        <v>270836</v>
      </c>
      <c r="H103" s="29">
        <f t="shared" si="23"/>
        <v>157892</v>
      </c>
      <c r="I103" s="29">
        <f t="shared" si="23"/>
        <v>20679</v>
      </c>
      <c r="J103" s="29">
        <f t="shared" si="23"/>
        <v>92265</v>
      </c>
      <c r="K103" s="29">
        <f t="shared" si="23"/>
        <v>1812</v>
      </c>
      <c r="L103" s="29">
        <f t="shared" si="23"/>
        <v>0</v>
      </c>
      <c r="M103" s="29">
        <f t="shared" si="23"/>
        <v>13213</v>
      </c>
      <c r="N103" s="29">
        <f t="shared" si="23"/>
        <v>2713</v>
      </c>
      <c r="O103" s="29">
        <f t="shared" si="23"/>
        <v>2713</v>
      </c>
    </row>
    <row r="104" spans="1:15" ht="12.75" customHeight="1">
      <c r="A104" s="4" t="s">
        <v>191</v>
      </c>
      <c r="B104" s="5" t="s">
        <v>192</v>
      </c>
      <c r="C104" s="28">
        <v>14574</v>
      </c>
      <c r="D104" s="28">
        <v>11631</v>
      </c>
      <c r="E104" s="28">
        <v>523</v>
      </c>
      <c r="F104" s="28">
        <f>SUM(C104-D104-E104)</f>
        <v>2420</v>
      </c>
      <c r="G104" s="28">
        <v>60344</v>
      </c>
      <c r="H104" s="28">
        <v>36403</v>
      </c>
      <c r="I104" s="28">
        <v>4496</v>
      </c>
      <c r="J104" s="28">
        <f>SUM(G104-H104-I104)</f>
        <v>19445</v>
      </c>
      <c r="K104" s="28">
        <v>690</v>
      </c>
      <c r="L104" s="28">
        <v>0</v>
      </c>
      <c r="M104" s="28">
        <v>3304</v>
      </c>
      <c r="N104" s="28">
        <v>298</v>
      </c>
      <c r="O104" s="28">
        <v>298</v>
      </c>
    </row>
    <row r="105" spans="1:15" ht="12.75" customHeight="1">
      <c r="A105" s="4" t="s">
        <v>193</v>
      </c>
      <c r="B105" s="5" t="s">
        <v>194</v>
      </c>
      <c r="C105" s="28">
        <v>9870</v>
      </c>
      <c r="D105" s="28">
        <v>7079</v>
      </c>
      <c r="E105" s="28">
        <v>0</v>
      </c>
      <c r="F105" s="28">
        <f>SUM(C105-D105-E105)</f>
        <v>2791</v>
      </c>
      <c r="G105" s="28">
        <v>45952</v>
      </c>
      <c r="H105" s="28">
        <v>21028</v>
      </c>
      <c r="I105" s="28">
        <v>0</v>
      </c>
      <c r="J105" s="28">
        <f>SUM(G105-H105-I105)</f>
        <v>24924</v>
      </c>
      <c r="K105" s="28">
        <v>201</v>
      </c>
      <c r="L105" s="28">
        <v>0</v>
      </c>
      <c r="M105" s="28">
        <v>4973</v>
      </c>
      <c r="N105" s="28">
        <v>67</v>
      </c>
      <c r="O105" s="28">
        <v>67</v>
      </c>
    </row>
    <row r="106" spans="1:15" ht="12.75" customHeight="1">
      <c r="A106" s="4" t="s">
        <v>195</v>
      </c>
      <c r="B106" s="5" t="s">
        <v>196</v>
      </c>
      <c r="C106" s="28">
        <v>50437</v>
      </c>
      <c r="D106" s="28">
        <v>32998</v>
      </c>
      <c r="E106" s="28">
        <v>1414</v>
      </c>
      <c r="F106" s="28">
        <f>SUM(C106-D106-E106)</f>
        <v>16025</v>
      </c>
      <c r="G106" s="28">
        <v>234687</v>
      </c>
      <c r="H106" s="28">
        <v>94706</v>
      </c>
      <c r="I106" s="28">
        <v>8874</v>
      </c>
      <c r="J106" s="28">
        <f>SUM(G106-H106-I106)</f>
        <v>131107</v>
      </c>
      <c r="K106" s="28">
        <v>614</v>
      </c>
      <c r="L106" s="28">
        <v>0</v>
      </c>
      <c r="M106" s="28">
        <v>37072</v>
      </c>
      <c r="N106" s="28">
        <v>2051</v>
      </c>
      <c r="O106" s="28">
        <v>2051</v>
      </c>
    </row>
    <row r="107" spans="1:15" ht="12.75" customHeight="1">
      <c r="A107" s="4" t="s">
        <v>197</v>
      </c>
      <c r="B107" s="5" t="s">
        <v>198</v>
      </c>
      <c r="C107" s="28">
        <v>169242</v>
      </c>
      <c r="D107" s="28">
        <v>106617</v>
      </c>
      <c r="E107" s="28">
        <v>4830</v>
      </c>
      <c r="F107" s="28">
        <f>SUM(C107-D107-E107)</f>
        <v>57795</v>
      </c>
      <c r="G107" s="28">
        <v>476014</v>
      </c>
      <c r="H107" s="28">
        <v>191498</v>
      </c>
      <c r="I107" s="28">
        <v>12932</v>
      </c>
      <c r="J107" s="28">
        <f>SUM(G107-H107-I107)</f>
        <v>271584</v>
      </c>
      <c r="K107" s="28">
        <v>16114</v>
      </c>
      <c r="L107" s="28">
        <v>0</v>
      </c>
      <c r="M107" s="28">
        <v>7718</v>
      </c>
      <c r="N107" s="28">
        <v>10879</v>
      </c>
      <c r="O107" s="28">
        <v>10879</v>
      </c>
    </row>
    <row r="108" spans="1:15" ht="12.75" customHeight="1">
      <c r="A108" s="4" t="s">
        <v>199</v>
      </c>
      <c r="B108" s="5" t="s">
        <v>200</v>
      </c>
      <c r="C108" s="28">
        <v>43302</v>
      </c>
      <c r="D108" s="28">
        <v>31432</v>
      </c>
      <c r="E108" s="28">
        <v>1342</v>
      </c>
      <c r="F108" s="28">
        <f>SUM(C108-D108-E108)</f>
        <v>10528</v>
      </c>
      <c r="G108" s="28">
        <v>227522</v>
      </c>
      <c r="H108" s="28">
        <v>92661</v>
      </c>
      <c r="I108" s="28">
        <v>9538</v>
      </c>
      <c r="J108" s="28">
        <f>SUM(G108-H108-I108)</f>
        <v>125323</v>
      </c>
      <c r="K108" s="28">
        <v>1398</v>
      </c>
      <c r="L108" s="28">
        <v>0</v>
      </c>
      <c r="M108" s="28">
        <v>11600</v>
      </c>
      <c r="N108" s="28">
        <v>4239</v>
      </c>
      <c r="O108" s="28">
        <v>4239</v>
      </c>
    </row>
    <row r="109" spans="1:15" ht="12.75" customHeight="1">
      <c r="A109" s="8"/>
      <c r="B109" s="9" t="s">
        <v>201</v>
      </c>
      <c r="C109" s="29">
        <f t="shared" ref="C109:O109" si="24">SUM(C104:C108)</f>
        <v>287425</v>
      </c>
      <c r="D109" s="29">
        <f t="shared" si="24"/>
        <v>189757</v>
      </c>
      <c r="E109" s="29">
        <f t="shared" si="24"/>
        <v>8109</v>
      </c>
      <c r="F109" s="29">
        <f t="shared" si="24"/>
        <v>89559</v>
      </c>
      <c r="G109" s="29">
        <f t="shared" si="24"/>
        <v>1044519</v>
      </c>
      <c r="H109" s="29">
        <f t="shared" si="24"/>
        <v>436296</v>
      </c>
      <c r="I109" s="29">
        <f t="shared" si="24"/>
        <v>35840</v>
      </c>
      <c r="J109" s="29">
        <f t="shared" si="24"/>
        <v>572383</v>
      </c>
      <c r="K109" s="29">
        <f t="shared" si="24"/>
        <v>19017</v>
      </c>
      <c r="L109" s="29">
        <f t="shared" si="24"/>
        <v>0</v>
      </c>
      <c r="M109" s="29">
        <f t="shared" si="24"/>
        <v>64667</v>
      </c>
      <c r="N109" s="29">
        <f t="shared" si="24"/>
        <v>17534</v>
      </c>
      <c r="O109" s="29">
        <f t="shared" si="24"/>
        <v>17534</v>
      </c>
    </row>
    <row r="110" spans="1:15" ht="12.75" customHeight="1">
      <c r="A110" s="4" t="s">
        <v>202</v>
      </c>
      <c r="B110" s="5" t="s">
        <v>203</v>
      </c>
      <c r="C110" s="28">
        <v>72126</v>
      </c>
      <c r="D110" s="28">
        <v>60947</v>
      </c>
      <c r="E110" s="28">
        <v>812</v>
      </c>
      <c r="F110" s="28">
        <f t="shared" ref="F110:F115" si="25">SUM(C110-D110-E110)</f>
        <v>10367</v>
      </c>
      <c r="G110" s="28">
        <v>288971</v>
      </c>
      <c r="H110" s="28">
        <v>181396</v>
      </c>
      <c r="I110" s="28">
        <v>7086</v>
      </c>
      <c r="J110" s="28">
        <f t="shared" ref="J110:J115" si="26">SUM(G110-H110-I110)</f>
        <v>100489</v>
      </c>
      <c r="K110" s="28">
        <v>4595</v>
      </c>
      <c r="L110" s="28">
        <v>0</v>
      </c>
      <c r="M110" s="28">
        <v>21722</v>
      </c>
      <c r="N110" s="28">
        <v>2374</v>
      </c>
      <c r="O110" s="28">
        <v>2374</v>
      </c>
    </row>
    <row r="111" spans="1:15" ht="12.75" customHeight="1">
      <c r="A111" s="4" t="s">
        <v>204</v>
      </c>
      <c r="B111" s="5" t="s">
        <v>205</v>
      </c>
      <c r="C111" s="28">
        <v>7623</v>
      </c>
      <c r="D111" s="28">
        <v>7120</v>
      </c>
      <c r="E111" s="28">
        <v>175</v>
      </c>
      <c r="F111" s="28">
        <f t="shared" si="25"/>
        <v>328</v>
      </c>
      <c r="G111" s="28">
        <v>25424</v>
      </c>
      <c r="H111" s="28">
        <v>18647</v>
      </c>
      <c r="I111" s="28">
        <v>1173</v>
      </c>
      <c r="J111" s="28">
        <f t="shared" si="26"/>
        <v>5604</v>
      </c>
      <c r="K111" s="28">
        <v>166</v>
      </c>
      <c r="L111" s="28">
        <v>0</v>
      </c>
      <c r="M111" s="28">
        <v>2850</v>
      </c>
      <c r="N111" s="28">
        <v>0</v>
      </c>
      <c r="O111" s="28">
        <v>0</v>
      </c>
    </row>
    <row r="112" spans="1:15" ht="12.75" customHeight="1">
      <c r="A112" s="4" t="s">
        <v>206</v>
      </c>
      <c r="B112" s="5" t="s">
        <v>207</v>
      </c>
      <c r="C112" s="28">
        <v>22010</v>
      </c>
      <c r="D112" s="28">
        <v>18817</v>
      </c>
      <c r="E112" s="28">
        <v>0</v>
      </c>
      <c r="F112" s="28">
        <f t="shared" si="25"/>
        <v>3193</v>
      </c>
      <c r="G112" s="28">
        <v>69452</v>
      </c>
      <c r="H112" s="28">
        <v>55099</v>
      </c>
      <c r="I112" s="28">
        <v>0</v>
      </c>
      <c r="J112" s="28">
        <f t="shared" si="26"/>
        <v>14353</v>
      </c>
      <c r="K112" s="28">
        <v>1086</v>
      </c>
      <c r="L112" s="28">
        <v>8250</v>
      </c>
      <c r="M112" s="28">
        <v>3718</v>
      </c>
      <c r="N112" s="28">
        <v>34508</v>
      </c>
      <c r="O112" s="28">
        <v>34508</v>
      </c>
    </row>
    <row r="113" spans="1:15" ht="12.75" customHeight="1">
      <c r="A113" s="4" t="s">
        <v>208</v>
      </c>
      <c r="B113" s="5" t="s">
        <v>209</v>
      </c>
      <c r="C113" s="28">
        <v>23319</v>
      </c>
      <c r="D113" s="28">
        <v>16061</v>
      </c>
      <c r="E113" s="28">
        <v>925</v>
      </c>
      <c r="F113" s="28">
        <f t="shared" si="25"/>
        <v>6333</v>
      </c>
      <c r="G113" s="28">
        <v>84927</v>
      </c>
      <c r="H113" s="28">
        <v>47843</v>
      </c>
      <c r="I113" s="28">
        <v>5636</v>
      </c>
      <c r="J113" s="28">
        <f t="shared" si="26"/>
        <v>31448</v>
      </c>
      <c r="K113" s="28">
        <v>1534</v>
      </c>
      <c r="L113" s="28">
        <v>0</v>
      </c>
      <c r="M113" s="28">
        <v>20711</v>
      </c>
      <c r="N113" s="28">
        <v>140</v>
      </c>
      <c r="O113" s="28">
        <v>140</v>
      </c>
    </row>
    <row r="114" spans="1:15" ht="12.75" customHeight="1">
      <c r="A114" s="4" t="s">
        <v>210</v>
      </c>
      <c r="B114" s="5" t="s">
        <v>211</v>
      </c>
      <c r="C114" s="28">
        <v>89653</v>
      </c>
      <c r="D114" s="28">
        <v>44364</v>
      </c>
      <c r="E114" s="28">
        <v>0</v>
      </c>
      <c r="F114" s="28">
        <f t="shared" si="25"/>
        <v>45289</v>
      </c>
      <c r="G114" s="28">
        <v>254276</v>
      </c>
      <c r="H114" s="28">
        <v>101920</v>
      </c>
      <c r="I114" s="28">
        <v>0</v>
      </c>
      <c r="J114" s="28">
        <f t="shared" si="26"/>
        <v>152356</v>
      </c>
      <c r="K114" s="28">
        <v>16005</v>
      </c>
      <c r="L114" s="28">
        <v>0</v>
      </c>
      <c r="M114" s="28">
        <v>16500</v>
      </c>
      <c r="N114" s="28">
        <v>7033</v>
      </c>
      <c r="O114" s="28">
        <v>7033</v>
      </c>
    </row>
    <row r="115" spans="1:15" ht="12.75" customHeight="1">
      <c r="A115" s="4" t="s">
        <v>212</v>
      </c>
      <c r="B115" s="5" t="s">
        <v>213</v>
      </c>
      <c r="C115" s="28">
        <v>28228</v>
      </c>
      <c r="D115" s="28">
        <v>26118</v>
      </c>
      <c r="E115" s="28">
        <v>0</v>
      </c>
      <c r="F115" s="28">
        <f t="shared" si="25"/>
        <v>2110</v>
      </c>
      <c r="G115" s="28">
        <v>82595</v>
      </c>
      <c r="H115" s="28">
        <v>70463</v>
      </c>
      <c r="I115" s="28">
        <v>0</v>
      </c>
      <c r="J115" s="28">
        <f t="shared" si="26"/>
        <v>12132</v>
      </c>
      <c r="K115" s="28">
        <v>1670</v>
      </c>
      <c r="L115" s="28">
        <v>0</v>
      </c>
      <c r="M115" s="28">
        <v>3936</v>
      </c>
      <c r="N115" s="28">
        <v>1738</v>
      </c>
      <c r="O115" s="28">
        <v>1738</v>
      </c>
    </row>
    <row r="116" spans="1:15" ht="12.75" customHeight="1">
      <c r="A116" s="8"/>
      <c r="B116" s="9" t="s">
        <v>214</v>
      </c>
      <c r="C116" s="29">
        <f t="shared" ref="C116:O116" si="27">SUM(C110:C115)</f>
        <v>242959</v>
      </c>
      <c r="D116" s="29">
        <f t="shared" si="27"/>
        <v>173427</v>
      </c>
      <c r="E116" s="29">
        <f t="shared" si="27"/>
        <v>1912</v>
      </c>
      <c r="F116" s="29">
        <f t="shared" si="27"/>
        <v>67620</v>
      </c>
      <c r="G116" s="29">
        <f t="shared" si="27"/>
        <v>805645</v>
      </c>
      <c r="H116" s="29">
        <f t="shared" si="27"/>
        <v>475368</v>
      </c>
      <c r="I116" s="29">
        <f t="shared" si="27"/>
        <v>13895</v>
      </c>
      <c r="J116" s="29">
        <f t="shared" si="27"/>
        <v>316382</v>
      </c>
      <c r="K116" s="29">
        <f t="shared" si="27"/>
        <v>25056</v>
      </c>
      <c r="L116" s="29">
        <f t="shared" si="27"/>
        <v>8250</v>
      </c>
      <c r="M116" s="29">
        <f t="shared" si="27"/>
        <v>69437</v>
      </c>
      <c r="N116" s="29">
        <f t="shared" si="27"/>
        <v>45793</v>
      </c>
      <c r="O116" s="29">
        <f t="shared" si="27"/>
        <v>45793</v>
      </c>
    </row>
    <row r="117" spans="1:15" ht="12.75" customHeight="1">
      <c r="A117" s="4" t="s">
        <v>215</v>
      </c>
      <c r="B117" s="5" t="s">
        <v>216</v>
      </c>
      <c r="C117" s="28">
        <v>7990</v>
      </c>
      <c r="D117" s="28">
        <v>6332</v>
      </c>
      <c r="E117" s="28">
        <v>0</v>
      </c>
      <c r="F117" s="28">
        <f>SUM(C117-D117-E117)</f>
        <v>1658</v>
      </c>
      <c r="G117" s="28">
        <v>29859</v>
      </c>
      <c r="H117" s="28">
        <v>20360</v>
      </c>
      <c r="I117" s="28">
        <v>0</v>
      </c>
      <c r="J117" s="28">
        <f>SUM(G117-H117-I117)</f>
        <v>9499</v>
      </c>
      <c r="K117" s="28">
        <v>18</v>
      </c>
      <c r="L117" s="28">
        <v>0</v>
      </c>
      <c r="M117" s="28">
        <v>6398</v>
      </c>
      <c r="N117" s="28">
        <v>82</v>
      </c>
      <c r="O117" s="28">
        <v>82</v>
      </c>
    </row>
    <row r="118" spans="1:15" ht="12.75" customHeight="1">
      <c r="A118" s="4" t="s">
        <v>217</v>
      </c>
      <c r="B118" s="5" t="s">
        <v>218</v>
      </c>
      <c r="C118" s="28">
        <v>18778</v>
      </c>
      <c r="D118" s="28">
        <v>17184</v>
      </c>
      <c r="E118" s="28">
        <v>418</v>
      </c>
      <c r="F118" s="28">
        <f>SUM(C118-D118-E118)</f>
        <v>1176</v>
      </c>
      <c r="G118" s="28">
        <v>74847</v>
      </c>
      <c r="H118" s="28">
        <v>48474</v>
      </c>
      <c r="I118" s="28">
        <v>2756</v>
      </c>
      <c r="J118" s="28">
        <f>SUM(G118-H118-I118)</f>
        <v>23617</v>
      </c>
      <c r="K118" s="28">
        <v>356</v>
      </c>
      <c r="L118" s="28">
        <v>0</v>
      </c>
      <c r="M118" s="28">
        <v>5605</v>
      </c>
      <c r="N118" s="28">
        <v>2585</v>
      </c>
      <c r="O118" s="28">
        <v>2585</v>
      </c>
    </row>
    <row r="119" spans="1:15" ht="12.75" customHeight="1">
      <c r="A119" s="8"/>
      <c r="B119" s="9" t="s">
        <v>219</v>
      </c>
      <c r="C119" s="29">
        <f t="shared" ref="C119:O119" si="28">SUM(C117:C118)</f>
        <v>26768</v>
      </c>
      <c r="D119" s="29">
        <f t="shared" si="28"/>
        <v>23516</v>
      </c>
      <c r="E119" s="29">
        <f t="shared" si="28"/>
        <v>418</v>
      </c>
      <c r="F119" s="29">
        <f t="shared" si="28"/>
        <v>2834</v>
      </c>
      <c r="G119" s="29">
        <f t="shared" si="28"/>
        <v>104706</v>
      </c>
      <c r="H119" s="29">
        <f t="shared" si="28"/>
        <v>68834</v>
      </c>
      <c r="I119" s="29">
        <f t="shared" si="28"/>
        <v>2756</v>
      </c>
      <c r="J119" s="29">
        <f t="shared" si="28"/>
        <v>33116</v>
      </c>
      <c r="K119" s="29">
        <f t="shared" si="28"/>
        <v>374</v>
      </c>
      <c r="L119" s="29">
        <f t="shared" si="28"/>
        <v>0</v>
      </c>
      <c r="M119" s="29">
        <f t="shared" si="28"/>
        <v>12003</v>
      </c>
      <c r="N119" s="29">
        <f t="shared" si="28"/>
        <v>2667</v>
      </c>
      <c r="O119" s="29">
        <f t="shared" si="28"/>
        <v>2667</v>
      </c>
    </row>
    <row r="120" spans="1:15" ht="12.75" customHeight="1">
      <c r="A120" s="4" t="s">
        <v>220</v>
      </c>
      <c r="B120" s="5" t="s">
        <v>221</v>
      </c>
      <c r="C120" s="28">
        <v>22558</v>
      </c>
      <c r="D120" s="28">
        <v>21058</v>
      </c>
      <c r="E120" s="28">
        <v>327</v>
      </c>
      <c r="F120" s="28">
        <f>SUM(C120-D120-E120)</f>
        <v>1173</v>
      </c>
      <c r="G120" s="28">
        <v>68279</v>
      </c>
      <c r="H120" s="28">
        <v>55000</v>
      </c>
      <c r="I120" s="28">
        <v>3654</v>
      </c>
      <c r="J120" s="28">
        <f>SUM(G120-H120-I120)</f>
        <v>9625</v>
      </c>
      <c r="K120" s="28">
        <v>2854</v>
      </c>
      <c r="L120" s="28">
        <v>0</v>
      </c>
      <c r="M120" s="28">
        <v>3404</v>
      </c>
      <c r="N120" s="28">
        <v>1595</v>
      </c>
      <c r="O120" s="28">
        <v>1595</v>
      </c>
    </row>
    <row r="121" spans="1:15" ht="12.75" customHeight="1">
      <c r="A121" s="4" t="s">
        <v>222</v>
      </c>
      <c r="B121" s="5" t="s">
        <v>223</v>
      </c>
      <c r="C121" s="28">
        <v>37117</v>
      </c>
      <c r="D121" s="28">
        <v>33843</v>
      </c>
      <c r="E121" s="28">
        <v>938</v>
      </c>
      <c r="F121" s="28">
        <f>SUM(C121-D121-E121)</f>
        <v>2336</v>
      </c>
      <c r="G121" s="28">
        <v>120962</v>
      </c>
      <c r="H121" s="28">
        <v>91778</v>
      </c>
      <c r="I121" s="28">
        <v>6525</v>
      </c>
      <c r="J121" s="28">
        <f>SUM(G121-H121-I121)</f>
        <v>22659</v>
      </c>
      <c r="K121" s="28">
        <v>418</v>
      </c>
      <c r="L121" s="28">
        <v>11</v>
      </c>
      <c r="M121" s="28">
        <v>4847</v>
      </c>
      <c r="N121" s="28">
        <v>96</v>
      </c>
      <c r="O121" s="28">
        <v>96</v>
      </c>
    </row>
    <row r="122" spans="1:15" ht="12.75" customHeight="1">
      <c r="A122" s="4" t="s">
        <v>224</v>
      </c>
      <c r="B122" s="5" t="s">
        <v>225</v>
      </c>
      <c r="C122" s="28">
        <v>6826</v>
      </c>
      <c r="D122" s="28">
        <v>5613</v>
      </c>
      <c r="E122" s="28">
        <v>0</v>
      </c>
      <c r="F122" s="28">
        <f>SUM(C122-D122-E122)</f>
        <v>1213</v>
      </c>
      <c r="G122" s="28">
        <v>22136</v>
      </c>
      <c r="H122" s="28">
        <v>14821</v>
      </c>
      <c r="I122" s="28">
        <v>0</v>
      </c>
      <c r="J122" s="28">
        <f>SUM(G122-H122-I122)</f>
        <v>7315</v>
      </c>
      <c r="K122" s="28">
        <v>97</v>
      </c>
      <c r="L122" s="28">
        <v>0</v>
      </c>
      <c r="M122" s="28">
        <v>6833</v>
      </c>
      <c r="N122" s="28">
        <v>15</v>
      </c>
      <c r="O122" s="28">
        <v>15</v>
      </c>
    </row>
    <row r="123" spans="1:15" ht="12.75" customHeight="1">
      <c r="A123" s="4" t="s">
        <v>226</v>
      </c>
      <c r="B123" s="5" t="s">
        <v>227</v>
      </c>
      <c r="C123" s="28">
        <v>31323</v>
      </c>
      <c r="D123" s="28">
        <v>28657</v>
      </c>
      <c r="E123" s="28">
        <v>420</v>
      </c>
      <c r="F123" s="28">
        <f>SUM(C123-D123-E123)</f>
        <v>2246</v>
      </c>
      <c r="G123" s="28">
        <v>85491</v>
      </c>
      <c r="H123" s="28">
        <v>67089</v>
      </c>
      <c r="I123" s="28">
        <v>3091</v>
      </c>
      <c r="J123" s="28">
        <f>SUM(G123-H123-I123)</f>
        <v>15311</v>
      </c>
      <c r="K123" s="28">
        <v>1422</v>
      </c>
      <c r="L123" s="28">
        <v>0</v>
      </c>
      <c r="M123" s="28">
        <v>2866</v>
      </c>
      <c r="N123" s="28">
        <v>337</v>
      </c>
      <c r="O123" s="28">
        <v>337</v>
      </c>
    </row>
    <row r="124" spans="1:15" ht="12.75" customHeight="1">
      <c r="A124" s="4" t="s">
        <v>228</v>
      </c>
      <c r="B124" s="5" t="s">
        <v>229</v>
      </c>
      <c r="C124" s="28">
        <v>8756</v>
      </c>
      <c r="D124" s="28">
        <v>8375</v>
      </c>
      <c r="E124" s="28">
        <v>168</v>
      </c>
      <c r="F124" s="28">
        <f>SUM(C124-D124-E124)</f>
        <v>213</v>
      </c>
      <c r="G124" s="28">
        <v>23996</v>
      </c>
      <c r="H124" s="28">
        <v>19634</v>
      </c>
      <c r="I124" s="28">
        <v>1506</v>
      </c>
      <c r="J124" s="28">
        <f>SUM(G124-H124-I124)</f>
        <v>2856</v>
      </c>
      <c r="K124" s="28">
        <v>387</v>
      </c>
      <c r="L124" s="28">
        <v>0</v>
      </c>
      <c r="M124" s="28">
        <v>453</v>
      </c>
      <c r="N124" s="28">
        <v>258</v>
      </c>
      <c r="O124" s="28">
        <v>258</v>
      </c>
    </row>
    <row r="125" spans="1:15" ht="12.75" customHeight="1">
      <c r="A125" s="8"/>
      <c r="B125" s="9" t="s">
        <v>230</v>
      </c>
      <c r="C125" s="29">
        <f t="shared" ref="C125:O125" si="29">SUM(C120:C124)</f>
        <v>106580</v>
      </c>
      <c r="D125" s="29">
        <f t="shared" si="29"/>
        <v>97546</v>
      </c>
      <c r="E125" s="29">
        <f t="shared" si="29"/>
        <v>1853</v>
      </c>
      <c r="F125" s="29">
        <f t="shared" si="29"/>
        <v>7181</v>
      </c>
      <c r="G125" s="29">
        <f t="shared" si="29"/>
        <v>320864</v>
      </c>
      <c r="H125" s="29">
        <f t="shared" si="29"/>
        <v>248322</v>
      </c>
      <c r="I125" s="29">
        <f t="shared" si="29"/>
        <v>14776</v>
      </c>
      <c r="J125" s="29">
        <f t="shared" si="29"/>
        <v>57766</v>
      </c>
      <c r="K125" s="29">
        <f t="shared" si="29"/>
        <v>5178</v>
      </c>
      <c r="L125" s="29">
        <f t="shared" si="29"/>
        <v>11</v>
      </c>
      <c r="M125" s="29">
        <f t="shared" si="29"/>
        <v>18403</v>
      </c>
      <c r="N125" s="29">
        <f t="shared" si="29"/>
        <v>2301</v>
      </c>
      <c r="O125" s="29">
        <f t="shared" si="29"/>
        <v>2301</v>
      </c>
    </row>
    <row r="126" spans="1:15" ht="12.75" customHeight="1">
      <c r="A126" s="4" t="s">
        <v>231</v>
      </c>
      <c r="B126" s="5" t="s">
        <v>232</v>
      </c>
      <c r="C126" s="28">
        <v>22889</v>
      </c>
      <c r="D126" s="28">
        <v>18928</v>
      </c>
      <c r="E126" s="28">
        <v>0</v>
      </c>
      <c r="F126" s="28">
        <f t="shared" ref="F126:F134" si="30">SUM(C126-D126-E126)</f>
        <v>3961</v>
      </c>
      <c r="G126" s="28">
        <v>57503</v>
      </c>
      <c r="H126" s="28">
        <v>39912</v>
      </c>
      <c r="I126" s="28">
        <v>0</v>
      </c>
      <c r="J126" s="28">
        <f t="shared" ref="J126:J134" si="31">SUM(G126-H126-I126)</f>
        <v>17591</v>
      </c>
      <c r="K126" s="28">
        <v>236</v>
      </c>
      <c r="L126" s="28">
        <v>77</v>
      </c>
      <c r="M126" s="28">
        <v>7203</v>
      </c>
      <c r="N126" s="28">
        <v>4607</v>
      </c>
      <c r="O126" s="28">
        <v>4607</v>
      </c>
    </row>
    <row r="127" spans="1:15" ht="12.75" customHeight="1">
      <c r="A127" s="4" t="s">
        <v>233</v>
      </c>
      <c r="B127" s="5" t="s">
        <v>234</v>
      </c>
      <c r="C127" s="28">
        <v>12688</v>
      </c>
      <c r="D127" s="28">
        <v>10603</v>
      </c>
      <c r="E127" s="28">
        <v>0</v>
      </c>
      <c r="F127" s="28">
        <f t="shared" si="30"/>
        <v>2085</v>
      </c>
      <c r="G127" s="28">
        <v>35239</v>
      </c>
      <c r="H127" s="28">
        <v>28478</v>
      </c>
      <c r="I127" s="28">
        <v>0</v>
      </c>
      <c r="J127" s="28">
        <f t="shared" si="31"/>
        <v>6761</v>
      </c>
      <c r="K127" s="28">
        <v>194</v>
      </c>
      <c r="L127" s="28">
        <v>0</v>
      </c>
      <c r="M127" s="28">
        <v>2327</v>
      </c>
      <c r="N127" s="28">
        <v>186</v>
      </c>
      <c r="O127" s="28">
        <v>186</v>
      </c>
    </row>
    <row r="128" spans="1:15" ht="12.75" customHeight="1">
      <c r="A128" s="4" t="s">
        <v>235</v>
      </c>
      <c r="B128" s="5" t="s">
        <v>236</v>
      </c>
      <c r="C128" s="28">
        <v>88767</v>
      </c>
      <c r="D128" s="28">
        <v>66062</v>
      </c>
      <c r="E128" s="28">
        <v>1491</v>
      </c>
      <c r="F128" s="28">
        <f t="shared" si="30"/>
        <v>21214</v>
      </c>
      <c r="G128" s="28">
        <v>218614</v>
      </c>
      <c r="H128" s="28">
        <v>133638</v>
      </c>
      <c r="I128" s="28">
        <v>7030</v>
      </c>
      <c r="J128" s="28">
        <f t="shared" si="31"/>
        <v>77946</v>
      </c>
      <c r="K128" s="28">
        <v>3772</v>
      </c>
      <c r="L128" s="28">
        <v>0</v>
      </c>
      <c r="M128" s="28">
        <v>11080</v>
      </c>
      <c r="N128" s="28">
        <v>1709</v>
      </c>
      <c r="O128" s="28">
        <v>1709</v>
      </c>
    </row>
    <row r="129" spans="1:15" ht="12.75" customHeight="1">
      <c r="A129" s="4" t="s">
        <v>237</v>
      </c>
      <c r="B129" s="5" t="s">
        <v>238</v>
      </c>
      <c r="C129" s="28">
        <v>7093</v>
      </c>
      <c r="D129" s="28">
        <v>5525</v>
      </c>
      <c r="E129" s="28">
        <v>351</v>
      </c>
      <c r="F129" s="28">
        <f t="shared" si="30"/>
        <v>1217</v>
      </c>
      <c r="G129" s="28">
        <v>28722</v>
      </c>
      <c r="H129" s="28">
        <v>13563</v>
      </c>
      <c r="I129" s="28">
        <v>2802</v>
      </c>
      <c r="J129" s="28">
        <f t="shared" si="31"/>
        <v>12357</v>
      </c>
      <c r="K129" s="28">
        <v>338</v>
      </c>
      <c r="L129" s="28">
        <v>0</v>
      </c>
      <c r="M129" s="28">
        <v>7284</v>
      </c>
      <c r="N129" s="28">
        <v>265</v>
      </c>
      <c r="O129" s="28">
        <v>265</v>
      </c>
    </row>
    <row r="130" spans="1:15" ht="12.75" customHeight="1">
      <c r="A130" s="4" t="s">
        <v>239</v>
      </c>
      <c r="B130" s="5" t="s">
        <v>240</v>
      </c>
      <c r="C130" s="28">
        <v>44945</v>
      </c>
      <c r="D130" s="28">
        <v>38717</v>
      </c>
      <c r="E130" s="28">
        <v>2560</v>
      </c>
      <c r="F130" s="28">
        <f t="shared" si="30"/>
        <v>3668</v>
      </c>
      <c r="G130" s="28">
        <v>114185</v>
      </c>
      <c r="H130" s="28">
        <v>59577</v>
      </c>
      <c r="I130" s="28">
        <v>11699</v>
      </c>
      <c r="J130" s="28">
        <f t="shared" si="31"/>
        <v>42909</v>
      </c>
      <c r="K130" s="28">
        <v>1326</v>
      </c>
      <c r="L130" s="28">
        <v>3900</v>
      </c>
      <c r="M130" s="28">
        <v>517</v>
      </c>
      <c r="N130" s="28">
        <v>521745</v>
      </c>
      <c r="O130" s="28">
        <v>30339</v>
      </c>
    </row>
    <row r="131" spans="1:15" ht="12.75" customHeight="1">
      <c r="A131" s="4" t="s">
        <v>241</v>
      </c>
      <c r="B131" s="5" t="s">
        <v>242</v>
      </c>
      <c r="C131" s="28">
        <v>87101</v>
      </c>
      <c r="D131" s="28">
        <v>72842</v>
      </c>
      <c r="E131" s="28">
        <v>588</v>
      </c>
      <c r="F131" s="28">
        <f t="shared" si="30"/>
        <v>13671</v>
      </c>
      <c r="G131" s="28">
        <v>190878</v>
      </c>
      <c r="H131" s="28">
        <v>107289</v>
      </c>
      <c r="I131" s="28">
        <v>3116</v>
      </c>
      <c r="J131" s="28">
        <f t="shared" si="31"/>
        <v>80473</v>
      </c>
      <c r="K131" s="28">
        <v>2322</v>
      </c>
      <c r="L131" s="28">
        <v>53</v>
      </c>
      <c r="M131" s="28">
        <v>3511</v>
      </c>
      <c r="N131" s="28">
        <v>846</v>
      </c>
      <c r="O131" s="28">
        <v>846</v>
      </c>
    </row>
    <row r="132" spans="1:15" ht="12.75" customHeight="1">
      <c r="A132" s="4" t="s">
        <v>243</v>
      </c>
      <c r="B132" s="5" t="s">
        <v>244</v>
      </c>
      <c r="C132" s="28">
        <v>35769</v>
      </c>
      <c r="D132" s="28">
        <v>29696</v>
      </c>
      <c r="E132" s="28">
        <v>0</v>
      </c>
      <c r="F132" s="28">
        <f t="shared" si="30"/>
        <v>6073</v>
      </c>
      <c r="G132" s="28">
        <v>105101</v>
      </c>
      <c r="H132" s="28">
        <v>67302</v>
      </c>
      <c r="I132" s="28">
        <v>0</v>
      </c>
      <c r="J132" s="28">
        <f t="shared" si="31"/>
        <v>37799</v>
      </c>
      <c r="K132" s="28">
        <v>5193</v>
      </c>
      <c r="L132" s="28">
        <v>0</v>
      </c>
      <c r="M132" s="28">
        <v>7333</v>
      </c>
      <c r="N132" s="28">
        <v>203</v>
      </c>
      <c r="O132" s="28">
        <v>203</v>
      </c>
    </row>
    <row r="133" spans="1:15" ht="12.75" customHeight="1">
      <c r="A133" s="4" t="s">
        <v>245</v>
      </c>
      <c r="B133" s="5" t="s">
        <v>246</v>
      </c>
      <c r="C133" s="28">
        <v>29098</v>
      </c>
      <c r="D133" s="28">
        <v>25880</v>
      </c>
      <c r="E133" s="28">
        <v>0</v>
      </c>
      <c r="F133" s="28">
        <f t="shared" si="30"/>
        <v>3218</v>
      </c>
      <c r="G133" s="28">
        <v>75386</v>
      </c>
      <c r="H133" s="28">
        <v>54590</v>
      </c>
      <c r="I133" s="28">
        <v>0</v>
      </c>
      <c r="J133" s="28">
        <f t="shared" si="31"/>
        <v>20796</v>
      </c>
      <c r="K133" s="28">
        <v>1001</v>
      </c>
      <c r="L133" s="28">
        <v>291</v>
      </c>
      <c r="M133" s="28">
        <v>5687</v>
      </c>
      <c r="N133" s="28">
        <v>8495</v>
      </c>
      <c r="O133" s="28">
        <v>8495</v>
      </c>
    </row>
    <row r="134" spans="1:15" ht="12.75" customHeight="1">
      <c r="A134" s="4" t="s">
        <v>247</v>
      </c>
      <c r="B134" s="5" t="s">
        <v>248</v>
      </c>
      <c r="C134" s="28">
        <v>25276</v>
      </c>
      <c r="D134" s="28">
        <v>18078</v>
      </c>
      <c r="E134" s="28">
        <v>0</v>
      </c>
      <c r="F134" s="28">
        <f t="shared" si="30"/>
        <v>7198</v>
      </c>
      <c r="G134" s="28">
        <v>95962</v>
      </c>
      <c r="H134" s="28">
        <v>33752</v>
      </c>
      <c r="I134" s="28">
        <v>0</v>
      </c>
      <c r="J134" s="28">
        <f t="shared" si="31"/>
        <v>62210</v>
      </c>
      <c r="K134" s="28">
        <v>211</v>
      </c>
      <c r="L134" s="28">
        <v>0</v>
      </c>
      <c r="M134" s="28">
        <v>7466</v>
      </c>
      <c r="N134" s="28">
        <v>30</v>
      </c>
      <c r="O134" s="28">
        <v>30</v>
      </c>
    </row>
    <row r="135" spans="1:15" ht="12.75" customHeight="1">
      <c r="A135" s="10"/>
      <c r="B135" s="9" t="s">
        <v>249</v>
      </c>
      <c r="C135" s="29">
        <f t="shared" ref="C135:O135" si="32">SUM(C126:C134)</f>
        <v>353626</v>
      </c>
      <c r="D135" s="29">
        <f t="shared" si="32"/>
        <v>286331</v>
      </c>
      <c r="E135" s="29">
        <f t="shared" si="32"/>
        <v>4990</v>
      </c>
      <c r="F135" s="29">
        <f t="shared" si="32"/>
        <v>62305</v>
      </c>
      <c r="G135" s="29">
        <f t="shared" si="32"/>
        <v>921590</v>
      </c>
      <c r="H135" s="29">
        <f t="shared" si="32"/>
        <v>538101</v>
      </c>
      <c r="I135" s="29">
        <f t="shared" si="32"/>
        <v>24647</v>
      </c>
      <c r="J135" s="29">
        <f t="shared" si="32"/>
        <v>358842</v>
      </c>
      <c r="K135" s="29">
        <f t="shared" si="32"/>
        <v>14593</v>
      </c>
      <c r="L135" s="29">
        <f t="shared" si="32"/>
        <v>4321</v>
      </c>
      <c r="M135" s="29">
        <f t="shared" si="32"/>
        <v>52408</v>
      </c>
      <c r="N135" s="29">
        <f t="shared" si="32"/>
        <v>538086</v>
      </c>
      <c r="O135" s="29">
        <f t="shared" si="32"/>
        <v>46680</v>
      </c>
    </row>
    <row r="136" spans="1:15" ht="12.75" customHeight="1">
      <c r="A136" s="4" t="s">
        <v>250</v>
      </c>
      <c r="B136" s="5" t="s">
        <v>251</v>
      </c>
      <c r="C136" s="28">
        <v>53468</v>
      </c>
      <c r="D136" s="28">
        <v>50343</v>
      </c>
      <c r="E136" s="28">
        <v>0</v>
      </c>
      <c r="F136" s="28">
        <f t="shared" ref="F136:F143" si="33">SUM(C136-D136-E136)</f>
        <v>3125</v>
      </c>
      <c r="G136" s="28">
        <v>118397</v>
      </c>
      <c r="H136" s="28">
        <v>95831</v>
      </c>
      <c r="I136" s="28">
        <v>0</v>
      </c>
      <c r="J136" s="28">
        <f t="shared" ref="J136:J143" si="34">SUM(G136-H136-I136)</f>
        <v>22566</v>
      </c>
      <c r="K136" s="28">
        <v>12456</v>
      </c>
      <c r="L136" s="28">
        <v>5013</v>
      </c>
      <c r="M136" s="28">
        <v>8002</v>
      </c>
      <c r="N136" s="28">
        <v>23083</v>
      </c>
      <c r="O136" s="28">
        <v>20352</v>
      </c>
    </row>
    <row r="137" spans="1:15" ht="12.75" customHeight="1">
      <c r="A137" s="4" t="s">
        <v>252</v>
      </c>
      <c r="B137" s="5" t="s">
        <v>253</v>
      </c>
      <c r="C137" s="28">
        <v>6136</v>
      </c>
      <c r="D137" s="28">
        <v>4648</v>
      </c>
      <c r="E137" s="28">
        <v>0</v>
      </c>
      <c r="F137" s="28">
        <f t="shared" si="33"/>
        <v>1488</v>
      </c>
      <c r="G137" s="28">
        <v>11799</v>
      </c>
      <c r="H137" s="28">
        <v>8948</v>
      </c>
      <c r="I137" s="28">
        <v>0</v>
      </c>
      <c r="J137" s="28">
        <f t="shared" si="34"/>
        <v>2851</v>
      </c>
      <c r="K137" s="28">
        <v>277</v>
      </c>
      <c r="L137" s="28">
        <v>0</v>
      </c>
      <c r="M137" s="28">
        <v>0</v>
      </c>
      <c r="N137" s="28">
        <v>7</v>
      </c>
      <c r="O137" s="28">
        <v>7</v>
      </c>
    </row>
    <row r="138" spans="1:15" ht="12.75" customHeight="1">
      <c r="A138" s="4" t="s">
        <v>254</v>
      </c>
      <c r="B138" s="5" t="s">
        <v>255</v>
      </c>
      <c r="C138" s="28">
        <v>3274</v>
      </c>
      <c r="D138" s="28">
        <v>2980</v>
      </c>
      <c r="E138" s="28">
        <v>0</v>
      </c>
      <c r="F138" s="28">
        <f t="shared" si="33"/>
        <v>294</v>
      </c>
      <c r="G138" s="28">
        <v>7534</v>
      </c>
      <c r="H138" s="28">
        <v>7016</v>
      </c>
      <c r="I138" s="28">
        <v>0</v>
      </c>
      <c r="J138" s="28">
        <f t="shared" si="34"/>
        <v>518</v>
      </c>
      <c r="K138" s="28">
        <v>66</v>
      </c>
      <c r="L138" s="28">
        <v>0</v>
      </c>
      <c r="M138" s="28">
        <v>397</v>
      </c>
      <c r="N138" s="28">
        <v>1185</v>
      </c>
      <c r="O138" s="28">
        <v>177</v>
      </c>
    </row>
    <row r="139" spans="1:15" ht="12.75" customHeight="1">
      <c r="A139" s="4" t="s">
        <v>256</v>
      </c>
      <c r="B139" s="5" t="s">
        <v>257</v>
      </c>
      <c r="C139" s="28">
        <v>12861</v>
      </c>
      <c r="D139" s="28">
        <v>12508</v>
      </c>
      <c r="E139" s="28">
        <v>0</v>
      </c>
      <c r="F139" s="28">
        <f t="shared" si="33"/>
        <v>353</v>
      </c>
      <c r="G139" s="28">
        <v>33457</v>
      </c>
      <c r="H139" s="28">
        <v>30002</v>
      </c>
      <c r="I139" s="28">
        <v>0</v>
      </c>
      <c r="J139" s="28">
        <f t="shared" si="34"/>
        <v>3455</v>
      </c>
      <c r="K139" s="28">
        <v>7537</v>
      </c>
      <c r="L139" s="28">
        <v>50</v>
      </c>
      <c r="M139" s="28">
        <v>4942</v>
      </c>
      <c r="N139" s="28">
        <v>1026</v>
      </c>
      <c r="O139" s="28">
        <v>993</v>
      </c>
    </row>
    <row r="140" spans="1:15" ht="12.75" customHeight="1">
      <c r="A140" s="4" t="s">
        <v>258</v>
      </c>
      <c r="B140" s="5" t="s">
        <v>259</v>
      </c>
      <c r="C140" s="28">
        <v>2384</v>
      </c>
      <c r="D140" s="28">
        <v>1815</v>
      </c>
      <c r="E140" s="28">
        <v>0</v>
      </c>
      <c r="F140" s="28">
        <f t="shared" si="33"/>
        <v>569</v>
      </c>
      <c r="G140" s="28">
        <v>5149</v>
      </c>
      <c r="H140" s="28">
        <v>3610</v>
      </c>
      <c r="I140" s="28">
        <v>0</v>
      </c>
      <c r="J140" s="28">
        <f t="shared" si="34"/>
        <v>1539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10154</v>
      </c>
      <c r="D141" s="28">
        <v>9215</v>
      </c>
      <c r="E141" s="28">
        <v>0</v>
      </c>
      <c r="F141" s="28">
        <f t="shared" si="33"/>
        <v>939</v>
      </c>
      <c r="G141" s="28">
        <v>22916</v>
      </c>
      <c r="H141" s="28">
        <v>17100</v>
      </c>
      <c r="I141" s="28">
        <v>0</v>
      </c>
      <c r="J141" s="28">
        <f t="shared" si="34"/>
        <v>5816</v>
      </c>
      <c r="K141" s="28">
        <v>2906</v>
      </c>
      <c r="L141" s="28">
        <v>0</v>
      </c>
      <c r="M141" s="28">
        <v>988</v>
      </c>
      <c r="N141" s="28">
        <v>1435</v>
      </c>
      <c r="O141" s="28">
        <v>1435</v>
      </c>
    </row>
    <row r="142" spans="1:15" ht="12.75" customHeight="1">
      <c r="A142" s="4" t="s">
        <v>262</v>
      </c>
      <c r="B142" s="5" t="s">
        <v>263</v>
      </c>
      <c r="C142" s="28">
        <v>12511</v>
      </c>
      <c r="D142" s="28">
        <v>9162</v>
      </c>
      <c r="E142" s="28">
        <v>0</v>
      </c>
      <c r="F142" s="28">
        <f t="shared" si="33"/>
        <v>3349</v>
      </c>
      <c r="G142" s="28">
        <v>37320</v>
      </c>
      <c r="H142" s="28">
        <v>27962</v>
      </c>
      <c r="I142" s="28">
        <v>0</v>
      </c>
      <c r="J142" s="28">
        <f t="shared" si="34"/>
        <v>9358</v>
      </c>
      <c r="K142" s="28">
        <v>6327</v>
      </c>
      <c r="L142" s="28">
        <v>0</v>
      </c>
      <c r="M142" s="28">
        <v>7173</v>
      </c>
      <c r="N142" s="28">
        <v>3984</v>
      </c>
      <c r="O142" s="28">
        <v>3621</v>
      </c>
    </row>
    <row r="143" spans="1:15" ht="12.75" customHeight="1">
      <c r="A143" s="4" t="s">
        <v>264</v>
      </c>
      <c r="B143" s="5" t="s">
        <v>265</v>
      </c>
      <c r="C143" s="28">
        <v>37924</v>
      </c>
      <c r="D143" s="28">
        <v>31605</v>
      </c>
      <c r="E143" s="28">
        <v>0</v>
      </c>
      <c r="F143" s="28">
        <f t="shared" si="33"/>
        <v>6319</v>
      </c>
      <c r="G143" s="28">
        <v>104967</v>
      </c>
      <c r="H143" s="28">
        <v>51868</v>
      </c>
      <c r="I143" s="28">
        <v>0</v>
      </c>
      <c r="J143" s="28">
        <f t="shared" si="34"/>
        <v>53099</v>
      </c>
      <c r="K143" s="28">
        <v>25644</v>
      </c>
      <c r="L143" s="28">
        <v>0</v>
      </c>
      <c r="M143" s="28">
        <v>7957</v>
      </c>
      <c r="N143" s="28">
        <v>9470</v>
      </c>
      <c r="O143" s="28">
        <v>8823</v>
      </c>
    </row>
    <row r="144" spans="1:15" ht="12.75" customHeight="1">
      <c r="A144" s="10"/>
      <c r="B144" s="9" t="s">
        <v>266</v>
      </c>
      <c r="C144" s="30">
        <f t="shared" ref="C144:O144" si="35">SUM(C136:C143)</f>
        <v>138712</v>
      </c>
      <c r="D144" s="30">
        <f t="shared" si="35"/>
        <v>122276</v>
      </c>
      <c r="E144" s="30">
        <f t="shared" si="35"/>
        <v>0</v>
      </c>
      <c r="F144" s="30">
        <f t="shared" si="35"/>
        <v>16436</v>
      </c>
      <c r="G144" s="30">
        <f t="shared" si="35"/>
        <v>341539</v>
      </c>
      <c r="H144" s="30">
        <f t="shared" si="35"/>
        <v>242337</v>
      </c>
      <c r="I144" s="30">
        <f t="shared" si="35"/>
        <v>0</v>
      </c>
      <c r="J144" s="30">
        <f t="shared" si="35"/>
        <v>99202</v>
      </c>
      <c r="K144" s="30">
        <f t="shared" si="35"/>
        <v>55213</v>
      </c>
      <c r="L144" s="30">
        <f t="shared" si="35"/>
        <v>5063</v>
      </c>
      <c r="M144" s="30">
        <f t="shared" si="35"/>
        <v>29459</v>
      </c>
      <c r="N144" s="30">
        <f t="shared" si="35"/>
        <v>40190</v>
      </c>
      <c r="O144" s="30">
        <f t="shared" si="35"/>
        <v>35408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4538571</v>
      </c>
      <c r="D145" s="31">
        <f t="shared" si="36"/>
        <v>3354029</v>
      </c>
      <c r="E145" s="31">
        <f t="shared" si="36"/>
        <v>133437</v>
      </c>
      <c r="F145" s="31">
        <f t="shared" si="36"/>
        <v>1051105</v>
      </c>
      <c r="G145" s="31">
        <f t="shared" si="36"/>
        <v>13541846</v>
      </c>
      <c r="H145" s="31">
        <f t="shared" si="36"/>
        <v>6912428</v>
      </c>
      <c r="I145" s="31">
        <f t="shared" si="36"/>
        <v>655670</v>
      </c>
      <c r="J145" s="31">
        <f t="shared" si="36"/>
        <v>5973748</v>
      </c>
      <c r="K145" s="31">
        <f t="shared" si="36"/>
        <v>600875</v>
      </c>
      <c r="L145" s="31">
        <f t="shared" si="36"/>
        <v>29808</v>
      </c>
      <c r="M145" s="31">
        <f t="shared" si="36"/>
        <v>1050703</v>
      </c>
      <c r="N145" s="31">
        <f t="shared" si="36"/>
        <v>1079235</v>
      </c>
      <c r="O145" s="31">
        <f t="shared" si="36"/>
        <v>396502</v>
      </c>
    </row>
  </sheetData>
  <mergeCells count="29">
    <mergeCell ref="A1:D1"/>
    <mergeCell ref="E1:L1"/>
    <mergeCell ref="A2:D2"/>
    <mergeCell ref="A3:C3"/>
    <mergeCell ref="E3:L3"/>
    <mergeCell ref="A4:C4"/>
    <mergeCell ref="E4:L4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G12:G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2016-01-18T15:35:21Z</dcterms:modified>
</cp:coreProperties>
</file>