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F15" i="2"/>
  <c r="J15"/>
  <c r="F16"/>
  <c r="J16"/>
  <c r="F17"/>
  <c r="J17"/>
  <c r="F18"/>
  <c r="J18"/>
  <c r="F19"/>
  <c r="J19"/>
  <c r="F20"/>
  <c r="J20"/>
  <c r="F21"/>
  <c r="J21"/>
  <c r="F22"/>
  <c r="J22"/>
  <c r="C23"/>
  <c r="D23"/>
  <c r="E23"/>
  <c r="F23"/>
  <c r="G23"/>
  <c r="H23"/>
  <c r="I23"/>
  <c r="J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J26"/>
  <c r="F27"/>
  <c r="J27"/>
  <c r="F28"/>
  <c r="J28"/>
  <c r="F29"/>
  <c r="J29"/>
  <c r="C30"/>
  <c r="D30"/>
  <c r="E30"/>
  <c r="F30"/>
  <c r="G30"/>
  <c r="H30"/>
  <c r="I30"/>
  <c r="J30"/>
  <c r="K30"/>
  <c r="L30"/>
  <c r="M30"/>
  <c r="N30"/>
  <c r="O30"/>
  <c r="F31"/>
  <c r="J31"/>
  <c r="F32"/>
  <c r="F43" s="1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J43"/>
  <c r="K43"/>
  <c r="L43"/>
  <c r="M43"/>
  <c r="N43"/>
  <c r="O43"/>
  <c r="F44"/>
  <c r="J44"/>
  <c r="J46" s="1"/>
  <c r="F45"/>
  <c r="F46" s="1"/>
  <c r="J45"/>
  <c r="C46"/>
  <c r="D46"/>
  <c r="E46"/>
  <c r="G46"/>
  <c r="H46"/>
  <c r="I46"/>
  <c r="K46"/>
  <c r="L46"/>
  <c r="M46"/>
  <c r="N46"/>
  <c r="O46"/>
  <c r="F47"/>
  <c r="F51" s="1"/>
  <c r="J47"/>
  <c r="J51" s="1"/>
  <c r="F48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J59" s="1"/>
  <c r="F54"/>
  <c r="J54"/>
  <c r="F55"/>
  <c r="J55"/>
  <c r="F56"/>
  <c r="J56"/>
  <c r="F57"/>
  <c r="J57"/>
  <c r="F58"/>
  <c r="J58"/>
  <c r="C59"/>
  <c r="D59"/>
  <c r="E59"/>
  <c r="G59"/>
  <c r="H59"/>
  <c r="I59"/>
  <c r="K59"/>
  <c r="L59"/>
  <c r="M59"/>
  <c r="N59"/>
  <c r="O59"/>
  <c r="F60"/>
  <c r="F69" s="1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J69"/>
  <c r="K69"/>
  <c r="L69"/>
  <c r="M69"/>
  <c r="N69"/>
  <c r="O69"/>
  <c r="F70"/>
  <c r="J70"/>
  <c r="J80" s="1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K80"/>
  <c r="L80"/>
  <c r="M80"/>
  <c r="N80"/>
  <c r="O80"/>
  <c r="F81"/>
  <c r="F86" s="1"/>
  <c r="J81"/>
  <c r="F82"/>
  <c r="J82"/>
  <c r="F83"/>
  <c r="J83"/>
  <c r="F84"/>
  <c r="J84"/>
  <c r="F85"/>
  <c r="J85"/>
  <c r="C86"/>
  <c r="D86"/>
  <c r="E86"/>
  <c r="G86"/>
  <c r="H86"/>
  <c r="I86"/>
  <c r="J86"/>
  <c r="K86"/>
  <c r="L86"/>
  <c r="M86"/>
  <c r="N86"/>
  <c r="O86"/>
  <c r="F87"/>
  <c r="J87"/>
  <c r="J89" s="1"/>
  <c r="F88"/>
  <c r="F89" s="1"/>
  <c r="J88"/>
  <c r="C89"/>
  <c r="D89"/>
  <c r="E89"/>
  <c r="G89"/>
  <c r="H89"/>
  <c r="I89"/>
  <c r="K89"/>
  <c r="L89"/>
  <c r="M89"/>
  <c r="N89"/>
  <c r="O89"/>
  <c r="F90"/>
  <c r="F95" s="1"/>
  <c r="J90"/>
  <c r="F91"/>
  <c r="J91"/>
  <c r="F92"/>
  <c r="J92"/>
  <c r="F93"/>
  <c r="J93"/>
  <c r="F94"/>
  <c r="J94"/>
  <c r="C95"/>
  <c r="D95"/>
  <c r="E95"/>
  <c r="G95"/>
  <c r="H95"/>
  <c r="I95"/>
  <c r="J95"/>
  <c r="K95"/>
  <c r="L95"/>
  <c r="M95"/>
  <c r="N95"/>
  <c r="O95"/>
  <c r="F96"/>
  <c r="J96"/>
  <c r="J98" s="1"/>
  <c r="F97"/>
  <c r="F98" s="1"/>
  <c r="J97"/>
  <c r="C98"/>
  <c r="D98"/>
  <c r="E98"/>
  <c r="G98"/>
  <c r="H98"/>
  <c r="I98"/>
  <c r="K98"/>
  <c r="L98"/>
  <c r="M98"/>
  <c r="N98"/>
  <c r="O98"/>
  <c r="F99"/>
  <c r="F103" s="1"/>
  <c r="J99"/>
  <c r="J103" s="1"/>
  <c r="F100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F116" s="1"/>
  <c r="J110"/>
  <c r="J116" s="1"/>
  <c r="F11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J117"/>
  <c r="F118"/>
  <c r="J118"/>
  <c r="C119"/>
  <c r="D119"/>
  <c r="E119"/>
  <c r="F119"/>
  <c r="G119"/>
  <c r="H119"/>
  <c r="I119"/>
  <c r="J119"/>
  <c r="K119"/>
  <c r="L119"/>
  <c r="M119"/>
  <c r="N119"/>
  <c r="O119"/>
  <c r="F120"/>
  <c r="J120"/>
  <c r="F121"/>
  <c r="F125" s="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E145" s="1"/>
  <c r="G135"/>
  <c r="H135"/>
  <c r="I135"/>
  <c r="I145" s="1"/>
  <c r="K135"/>
  <c r="L135"/>
  <c r="M135"/>
  <c r="M145" s="1"/>
  <c r="N135"/>
  <c r="O135"/>
  <c r="F136"/>
  <c r="F144" s="1"/>
  <c r="F145" s="1"/>
  <c r="J136"/>
  <c r="J144" s="1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D145" s="1"/>
  <c r="E144"/>
  <c r="G144"/>
  <c r="G145" s="1"/>
  <c r="H144"/>
  <c r="H145" s="1"/>
  <c r="I144"/>
  <c r="K144"/>
  <c r="K145" s="1"/>
  <c r="L144"/>
  <c r="L145" s="1"/>
  <c r="M144"/>
  <c r="N144"/>
  <c r="O144"/>
  <c r="O145" s="1"/>
  <c r="N145"/>
  <c r="J145" l="1"/>
  <c r="J145" i="1"/>
  <c r="F145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<sst xmlns="http://schemas.openxmlformats.org/spreadsheetml/2006/main" count="544" uniqueCount="271">
  <si>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</si>
  <si>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</si>
  <si>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</si>
  <si>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</si>
  <si>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</si>
  <si>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</si>
  <si>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</si>
  <si>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marzo 2015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</si>
  <si>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</si>
  <si>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</si>
  <si>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</si>
  <si>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</si>
  <si>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</si>
  <si>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</si>
  <si>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</si>
  <si>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</si>
  <si>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</si>
  <si>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</si>
  <si>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</si>
  <si>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</si>
  <si>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</si>
  <si>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</si>
  <si>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</si>
  <si>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</si>
  <si>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</si>
  <si>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</si>
  <si>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</si>
  <si>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</si>
  <si>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</si>
  <si>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</si>
  <si>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</si>
  <si>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</si>
  <si>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</si>
  <si>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</si>
  <si>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</si>
  <si>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</si>
  <si>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</si>
  <si>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</si>
  <si>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</si>
  <si>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</si>
  <si>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</si>
  <si>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</si>
  <si>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</si>
  <si>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</si>
  <si>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</si>
  <si>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</si>
  <si>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</si>
  <si>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</si>
  <si>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</si>
  <si>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</si>
  <si>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</si>
  <si>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</si>
  <si>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</si>
  <si>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</si>
  <si>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</si>
  <si>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</si>
  <si>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</si>
  <si>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</si>
  <si>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</si>
  <si>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</si>
  <si>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</si>
  <si>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</si>
  <si>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</si>
  <si>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</si>
  <si>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</si>
  <si>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</si>
  <si>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</si>
  <si>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</si>
  <si>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</si>
  <si>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</si>
  <si>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</si>
  <si>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</si>
  <si>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</si>
  <si>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</si>
  <si>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</si>
  <si>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</si>
  <si>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</si>
  <si>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</si>
  <si>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</si>
  <si>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</si>
  <si>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</si>
  <si>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</si>
  <si>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</si>
  <si>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</si>
  <si>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</si>
  <si>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</si>
  <si>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</si>
  <si>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</si>
  <si>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</si>
  <si>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</si>
  <si>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</si>
  <si>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</si>
  <si>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</si>
  <si>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</si>
  <si>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</si>
  <si>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</si>
  <si>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</si>
  <si>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</si>
  <si>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</si>
  <si>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</si>
  <si>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</si>
  <si>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</si>
  <si>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</si>
  <si>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</si>
  <si>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</si>
  <si>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</si>
  <si>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</si>
  <si>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</si>
  <si>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</si>
  <si>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</si>
  <si>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</si>
  <si>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</si>
  <si>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</si>
  <si>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</si>
  <si>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</si>
  <si>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</si>
  <si>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</si>
  <si>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</si>
  <si>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</si>
  <si>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</si>
  <si>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</si>
  <si>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</si>
  <si>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</si>
  <si>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</si>
  <si>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</si>
  <si>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</si>
  <si>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</si>
  <si>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</si>
  <si>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</si>
  <si>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</si>
  <si>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</si>
  <si>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</si>
  <si>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</si>
  <si>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</si>
  <si>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</si>
  <si>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</si>
  <si>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</si>
  <si>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</si>
  <si>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</si>
  <si>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</si>
  <si>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</si>
  <si>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</si>
  <si>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</si>
  <si>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</si>
  <si>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</si>
  <si>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</si>
  <si>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</si>
  <si>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</si>
  <si>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</si>
  <si>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</si>
  <si>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</si>
  <si>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</si>
  <si>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</si>
  <si>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</si>
  <si>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</si>
  <si>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</si>
  <si>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</si>
  <si>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</si>
  <si>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</si>
  <si>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</si>
  <si>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</si>
  <si>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</si>
  <si>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</si>
  <si>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</si>
  <si>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</si>
  <si>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</si>
  <si>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</si>
  <si>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</si>
  <si>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</si>
  <si>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</si>
  <si>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</si>
  <si>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</si>
  <si>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</si>
  <si>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</si>
  <si>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</si>
  <si>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</si>
  <si>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</si>
  <si>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</si>
  <si>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</si>
  <si>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</si>
  <si>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</si>
  <si>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</si>
  <si>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</si>
  <si>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</si>
  <si>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</si>
  <si>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</si>
  <si>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</si>
  <si>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</si>
  <si>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</si>
  <si>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</si>
  <si>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</si>
  <si>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</si>
  <si>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</si>
  <si>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</si>
  <si>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</si>
  <si>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</si>
  <si>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</si>
  <si>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</si>
  <si>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</si>
  <si>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</si>
  <si>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</si>
  <si>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</si>
  <si>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</si>
  <si>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</si>
  <si>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</si>
  <si>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</si>
  <si>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</si>
  <si>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</si>
  <si>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</si>
  <si>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</si>
  <si>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</si>
  <si>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</si>
  <si>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</si>
  <si>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</si>
  <si>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</si>
  <si>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</si>
  <si>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</si>
  <si>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</si>
  <si>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</si>
  <si>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</si>
  <si>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</si>
  <si>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</si>
  <si>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</si>
  <si>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</si>
  <si>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</si>
  <si>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</si>
  <si>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</si>
  <si>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</si>
  <si>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</si>
  <si>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</si>
  <si>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</si>
  <si>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</si>
  <si>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</si>
  <si>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</si>
  <si>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</si>
  <si>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</si>
  <si>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</si>
  <si>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</si>
  <si>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</si>
  <si>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</si>
  <si>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</si>
  <si>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</si>
  <si>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</si>
  <si>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</si>
  <si>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</si>
  <si>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</si>
  <si>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</si>
  <si>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</si>
  <si>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</si>
  <si>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</si>
  <si>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</si>
  <si>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</si>
  <si>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</si>
  <si>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</si>
  <si>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</si>
  <si>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</si>
  <si>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</si>
  <si>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</si>
  <si>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</si>
  <si>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</si>
  <si>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</si>
  <si>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</si>
  <si>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</si>
  <si>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</si>
  <si>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</si>
  <si>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</si>
  <si>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</si>
  <si>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</si>
  <si>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</si>
  <si>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</si>
  <si>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gennaio-marzo 2015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</si>
</sst>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5740</v>
      </c>
      <c r="D15" s="28">
        <v>3722</v>
      </c>
      <c r="E15" s="28">
        <v>381</v>
      </c>
      <c r="F15" s="28">
        <f t="shared" ref="F15:F22" si="0">SUM(C15-D15-E15)</f>
        <v>1637</v>
      </c>
      <c r="G15" s="28">
        <v>24750</v>
      </c>
      <c r="H15" s="28">
        <v>9359</v>
      </c>
      <c r="I15" s="28">
        <v>2597</v>
      </c>
      <c r="J15" s="28">
        <f t="shared" ref="J15:J22" si="1">SUM(G15-H15-I15)</f>
        <v>12794</v>
      </c>
      <c r="K15" s="28">
        <v>1193</v>
      </c>
      <c r="L15" s="28">
        <v>0</v>
      </c>
      <c r="M15" s="28">
        <v>1832</v>
      </c>
      <c r="N15" s="28">
        <v>1660</v>
      </c>
      <c r="O15" s="28">
        <v>1660</v>
      </c>
    </row>
    <row r="16" spans="1:15" ht="12.75" customHeight="1">
      <c r="A16" s="4" t="s">
        <v>29</v>
      </c>
      <c r="B16" s="5" t="s">
        <v>30</v>
      </c>
      <c r="C16" s="28">
        <v>3026</v>
      </c>
      <c r="D16" s="28">
        <v>1823</v>
      </c>
      <c r="E16" s="28">
        <v>77</v>
      </c>
      <c r="F16" s="28">
        <f t="shared" si="0"/>
        <v>1126</v>
      </c>
      <c r="G16" s="28">
        <v>24499</v>
      </c>
      <c r="H16" s="28">
        <v>4134</v>
      </c>
      <c r="I16" s="28">
        <v>601</v>
      </c>
      <c r="J16" s="28">
        <f t="shared" si="1"/>
        <v>19764</v>
      </c>
      <c r="K16" s="28">
        <v>719</v>
      </c>
      <c r="L16" s="28">
        <v>0</v>
      </c>
      <c r="M16" s="28">
        <v>2480</v>
      </c>
      <c r="N16" s="28">
        <v>8</v>
      </c>
      <c r="O16" s="28">
        <v>8</v>
      </c>
    </row>
    <row r="17" spans="1:15" ht="12.75" customHeight="1">
      <c r="A17" s="4" t="s">
        <v>31</v>
      </c>
      <c r="B17" s="5" t="s">
        <v>32</v>
      </c>
      <c r="C17" s="28">
        <v>1845</v>
      </c>
      <c r="D17" s="28">
        <v>1682</v>
      </c>
      <c r="E17" s="28">
        <v>0</v>
      </c>
      <c r="F17" s="28">
        <f t="shared" si="0"/>
        <v>163</v>
      </c>
      <c r="G17" s="28">
        <v>3937</v>
      </c>
      <c r="H17" s="28">
        <v>3123</v>
      </c>
      <c r="I17" s="28">
        <v>0</v>
      </c>
      <c r="J17" s="28">
        <f t="shared" si="1"/>
        <v>814</v>
      </c>
      <c r="K17" s="28">
        <v>323</v>
      </c>
      <c r="L17" s="28">
        <v>0</v>
      </c>
      <c r="M17" s="28">
        <v>149</v>
      </c>
      <c r="N17" s="28">
        <v>98</v>
      </c>
      <c r="O17" s="28">
        <v>98</v>
      </c>
    </row>
    <row r="18" spans="1:15" ht="12.75" customHeight="1">
      <c r="A18" s="4" t="s">
        <v>33</v>
      </c>
      <c r="B18" s="5" t="s">
        <v>34</v>
      </c>
      <c r="C18" s="28">
        <v>4596</v>
      </c>
      <c r="D18" s="28">
        <v>4157</v>
      </c>
      <c r="E18" s="28">
        <v>66</v>
      </c>
      <c r="F18" s="28">
        <f t="shared" si="0"/>
        <v>373</v>
      </c>
      <c r="G18" s="28">
        <v>14031</v>
      </c>
      <c r="H18" s="28">
        <v>9940</v>
      </c>
      <c r="I18" s="28">
        <v>396</v>
      </c>
      <c r="J18" s="28">
        <f t="shared" si="1"/>
        <v>3695</v>
      </c>
      <c r="K18" s="28">
        <v>744</v>
      </c>
      <c r="L18" s="28">
        <v>0</v>
      </c>
      <c r="M18" s="28">
        <v>1247</v>
      </c>
      <c r="N18" s="28">
        <v>159</v>
      </c>
      <c r="O18" s="28">
        <v>159</v>
      </c>
    </row>
    <row r="19" spans="1:15" ht="12.75" customHeight="1">
      <c r="A19" s="4" t="s">
        <v>35</v>
      </c>
      <c r="B19" s="5" t="s">
        <v>36</v>
      </c>
      <c r="C19" s="28">
        <v>4023</v>
      </c>
      <c r="D19" s="28">
        <v>3825</v>
      </c>
      <c r="E19" s="28">
        <v>145</v>
      </c>
      <c r="F19" s="28">
        <f t="shared" si="0"/>
        <v>53</v>
      </c>
      <c r="G19" s="28">
        <v>9989</v>
      </c>
      <c r="H19" s="28">
        <v>8056</v>
      </c>
      <c r="I19" s="28">
        <v>901</v>
      </c>
      <c r="J19" s="28">
        <f t="shared" si="1"/>
        <v>1032</v>
      </c>
      <c r="K19" s="28">
        <v>146</v>
      </c>
      <c r="L19" s="28">
        <v>0</v>
      </c>
      <c r="M19" s="28">
        <v>13</v>
      </c>
      <c r="N19" s="28">
        <v>28</v>
      </c>
      <c r="O19" s="28">
        <v>28</v>
      </c>
    </row>
    <row r="20" spans="1:15" ht="12.75" customHeight="1">
      <c r="A20" s="4" t="s">
        <v>37</v>
      </c>
      <c r="B20" s="5" t="s">
        <v>38</v>
      </c>
      <c r="C20" s="28">
        <v>21996</v>
      </c>
      <c r="D20" s="28">
        <v>20348</v>
      </c>
      <c r="E20" s="28">
        <v>561</v>
      </c>
      <c r="F20" s="28">
        <f t="shared" si="0"/>
        <v>1087</v>
      </c>
      <c r="G20" s="28">
        <v>48625</v>
      </c>
      <c r="H20" s="28">
        <v>38891</v>
      </c>
      <c r="I20" s="28">
        <v>3380</v>
      </c>
      <c r="J20" s="28">
        <f t="shared" si="1"/>
        <v>6354</v>
      </c>
      <c r="K20" s="28">
        <v>1649</v>
      </c>
      <c r="L20" s="28">
        <v>0</v>
      </c>
      <c r="M20" s="28">
        <v>1810</v>
      </c>
      <c r="N20" s="28">
        <v>2314</v>
      </c>
      <c r="O20" s="28">
        <v>2259</v>
      </c>
    </row>
    <row r="21" spans="1:15" ht="12.75" customHeight="1">
      <c r="A21" s="4" t="s">
        <v>39</v>
      </c>
      <c r="B21" s="5" t="s">
        <v>40</v>
      </c>
      <c r="C21" s="28">
        <v>1769</v>
      </c>
      <c r="D21" s="28">
        <v>1714</v>
      </c>
      <c r="E21" s="28">
        <v>0</v>
      </c>
      <c r="F21" s="28">
        <f t="shared" si="0"/>
        <v>55</v>
      </c>
      <c r="G21" s="28">
        <v>2951</v>
      </c>
      <c r="H21" s="28">
        <v>2821</v>
      </c>
      <c r="I21" s="28">
        <v>0</v>
      </c>
      <c r="J21" s="28">
        <f t="shared" si="1"/>
        <v>130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</row>
    <row r="22" spans="1:15" ht="12.75" customHeight="1">
      <c r="A22" s="4" t="s">
        <v>41</v>
      </c>
      <c r="B22" s="5" t="s">
        <v>42</v>
      </c>
      <c r="C22" s="28">
        <v>1759</v>
      </c>
      <c r="D22" s="28">
        <v>1465</v>
      </c>
      <c r="E22" s="28">
        <v>190</v>
      </c>
      <c r="F22" s="28">
        <f t="shared" si="0"/>
        <v>104</v>
      </c>
      <c r="G22" s="28">
        <v>4512</v>
      </c>
      <c r="H22" s="28">
        <v>2963</v>
      </c>
      <c r="I22" s="28">
        <v>927</v>
      </c>
      <c r="J22" s="28">
        <f t="shared" si="1"/>
        <v>622</v>
      </c>
      <c r="K22" s="28">
        <v>220</v>
      </c>
      <c r="L22" s="28">
        <v>0</v>
      </c>
      <c r="M22" s="28">
        <v>903</v>
      </c>
      <c r="N22" s="28">
        <v>200</v>
      </c>
      <c r="O22" s="28">
        <v>200</v>
      </c>
    </row>
    <row r="23" spans="1:15" ht="12.75" customHeight="1">
      <c r="A23" s="8"/>
      <c r="B23" s="9" t="s">
        <v>43</v>
      </c>
      <c r="C23" s="29">
        <f t="shared" ref="C23:O23" si="2">SUM(C15:C22)</f>
        <v>44754</v>
      </c>
      <c r="D23" s="29">
        <f t="shared" si="2"/>
        <v>38736</v>
      </c>
      <c r="E23" s="29">
        <f t="shared" si="2"/>
        <v>1420</v>
      </c>
      <c r="F23" s="29">
        <f t="shared" si="2"/>
        <v>4598</v>
      </c>
      <c r="G23" s="29">
        <f t="shared" si="2"/>
        <v>133294</v>
      </c>
      <c r="H23" s="29">
        <f t="shared" si="2"/>
        <v>79287</v>
      </c>
      <c r="I23" s="29">
        <f t="shared" si="2"/>
        <v>8802</v>
      </c>
      <c r="J23" s="29">
        <f t="shared" si="2"/>
        <v>45205</v>
      </c>
      <c r="K23" s="29">
        <f t="shared" si="2"/>
        <v>4994</v>
      </c>
      <c r="L23" s="29">
        <f t="shared" si="2"/>
        <v>0</v>
      </c>
      <c r="M23" s="29">
        <f t="shared" si="2"/>
        <v>8434</v>
      </c>
      <c r="N23" s="29">
        <f t="shared" si="2"/>
        <v>4467</v>
      </c>
      <c r="O23" s="29">
        <f t="shared" si="2"/>
        <v>4412</v>
      </c>
    </row>
    <row r="24" spans="1:15" ht="14.25" customHeight="1">
      <c r="A24" s="4" t="s">
        <v>44</v>
      </c>
      <c r="B24" s="5" t="s">
        <v>45</v>
      </c>
      <c r="C24" s="28">
        <v>8010</v>
      </c>
      <c r="D24" s="28">
        <v>1755</v>
      </c>
      <c r="E24" s="28">
        <v>108</v>
      </c>
      <c r="F24" s="28">
        <f>SUM(C24-D24-E24)</f>
        <v>6147</v>
      </c>
      <c r="G24" s="28">
        <v>27417</v>
      </c>
      <c r="H24" s="28">
        <v>2514</v>
      </c>
      <c r="I24" s="28">
        <v>490</v>
      </c>
      <c r="J24" s="28">
        <f>SUM(G24-H24-I24)</f>
        <v>24413</v>
      </c>
      <c r="K24" s="28">
        <v>8248</v>
      </c>
      <c r="L24" s="28">
        <v>0</v>
      </c>
      <c r="M24" s="28">
        <v>2699</v>
      </c>
      <c r="N24" s="28">
        <v>1002</v>
      </c>
      <c r="O24" s="28">
        <v>1002</v>
      </c>
    </row>
    <row r="25" spans="1:15" ht="14.25" customHeight="1">
      <c r="A25" s="10"/>
      <c r="B25" s="9" t="s">
        <v>46</v>
      </c>
      <c r="C25" s="29">
        <f t="shared" ref="C25:O25" si="3">SUM(C24)</f>
        <v>8010</v>
      </c>
      <c r="D25" s="29">
        <f t="shared" si="3"/>
        <v>1755</v>
      </c>
      <c r="E25" s="29">
        <f t="shared" si="3"/>
        <v>108</v>
      </c>
      <c r="F25" s="29">
        <f t="shared" si="3"/>
        <v>6147</v>
      </c>
      <c r="G25" s="29">
        <f t="shared" si="3"/>
        <v>27417</v>
      </c>
      <c r="H25" s="29">
        <f t="shared" si="3"/>
        <v>2514</v>
      </c>
      <c r="I25" s="29">
        <f t="shared" si="3"/>
        <v>490</v>
      </c>
      <c r="J25" s="29">
        <f t="shared" si="3"/>
        <v>24413</v>
      </c>
      <c r="K25" s="29">
        <f t="shared" si="3"/>
        <v>8248</v>
      </c>
      <c r="L25" s="29">
        <f t="shared" si="3"/>
        <v>0</v>
      </c>
      <c r="M25" s="29">
        <f t="shared" si="3"/>
        <v>2699</v>
      </c>
      <c r="N25" s="29">
        <f t="shared" si="3"/>
        <v>1002</v>
      </c>
      <c r="O25" s="29">
        <f t="shared" si="3"/>
        <v>1002</v>
      </c>
    </row>
    <row r="26" spans="1:15" ht="12.75" customHeight="1">
      <c r="A26" s="4" t="s">
        <v>47</v>
      </c>
      <c r="B26" s="5" t="s">
        <v>48</v>
      </c>
      <c r="C26" s="28">
        <v>13677</v>
      </c>
      <c r="D26" s="28">
        <v>6912</v>
      </c>
      <c r="E26" s="28">
        <v>368</v>
      </c>
      <c r="F26" s="28">
        <f>SUM(C26-D26-E26)</f>
        <v>6397</v>
      </c>
      <c r="G26" s="28">
        <v>32854</v>
      </c>
      <c r="H26" s="28">
        <v>11017</v>
      </c>
      <c r="I26" s="28">
        <v>1539</v>
      </c>
      <c r="J26" s="28">
        <f>SUM(G26-H26-I26)</f>
        <v>20298</v>
      </c>
      <c r="K26" s="28">
        <v>3140</v>
      </c>
      <c r="L26" s="28">
        <v>42</v>
      </c>
      <c r="M26" s="28">
        <v>1230</v>
      </c>
      <c r="N26" s="28">
        <v>585</v>
      </c>
      <c r="O26" s="28">
        <v>585</v>
      </c>
    </row>
    <row r="27" spans="1:15" ht="12.75" customHeight="1">
      <c r="A27" s="4" t="s">
        <v>49</v>
      </c>
      <c r="B27" s="5" t="s">
        <v>50</v>
      </c>
      <c r="C27" s="28">
        <v>2256</v>
      </c>
      <c r="D27" s="28">
        <v>2143</v>
      </c>
      <c r="E27" s="28">
        <v>94</v>
      </c>
      <c r="F27" s="28">
        <f>SUM(C27-D27-E27)</f>
        <v>19</v>
      </c>
      <c r="G27" s="28">
        <v>4946</v>
      </c>
      <c r="H27" s="28">
        <v>2853</v>
      </c>
      <c r="I27" s="28">
        <v>459</v>
      </c>
      <c r="J27" s="28">
        <f>SUM(G27-H27-I27)</f>
        <v>1634</v>
      </c>
      <c r="K27" s="28">
        <v>1017</v>
      </c>
      <c r="L27" s="28">
        <v>0</v>
      </c>
      <c r="M27" s="28">
        <v>167</v>
      </c>
      <c r="N27" s="28">
        <v>146</v>
      </c>
      <c r="O27" s="28">
        <v>146</v>
      </c>
    </row>
    <row r="28" spans="1:15" ht="12.75" customHeight="1">
      <c r="A28" s="4" t="s">
        <v>51</v>
      </c>
      <c r="B28" s="5" t="s">
        <v>52</v>
      </c>
      <c r="C28" s="28">
        <v>2466</v>
      </c>
      <c r="D28" s="28">
        <v>2050</v>
      </c>
      <c r="E28" s="28">
        <v>166</v>
      </c>
      <c r="F28" s="28">
        <f>SUM(C28-D28-E28)</f>
        <v>250</v>
      </c>
      <c r="G28" s="28">
        <v>6508</v>
      </c>
      <c r="H28" s="28">
        <v>4082</v>
      </c>
      <c r="I28" s="28">
        <v>1205</v>
      </c>
      <c r="J28" s="28">
        <f>SUM(G28-H28-I28)</f>
        <v>1221</v>
      </c>
      <c r="K28" s="28">
        <v>195</v>
      </c>
      <c r="L28" s="28">
        <v>221</v>
      </c>
      <c r="M28" s="28">
        <v>19</v>
      </c>
      <c r="N28" s="28">
        <v>480</v>
      </c>
      <c r="O28" s="28">
        <v>480</v>
      </c>
    </row>
    <row r="29" spans="1:15" ht="12.75" customHeight="1">
      <c r="A29" s="4" t="s">
        <v>53</v>
      </c>
      <c r="B29" s="5" t="s">
        <v>54</v>
      </c>
      <c r="C29" s="28">
        <v>3108</v>
      </c>
      <c r="D29" s="28">
        <v>2677</v>
      </c>
      <c r="E29" s="28">
        <v>291</v>
      </c>
      <c r="F29" s="28">
        <f>SUM(C29-D29-E29)</f>
        <v>140</v>
      </c>
      <c r="G29" s="28">
        <v>6774</v>
      </c>
      <c r="H29" s="28">
        <v>5256</v>
      </c>
      <c r="I29" s="28">
        <v>1271</v>
      </c>
      <c r="J29" s="28">
        <f>SUM(G29-H29-I29)</f>
        <v>247</v>
      </c>
      <c r="K29" s="28">
        <v>5</v>
      </c>
      <c r="L29" s="28">
        <v>22</v>
      </c>
      <c r="M29" s="28">
        <v>0</v>
      </c>
      <c r="N29" s="28">
        <v>29</v>
      </c>
      <c r="O29" s="28">
        <v>29</v>
      </c>
    </row>
    <row r="30" spans="1:15" ht="12.75" customHeight="1">
      <c r="A30" s="8"/>
      <c r="B30" s="9" t="s">
        <v>55</v>
      </c>
      <c r="C30" s="29">
        <f t="shared" ref="C30:O30" si="4">SUM(C26:C29)</f>
        <v>21507</v>
      </c>
      <c r="D30" s="29">
        <f t="shared" si="4"/>
        <v>13782</v>
      </c>
      <c r="E30" s="29">
        <f t="shared" si="4"/>
        <v>919</v>
      </c>
      <c r="F30" s="29">
        <f t="shared" si="4"/>
        <v>6806</v>
      </c>
      <c r="G30" s="29">
        <f t="shared" si="4"/>
        <v>51082</v>
      </c>
      <c r="H30" s="29">
        <f t="shared" si="4"/>
        <v>23208</v>
      </c>
      <c r="I30" s="29">
        <f t="shared" si="4"/>
        <v>4474</v>
      </c>
      <c r="J30" s="29">
        <f t="shared" si="4"/>
        <v>23400</v>
      </c>
      <c r="K30" s="29">
        <f t="shared" si="4"/>
        <v>4357</v>
      </c>
      <c r="L30" s="29">
        <f t="shared" si="4"/>
        <v>285</v>
      </c>
      <c r="M30" s="29">
        <f t="shared" si="4"/>
        <v>1416</v>
      </c>
      <c r="N30" s="29">
        <f t="shared" si="4"/>
        <v>1240</v>
      </c>
      <c r="O30" s="29">
        <f t="shared" si="4"/>
        <v>1240</v>
      </c>
    </row>
    <row r="31" spans="1:15" ht="12.75" customHeight="1">
      <c r="A31" s="4" t="s">
        <v>56</v>
      </c>
      <c r="B31" s="5" t="s">
        <v>57</v>
      </c>
      <c r="C31" s="28">
        <v>11307</v>
      </c>
      <c r="D31" s="28">
        <v>10262</v>
      </c>
      <c r="E31" s="28">
        <v>174</v>
      </c>
      <c r="F31" s="28">
        <f t="shared" ref="F31:F42" si="5">SUM(C31-D31-E31)</f>
        <v>871</v>
      </c>
      <c r="G31" s="28">
        <v>28327</v>
      </c>
      <c r="H31" s="28">
        <v>19810</v>
      </c>
      <c r="I31" s="28">
        <v>856</v>
      </c>
      <c r="J31" s="28">
        <f t="shared" ref="J31:J42" si="6">SUM(G31-H31-I31)</f>
        <v>7661</v>
      </c>
      <c r="K31" s="28">
        <v>285</v>
      </c>
      <c r="L31" s="28">
        <v>0</v>
      </c>
      <c r="M31" s="28">
        <v>433</v>
      </c>
      <c r="N31" s="28">
        <v>121</v>
      </c>
      <c r="O31" s="28">
        <v>121</v>
      </c>
    </row>
    <row r="32" spans="1:15" ht="12.75" customHeight="1">
      <c r="A32" s="4" t="s">
        <v>58</v>
      </c>
      <c r="B32" s="5" t="s">
        <v>59</v>
      </c>
      <c r="C32" s="28">
        <v>13079</v>
      </c>
      <c r="D32" s="28">
        <v>11752</v>
      </c>
      <c r="E32" s="28">
        <v>444</v>
      </c>
      <c r="F32" s="28">
        <f t="shared" si="5"/>
        <v>883</v>
      </c>
      <c r="G32" s="28">
        <v>47694</v>
      </c>
      <c r="H32" s="28">
        <v>26984</v>
      </c>
      <c r="I32" s="28">
        <v>2878</v>
      </c>
      <c r="J32" s="28">
        <f t="shared" si="6"/>
        <v>17832</v>
      </c>
      <c r="K32" s="28">
        <v>1202</v>
      </c>
      <c r="L32" s="28">
        <v>0</v>
      </c>
      <c r="M32" s="28">
        <v>4357</v>
      </c>
      <c r="N32" s="28">
        <v>683</v>
      </c>
      <c r="O32" s="28">
        <v>683</v>
      </c>
    </row>
    <row r="33" spans="1:256" ht="12.75" customHeight="1">
      <c r="A33" s="4" t="s">
        <v>60</v>
      </c>
      <c r="B33" s="5" t="s">
        <v>61</v>
      </c>
      <c r="C33" s="28">
        <v>6870</v>
      </c>
      <c r="D33" s="28">
        <v>5623</v>
      </c>
      <c r="E33" s="28">
        <v>157</v>
      </c>
      <c r="F33" s="28">
        <f t="shared" si="5"/>
        <v>1090</v>
      </c>
      <c r="G33" s="28">
        <v>25135</v>
      </c>
      <c r="H33" s="28">
        <v>7405</v>
      </c>
      <c r="I33" s="28">
        <v>483</v>
      </c>
      <c r="J33" s="28">
        <f t="shared" si="6"/>
        <v>17247</v>
      </c>
      <c r="K33" s="28">
        <v>2311</v>
      </c>
      <c r="L33" s="28">
        <v>29</v>
      </c>
      <c r="M33" s="28">
        <v>1625</v>
      </c>
      <c r="N33" s="28">
        <v>609</v>
      </c>
      <c r="O33" s="28">
        <v>609</v>
      </c>
    </row>
    <row r="34" spans="1:256" ht="12.75" customHeight="1">
      <c r="A34" s="4" t="s">
        <v>62</v>
      </c>
      <c r="B34" s="5" t="s">
        <v>63</v>
      </c>
      <c r="C34" s="28">
        <v>7455</v>
      </c>
      <c r="D34" s="28">
        <v>2829</v>
      </c>
      <c r="E34" s="28">
        <v>41</v>
      </c>
      <c r="F34" s="28">
        <f t="shared" si="5"/>
        <v>4585</v>
      </c>
      <c r="G34" s="28">
        <v>18595</v>
      </c>
      <c r="H34" s="28">
        <v>6440</v>
      </c>
      <c r="I34" s="28">
        <v>241</v>
      </c>
      <c r="J34" s="28">
        <f t="shared" si="6"/>
        <v>11914</v>
      </c>
      <c r="K34" s="28">
        <v>423</v>
      </c>
      <c r="L34" s="28">
        <v>0</v>
      </c>
      <c r="M34" s="28">
        <v>2896</v>
      </c>
      <c r="N34" s="28">
        <v>29</v>
      </c>
      <c r="O34" s="28">
        <v>29</v>
      </c>
    </row>
    <row r="35" spans="1:256" ht="12.75" customHeight="1">
      <c r="A35" s="4" t="s">
        <v>64</v>
      </c>
      <c r="B35" s="5" t="s">
        <v>65</v>
      </c>
      <c r="C35" s="28">
        <v>3439</v>
      </c>
      <c r="D35" s="28">
        <v>3400</v>
      </c>
      <c r="E35" s="28">
        <v>0</v>
      </c>
      <c r="F35" s="28">
        <f t="shared" si="5"/>
        <v>39</v>
      </c>
      <c r="G35" s="28">
        <v>5954</v>
      </c>
      <c r="H35" s="28">
        <v>5633</v>
      </c>
      <c r="I35" s="28">
        <v>0</v>
      </c>
      <c r="J35" s="28">
        <f t="shared" si="6"/>
        <v>321</v>
      </c>
      <c r="K35" s="28">
        <v>22</v>
      </c>
      <c r="L35" s="28">
        <v>0</v>
      </c>
      <c r="M35" s="28">
        <v>7</v>
      </c>
      <c r="N35" s="28">
        <v>400</v>
      </c>
      <c r="O35" s="28">
        <v>400</v>
      </c>
    </row>
    <row r="36" spans="1:256" ht="12.75" customHeight="1">
      <c r="A36" s="4" t="s">
        <v>66</v>
      </c>
      <c r="B36" s="5" t="s">
        <v>67</v>
      </c>
      <c r="C36" s="28">
        <v>2051</v>
      </c>
      <c r="D36" s="28">
        <v>1848</v>
      </c>
      <c r="E36" s="28">
        <v>122</v>
      </c>
      <c r="F36" s="28">
        <f t="shared" si="5"/>
        <v>81</v>
      </c>
      <c r="G36" s="28">
        <v>5860</v>
      </c>
      <c r="H36" s="28">
        <v>4586</v>
      </c>
      <c r="I36" s="28">
        <v>992</v>
      </c>
      <c r="J36" s="28">
        <f t="shared" si="6"/>
        <v>282</v>
      </c>
      <c r="K36" s="28">
        <v>23</v>
      </c>
      <c r="L36" s="28">
        <v>0</v>
      </c>
      <c r="M36" s="28">
        <v>70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4076</v>
      </c>
      <c r="D37" s="28">
        <v>3211</v>
      </c>
      <c r="E37" s="28">
        <v>61</v>
      </c>
      <c r="F37" s="28">
        <f t="shared" si="5"/>
        <v>804</v>
      </c>
      <c r="G37" s="28">
        <v>18050</v>
      </c>
      <c r="H37" s="28">
        <v>7847</v>
      </c>
      <c r="I37" s="28">
        <v>286</v>
      </c>
      <c r="J37" s="28">
        <f t="shared" si="6"/>
        <v>9917</v>
      </c>
      <c r="K37" s="28">
        <v>731</v>
      </c>
      <c r="L37" s="28">
        <v>3</v>
      </c>
      <c r="M37" s="28">
        <v>2575</v>
      </c>
      <c r="N37" s="28">
        <v>234</v>
      </c>
      <c r="O37" s="28">
        <v>164</v>
      </c>
    </row>
    <row r="38" spans="1:256" ht="12.75" customHeight="1">
      <c r="A38" s="4" t="s">
        <v>70</v>
      </c>
      <c r="B38" s="5" t="s">
        <v>71</v>
      </c>
      <c r="C38" s="28">
        <v>51839</v>
      </c>
      <c r="D38" s="28">
        <v>39996</v>
      </c>
      <c r="E38" s="28">
        <v>1397</v>
      </c>
      <c r="F38" s="28">
        <f t="shared" si="5"/>
        <v>10446</v>
      </c>
      <c r="G38" s="28">
        <v>146640</v>
      </c>
      <c r="H38" s="28">
        <v>66026</v>
      </c>
      <c r="I38" s="28">
        <v>6277</v>
      </c>
      <c r="J38" s="28">
        <f t="shared" si="6"/>
        <v>74337</v>
      </c>
      <c r="K38" s="28">
        <v>14486</v>
      </c>
      <c r="L38" s="28">
        <v>68</v>
      </c>
      <c r="M38" s="28">
        <v>9428</v>
      </c>
      <c r="N38" s="28">
        <v>38045</v>
      </c>
      <c r="O38" s="28">
        <v>6659</v>
      </c>
    </row>
    <row r="39" spans="1:256" ht="12.75" customHeight="1">
      <c r="A39" s="4" t="s">
        <v>72</v>
      </c>
      <c r="B39" s="5" t="s">
        <v>73</v>
      </c>
      <c r="C39" s="28">
        <v>4451</v>
      </c>
      <c r="D39" s="28">
        <v>4011</v>
      </c>
      <c r="E39" s="28">
        <v>248</v>
      </c>
      <c r="F39" s="28">
        <f t="shared" si="5"/>
        <v>192</v>
      </c>
      <c r="G39" s="28">
        <v>8920</v>
      </c>
      <c r="H39" s="28">
        <v>6568</v>
      </c>
      <c r="I39" s="28">
        <v>1379</v>
      </c>
      <c r="J39" s="28">
        <f t="shared" si="6"/>
        <v>973</v>
      </c>
      <c r="K39" s="28">
        <v>3</v>
      </c>
      <c r="L39" s="28">
        <v>0</v>
      </c>
      <c r="M39" s="28">
        <v>6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5392</v>
      </c>
      <c r="D40" s="28">
        <v>4903</v>
      </c>
      <c r="E40" s="28">
        <v>161</v>
      </c>
      <c r="F40" s="28">
        <f t="shared" si="5"/>
        <v>328</v>
      </c>
      <c r="G40" s="28">
        <v>14928</v>
      </c>
      <c r="H40" s="28">
        <v>9836</v>
      </c>
      <c r="I40" s="28">
        <v>1000</v>
      </c>
      <c r="J40" s="28">
        <f t="shared" si="6"/>
        <v>4092</v>
      </c>
      <c r="K40" s="28">
        <v>242</v>
      </c>
      <c r="L40" s="28">
        <v>0</v>
      </c>
      <c r="M40" s="28">
        <v>2912</v>
      </c>
      <c r="N40" s="28">
        <v>87</v>
      </c>
      <c r="O40" s="28">
        <v>87</v>
      </c>
    </row>
    <row r="41" spans="1:256" ht="12.75" customHeight="1">
      <c r="A41" s="4" t="s">
        <v>76</v>
      </c>
      <c r="B41" s="5" t="s">
        <v>77</v>
      </c>
      <c r="C41" s="28">
        <v>2084</v>
      </c>
      <c r="D41" s="28">
        <v>1776</v>
      </c>
      <c r="E41" s="28">
        <v>0</v>
      </c>
      <c r="F41" s="28">
        <f t="shared" si="5"/>
        <v>308</v>
      </c>
      <c r="G41" s="28">
        <v>6249</v>
      </c>
      <c r="H41" s="28">
        <v>4057</v>
      </c>
      <c r="I41" s="28">
        <v>0</v>
      </c>
      <c r="J41" s="28">
        <f t="shared" si="6"/>
        <v>2192</v>
      </c>
      <c r="K41" s="28">
        <v>358</v>
      </c>
      <c r="L41" s="28">
        <v>0</v>
      </c>
      <c r="M41" s="28">
        <v>92</v>
      </c>
      <c r="N41" s="28">
        <v>60</v>
      </c>
      <c r="O41" s="28">
        <v>60</v>
      </c>
    </row>
    <row r="42" spans="1:256" ht="12.75" customHeight="1">
      <c r="A42" s="4" t="s">
        <v>78</v>
      </c>
      <c r="B42" s="5" t="s">
        <v>79</v>
      </c>
      <c r="C42" s="28">
        <v>11001</v>
      </c>
      <c r="D42" s="28">
        <v>9825</v>
      </c>
      <c r="E42" s="28">
        <v>276</v>
      </c>
      <c r="F42" s="28">
        <f t="shared" si="5"/>
        <v>900</v>
      </c>
      <c r="G42" s="28">
        <v>18113</v>
      </c>
      <c r="H42" s="28">
        <v>14520</v>
      </c>
      <c r="I42" s="28">
        <v>656</v>
      </c>
      <c r="J42" s="28">
        <f t="shared" si="6"/>
        <v>2937</v>
      </c>
      <c r="K42" s="28">
        <v>415</v>
      </c>
      <c r="L42" s="28">
        <v>0</v>
      </c>
      <c r="M42" s="28">
        <v>14</v>
      </c>
      <c r="N42" s="28">
        <v>115</v>
      </c>
      <c r="O42" s="28">
        <v>115</v>
      </c>
    </row>
    <row r="43" spans="1:256" ht="12.75" customHeight="1">
      <c r="A43" s="8"/>
      <c r="B43" s="9" t="s">
        <v>80</v>
      </c>
      <c r="C43" s="29">
        <f t="shared" ref="C43:O43" si="7">SUM(C31:C42)</f>
        <v>123044</v>
      </c>
      <c r="D43" s="29">
        <f t="shared" si="7"/>
        <v>99436</v>
      </c>
      <c r="E43" s="29">
        <f t="shared" si="7"/>
        <v>3081</v>
      </c>
      <c r="F43" s="29">
        <f t="shared" si="7"/>
        <v>20527</v>
      </c>
      <c r="G43" s="29">
        <f t="shared" si="7"/>
        <v>344465</v>
      </c>
      <c r="H43" s="29">
        <f t="shared" si="7"/>
        <v>179712</v>
      </c>
      <c r="I43" s="29">
        <f t="shared" si="7"/>
        <v>15048</v>
      </c>
      <c r="J43" s="29">
        <f t="shared" si="7"/>
        <v>149705</v>
      </c>
      <c r="K43" s="29">
        <f t="shared" si="7"/>
        <v>20501</v>
      </c>
      <c r="L43" s="29">
        <f t="shared" si="7"/>
        <v>100</v>
      </c>
      <c r="M43" s="29">
        <f t="shared" si="7"/>
        <v>24415</v>
      </c>
      <c r="N43" s="29">
        <f t="shared" si="7"/>
        <v>40383</v>
      </c>
      <c r="O43" s="29">
        <f t="shared" si="7"/>
        <v>8927</v>
      </c>
    </row>
    <row r="44" spans="1:256" ht="12.75" customHeight="1">
      <c r="A44" s="4" t="s">
        <v>81</v>
      </c>
      <c r="B44" s="5" t="s">
        <v>82</v>
      </c>
      <c r="C44" s="28">
        <v>5578</v>
      </c>
      <c r="D44" s="28">
        <v>4267</v>
      </c>
      <c r="E44" s="28">
        <v>86</v>
      </c>
      <c r="F44" s="28">
        <f>SUM(C44-D44-E44)</f>
        <v>1225</v>
      </c>
      <c r="G44" s="28">
        <v>22788</v>
      </c>
      <c r="H44" s="28">
        <v>10974</v>
      </c>
      <c r="I44" s="28">
        <v>404</v>
      </c>
      <c r="J44" s="28">
        <f>SUM(G44-H44-I44)</f>
        <v>11410</v>
      </c>
      <c r="K44" s="28">
        <v>3281</v>
      </c>
      <c r="L44" s="28">
        <v>0</v>
      </c>
      <c r="M44" s="28">
        <v>2165</v>
      </c>
      <c r="N44" s="28">
        <v>139</v>
      </c>
      <c r="O44" s="28">
        <v>139</v>
      </c>
    </row>
    <row r="45" spans="1:256" ht="12.75" customHeight="1">
      <c r="A45" s="4" t="s">
        <v>83</v>
      </c>
      <c r="B45" s="5" t="s">
        <v>84</v>
      </c>
      <c r="C45" s="28">
        <v>6056</v>
      </c>
      <c r="D45" s="28">
        <v>5046</v>
      </c>
      <c r="E45" s="28">
        <v>141</v>
      </c>
      <c r="F45" s="28">
        <f>SUM(C45-D45-E45)</f>
        <v>869</v>
      </c>
      <c r="G45" s="28">
        <v>25134</v>
      </c>
      <c r="H45" s="28">
        <v>11938</v>
      </c>
      <c r="I45" s="28">
        <v>916</v>
      </c>
      <c r="J45" s="28">
        <f>SUM(G45-H45-I45)</f>
        <v>12280</v>
      </c>
      <c r="K45" s="28">
        <v>4528</v>
      </c>
      <c r="L45" s="28">
        <v>0</v>
      </c>
      <c r="M45" s="28">
        <v>1931</v>
      </c>
      <c r="N45" s="28">
        <v>0</v>
      </c>
      <c r="O45" s="28">
        <v>0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11634</v>
      </c>
      <c r="D46" s="29">
        <f t="shared" si="8"/>
        <v>9313</v>
      </c>
      <c r="E46" s="29">
        <f t="shared" si="8"/>
        <v>227</v>
      </c>
      <c r="F46" s="29">
        <f t="shared" si="8"/>
        <v>2094</v>
      </c>
      <c r="G46" s="29">
        <f t="shared" si="8"/>
        <v>47922</v>
      </c>
      <c r="H46" s="29">
        <f t="shared" si="8"/>
        <v>22912</v>
      </c>
      <c r="I46" s="29">
        <f t="shared" si="8"/>
        <v>1320</v>
      </c>
      <c r="J46" s="29">
        <f t="shared" si="8"/>
        <v>23690</v>
      </c>
      <c r="K46" s="29">
        <f t="shared" si="8"/>
        <v>7809</v>
      </c>
      <c r="L46" s="29">
        <f t="shared" si="8"/>
        <v>0</v>
      </c>
      <c r="M46" s="29">
        <f t="shared" si="8"/>
        <v>4096</v>
      </c>
      <c r="N46" s="29">
        <f t="shared" si="8"/>
        <v>139</v>
      </c>
      <c r="O46" s="29">
        <f t="shared" si="8"/>
        <v>139</v>
      </c>
    </row>
    <row r="47" spans="1:256" ht="12.75" customHeight="1">
      <c r="A47" s="4" t="s">
        <v>86</v>
      </c>
      <c r="B47" s="5" t="s">
        <v>87</v>
      </c>
      <c r="C47" s="28">
        <v>1475</v>
      </c>
      <c r="D47" s="28">
        <v>1361</v>
      </c>
      <c r="E47" s="28">
        <v>0</v>
      </c>
      <c r="F47" s="28">
        <f>SUM(C47-D47-E47)</f>
        <v>114</v>
      </c>
      <c r="G47" s="28">
        <v>1541</v>
      </c>
      <c r="H47" s="28">
        <v>930</v>
      </c>
      <c r="I47" s="28">
        <v>0</v>
      </c>
      <c r="J47" s="28">
        <f>SUM(G47-H47-I47)</f>
        <v>611</v>
      </c>
      <c r="K47" s="28">
        <v>150</v>
      </c>
      <c r="L47" s="28">
        <v>6</v>
      </c>
      <c r="M47" s="28">
        <v>56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3155</v>
      </c>
      <c r="D48" s="28">
        <v>2936</v>
      </c>
      <c r="E48" s="28">
        <v>30</v>
      </c>
      <c r="F48" s="28">
        <f>SUM(C48-D48-E48)</f>
        <v>189</v>
      </c>
      <c r="G48" s="28">
        <v>5521</v>
      </c>
      <c r="H48" s="28">
        <v>4976</v>
      </c>
      <c r="I48" s="28">
        <v>111</v>
      </c>
      <c r="J48" s="28">
        <f>SUM(G48-H48-I48)</f>
        <v>434</v>
      </c>
      <c r="K48" s="28">
        <v>255</v>
      </c>
      <c r="L48" s="28">
        <v>0</v>
      </c>
      <c r="M48" s="28">
        <v>0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1661</v>
      </c>
      <c r="D49" s="28">
        <v>1510</v>
      </c>
      <c r="E49" s="28">
        <v>79</v>
      </c>
      <c r="F49" s="28">
        <f>SUM(C49-D49-E49)</f>
        <v>72</v>
      </c>
      <c r="G49" s="28">
        <v>1485</v>
      </c>
      <c r="H49" s="28">
        <v>1213</v>
      </c>
      <c r="I49" s="28">
        <v>182</v>
      </c>
      <c r="J49" s="28">
        <f>SUM(G49-H49-I49)</f>
        <v>90</v>
      </c>
      <c r="K49" s="28">
        <v>773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8802</v>
      </c>
      <c r="D50" s="28">
        <v>8215</v>
      </c>
      <c r="E50" s="28">
        <v>109</v>
      </c>
      <c r="F50" s="28">
        <f>SUM(C50-D50-E50)</f>
        <v>478</v>
      </c>
      <c r="G50" s="28">
        <v>18195</v>
      </c>
      <c r="H50" s="28">
        <v>13137</v>
      </c>
      <c r="I50" s="28">
        <v>551</v>
      </c>
      <c r="J50" s="28">
        <f>SUM(G50-H50-I50)</f>
        <v>4507</v>
      </c>
      <c r="K50" s="28">
        <v>1967</v>
      </c>
      <c r="L50" s="28">
        <v>88</v>
      </c>
      <c r="M50" s="28">
        <v>1824</v>
      </c>
      <c r="N50" s="28">
        <v>357</v>
      </c>
      <c r="O50" s="28">
        <v>357</v>
      </c>
    </row>
    <row r="51" spans="1:15" ht="12.75" customHeight="1">
      <c r="A51" s="8"/>
      <c r="B51" s="9" t="s">
        <v>94</v>
      </c>
      <c r="C51" s="29">
        <f t="shared" ref="C51:O51" si="9">SUM(C47:C50)</f>
        <v>15093</v>
      </c>
      <c r="D51" s="29">
        <f t="shared" si="9"/>
        <v>14022</v>
      </c>
      <c r="E51" s="29">
        <f t="shared" si="9"/>
        <v>218</v>
      </c>
      <c r="F51" s="29">
        <f t="shared" si="9"/>
        <v>853</v>
      </c>
      <c r="G51" s="29">
        <f t="shared" si="9"/>
        <v>26742</v>
      </c>
      <c r="H51" s="29">
        <f t="shared" si="9"/>
        <v>20256</v>
      </c>
      <c r="I51" s="29">
        <f t="shared" si="9"/>
        <v>844</v>
      </c>
      <c r="J51" s="29">
        <f t="shared" si="9"/>
        <v>5642</v>
      </c>
      <c r="K51" s="29">
        <f t="shared" si="9"/>
        <v>3145</v>
      </c>
      <c r="L51" s="29">
        <f t="shared" si="9"/>
        <v>94</v>
      </c>
      <c r="M51" s="29">
        <f t="shared" si="9"/>
        <v>1880</v>
      </c>
      <c r="N51" s="29">
        <f t="shared" si="9"/>
        <v>357</v>
      </c>
      <c r="O51" s="29">
        <f t="shared" si="9"/>
        <v>357</v>
      </c>
    </row>
    <row r="52" spans="1:15" ht="12.75" customHeight="1">
      <c r="A52" s="4" t="s">
        <v>95</v>
      </c>
      <c r="B52" s="5" t="s">
        <v>96</v>
      </c>
      <c r="C52" s="28">
        <v>1503</v>
      </c>
      <c r="D52" s="28">
        <v>1419</v>
      </c>
      <c r="E52" s="28">
        <v>25</v>
      </c>
      <c r="F52" s="28">
        <f t="shared" ref="F52:F58" si="10">SUM(C52-D52-E52)</f>
        <v>59</v>
      </c>
      <c r="G52" s="28">
        <v>4798</v>
      </c>
      <c r="H52" s="28">
        <v>3117</v>
      </c>
      <c r="I52" s="28">
        <v>90</v>
      </c>
      <c r="J52" s="28">
        <f t="shared" ref="J52:J58" si="11">SUM(G52-H52-I52)</f>
        <v>1591</v>
      </c>
      <c r="K52" s="28">
        <v>1570</v>
      </c>
      <c r="L52" s="28">
        <v>0</v>
      </c>
      <c r="M52" s="28">
        <v>57</v>
      </c>
      <c r="N52" s="28">
        <v>173</v>
      </c>
      <c r="O52" s="28">
        <v>173</v>
      </c>
    </row>
    <row r="53" spans="1:15" ht="12.75" customHeight="1">
      <c r="A53" s="4" t="s">
        <v>97</v>
      </c>
      <c r="B53" s="5" t="s">
        <v>98</v>
      </c>
      <c r="C53" s="28">
        <v>9718</v>
      </c>
      <c r="D53" s="28">
        <v>7318</v>
      </c>
      <c r="E53" s="28">
        <v>85</v>
      </c>
      <c r="F53" s="28">
        <f t="shared" si="10"/>
        <v>2315</v>
      </c>
      <c r="G53" s="28">
        <v>28386</v>
      </c>
      <c r="H53" s="28">
        <v>18201</v>
      </c>
      <c r="I53" s="28">
        <v>737</v>
      </c>
      <c r="J53" s="28">
        <f t="shared" si="11"/>
        <v>9448</v>
      </c>
      <c r="K53" s="28">
        <v>1320</v>
      </c>
      <c r="L53" s="28">
        <v>0</v>
      </c>
      <c r="M53" s="28">
        <v>736</v>
      </c>
      <c r="N53" s="28">
        <v>566</v>
      </c>
      <c r="O53" s="28">
        <v>566</v>
      </c>
    </row>
    <row r="54" spans="1:15" ht="12.75" customHeight="1">
      <c r="A54" s="4" t="s">
        <v>99</v>
      </c>
      <c r="B54" s="5" t="s">
        <v>100</v>
      </c>
      <c r="C54" s="28">
        <v>1595</v>
      </c>
      <c r="D54" s="28">
        <v>959</v>
      </c>
      <c r="E54" s="28">
        <v>41</v>
      </c>
      <c r="F54" s="28">
        <f t="shared" si="10"/>
        <v>595</v>
      </c>
      <c r="G54" s="28">
        <v>5080</v>
      </c>
      <c r="H54" s="28">
        <v>2794</v>
      </c>
      <c r="I54" s="28">
        <v>388</v>
      </c>
      <c r="J54" s="28">
        <f t="shared" si="11"/>
        <v>1898</v>
      </c>
      <c r="K54" s="28">
        <v>63</v>
      </c>
      <c r="L54" s="28">
        <v>25</v>
      </c>
      <c r="M54" s="28">
        <v>192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7091</v>
      </c>
      <c r="D55" s="28">
        <v>5162</v>
      </c>
      <c r="E55" s="28">
        <v>76</v>
      </c>
      <c r="F55" s="28">
        <f t="shared" si="10"/>
        <v>1853</v>
      </c>
      <c r="G55" s="28">
        <v>21840</v>
      </c>
      <c r="H55" s="28">
        <v>11492</v>
      </c>
      <c r="I55" s="28">
        <v>451</v>
      </c>
      <c r="J55" s="28">
        <f t="shared" si="11"/>
        <v>9897</v>
      </c>
      <c r="K55" s="28">
        <v>2656</v>
      </c>
      <c r="L55" s="28">
        <v>0</v>
      </c>
      <c r="M55" s="28">
        <v>1316</v>
      </c>
      <c r="N55" s="28">
        <v>1812</v>
      </c>
      <c r="O55" s="28">
        <v>1812</v>
      </c>
    </row>
    <row r="56" spans="1:15" ht="12.75" customHeight="1">
      <c r="A56" s="4" t="s">
        <v>103</v>
      </c>
      <c r="B56" s="5" t="s">
        <v>104</v>
      </c>
      <c r="C56" s="28">
        <v>9042</v>
      </c>
      <c r="D56" s="28">
        <v>4060</v>
      </c>
      <c r="E56" s="28">
        <v>365</v>
      </c>
      <c r="F56" s="28">
        <f t="shared" si="10"/>
        <v>4617</v>
      </c>
      <c r="G56" s="28">
        <v>30916</v>
      </c>
      <c r="H56" s="28">
        <v>8955</v>
      </c>
      <c r="I56" s="28">
        <v>2271</v>
      </c>
      <c r="J56" s="28">
        <f t="shared" si="11"/>
        <v>19690</v>
      </c>
      <c r="K56" s="28">
        <v>2257</v>
      </c>
      <c r="L56" s="28">
        <v>186</v>
      </c>
      <c r="M56" s="28">
        <v>4013</v>
      </c>
      <c r="N56" s="28">
        <v>321</v>
      </c>
      <c r="O56" s="28">
        <v>321</v>
      </c>
    </row>
    <row r="57" spans="1:15" ht="12.75" customHeight="1">
      <c r="A57" s="4" t="s">
        <v>105</v>
      </c>
      <c r="B57" s="5" t="s">
        <v>106</v>
      </c>
      <c r="C57" s="28">
        <v>8053</v>
      </c>
      <c r="D57" s="28">
        <v>4674</v>
      </c>
      <c r="E57" s="28">
        <v>364</v>
      </c>
      <c r="F57" s="28">
        <f t="shared" si="10"/>
        <v>3015</v>
      </c>
      <c r="G57" s="28">
        <v>31651</v>
      </c>
      <c r="H57" s="28">
        <v>14152</v>
      </c>
      <c r="I57" s="28">
        <v>2564</v>
      </c>
      <c r="J57" s="28">
        <f t="shared" si="11"/>
        <v>14935</v>
      </c>
      <c r="K57" s="28">
        <v>444</v>
      </c>
      <c r="L57" s="28">
        <v>0</v>
      </c>
      <c r="M57" s="28">
        <v>1512</v>
      </c>
      <c r="N57" s="28">
        <v>0</v>
      </c>
      <c r="O57" s="28">
        <v>0</v>
      </c>
    </row>
    <row r="58" spans="1:15" ht="12.75" customHeight="1">
      <c r="A58" s="4" t="s">
        <v>107</v>
      </c>
      <c r="B58" s="5" t="s">
        <v>108</v>
      </c>
      <c r="C58" s="28">
        <v>9017</v>
      </c>
      <c r="D58" s="28">
        <v>5047</v>
      </c>
      <c r="E58" s="28">
        <v>121</v>
      </c>
      <c r="F58" s="28">
        <f t="shared" si="10"/>
        <v>3849</v>
      </c>
      <c r="G58" s="28">
        <v>28388</v>
      </c>
      <c r="H58" s="28">
        <v>11425</v>
      </c>
      <c r="I58" s="28">
        <v>756</v>
      </c>
      <c r="J58" s="28">
        <f t="shared" si="11"/>
        <v>16207</v>
      </c>
      <c r="K58" s="28">
        <v>957</v>
      </c>
      <c r="L58" s="28">
        <v>31</v>
      </c>
      <c r="M58" s="28">
        <v>1076</v>
      </c>
      <c r="N58" s="28">
        <v>3450</v>
      </c>
      <c r="O58" s="28">
        <v>3450</v>
      </c>
    </row>
    <row r="59" spans="1:15" ht="12.75" customHeight="1">
      <c r="A59" s="8"/>
      <c r="B59" s="9" t="s">
        <v>109</v>
      </c>
      <c r="C59" s="29">
        <f t="shared" ref="C59:O59" si="12">SUM(C52:C58)</f>
        <v>46019</v>
      </c>
      <c r="D59" s="29">
        <f t="shared" si="12"/>
        <v>28639</v>
      </c>
      <c r="E59" s="29">
        <f t="shared" si="12"/>
        <v>1077</v>
      </c>
      <c r="F59" s="29">
        <f t="shared" si="12"/>
        <v>16303</v>
      </c>
      <c r="G59" s="29">
        <f t="shared" si="12"/>
        <v>151059</v>
      </c>
      <c r="H59" s="29">
        <f t="shared" si="12"/>
        <v>70136</v>
      </c>
      <c r="I59" s="29">
        <f t="shared" si="12"/>
        <v>7257</v>
      </c>
      <c r="J59" s="29">
        <f t="shared" si="12"/>
        <v>73666</v>
      </c>
      <c r="K59" s="29">
        <f t="shared" si="12"/>
        <v>9267</v>
      </c>
      <c r="L59" s="29">
        <f t="shared" si="12"/>
        <v>242</v>
      </c>
      <c r="M59" s="29">
        <f t="shared" si="12"/>
        <v>8902</v>
      </c>
      <c r="N59" s="29">
        <f t="shared" si="12"/>
        <v>6322</v>
      </c>
      <c r="O59" s="29">
        <f t="shared" si="12"/>
        <v>6322</v>
      </c>
    </row>
    <row r="60" spans="1:15" ht="12.75" customHeight="1">
      <c r="A60" s="4" t="s">
        <v>110</v>
      </c>
      <c r="B60" s="5" t="s">
        <v>111</v>
      </c>
      <c r="C60" s="28">
        <v>10707</v>
      </c>
      <c r="D60" s="28">
        <v>8276</v>
      </c>
      <c r="E60" s="28">
        <v>605</v>
      </c>
      <c r="F60" s="28">
        <f t="shared" ref="F60:F68" si="13">SUM(C60-D60-E60)</f>
        <v>1826</v>
      </c>
      <c r="G60" s="28">
        <v>31795</v>
      </c>
      <c r="H60" s="28">
        <v>18640</v>
      </c>
      <c r="I60" s="28">
        <v>4697</v>
      </c>
      <c r="J60" s="28">
        <f t="shared" ref="J60:J68" si="14">SUM(G60-H60-I60)</f>
        <v>8458</v>
      </c>
      <c r="K60" s="28">
        <v>469</v>
      </c>
      <c r="L60" s="28">
        <v>0</v>
      </c>
      <c r="M60" s="28">
        <v>1047</v>
      </c>
      <c r="N60" s="28">
        <v>198</v>
      </c>
      <c r="O60" s="28">
        <v>198</v>
      </c>
    </row>
    <row r="61" spans="1:15" ht="12.75" customHeight="1">
      <c r="A61" s="4" t="s">
        <v>112</v>
      </c>
      <c r="B61" s="5" t="s">
        <v>113</v>
      </c>
      <c r="C61" s="28">
        <v>2645</v>
      </c>
      <c r="D61" s="28">
        <v>2092</v>
      </c>
      <c r="E61" s="28">
        <v>24</v>
      </c>
      <c r="F61" s="28">
        <f t="shared" si="13"/>
        <v>529</v>
      </c>
      <c r="G61" s="28">
        <v>6047</v>
      </c>
      <c r="H61" s="28">
        <v>4797</v>
      </c>
      <c r="I61" s="28">
        <v>164</v>
      </c>
      <c r="J61" s="28">
        <f t="shared" si="14"/>
        <v>1086</v>
      </c>
      <c r="K61" s="28">
        <v>3</v>
      </c>
      <c r="L61" s="28">
        <v>122</v>
      </c>
      <c r="M61" s="28">
        <v>283</v>
      </c>
      <c r="N61" s="28">
        <v>3</v>
      </c>
      <c r="O61" s="28">
        <v>3</v>
      </c>
    </row>
    <row r="62" spans="1:15" ht="12.75" customHeight="1">
      <c r="A62" s="4" t="s">
        <v>114</v>
      </c>
      <c r="B62" s="5" t="s">
        <v>115</v>
      </c>
      <c r="C62" s="28">
        <v>4399</v>
      </c>
      <c r="D62" s="28">
        <v>2699</v>
      </c>
      <c r="E62" s="28">
        <v>157</v>
      </c>
      <c r="F62" s="28">
        <f t="shared" si="13"/>
        <v>1543</v>
      </c>
      <c r="G62" s="28">
        <v>17975</v>
      </c>
      <c r="H62" s="28">
        <v>7281</v>
      </c>
      <c r="I62" s="28">
        <v>1445</v>
      </c>
      <c r="J62" s="28">
        <f t="shared" si="14"/>
        <v>9249</v>
      </c>
      <c r="K62" s="28">
        <v>3504</v>
      </c>
      <c r="L62" s="28">
        <v>30</v>
      </c>
      <c r="M62" s="28">
        <v>1578</v>
      </c>
      <c r="N62" s="28">
        <v>1486</v>
      </c>
      <c r="O62" s="28">
        <v>1486</v>
      </c>
    </row>
    <row r="63" spans="1:15" ht="12.75" customHeight="1">
      <c r="A63" s="4" t="s">
        <v>116</v>
      </c>
      <c r="B63" s="5" t="s">
        <v>117</v>
      </c>
      <c r="C63" s="28">
        <v>7029</v>
      </c>
      <c r="D63" s="28">
        <v>4959</v>
      </c>
      <c r="E63" s="28">
        <v>216</v>
      </c>
      <c r="F63" s="28">
        <f t="shared" si="13"/>
        <v>1854</v>
      </c>
      <c r="G63" s="28">
        <v>22729</v>
      </c>
      <c r="H63" s="28">
        <v>13592</v>
      </c>
      <c r="I63" s="28">
        <v>2454</v>
      </c>
      <c r="J63" s="28">
        <f t="shared" si="14"/>
        <v>6683</v>
      </c>
      <c r="K63" s="28">
        <v>173</v>
      </c>
      <c r="L63" s="28">
        <v>0</v>
      </c>
      <c r="M63" s="28">
        <v>862</v>
      </c>
      <c r="N63" s="28">
        <v>0</v>
      </c>
      <c r="O63" s="28">
        <v>0</v>
      </c>
    </row>
    <row r="64" spans="1:15" ht="12.75" customHeight="1">
      <c r="A64" s="4" t="s">
        <v>118</v>
      </c>
      <c r="B64" s="5" t="s">
        <v>119</v>
      </c>
      <c r="C64" s="28">
        <v>5501</v>
      </c>
      <c r="D64" s="28">
        <v>3209</v>
      </c>
      <c r="E64" s="28">
        <v>279</v>
      </c>
      <c r="F64" s="28">
        <f t="shared" si="13"/>
        <v>2013</v>
      </c>
      <c r="G64" s="28">
        <v>21395</v>
      </c>
      <c r="H64" s="28">
        <v>8956</v>
      </c>
      <c r="I64" s="28">
        <v>2069</v>
      </c>
      <c r="J64" s="28">
        <f t="shared" si="14"/>
        <v>10370</v>
      </c>
      <c r="K64" s="28">
        <v>72</v>
      </c>
      <c r="L64" s="28">
        <v>14</v>
      </c>
      <c r="M64" s="28">
        <v>307</v>
      </c>
      <c r="N64" s="28">
        <v>0</v>
      </c>
      <c r="O64" s="28">
        <v>0</v>
      </c>
    </row>
    <row r="65" spans="1:15" ht="12.75" customHeight="1">
      <c r="A65" s="4" t="s">
        <v>120</v>
      </c>
      <c r="B65" s="5" t="s">
        <v>121</v>
      </c>
      <c r="C65" s="28">
        <v>2848</v>
      </c>
      <c r="D65" s="28">
        <v>2361</v>
      </c>
      <c r="E65" s="28">
        <v>189</v>
      </c>
      <c r="F65" s="28">
        <f t="shared" si="13"/>
        <v>298</v>
      </c>
      <c r="G65" s="28">
        <v>12943</v>
      </c>
      <c r="H65" s="28">
        <v>6421</v>
      </c>
      <c r="I65" s="28">
        <v>1480</v>
      </c>
      <c r="J65" s="28">
        <f t="shared" si="14"/>
        <v>5042</v>
      </c>
      <c r="K65" s="28">
        <v>252</v>
      </c>
      <c r="L65" s="28">
        <v>0</v>
      </c>
      <c r="M65" s="28">
        <v>930</v>
      </c>
      <c r="N65" s="28">
        <v>53</v>
      </c>
      <c r="O65" s="28">
        <v>53</v>
      </c>
    </row>
    <row r="66" spans="1:15" ht="12.75" customHeight="1">
      <c r="A66" s="4" t="s">
        <v>122</v>
      </c>
      <c r="B66" s="5" t="s">
        <v>123</v>
      </c>
      <c r="C66" s="28">
        <v>5563</v>
      </c>
      <c r="D66" s="28">
        <v>2076</v>
      </c>
      <c r="E66" s="28">
        <v>101</v>
      </c>
      <c r="F66" s="28">
        <f t="shared" si="13"/>
        <v>3386</v>
      </c>
      <c r="G66" s="28">
        <v>31498</v>
      </c>
      <c r="H66" s="28">
        <v>5403</v>
      </c>
      <c r="I66" s="28">
        <v>841</v>
      </c>
      <c r="J66" s="28">
        <f t="shared" si="14"/>
        <v>25254</v>
      </c>
      <c r="K66" s="28">
        <v>2131</v>
      </c>
      <c r="L66" s="28">
        <v>0</v>
      </c>
      <c r="M66" s="28">
        <v>4648</v>
      </c>
      <c r="N66" s="28">
        <v>347</v>
      </c>
      <c r="O66" s="28">
        <v>33</v>
      </c>
    </row>
    <row r="67" spans="1:15" ht="12.75" customHeight="1">
      <c r="A67" s="4" t="s">
        <v>124</v>
      </c>
      <c r="B67" s="5" t="s">
        <v>125</v>
      </c>
      <c r="C67" s="28">
        <v>8823</v>
      </c>
      <c r="D67" s="28">
        <v>3515</v>
      </c>
      <c r="E67" s="28">
        <v>0</v>
      </c>
      <c r="F67" s="28">
        <f t="shared" si="13"/>
        <v>5308</v>
      </c>
      <c r="G67" s="28">
        <v>43827</v>
      </c>
      <c r="H67" s="28">
        <v>8313</v>
      </c>
      <c r="I67" s="28">
        <v>0</v>
      </c>
      <c r="J67" s="28">
        <f t="shared" si="14"/>
        <v>35514</v>
      </c>
      <c r="K67" s="28">
        <v>2862</v>
      </c>
      <c r="L67" s="28">
        <v>0</v>
      </c>
      <c r="M67" s="28">
        <v>9717</v>
      </c>
      <c r="N67" s="28">
        <v>128</v>
      </c>
      <c r="O67" s="28">
        <v>128</v>
      </c>
    </row>
    <row r="68" spans="1:15" ht="12.75" customHeight="1">
      <c r="A68" s="4" t="s">
        <v>126</v>
      </c>
      <c r="B68" s="5" t="s">
        <v>127</v>
      </c>
      <c r="C68" s="28">
        <v>4112</v>
      </c>
      <c r="D68" s="28">
        <v>2841</v>
      </c>
      <c r="E68" s="28">
        <v>91</v>
      </c>
      <c r="F68" s="28">
        <f t="shared" si="13"/>
        <v>1180</v>
      </c>
      <c r="G68" s="28">
        <v>15389</v>
      </c>
      <c r="H68" s="28">
        <v>6084</v>
      </c>
      <c r="I68" s="28">
        <v>562</v>
      </c>
      <c r="J68" s="28">
        <f t="shared" si="14"/>
        <v>8743</v>
      </c>
      <c r="K68" s="28">
        <v>52</v>
      </c>
      <c r="L68" s="28">
        <v>12</v>
      </c>
      <c r="M68" s="28">
        <v>336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51627</v>
      </c>
      <c r="D69" s="29">
        <f t="shared" si="15"/>
        <v>32028</v>
      </c>
      <c r="E69" s="29">
        <f t="shared" si="15"/>
        <v>1662</v>
      </c>
      <c r="F69" s="29">
        <f t="shared" si="15"/>
        <v>17937</v>
      </c>
      <c r="G69" s="29">
        <f t="shared" si="15"/>
        <v>203598</v>
      </c>
      <c r="H69" s="29">
        <f t="shared" si="15"/>
        <v>79487</v>
      </c>
      <c r="I69" s="29">
        <f t="shared" si="15"/>
        <v>13712</v>
      </c>
      <c r="J69" s="29">
        <f t="shared" si="15"/>
        <v>110399</v>
      </c>
      <c r="K69" s="29">
        <f t="shared" si="15"/>
        <v>9518</v>
      </c>
      <c r="L69" s="29">
        <f t="shared" si="15"/>
        <v>178</v>
      </c>
      <c r="M69" s="29">
        <f t="shared" si="15"/>
        <v>19708</v>
      </c>
      <c r="N69" s="29">
        <f t="shared" si="15"/>
        <v>2215</v>
      </c>
      <c r="O69" s="29">
        <f t="shared" si="15"/>
        <v>1901</v>
      </c>
    </row>
    <row r="70" spans="1:15" ht="12.75" customHeight="1">
      <c r="A70" s="4" t="s">
        <v>129</v>
      </c>
      <c r="B70" s="5" t="s">
        <v>130</v>
      </c>
      <c r="C70" s="28">
        <v>3334</v>
      </c>
      <c r="D70" s="28">
        <v>2901</v>
      </c>
      <c r="E70" s="28">
        <v>135</v>
      </c>
      <c r="F70" s="28">
        <f t="shared" ref="F70:F79" si="16">SUM(C70-D70-E70)</f>
        <v>298</v>
      </c>
      <c r="G70" s="28">
        <v>10789</v>
      </c>
      <c r="H70" s="28">
        <v>6687</v>
      </c>
      <c r="I70" s="28">
        <v>1663</v>
      </c>
      <c r="J70" s="28">
        <f t="shared" ref="J70:J79" si="17">SUM(G70-H70-I70)</f>
        <v>2439</v>
      </c>
      <c r="K70" s="28">
        <v>334</v>
      </c>
      <c r="L70" s="28">
        <v>0</v>
      </c>
      <c r="M70" s="28">
        <v>294</v>
      </c>
      <c r="N70" s="28">
        <v>57</v>
      </c>
      <c r="O70" s="28">
        <v>57</v>
      </c>
    </row>
    <row r="71" spans="1:15" ht="12.75" customHeight="1">
      <c r="A71" s="4" t="s">
        <v>131</v>
      </c>
      <c r="B71" s="5" t="s">
        <v>132</v>
      </c>
      <c r="C71" s="28">
        <v>14937</v>
      </c>
      <c r="D71" s="28">
        <v>8935</v>
      </c>
      <c r="E71" s="28">
        <v>389</v>
      </c>
      <c r="F71" s="28">
        <f t="shared" si="16"/>
        <v>5613</v>
      </c>
      <c r="G71" s="28">
        <v>34179</v>
      </c>
      <c r="H71" s="28">
        <v>15396</v>
      </c>
      <c r="I71" s="28">
        <v>2602</v>
      </c>
      <c r="J71" s="28">
        <f t="shared" si="17"/>
        <v>16181</v>
      </c>
      <c r="K71" s="28">
        <v>1594</v>
      </c>
      <c r="L71" s="28">
        <v>0</v>
      </c>
      <c r="M71" s="28">
        <v>868</v>
      </c>
      <c r="N71" s="28">
        <v>1648</v>
      </c>
      <c r="O71" s="28">
        <v>1648</v>
      </c>
    </row>
    <row r="72" spans="1:15" ht="12.75" customHeight="1">
      <c r="A72" s="4" t="s">
        <v>133</v>
      </c>
      <c r="B72" s="5" t="s">
        <v>134</v>
      </c>
      <c r="C72" s="28">
        <v>2231</v>
      </c>
      <c r="D72" s="28">
        <v>1828</v>
      </c>
      <c r="E72" s="28">
        <v>0</v>
      </c>
      <c r="F72" s="28">
        <f t="shared" si="16"/>
        <v>403</v>
      </c>
      <c r="G72" s="28">
        <v>6532</v>
      </c>
      <c r="H72" s="28">
        <v>4579</v>
      </c>
      <c r="I72" s="28">
        <v>0</v>
      </c>
      <c r="J72" s="28">
        <f t="shared" si="17"/>
        <v>1953</v>
      </c>
      <c r="K72" s="28">
        <v>407</v>
      </c>
      <c r="L72" s="28">
        <v>137</v>
      </c>
      <c r="M72" s="28">
        <v>790</v>
      </c>
      <c r="N72" s="28">
        <v>49</v>
      </c>
      <c r="O72" s="28">
        <v>49</v>
      </c>
    </row>
    <row r="73" spans="1:15" ht="12.75" customHeight="1">
      <c r="A73" s="4" t="s">
        <v>135</v>
      </c>
      <c r="B73" s="5" t="s">
        <v>136</v>
      </c>
      <c r="C73" s="28">
        <v>5628</v>
      </c>
      <c r="D73" s="28">
        <v>3860</v>
      </c>
      <c r="E73" s="28">
        <v>41</v>
      </c>
      <c r="F73" s="28">
        <f t="shared" si="16"/>
        <v>1727</v>
      </c>
      <c r="G73" s="28">
        <v>16964</v>
      </c>
      <c r="H73" s="28">
        <v>8209</v>
      </c>
      <c r="I73" s="28">
        <v>189</v>
      </c>
      <c r="J73" s="28">
        <f t="shared" si="17"/>
        <v>8566</v>
      </c>
      <c r="K73" s="28">
        <v>1170</v>
      </c>
      <c r="L73" s="28">
        <v>110</v>
      </c>
      <c r="M73" s="28">
        <v>1717</v>
      </c>
      <c r="N73" s="28">
        <v>6417</v>
      </c>
      <c r="O73" s="28">
        <v>6417</v>
      </c>
    </row>
    <row r="74" spans="1:15" ht="12.75" customHeight="1">
      <c r="A74" s="4" t="s">
        <v>137</v>
      </c>
      <c r="B74" s="5" t="s">
        <v>138</v>
      </c>
      <c r="C74" s="28">
        <v>4842</v>
      </c>
      <c r="D74" s="28">
        <v>4104</v>
      </c>
      <c r="E74" s="28">
        <v>115</v>
      </c>
      <c r="F74" s="28">
        <f t="shared" si="16"/>
        <v>623</v>
      </c>
      <c r="G74" s="28">
        <v>10486</v>
      </c>
      <c r="H74" s="28">
        <v>7083</v>
      </c>
      <c r="I74" s="28">
        <v>659</v>
      </c>
      <c r="J74" s="28">
        <f t="shared" si="17"/>
        <v>2744</v>
      </c>
      <c r="K74" s="28">
        <v>440</v>
      </c>
      <c r="L74" s="28">
        <v>0</v>
      </c>
      <c r="M74" s="28">
        <v>156</v>
      </c>
      <c r="N74" s="28">
        <v>248</v>
      </c>
      <c r="O74" s="28">
        <v>248</v>
      </c>
    </row>
    <row r="75" spans="1:15" ht="12.75" customHeight="1">
      <c r="A75" s="4" t="s">
        <v>139</v>
      </c>
      <c r="B75" s="5" t="s">
        <v>140</v>
      </c>
      <c r="C75" s="28">
        <v>2422</v>
      </c>
      <c r="D75" s="28">
        <v>2324</v>
      </c>
      <c r="E75" s="28">
        <v>21</v>
      </c>
      <c r="F75" s="28">
        <f t="shared" si="16"/>
        <v>77</v>
      </c>
      <c r="G75" s="28">
        <v>4858</v>
      </c>
      <c r="H75" s="28">
        <v>3872</v>
      </c>
      <c r="I75" s="28">
        <v>393</v>
      </c>
      <c r="J75" s="28">
        <f t="shared" si="17"/>
        <v>593</v>
      </c>
      <c r="K75" s="28">
        <v>18</v>
      </c>
      <c r="L75" s="28">
        <v>0</v>
      </c>
      <c r="M75" s="28">
        <v>11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4991</v>
      </c>
      <c r="D76" s="28">
        <v>3740</v>
      </c>
      <c r="E76" s="28">
        <v>68</v>
      </c>
      <c r="F76" s="28">
        <f t="shared" si="16"/>
        <v>1183</v>
      </c>
      <c r="G76" s="28">
        <v>13500</v>
      </c>
      <c r="H76" s="28">
        <v>8248</v>
      </c>
      <c r="I76" s="28">
        <v>337</v>
      </c>
      <c r="J76" s="28">
        <f t="shared" si="17"/>
        <v>4915</v>
      </c>
      <c r="K76" s="28">
        <v>198</v>
      </c>
      <c r="L76" s="28">
        <v>96</v>
      </c>
      <c r="M76" s="28">
        <v>266</v>
      </c>
      <c r="N76" s="28">
        <v>250</v>
      </c>
      <c r="O76" s="28">
        <v>250</v>
      </c>
    </row>
    <row r="77" spans="1:15" ht="12.75" customHeight="1">
      <c r="A77" s="4" t="s">
        <v>143</v>
      </c>
      <c r="B77" s="5" t="s">
        <v>144</v>
      </c>
      <c r="C77" s="28">
        <v>4721</v>
      </c>
      <c r="D77" s="28">
        <v>3027</v>
      </c>
      <c r="E77" s="28">
        <v>52</v>
      </c>
      <c r="F77" s="28">
        <f t="shared" si="16"/>
        <v>1642</v>
      </c>
      <c r="G77" s="28">
        <v>11353</v>
      </c>
      <c r="H77" s="28">
        <v>5655</v>
      </c>
      <c r="I77" s="28">
        <v>270</v>
      </c>
      <c r="J77" s="28">
        <f t="shared" si="17"/>
        <v>5428</v>
      </c>
      <c r="K77" s="28">
        <v>603</v>
      </c>
      <c r="L77" s="28">
        <v>0</v>
      </c>
      <c r="M77" s="28">
        <v>477</v>
      </c>
      <c r="N77" s="28">
        <v>130</v>
      </c>
      <c r="O77" s="28">
        <v>130</v>
      </c>
    </row>
    <row r="78" spans="1:15" ht="12.75" customHeight="1">
      <c r="A78" s="4" t="s">
        <v>145</v>
      </c>
      <c r="B78" s="5" t="s">
        <v>146</v>
      </c>
      <c r="C78" s="28">
        <v>2734</v>
      </c>
      <c r="D78" s="28">
        <v>2088</v>
      </c>
      <c r="E78" s="28">
        <v>0</v>
      </c>
      <c r="F78" s="28">
        <f t="shared" si="16"/>
        <v>646</v>
      </c>
      <c r="G78" s="28">
        <v>5134</v>
      </c>
      <c r="H78" s="28">
        <v>3554</v>
      </c>
      <c r="I78" s="28">
        <v>0</v>
      </c>
      <c r="J78" s="28">
        <f t="shared" si="17"/>
        <v>1580</v>
      </c>
      <c r="K78" s="28">
        <v>124</v>
      </c>
      <c r="L78" s="28">
        <v>0</v>
      </c>
      <c r="M78" s="28">
        <v>9</v>
      </c>
      <c r="N78" s="28">
        <v>26</v>
      </c>
      <c r="O78" s="28">
        <v>26</v>
      </c>
    </row>
    <row r="79" spans="1:15" ht="12.75" customHeight="1">
      <c r="A79" s="4" t="s">
        <v>147</v>
      </c>
      <c r="B79" s="5" t="s">
        <v>148</v>
      </c>
      <c r="C79" s="28">
        <v>2481</v>
      </c>
      <c r="D79" s="28">
        <v>2351</v>
      </c>
      <c r="E79" s="28">
        <v>47</v>
      </c>
      <c r="F79" s="28">
        <f t="shared" si="16"/>
        <v>83</v>
      </c>
      <c r="G79" s="28">
        <v>7821</v>
      </c>
      <c r="H79" s="28">
        <v>5658</v>
      </c>
      <c r="I79" s="28">
        <v>351</v>
      </c>
      <c r="J79" s="28">
        <f t="shared" si="17"/>
        <v>1812</v>
      </c>
      <c r="K79" s="28">
        <v>353</v>
      </c>
      <c r="L79" s="28">
        <v>51</v>
      </c>
      <c r="M79" s="28">
        <v>1435</v>
      </c>
      <c r="N79" s="28">
        <v>49</v>
      </c>
      <c r="O79" s="28">
        <v>49</v>
      </c>
    </row>
    <row r="80" spans="1:15" ht="12.75" customHeight="1">
      <c r="A80" s="8"/>
      <c r="B80" s="9" t="s">
        <v>149</v>
      </c>
      <c r="C80" s="29">
        <f t="shared" ref="C80:O80" si="18">SUM(C70:C79)</f>
        <v>48321</v>
      </c>
      <c r="D80" s="29">
        <f t="shared" si="18"/>
        <v>35158</v>
      </c>
      <c r="E80" s="29">
        <f t="shared" si="18"/>
        <v>868</v>
      </c>
      <c r="F80" s="29">
        <f t="shared" si="18"/>
        <v>12295</v>
      </c>
      <c r="G80" s="29">
        <f t="shared" si="18"/>
        <v>121616</v>
      </c>
      <c r="H80" s="29">
        <f t="shared" si="18"/>
        <v>68941</v>
      </c>
      <c r="I80" s="29">
        <f t="shared" si="18"/>
        <v>6464</v>
      </c>
      <c r="J80" s="29">
        <f t="shared" si="18"/>
        <v>46211</v>
      </c>
      <c r="K80" s="29">
        <f t="shared" si="18"/>
        <v>5241</v>
      </c>
      <c r="L80" s="29">
        <f t="shared" si="18"/>
        <v>394</v>
      </c>
      <c r="M80" s="29">
        <f t="shared" si="18"/>
        <v>6023</v>
      </c>
      <c r="N80" s="29">
        <f t="shared" si="18"/>
        <v>8874</v>
      </c>
      <c r="O80" s="29">
        <f t="shared" si="18"/>
        <v>8874</v>
      </c>
    </row>
    <row r="81" spans="1:15" ht="12.75" customHeight="1">
      <c r="A81" s="4" t="s">
        <v>150</v>
      </c>
      <c r="B81" s="5" t="s">
        <v>151</v>
      </c>
      <c r="C81" s="28">
        <v>4223</v>
      </c>
      <c r="D81" s="28">
        <v>2653</v>
      </c>
      <c r="E81" s="28">
        <v>100</v>
      </c>
      <c r="F81" s="28">
        <f>SUM(C81-D81-E81)</f>
        <v>1470</v>
      </c>
      <c r="G81" s="28">
        <v>17972</v>
      </c>
      <c r="H81" s="28">
        <v>9204</v>
      </c>
      <c r="I81" s="28">
        <v>1088</v>
      </c>
      <c r="J81" s="28">
        <f>SUM(G81-H81-I81)</f>
        <v>7680</v>
      </c>
      <c r="K81" s="28">
        <v>276</v>
      </c>
      <c r="L81" s="28">
        <v>0</v>
      </c>
      <c r="M81" s="28">
        <v>896</v>
      </c>
      <c r="N81" s="28">
        <v>350</v>
      </c>
      <c r="O81" s="28">
        <v>350</v>
      </c>
    </row>
    <row r="82" spans="1:15" ht="12.75" customHeight="1">
      <c r="A82" s="4" t="s">
        <v>152</v>
      </c>
      <c r="B82" s="5" t="s">
        <v>153</v>
      </c>
      <c r="C82" s="28">
        <v>2265</v>
      </c>
      <c r="D82" s="28">
        <v>1667</v>
      </c>
      <c r="E82" s="28">
        <v>21</v>
      </c>
      <c r="F82" s="28">
        <f>SUM(C82-D82-E82)</f>
        <v>577</v>
      </c>
      <c r="G82" s="28">
        <v>10210</v>
      </c>
      <c r="H82" s="28">
        <v>5101</v>
      </c>
      <c r="I82" s="28">
        <v>238</v>
      </c>
      <c r="J82" s="28">
        <f>SUM(G82-H82-I82)</f>
        <v>4871</v>
      </c>
      <c r="K82" s="28">
        <v>112</v>
      </c>
      <c r="L82" s="28">
        <v>0</v>
      </c>
      <c r="M82" s="28">
        <v>730</v>
      </c>
      <c r="N82" s="28">
        <v>45</v>
      </c>
      <c r="O82" s="28">
        <v>45</v>
      </c>
    </row>
    <row r="83" spans="1:15" ht="12.75" customHeight="1">
      <c r="A83" s="4" t="s">
        <v>154</v>
      </c>
      <c r="B83" s="5" t="s">
        <v>155</v>
      </c>
      <c r="C83" s="28">
        <v>387</v>
      </c>
      <c r="D83" s="28">
        <v>345</v>
      </c>
      <c r="E83" s="28">
        <v>38</v>
      </c>
      <c r="F83" s="28">
        <f>SUM(C83-D83-E83)</f>
        <v>4</v>
      </c>
      <c r="G83" s="28">
        <v>1445</v>
      </c>
      <c r="H83" s="28">
        <v>1130</v>
      </c>
      <c r="I83" s="28">
        <v>288</v>
      </c>
      <c r="J83" s="28">
        <f>SUM(G83-H83-I83)</f>
        <v>27</v>
      </c>
      <c r="K83" s="28">
        <v>0</v>
      </c>
      <c r="L83" s="28">
        <v>0</v>
      </c>
      <c r="M83" s="28">
        <v>15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2215</v>
      </c>
      <c r="D84" s="28">
        <v>2084</v>
      </c>
      <c r="E84" s="28">
        <v>19</v>
      </c>
      <c r="F84" s="28">
        <f>SUM(C84-D84-E84)</f>
        <v>112</v>
      </c>
      <c r="G84" s="28">
        <v>8445</v>
      </c>
      <c r="H84" s="28">
        <v>6383</v>
      </c>
      <c r="I84" s="28">
        <v>263</v>
      </c>
      <c r="J84" s="28">
        <f>SUM(G84-H84-I84)</f>
        <v>1799</v>
      </c>
      <c r="K84" s="28">
        <v>126</v>
      </c>
      <c r="L84" s="28">
        <v>0</v>
      </c>
      <c r="M84" s="28">
        <v>530</v>
      </c>
      <c r="N84" s="28">
        <v>34</v>
      </c>
      <c r="O84" s="28">
        <v>34</v>
      </c>
    </row>
    <row r="85" spans="1:15" ht="12.75" customHeight="1">
      <c r="A85" s="4" t="s">
        <v>158</v>
      </c>
      <c r="B85" s="5" t="s">
        <v>159</v>
      </c>
      <c r="C85" s="28">
        <v>3229</v>
      </c>
      <c r="D85" s="28">
        <v>2952</v>
      </c>
      <c r="E85" s="28">
        <v>57</v>
      </c>
      <c r="F85" s="28">
        <f>SUM(C85-D85-E85)</f>
        <v>220</v>
      </c>
      <c r="G85" s="28">
        <v>9313</v>
      </c>
      <c r="H85" s="28">
        <v>7447</v>
      </c>
      <c r="I85" s="28">
        <v>492</v>
      </c>
      <c r="J85" s="28">
        <f>SUM(G85-H85-I85)</f>
        <v>1374</v>
      </c>
      <c r="K85" s="28">
        <v>237</v>
      </c>
      <c r="L85" s="28">
        <v>0</v>
      </c>
      <c r="M85" s="28">
        <v>371</v>
      </c>
      <c r="N85" s="28">
        <v>2164</v>
      </c>
      <c r="O85" s="28">
        <v>2164</v>
      </c>
    </row>
    <row r="86" spans="1:15" ht="12.75" customHeight="1">
      <c r="A86" s="8"/>
      <c r="B86" s="9" t="s">
        <v>160</v>
      </c>
      <c r="C86" s="29">
        <f t="shared" ref="C86:O86" si="19">SUM(C81:C85)</f>
        <v>12319</v>
      </c>
      <c r="D86" s="29">
        <f t="shared" si="19"/>
        <v>9701</v>
      </c>
      <c r="E86" s="29">
        <f t="shared" si="19"/>
        <v>235</v>
      </c>
      <c r="F86" s="29">
        <f t="shared" si="19"/>
        <v>2383</v>
      </c>
      <c r="G86" s="29">
        <f t="shared" si="19"/>
        <v>47385</v>
      </c>
      <c r="H86" s="29">
        <f t="shared" si="19"/>
        <v>29265</v>
      </c>
      <c r="I86" s="29">
        <f t="shared" si="19"/>
        <v>2369</v>
      </c>
      <c r="J86" s="29">
        <f t="shared" si="19"/>
        <v>15751</v>
      </c>
      <c r="K86" s="29">
        <f t="shared" si="19"/>
        <v>751</v>
      </c>
      <c r="L86" s="29">
        <f t="shared" si="19"/>
        <v>0</v>
      </c>
      <c r="M86" s="29">
        <f t="shared" si="19"/>
        <v>2542</v>
      </c>
      <c r="N86" s="29">
        <f t="shared" si="19"/>
        <v>2593</v>
      </c>
      <c r="O86" s="29">
        <f t="shared" si="19"/>
        <v>2593</v>
      </c>
    </row>
    <row r="87" spans="1:15" ht="12.75" customHeight="1">
      <c r="A87" s="4" t="s">
        <v>161</v>
      </c>
      <c r="B87" s="5" t="s">
        <v>162</v>
      </c>
      <c r="C87" s="28">
        <v>5972</v>
      </c>
      <c r="D87" s="28">
        <v>5068</v>
      </c>
      <c r="E87" s="28">
        <v>0</v>
      </c>
      <c r="F87" s="28">
        <f>SUM(C87-D87-E87)</f>
        <v>904</v>
      </c>
      <c r="G87" s="28">
        <v>23499</v>
      </c>
      <c r="H87" s="28">
        <v>14167</v>
      </c>
      <c r="I87" s="28">
        <v>0</v>
      </c>
      <c r="J87" s="28">
        <f>SUM(G87-H87-I87)</f>
        <v>9332</v>
      </c>
      <c r="K87" s="28">
        <v>313</v>
      </c>
      <c r="L87" s="28">
        <v>0</v>
      </c>
      <c r="M87" s="28">
        <v>1208</v>
      </c>
      <c r="N87" s="28">
        <v>203</v>
      </c>
      <c r="O87" s="28">
        <v>203</v>
      </c>
    </row>
    <row r="88" spans="1:15" ht="12.75" customHeight="1">
      <c r="A88" s="4" t="s">
        <v>163</v>
      </c>
      <c r="B88" s="5" t="s">
        <v>164</v>
      </c>
      <c r="C88" s="28">
        <v>4983</v>
      </c>
      <c r="D88" s="28">
        <v>2166</v>
      </c>
      <c r="E88" s="28">
        <v>131</v>
      </c>
      <c r="F88" s="28">
        <f>SUM(C88-D88-E88)</f>
        <v>2686</v>
      </c>
      <c r="G88" s="28">
        <v>14686</v>
      </c>
      <c r="H88" s="28">
        <v>5721</v>
      </c>
      <c r="I88" s="28">
        <v>1281</v>
      </c>
      <c r="J88" s="28">
        <f>SUM(G88-H88-I88)</f>
        <v>7684</v>
      </c>
      <c r="K88" s="28">
        <v>83</v>
      </c>
      <c r="L88" s="28">
        <v>0</v>
      </c>
      <c r="M88" s="28">
        <v>442</v>
      </c>
      <c r="N88" s="28">
        <v>24</v>
      </c>
      <c r="O88" s="28">
        <v>24</v>
      </c>
    </row>
    <row r="89" spans="1:15" ht="12.75" customHeight="1">
      <c r="A89" s="8"/>
      <c r="B89" s="9" t="s">
        <v>165</v>
      </c>
      <c r="C89" s="29">
        <f t="shared" ref="C89:O89" si="20">SUM(C87:C88)</f>
        <v>10955</v>
      </c>
      <c r="D89" s="29">
        <f t="shared" si="20"/>
        <v>7234</v>
      </c>
      <c r="E89" s="29">
        <f t="shared" si="20"/>
        <v>131</v>
      </c>
      <c r="F89" s="29">
        <f t="shared" si="20"/>
        <v>3590</v>
      </c>
      <c r="G89" s="29">
        <f t="shared" si="20"/>
        <v>38185</v>
      </c>
      <c r="H89" s="29">
        <f t="shared" si="20"/>
        <v>19888</v>
      </c>
      <c r="I89" s="29">
        <f t="shared" si="20"/>
        <v>1281</v>
      </c>
      <c r="J89" s="29">
        <f t="shared" si="20"/>
        <v>17016</v>
      </c>
      <c r="K89" s="29">
        <f t="shared" si="20"/>
        <v>396</v>
      </c>
      <c r="L89" s="29">
        <f t="shared" si="20"/>
        <v>0</v>
      </c>
      <c r="M89" s="29">
        <f t="shared" si="20"/>
        <v>1650</v>
      </c>
      <c r="N89" s="29">
        <f t="shared" si="20"/>
        <v>227</v>
      </c>
      <c r="O89" s="29">
        <f t="shared" si="20"/>
        <v>227</v>
      </c>
    </row>
    <row r="90" spans="1:15" ht="12.75" customHeight="1">
      <c r="A90" s="4" t="s">
        <v>166</v>
      </c>
      <c r="B90" s="5" t="s">
        <v>167</v>
      </c>
      <c r="C90" s="28">
        <v>4603</v>
      </c>
      <c r="D90" s="28">
        <v>3410</v>
      </c>
      <c r="E90" s="28">
        <v>211</v>
      </c>
      <c r="F90" s="28">
        <f>SUM(C90-D90-E90)</f>
        <v>982</v>
      </c>
      <c r="G90" s="28">
        <v>20835</v>
      </c>
      <c r="H90" s="28">
        <v>9421</v>
      </c>
      <c r="I90" s="28">
        <v>1991</v>
      </c>
      <c r="J90" s="28">
        <f>SUM(G90-H90-I90)</f>
        <v>9423</v>
      </c>
      <c r="K90" s="28">
        <v>202</v>
      </c>
      <c r="L90" s="28">
        <v>20</v>
      </c>
      <c r="M90" s="28">
        <v>341</v>
      </c>
      <c r="N90" s="28">
        <v>0</v>
      </c>
      <c r="O90" s="28">
        <v>0</v>
      </c>
    </row>
    <row r="91" spans="1:15" ht="12.75" customHeight="1">
      <c r="A91" s="4" t="s">
        <v>168</v>
      </c>
      <c r="B91" s="5" t="s">
        <v>169</v>
      </c>
      <c r="C91" s="28">
        <v>5832</v>
      </c>
      <c r="D91" s="28">
        <v>4694</v>
      </c>
      <c r="E91" s="28">
        <v>0</v>
      </c>
      <c r="F91" s="28">
        <f>SUM(C91-D91-E91)</f>
        <v>1138</v>
      </c>
      <c r="G91" s="28">
        <v>21602</v>
      </c>
      <c r="H91" s="28">
        <v>11615</v>
      </c>
      <c r="I91" s="28">
        <v>0</v>
      </c>
      <c r="J91" s="28">
        <f>SUM(G91-H91-I91)</f>
        <v>9987</v>
      </c>
      <c r="K91" s="28">
        <v>207</v>
      </c>
      <c r="L91" s="28">
        <v>38</v>
      </c>
      <c r="M91" s="28">
        <v>1519</v>
      </c>
      <c r="N91" s="28">
        <v>136</v>
      </c>
      <c r="O91" s="28">
        <v>136</v>
      </c>
    </row>
    <row r="92" spans="1:15" ht="12.75" customHeight="1">
      <c r="A92" s="4" t="s">
        <v>170</v>
      </c>
      <c r="B92" s="5" t="s">
        <v>171</v>
      </c>
      <c r="C92" s="28">
        <v>1119</v>
      </c>
      <c r="D92" s="28">
        <v>758</v>
      </c>
      <c r="E92" s="28">
        <v>104</v>
      </c>
      <c r="F92" s="28">
        <f>SUM(C92-D92-E92)</f>
        <v>257</v>
      </c>
      <c r="G92" s="28">
        <v>3906</v>
      </c>
      <c r="H92" s="28">
        <v>2029</v>
      </c>
      <c r="I92" s="28">
        <v>1305</v>
      </c>
      <c r="J92" s="28">
        <f>SUM(G92-H92-I92)</f>
        <v>572</v>
      </c>
      <c r="K92" s="28">
        <v>98</v>
      </c>
      <c r="L92" s="28">
        <v>0</v>
      </c>
      <c r="M92" s="28">
        <v>111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49761</v>
      </c>
      <c r="D93" s="28">
        <v>40277</v>
      </c>
      <c r="E93" s="28">
        <v>2208</v>
      </c>
      <c r="F93" s="28">
        <f>SUM(C93-D93-E93)</f>
        <v>7276</v>
      </c>
      <c r="G93" s="28">
        <v>138201</v>
      </c>
      <c r="H93" s="28">
        <v>65840</v>
      </c>
      <c r="I93" s="28">
        <v>7657</v>
      </c>
      <c r="J93" s="28">
        <f>SUM(G93-H93-I93)</f>
        <v>64704</v>
      </c>
      <c r="K93" s="28">
        <v>8521</v>
      </c>
      <c r="L93" s="28">
        <v>24</v>
      </c>
      <c r="M93" s="28">
        <v>10144</v>
      </c>
      <c r="N93" s="28">
        <v>2672</v>
      </c>
      <c r="O93" s="28">
        <v>2086</v>
      </c>
    </row>
    <row r="94" spans="1:15" ht="12.75" customHeight="1">
      <c r="A94" s="4" t="s">
        <v>174</v>
      </c>
      <c r="B94" s="5" t="s">
        <v>175</v>
      </c>
      <c r="C94" s="28">
        <v>4245</v>
      </c>
      <c r="D94" s="28">
        <v>1514</v>
      </c>
      <c r="E94" s="28">
        <v>46</v>
      </c>
      <c r="F94" s="28">
        <f>SUM(C94-D94-E94)</f>
        <v>2685</v>
      </c>
      <c r="G94" s="28">
        <v>14382</v>
      </c>
      <c r="H94" s="28">
        <v>4313</v>
      </c>
      <c r="I94" s="28">
        <v>567</v>
      </c>
      <c r="J94" s="28">
        <f>SUM(G94-H94-I94)</f>
        <v>9502</v>
      </c>
      <c r="K94" s="28">
        <v>484</v>
      </c>
      <c r="L94" s="28">
        <v>296</v>
      </c>
      <c r="M94" s="28">
        <v>1384</v>
      </c>
      <c r="N94" s="28">
        <v>40</v>
      </c>
      <c r="O94" s="28">
        <v>40</v>
      </c>
    </row>
    <row r="95" spans="1:15" ht="12.75" customHeight="1">
      <c r="A95" s="8"/>
      <c r="B95" s="9" t="s">
        <v>176</v>
      </c>
      <c r="C95" s="29">
        <f t="shared" ref="C95:O95" si="21">SUM(C90:C94)</f>
        <v>65560</v>
      </c>
      <c r="D95" s="29">
        <f t="shared" si="21"/>
        <v>50653</v>
      </c>
      <c r="E95" s="29">
        <f t="shared" si="21"/>
        <v>2569</v>
      </c>
      <c r="F95" s="29">
        <f t="shared" si="21"/>
        <v>12338</v>
      </c>
      <c r="G95" s="29">
        <f t="shared" si="21"/>
        <v>198926</v>
      </c>
      <c r="H95" s="29">
        <f t="shared" si="21"/>
        <v>93218</v>
      </c>
      <c r="I95" s="29">
        <f t="shared" si="21"/>
        <v>11520</v>
      </c>
      <c r="J95" s="29">
        <f t="shared" si="21"/>
        <v>94188</v>
      </c>
      <c r="K95" s="29">
        <f t="shared" si="21"/>
        <v>9512</v>
      </c>
      <c r="L95" s="29">
        <f t="shared" si="21"/>
        <v>378</v>
      </c>
      <c r="M95" s="29">
        <f t="shared" si="21"/>
        <v>13499</v>
      </c>
      <c r="N95" s="29">
        <f t="shared" si="21"/>
        <v>2848</v>
      </c>
      <c r="O95" s="29">
        <f t="shared" si="21"/>
        <v>2262</v>
      </c>
    </row>
    <row r="96" spans="1:15" ht="12.75" customHeight="1">
      <c r="A96" s="4" t="s">
        <v>177</v>
      </c>
      <c r="B96" s="5" t="s">
        <v>178</v>
      </c>
      <c r="C96" s="28">
        <v>1040</v>
      </c>
      <c r="D96" s="28">
        <v>885</v>
      </c>
      <c r="E96" s="28">
        <v>17</v>
      </c>
      <c r="F96" s="28">
        <f>SUM(C96-D96-E96)</f>
        <v>138</v>
      </c>
      <c r="G96" s="28">
        <v>5501</v>
      </c>
      <c r="H96" s="28">
        <v>3366</v>
      </c>
      <c r="I96" s="28">
        <v>267</v>
      </c>
      <c r="J96" s="28">
        <f>SUM(G96-H96-I96)</f>
        <v>1868</v>
      </c>
      <c r="K96" s="28">
        <v>17</v>
      </c>
      <c r="L96" s="28">
        <v>0</v>
      </c>
      <c r="M96" s="28">
        <v>819</v>
      </c>
      <c r="N96" s="28">
        <v>29</v>
      </c>
      <c r="O96" s="28">
        <v>29</v>
      </c>
    </row>
    <row r="97" spans="1:15" ht="12.75" customHeight="1">
      <c r="A97" s="4" t="s">
        <v>179</v>
      </c>
      <c r="B97" s="5" t="s">
        <v>180</v>
      </c>
      <c r="C97" s="28">
        <v>402</v>
      </c>
      <c r="D97" s="28">
        <v>362</v>
      </c>
      <c r="E97" s="28">
        <v>0</v>
      </c>
      <c r="F97" s="28">
        <f>SUM(C97-D97-E97)</f>
        <v>40</v>
      </c>
      <c r="G97" s="28">
        <v>1371</v>
      </c>
      <c r="H97" s="28">
        <v>1122</v>
      </c>
      <c r="I97" s="28">
        <v>0</v>
      </c>
      <c r="J97" s="28">
        <f>SUM(G97-H97-I97)</f>
        <v>249</v>
      </c>
      <c r="K97" s="28">
        <v>17</v>
      </c>
      <c r="L97" s="28">
        <v>0</v>
      </c>
      <c r="M97" s="28">
        <v>0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1442</v>
      </c>
      <c r="D98" s="29">
        <f t="shared" si="22"/>
        <v>1247</v>
      </c>
      <c r="E98" s="29">
        <f t="shared" si="22"/>
        <v>17</v>
      </c>
      <c r="F98" s="29">
        <f t="shared" si="22"/>
        <v>178</v>
      </c>
      <c r="G98" s="29">
        <f t="shared" si="22"/>
        <v>6872</v>
      </c>
      <c r="H98" s="29">
        <f t="shared" si="22"/>
        <v>4488</v>
      </c>
      <c r="I98" s="29">
        <f t="shared" si="22"/>
        <v>267</v>
      </c>
      <c r="J98" s="29">
        <f t="shared" si="22"/>
        <v>2117</v>
      </c>
      <c r="K98" s="29">
        <f t="shared" si="22"/>
        <v>34</v>
      </c>
      <c r="L98" s="29">
        <f t="shared" si="22"/>
        <v>0</v>
      </c>
      <c r="M98" s="29">
        <f t="shared" si="22"/>
        <v>819</v>
      </c>
      <c r="N98" s="29">
        <f t="shared" si="22"/>
        <v>29</v>
      </c>
      <c r="O98" s="29">
        <f t="shared" si="22"/>
        <v>29</v>
      </c>
    </row>
    <row r="99" spans="1:15" ht="12.75" customHeight="1">
      <c r="A99" s="4" t="s">
        <v>182</v>
      </c>
      <c r="B99" s="5" t="s">
        <v>183</v>
      </c>
      <c r="C99" s="28">
        <v>2838</v>
      </c>
      <c r="D99" s="28">
        <v>2565</v>
      </c>
      <c r="E99" s="28">
        <v>72</v>
      </c>
      <c r="F99" s="28">
        <f>SUM(C99-D99-E99)</f>
        <v>201</v>
      </c>
      <c r="G99" s="28">
        <v>12514</v>
      </c>
      <c r="H99" s="28">
        <v>7945</v>
      </c>
      <c r="I99" s="28">
        <v>586</v>
      </c>
      <c r="J99" s="28">
        <f>SUM(G99-H99-I99)</f>
        <v>3983</v>
      </c>
      <c r="K99" s="28">
        <v>71</v>
      </c>
      <c r="L99" s="28">
        <v>0</v>
      </c>
      <c r="M99" s="28">
        <v>667</v>
      </c>
      <c r="N99" s="28">
        <v>44</v>
      </c>
      <c r="O99" s="28">
        <v>44</v>
      </c>
    </row>
    <row r="100" spans="1:15" ht="12.75" customHeight="1">
      <c r="A100" s="4" t="s">
        <v>184</v>
      </c>
      <c r="B100" s="5" t="s">
        <v>185</v>
      </c>
      <c r="C100" s="28">
        <v>3111</v>
      </c>
      <c r="D100" s="28">
        <v>1802</v>
      </c>
      <c r="E100" s="28">
        <v>131</v>
      </c>
      <c r="F100" s="28">
        <f>SUM(C100-D100-E100)</f>
        <v>1178</v>
      </c>
      <c r="G100" s="28">
        <v>10684</v>
      </c>
      <c r="H100" s="28">
        <v>5005</v>
      </c>
      <c r="I100" s="28">
        <v>798</v>
      </c>
      <c r="J100" s="28">
        <f>SUM(G100-H100-I100)</f>
        <v>4881</v>
      </c>
      <c r="K100" s="28">
        <v>82</v>
      </c>
      <c r="L100" s="28">
        <v>0</v>
      </c>
      <c r="M100" s="28">
        <v>213</v>
      </c>
      <c r="N100" s="28">
        <v>512</v>
      </c>
      <c r="O100" s="28">
        <v>512</v>
      </c>
    </row>
    <row r="101" spans="1:15" ht="12.75" customHeight="1">
      <c r="A101" s="4" t="s">
        <v>186</v>
      </c>
      <c r="B101" s="5" t="s">
        <v>187</v>
      </c>
      <c r="C101" s="28">
        <v>1653</v>
      </c>
      <c r="D101" s="28">
        <v>1516</v>
      </c>
      <c r="E101" s="28">
        <v>0</v>
      </c>
      <c r="F101" s="28">
        <f>SUM(C101-D101-E101)</f>
        <v>137</v>
      </c>
      <c r="G101" s="28">
        <v>5488</v>
      </c>
      <c r="H101" s="28">
        <v>3886</v>
      </c>
      <c r="I101" s="28">
        <v>0</v>
      </c>
      <c r="J101" s="28">
        <f>SUM(G101-H101-I101)</f>
        <v>1602</v>
      </c>
      <c r="K101" s="28">
        <v>16</v>
      </c>
      <c r="L101" s="28">
        <v>0</v>
      </c>
      <c r="M101" s="28">
        <v>286</v>
      </c>
      <c r="N101" s="28">
        <v>68</v>
      </c>
      <c r="O101" s="28">
        <v>68</v>
      </c>
    </row>
    <row r="102" spans="1:15" ht="12.75" customHeight="1">
      <c r="A102" s="4" t="s">
        <v>188</v>
      </c>
      <c r="B102" s="5" t="s">
        <v>189</v>
      </c>
      <c r="C102" s="28">
        <v>2554</v>
      </c>
      <c r="D102" s="28">
        <v>2292</v>
      </c>
      <c r="E102" s="28">
        <v>108</v>
      </c>
      <c r="F102" s="28">
        <f>SUM(C102-D102-E102)</f>
        <v>154</v>
      </c>
      <c r="G102" s="28">
        <v>9433</v>
      </c>
      <c r="H102" s="28">
        <v>5699</v>
      </c>
      <c r="I102" s="28">
        <v>1200</v>
      </c>
      <c r="J102" s="28">
        <f>SUM(G102-H102-I102)</f>
        <v>2534</v>
      </c>
      <c r="K102" s="28">
        <v>201</v>
      </c>
      <c r="L102" s="28">
        <v>0</v>
      </c>
      <c r="M102" s="28">
        <v>558</v>
      </c>
      <c r="N102" s="28">
        <v>7</v>
      </c>
      <c r="O102" s="28">
        <v>7</v>
      </c>
    </row>
    <row r="103" spans="1:15" ht="12.75" customHeight="1">
      <c r="A103" s="8"/>
      <c r="B103" s="9" t="s">
        <v>190</v>
      </c>
      <c r="C103" s="29">
        <f t="shared" ref="C103:O103" si="23">SUM(C99:C102)</f>
        <v>10156</v>
      </c>
      <c r="D103" s="29">
        <f t="shared" si="23"/>
        <v>8175</v>
      </c>
      <c r="E103" s="29">
        <f t="shared" si="23"/>
        <v>311</v>
      </c>
      <c r="F103" s="29">
        <f t="shared" si="23"/>
        <v>1670</v>
      </c>
      <c r="G103" s="29">
        <f t="shared" si="23"/>
        <v>38119</v>
      </c>
      <c r="H103" s="29">
        <f t="shared" si="23"/>
        <v>22535</v>
      </c>
      <c r="I103" s="29">
        <f t="shared" si="23"/>
        <v>2584</v>
      </c>
      <c r="J103" s="29">
        <f t="shared" si="23"/>
        <v>13000</v>
      </c>
      <c r="K103" s="29">
        <f t="shared" si="23"/>
        <v>370</v>
      </c>
      <c r="L103" s="29">
        <f t="shared" si="23"/>
        <v>0</v>
      </c>
      <c r="M103" s="29">
        <f t="shared" si="23"/>
        <v>1724</v>
      </c>
      <c r="N103" s="29">
        <f t="shared" si="23"/>
        <v>631</v>
      </c>
      <c r="O103" s="29">
        <f t="shared" si="23"/>
        <v>631</v>
      </c>
    </row>
    <row r="104" spans="1:15" ht="12.75" customHeight="1">
      <c r="A104" s="4" t="s">
        <v>191</v>
      </c>
      <c r="B104" s="5" t="s">
        <v>192</v>
      </c>
      <c r="C104" s="28">
        <v>2052</v>
      </c>
      <c r="D104" s="28">
        <v>1655</v>
      </c>
      <c r="E104" s="28">
        <v>53</v>
      </c>
      <c r="F104" s="28">
        <f>SUM(C104-D104-E104)</f>
        <v>344</v>
      </c>
      <c r="G104" s="28">
        <v>8857</v>
      </c>
      <c r="H104" s="28">
        <v>5277</v>
      </c>
      <c r="I104" s="28">
        <v>537</v>
      </c>
      <c r="J104" s="28">
        <f>SUM(G104-H104-I104)</f>
        <v>3043</v>
      </c>
      <c r="K104" s="28">
        <v>189</v>
      </c>
      <c r="L104" s="28">
        <v>0</v>
      </c>
      <c r="M104" s="28">
        <v>383</v>
      </c>
      <c r="N104" s="28">
        <v>27</v>
      </c>
      <c r="O104" s="28">
        <v>27</v>
      </c>
    </row>
    <row r="105" spans="1:15" ht="12.75" customHeight="1">
      <c r="A105" s="4" t="s">
        <v>193</v>
      </c>
      <c r="B105" s="5" t="s">
        <v>194</v>
      </c>
      <c r="C105" s="28">
        <v>1427</v>
      </c>
      <c r="D105" s="28">
        <v>1005</v>
      </c>
      <c r="E105" s="28">
        <v>0</v>
      </c>
      <c r="F105" s="28">
        <f>SUM(C105-D105-E105)</f>
        <v>422</v>
      </c>
      <c r="G105" s="28">
        <v>6752</v>
      </c>
      <c r="H105" s="28">
        <v>3085</v>
      </c>
      <c r="I105" s="28">
        <v>0</v>
      </c>
      <c r="J105" s="28">
        <f>SUM(G105-H105-I105)</f>
        <v>3667</v>
      </c>
      <c r="K105" s="28">
        <v>25</v>
      </c>
      <c r="L105" s="28">
        <v>0</v>
      </c>
      <c r="M105" s="28">
        <v>691</v>
      </c>
      <c r="N105" s="28">
        <v>8</v>
      </c>
      <c r="O105" s="28">
        <v>8</v>
      </c>
    </row>
    <row r="106" spans="1:15" ht="12.75" customHeight="1">
      <c r="A106" s="4" t="s">
        <v>195</v>
      </c>
      <c r="B106" s="5" t="s">
        <v>196</v>
      </c>
      <c r="C106" s="28">
        <v>6951</v>
      </c>
      <c r="D106" s="28">
        <v>4563</v>
      </c>
      <c r="E106" s="28">
        <v>135</v>
      </c>
      <c r="F106" s="28">
        <f>SUM(C106-D106-E106)</f>
        <v>2253</v>
      </c>
      <c r="G106" s="28">
        <v>32633</v>
      </c>
      <c r="H106" s="28">
        <v>13289</v>
      </c>
      <c r="I106" s="28">
        <v>1052</v>
      </c>
      <c r="J106" s="28">
        <f>SUM(G106-H106-I106)</f>
        <v>18292</v>
      </c>
      <c r="K106" s="28">
        <v>67</v>
      </c>
      <c r="L106" s="28">
        <v>0</v>
      </c>
      <c r="M106" s="28">
        <v>5019</v>
      </c>
      <c r="N106" s="28">
        <v>365</v>
      </c>
      <c r="O106" s="28">
        <v>365</v>
      </c>
    </row>
    <row r="107" spans="1:15" ht="12.75" customHeight="1">
      <c r="A107" s="4" t="s">
        <v>197</v>
      </c>
      <c r="B107" s="5" t="s">
        <v>198</v>
      </c>
      <c r="C107" s="28">
        <v>24350</v>
      </c>
      <c r="D107" s="28">
        <v>14966</v>
      </c>
      <c r="E107" s="28">
        <v>629</v>
      </c>
      <c r="F107" s="28">
        <f>SUM(C107-D107-E107)</f>
        <v>8755</v>
      </c>
      <c r="G107" s="28">
        <v>68458</v>
      </c>
      <c r="H107" s="28">
        <v>26734</v>
      </c>
      <c r="I107" s="28">
        <v>1803</v>
      </c>
      <c r="J107" s="28">
        <f>SUM(G107-H107-I107)</f>
        <v>39921</v>
      </c>
      <c r="K107" s="28">
        <v>2810</v>
      </c>
      <c r="L107" s="28">
        <v>0</v>
      </c>
      <c r="M107" s="28">
        <v>595</v>
      </c>
      <c r="N107" s="28">
        <v>1623</v>
      </c>
      <c r="O107" s="28">
        <v>1623</v>
      </c>
    </row>
    <row r="108" spans="1:15" ht="12.75" customHeight="1">
      <c r="A108" s="4" t="s">
        <v>199</v>
      </c>
      <c r="B108" s="5" t="s">
        <v>200</v>
      </c>
      <c r="C108" s="28">
        <v>5595</v>
      </c>
      <c r="D108" s="28">
        <v>4192</v>
      </c>
      <c r="E108" s="28">
        <v>134</v>
      </c>
      <c r="F108" s="28">
        <f>SUM(C108-D108-E108)</f>
        <v>1269</v>
      </c>
      <c r="G108" s="28">
        <v>32237</v>
      </c>
      <c r="H108" s="28">
        <v>13336</v>
      </c>
      <c r="I108" s="28">
        <v>1287</v>
      </c>
      <c r="J108" s="28">
        <f>SUM(G108-H108-I108)</f>
        <v>17614</v>
      </c>
      <c r="K108" s="28">
        <v>276</v>
      </c>
      <c r="L108" s="28">
        <v>0</v>
      </c>
      <c r="M108" s="28">
        <v>1533</v>
      </c>
      <c r="N108" s="28">
        <v>463</v>
      </c>
      <c r="O108" s="28">
        <v>463</v>
      </c>
    </row>
    <row r="109" spans="1:15" ht="12.75" customHeight="1">
      <c r="A109" s="8"/>
      <c r="B109" s="9" t="s">
        <v>201</v>
      </c>
      <c r="C109" s="29">
        <f t="shared" ref="C109:O109" si="24">SUM(C104:C108)</f>
        <v>40375</v>
      </c>
      <c r="D109" s="29">
        <f t="shared" si="24"/>
        <v>26381</v>
      </c>
      <c r="E109" s="29">
        <f t="shared" si="24"/>
        <v>951</v>
      </c>
      <c r="F109" s="29">
        <f t="shared" si="24"/>
        <v>13043</v>
      </c>
      <c r="G109" s="29">
        <f t="shared" si="24"/>
        <v>148937</v>
      </c>
      <c r="H109" s="29">
        <f t="shared" si="24"/>
        <v>61721</v>
      </c>
      <c r="I109" s="29">
        <f t="shared" si="24"/>
        <v>4679</v>
      </c>
      <c r="J109" s="29">
        <f t="shared" si="24"/>
        <v>82537</v>
      </c>
      <c r="K109" s="29">
        <f t="shared" si="24"/>
        <v>3367</v>
      </c>
      <c r="L109" s="29">
        <f t="shared" si="24"/>
        <v>0</v>
      </c>
      <c r="M109" s="29">
        <f t="shared" si="24"/>
        <v>8221</v>
      </c>
      <c r="N109" s="29">
        <f t="shared" si="24"/>
        <v>2486</v>
      </c>
      <c r="O109" s="29">
        <f t="shared" si="24"/>
        <v>2486</v>
      </c>
    </row>
    <row r="110" spans="1:15" ht="12.75" customHeight="1">
      <c r="A110" s="4" t="s">
        <v>202</v>
      </c>
      <c r="B110" s="5" t="s">
        <v>203</v>
      </c>
      <c r="C110" s="28">
        <v>10030</v>
      </c>
      <c r="D110" s="28">
        <v>8608</v>
      </c>
      <c r="E110" s="28">
        <v>54</v>
      </c>
      <c r="F110" s="28">
        <f t="shared" ref="F110:F115" si="25">SUM(C110-D110-E110)</f>
        <v>1368</v>
      </c>
      <c r="G110" s="28">
        <v>40172</v>
      </c>
      <c r="H110" s="28">
        <v>25787</v>
      </c>
      <c r="I110" s="28">
        <v>940</v>
      </c>
      <c r="J110" s="28">
        <f t="shared" ref="J110:J115" si="26">SUM(G110-H110-I110)</f>
        <v>13445</v>
      </c>
      <c r="K110" s="28">
        <v>899</v>
      </c>
      <c r="L110" s="28">
        <v>0</v>
      </c>
      <c r="M110" s="28">
        <v>2407</v>
      </c>
      <c r="N110" s="28">
        <v>275</v>
      </c>
      <c r="O110" s="28">
        <v>275</v>
      </c>
    </row>
    <row r="111" spans="1:15" ht="12.75" customHeight="1">
      <c r="A111" s="4" t="s">
        <v>204</v>
      </c>
      <c r="B111" s="5" t="s">
        <v>205</v>
      </c>
      <c r="C111" s="28">
        <v>862</v>
      </c>
      <c r="D111" s="28">
        <v>807</v>
      </c>
      <c r="E111" s="28">
        <v>7</v>
      </c>
      <c r="F111" s="28">
        <f t="shared" si="25"/>
        <v>48</v>
      </c>
      <c r="G111" s="28">
        <v>3166</v>
      </c>
      <c r="H111" s="28">
        <v>2419</v>
      </c>
      <c r="I111" s="28">
        <v>77</v>
      </c>
      <c r="J111" s="28">
        <f t="shared" si="26"/>
        <v>670</v>
      </c>
      <c r="K111" s="28">
        <v>9</v>
      </c>
      <c r="L111" s="28">
        <v>0</v>
      </c>
      <c r="M111" s="28">
        <v>382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3008</v>
      </c>
      <c r="D112" s="28">
        <v>2582</v>
      </c>
      <c r="E112" s="28">
        <v>0</v>
      </c>
      <c r="F112" s="28">
        <f t="shared" si="25"/>
        <v>426</v>
      </c>
      <c r="G112" s="28">
        <v>9920</v>
      </c>
      <c r="H112" s="28">
        <v>7811</v>
      </c>
      <c r="I112" s="28">
        <v>0</v>
      </c>
      <c r="J112" s="28">
        <f t="shared" si="26"/>
        <v>2109</v>
      </c>
      <c r="K112" s="28">
        <v>92</v>
      </c>
      <c r="L112" s="28">
        <v>1314</v>
      </c>
      <c r="M112" s="28">
        <v>340</v>
      </c>
      <c r="N112" s="28">
        <v>5746</v>
      </c>
      <c r="O112" s="28">
        <v>5746</v>
      </c>
    </row>
    <row r="113" spans="1:15" ht="12.75" customHeight="1">
      <c r="A113" s="4" t="s">
        <v>208</v>
      </c>
      <c r="B113" s="5" t="s">
        <v>209</v>
      </c>
      <c r="C113" s="28">
        <v>3035</v>
      </c>
      <c r="D113" s="28">
        <v>2198</v>
      </c>
      <c r="E113" s="28">
        <v>73</v>
      </c>
      <c r="F113" s="28">
        <f t="shared" si="25"/>
        <v>764</v>
      </c>
      <c r="G113" s="28">
        <v>11081</v>
      </c>
      <c r="H113" s="28">
        <v>6497</v>
      </c>
      <c r="I113" s="28">
        <v>630</v>
      </c>
      <c r="J113" s="28">
        <f t="shared" si="26"/>
        <v>3954</v>
      </c>
      <c r="K113" s="28">
        <v>322</v>
      </c>
      <c r="L113" s="28">
        <v>0</v>
      </c>
      <c r="M113" s="28">
        <v>2116</v>
      </c>
      <c r="N113" s="28">
        <v>13</v>
      </c>
      <c r="O113" s="28">
        <v>13</v>
      </c>
    </row>
    <row r="114" spans="1:15" ht="12.75" customHeight="1">
      <c r="A114" s="4" t="s">
        <v>210</v>
      </c>
      <c r="B114" s="5" t="s">
        <v>211</v>
      </c>
      <c r="C114" s="28">
        <v>12899</v>
      </c>
      <c r="D114" s="28">
        <v>5955</v>
      </c>
      <c r="E114" s="28">
        <v>0</v>
      </c>
      <c r="F114" s="28">
        <f t="shared" si="25"/>
        <v>6944</v>
      </c>
      <c r="G114" s="28">
        <v>38256</v>
      </c>
      <c r="H114" s="28">
        <v>14127</v>
      </c>
      <c r="I114" s="28">
        <v>0</v>
      </c>
      <c r="J114" s="28">
        <f t="shared" si="26"/>
        <v>24129</v>
      </c>
      <c r="K114" s="28">
        <v>2418</v>
      </c>
      <c r="L114" s="28">
        <v>0</v>
      </c>
      <c r="M114" s="28">
        <v>2518</v>
      </c>
      <c r="N114" s="28">
        <v>1424</v>
      </c>
      <c r="O114" s="28">
        <v>1424</v>
      </c>
    </row>
    <row r="115" spans="1:15" ht="12.75" customHeight="1">
      <c r="A115" s="4" t="s">
        <v>212</v>
      </c>
      <c r="B115" s="5" t="s">
        <v>213</v>
      </c>
      <c r="C115" s="28">
        <v>3764</v>
      </c>
      <c r="D115" s="28">
        <v>3536</v>
      </c>
      <c r="E115" s="28">
        <v>0</v>
      </c>
      <c r="F115" s="28">
        <f t="shared" si="25"/>
        <v>228</v>
      </c>
      <c r="G115" s="28">
        <v>11102</v>
      </c>
      <c r="H115" s="28">
        <v>9622</v>
      </c>
      <c r="I115" s="28">
        <v>0</v>
      </c>
      <c r="J115" s="28">
        <f t="shared" si="26"/>
        <v>1480</v>
      </c>
      <c r="K115" s="28">
        <v>213</v>
      </c>
      <c r="L115" s="28">
        <v>0</v>
      </c>
      <c r="M115" s="28">
        <v>380</v>
      </c>
      <c r="N115" s="28">
        <v>246</v>
      </c>
      <c r="O115" s="28">
        <v>246</v>
      </c>
    </row>
    <row r="116" spans="1:15" ht="12.75" customHeight="1">
      <c r="A116" s="8"/>
      <c r="B116" s="9" t="s">
        <v>214</v>
      </c>
      <c r="C116" s="29">
        <f t="shared" ref="C116:O116" si="27">SUM(C110:C115)</f>
        <v>33598</v>
      </c>
      <c r="D116" s="29">
        <f t="shared" si="27"/>
        <v>23686</v>
      </c>
      <c r="E116" s="29">
        <f t="shared" si="27"/>
        <v>134</v>
      </c>
      <c r="F116" s="29">
        <f t="shared" si="27"/>
        <v>9778</v>
      </c>
      <c r="G116" s="29">
        <f t="shared" si="27"/>
        <v>113697</v>
      </c>
      <c r="H116" s="29">
        <f t="shared" si="27"/>
        <v>66263</v>
      </c>
      <c r="I116" s="29">
        <f t="shared" si="27"/>
        <v>1647</v>
      </c>
      <c r="J116" s="29">
        <f t="shared" si="27"/>
        <v>45787</v>
      </c>
      <c r="K116" s="29">
        <f t="shared" si="27"/>
        <v>3953</v>
      </c>
      <c r="L116" s="29">
        <f t="shared" si="27"/>
        <v>1314</v>
      </c>
      <c r="M116" s="29">
        <f t="shared" si="27"/>
        <v>8143</v>
      </c>
      <c r="N116" s="29">
        <f t="shared" si="27"/>
        <v>7704</v>
      </c>
      <c r="O116" s="29">
        <f t="shared" si="27"/>
        <v>7704</v>
      </c>
    </row>
    <row r="117" spans="1:15" ht="12.75" customHeight="1">
      <c r="A117" s="4" t="s">
        <v>215</v>
      </c>
      <c r="B117" s="5" t="s">
        <v>216</v>
      </c>
      <c r="C117" s="28">
        <v>1036</v>
      </c>
      <c r="D117" s="28">
        <v>835</v>
      </c>
      <c r="E117" s="28">
        <v>0</v>
      </c>
      <c r="F117" s="28">
        <f>SUM(C117-D117-E117)</f>
        <v>201</v>
      </c>
      <c r="G117" s="28">
        <v>3920</v>
      </c>
      <c r="H117" s="28">
        <v>2785</v>
      </c>
      <c r="I117" s="28">
        <v>0</v>
      </c>
      <c r="J117" s="28">
        <f>SUM(G117-H117-I117)</f>
        <v>1135</v>
      </c>
      <c r="K117" s="28">
        <v>8</v>
      </c>
      <c r="L117" s="28">
        <v>0</v>
      </c>
      <c r="M117" s="28">
        <v>656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2628</v>
      </c>
      <c r="D118" s="28">
        <v>2421</v>
      </c>
      <c r="E118" s="28">
        <v>40</v>
      </c>
      <c r="F118" s="28">
        <f>SUM(C118-D118-E118)</f>
        <v>167</v>
      </c>
      <c r="G118" s="28">
        <v>10753</v>
      </c>
      <c r="H118" s="28">
        <v>6919</v>
      </c>
      <c r="I118" s="28">
        <v>300</v>
      </c>
      <c r="J118" s="28">
        <f>SUM(G118-H118-I118)</f>
        <v>3534</v>
      </c>
      <c r="K118" s="28">
        <v>87</v>
      </c>
      <c r="L118" s="28">
        <v>0</v>
      </c>
      <c r="M118" s="28">
        <v>610</v>
      </c>
      <c r="N118" s="28">
        <v>275</v>
      </c>
      <c r="O118" s="28">
        <v>275</v>
      </c>
    </row>
    <row r="119" spans="1:15" ht="12.75" customHeight="1">
      <c r="A119" s="8"/>
      <c r="B119" s="9" t="s">
        <v>219</v>
      </c>
      <c r="C119" s="29">
        <f t="shared" ref="C119:O119" si="28">SUM(C117:C118)</f>
        <v>3664</v>
      </c>
      <c r="D119" s="29">
        <f t="shared" si="28"/>
        <v>3256</v>
      </c>
      <c r="E119" s="29">
        <f t="shared" si="28"/>
        <v>40</v>
      </c>
      <c r="F119" s="29">
        <f t="shared" si="28"/>
        <v>368</v>
      </c>
      <c r="G119" s="29">
        <f t="shared" si="28"/>
        <v>14673</v>
      </c>
      <c r="H119" s="29">
        <f t="shared" si="28"/>
        <v>9704</v>
      </c>
      <c r="I119" s="29">
        <f t="shared" si="28"/>
        <v>300</v>
      </c>
      <c r="J119" s="29">
        <f t="shared" si="28"/>
        <v>4669</v>
      </c>
      <c r="K119" s="29">
        <f t="shared" si="28"/>
        <v>95</v>
      </c>
      <c r="L119" s="29">
        <f t="shared" si="28"/>
        <v>0</v>
      </c>
      <c r="M119" s="29">
        <f t="shared" si="28"/>
        <v>1266</v>
      </c>
      <c r="N119" s="29">
        <f t="shared" si="28"/>
        <v>275</v>
      </c>
      <c r="O119" s="29">
        <f t="shared" si="28"/>
        <v>275</v>
      </c>
    </row>
    <row r="120" spans="1:15" ht="12.75" customHeight="1">
      <c r="A120" s="4" t="s">
        <v>220</v>
      </c>
      <c r="B120" s="5" t="s">
        <v>221</v>
      </c>
      <c r="C120" s="28">
        <v>3095</v>
      </c>
      <c r="D120" s="28">
        <v>2891</v>
      </c>
      <c r="E120" s="28">
        <v>43</v>
      </c>
      <c r="F120" s="28">
        <f>SUM(C120-D120-E120)</f>
        <v>161</v>
      </c>
      <c r="G120" s="28">
        <v>9764</v>
      </c>
      <c r="H120" s="28">
        <v>7793</v>
      </c>
      <c r="I120" s="28">
        <v>533</v>
      </c>
      <c r="J120" s="28">
        <f>SUM(G120-H120-I120)</f>
        <v>1438</v>
      </c>
      <c r="K120" s="28">
        <v>614</v>
      </c>
      <c r="L120" s="28">
        <v>0</v>
      </c>
      <c r="M120" s="28">
        <v>385</v>
      </c>
      <c r="N120" s="28">
        <v>109</v>
      </c>
      <c r="O120" s="28">
        <v>109</v>
      </c>
    </row>
    <row r="121" spans="1:15" ht="12.75" customHeight="1">
      <c r="A121" s="4" t="s">
        <v>222</v>
      </c>
      <c r="B121" s="5" t="s">
        <v>223</v>
      </c>
      <c r="C121" s="28">
        <v>5120</v>
      </c>
      <c r="D121" s="28">
        <v>4680</v>
      </c>
      <c r="E121" s="28">
        <v>89</v>
      </c>
      <c r="F121" s="28">
        <f>SUM(C121-D121-E121)</f>
        <v>351</v>
      </c>
      <c r="G121" s="28">
        <v>16792</v>
      </c>
      <c r="H121" s="28">
        <v>12961</v>
      </c>
      <c r="I121" s="28">
        <v>813</v>
      </c>
      <c r="J121" s="28">
        <f>SUM(G121-H121-I121)</f>
        <v>3018</v>
      </c>
      <c r="K121" s="28">
        <v>47</v>
      </c>
      <c r="L121" s="28">
        <v>1</v>
      </c>
      <c r="M121" s="28">
        <v>541</v>
      </c>
      <c r="N121" s="28">
        <v>0</v>
      </c>
      <c r="O121" s="28">
        <v>0</v>
      </c>
    </row>
    <row r="122" spans="1:15" ht="12.75" customHeight="1">
      <c r="A122" s="4" t="s">
        <v>224</v>
      </c>
      <c r="B122" s="5" t="s">
        <v>225</v>
      </c>
      <c r="C122" s="28">
        <v>915</v>
      </c>
      <c r="D122" s="28">
        <v>758</v>
      </c>
      <c r="E122" s="28">
        <v>0</v>
      </c>
      <c r="F122" s="28">
        <f>SUM(C122-D122-E122)</f>
        <v>157</v>
      </c>
      <c r="G122" s="28">
        <v>3002</v>
      </c>
      <c r="H122" s="28">
        <v>2010</v>
      </c>
      <c r="I122" s="28">
        <v>0</v>
      </c>
      <c r="J122" s="28">
        <f>SUM(G122-H122-I122)</f>
        <v>992</v>
      </c>
      <c r="K122" s="28">
        <v>33</v>
      </c>
      <c r="L122" s="28">
        <v>0</v>
      </c>
      <c r="M122" s="28">
        <v>843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4307</v>
      </c>
      <c r="D123" s="28">
        <v>3963</v>
      </c>
      <c r="E123" s="28">
        <v>42</v>
      </c>
      <c r="F123" s="28">
        <f>SUM(C123-D123-E123)</f>
        <v>302</v>
      </c>
      <c r="G123" s="28">
        <v>12010</v>
      </c>
      <c r="H123" s="28">
        <v>9349</v>
      </c>
      <c r="I123" s="28">
        <v>415</v>
      </c>
      <c r="J123" s="28">
        <f>SUM(G123-H123-I123)</f>
        <v>2246</v>
      </c>
      <c r="K123" s="28">
        <v>262</v>
      </c>
      <c r="L123" s="28">
        <v>0</v>
      </c>
      <c r="M123" s="28">
        <v>627</v>
      </c>
      <c r="N123" s="28">
        <v>56</v>
      </c>
      <c r="O123" s="28">
        <v>56</v>
      </c>
    </row>
    <row r="124" spans="1:15" ht="12.75" customHeight="1">
      <c r="A124" s="4" t="s">
        <v>228</v>
      </c>
      <c r="B124" s="5" t="s">
        <v>229</v>
      </c>
      <c r="C124" s="28">
        <v>1165</v>
      </c>
      <c r="D124" s="28">
        <v>1112</v>
      </c>
      <c r="E124" s="28">
        <v>22</v>
      </c>
      <c r="F124" s="28">
        <f>SUM(C124-D124-E124)</f>
        <v>31</v>
      </c>
      <c r="G124" s="28">
        <v>3253</v>
      </c>
      <c r="H124" s="28">
        <v>2639</v>
      </c>
      <c r="I124" s="28">
        <v>212</v>
      </c>
      <c r="J124" s="28">
        <f>SUM(G124-H124-I124)</f>
        <v>402</v>
      </c>
      <c r="K124" s="28">
        <v>113</v>
      </c>
      <c r="L124" s="28">
        <v>0</v>
      </c>
      <c r="M124" s="28">
        <v>60</v>
      </c>
      <c r="N124" s="28">
        <v>47</v>
      </c>
      <c r="O124" s="28">
        <v>47</v>
      </c>
    </row>
    <row r="125" spans="1:15" ht="12.75" customHeight="1">
      <c r="A125" s="8"/>
      <c r="B125" s="9" t="s">
        <v>230</v>
      </c>
      <c r="C125" s="29">
        <f t="shared" ref="C125:O125" si="29">SUM(C120:C124)</f>
        <v>14602</v>
      </c>
      <c r="D125" s="29">
        <f t="shared" si="29"/>
        <v>13404</v>
      </c>
      <c r="E125" s="29">
        <f t="shared" si="29"/>
        <v>196</v>
      </c>
      <c r="F125" s="29">
        <f t="shared" si="29"/>
        <v>1002</v>
      </c>
      <c r="G125" s="29">
        <f t="shared" si="29"/>
        <v>44821</v>
      </c>
      <c r="H125" s="29">
        <f t="shared" si="29"/>
        <v>34752</v>
      </c>
      <c r="I125" s="29">
        <f t="shared" si="29"/>
        <v>1973</v>
      </c>
      <c r="J125" s="29">
        <f t="shared" si="29"/>
        <v>8096</v>
      </c>
      <c r="K125" s="29">
        <f t="shared" si="29"/>
        <v>1069</v>
      </c>
      <c r="L125" s="29">
        <f t="shared" si="29"/>
        <v>1</v>
      </c>
      <c r="M125" s="29">
        <f t="shared" si="29"/>
        <v>2456</v>
      </c>
      <c r="N125" s="29">
        <f t="shared" si="29"/>
        <v>212</v>
      </c>
      <c r="O125" s="29">
        <f t="shared" si="29"/>
        <v>212</v>
      </c>
    </row>
    <row r="126" spans="1:15" ht="12.75" customHeight="1">
      <c r="A126" s="4" t="s">
        <v>231</v>
      </c>
      <c r="B126" s="5" t="s">
        <v>232</v>
      </c>
      <c r="C126" s="28">
        <v>3140</v>
      </c>
      <c r="D126" s="28">
        <v>2568</v>
      </c>
      <c r="E126" s="28">
        <v>0</v>
      </c>
      <c r="F126" s="28">
        <f t="shared" ref="F126:F134" si="30">SUM(C126-D126-E126)</f>
        <v>572</v>
      </c>
      <c r="G126" s="28">
        <v>7605</v>
      </c>
      <c r="H126" s="28">
        <v>5640</v>
      </c>
      <c r="I126" s="28">
        <v>0</v>
      </c>
      <c r="J126" s="28">
        <f t="shared" ref="J126:J134" si="31">SUM(G126-H126-I126)</f>
        <v>1965</v>
      </c>
      <c r="K126" s="28">
        <v>55</v>
      </c>
      <c r="L126" s="28">
        <v>17</v>
      </c>
      <c r="M126" s="28">
        <v>900</v>
      </c>
      <c r="N126" s="28">
        <v>917</v>
      </c>
      <c r="O126" s="28">
        <v>917</v>
      </c>
    </row>
    <row r="127" spans="1:15" ht="12.75" customHeight="1">
      <c r="A127" s="4" t="s">
        <v>233</v>
      </c>
      <c r="B127" s="5" t="s">
        <v>234</v>
      </c>
      <c r="C127" s="28">
        <v>1874</v>
      </c>
      <c r="D127" s="28">
        <v>1559</v>
      </c>
      <c r="E127" s="28">
        <v>0</v>
      </c>
      <c r="F127" s="28">
        <f t="shared" si="30"/>
        <v>315</v>
      </c>
      <c r="G127" s="28">
        <v>5193</v>
      </c>
      <c r="H127" s="28">
        <v>4204</v>
      </c>
      <c r="I127" s="28">
        <v>0</v>
      </c>
      <c r="J127" s="28">
        <f t="shared" si="31"/>
        <v>989</v>
      </c>
      <c r="K127" s="28">
        <v>34</v>
      </c>
      <c r="L127" s="28">
        <v>0</v>
      </c>
      <c r="M127" s="28">
        <v>241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14089</v>
      </c>
      <c r="D128" s="28">
        <v>9515</v>
      </c>
      <c r="E128" s="28">
        <v>177</v>
      </c>
      <c r="F128" s="28">
        <f t="shared" si="30"/>
        <v>4397</v>
      </c>
      <c r="G128" s="28">
        <v>37607</v>
      </c>
      <c r="H128" s="28">
        <v>19776</v>
      </c>
      <c r="I128" s="28">
        <v>956</v>
      </c>
      <c r="J128" s="28">
        <f t="shared" si="31"/>
        <v>16875</v>
      </c>
      <c r="K128" s="28">
        <v>869</v>
      </c>
      <c r="L128" s="28">
        <v>0</v>
      </c>
      <c r="M128" s="28">
        <v>1629</v>
      </c>
      <c r="N128" s="28">
        <v>189</v>
      </c>
      <c r="O128" s="28">
        <v>189</v>
      </c>
    </row>
    <row r="129" spans="1:15" ht="12.75" customHeight="1">
      <c r="A129" s="4" t="s">
        <v>237</v>
      </c>
      <c r="B129" s="5" t="s">
        <v>238</v>
      </c>
      <c r="C129" s="28">
        <v>1034</v>
      </c>
      <c r="D129" s="28">
        <v>809</v>
      </c>
      <c r="E129" s="28">
        <v>47</v>
      </c>
      <c r="F129" s="28">
        <f t="shared" si="30"/>
        <v>178</v>
      </c>
      <c r="G129" s="28">
        <v>4271</v>
      </c>
      <c r="H129" s="28">
        <v>2041</v>
      </c>
      <c r="I129" s="28">
        <v>440</v>
      </c>
      <c r="J129" s="28">
        <f t="shared" si="31"/>
        <v>1790</v>
      </c>
      <c r="K129" s="28">
        <v>27</v>
      </c>
      <c r="L129" s="28">
        <v>0</v>
      </c>
      <c r="M129" s="28">
        <v>718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6147</v>
      </c>
      <c r="D130" s="28">
        <v>5379</v>
      </c>
      <c r="E130" s="28">
        <v>324</v>
      </c>
      <c r="F130" s="28">
        <f t="shared" si="30"/>
        <v>444</v>
      </c>
      <c r="G130" s="28">
        <v>15397</v>
      </c>
      <c r="H130" s="28">
        <v>8393</v>
      </c>
      <c r="I130" s="28">
        <v>1691</v>
      </c>
      <c r="J130" s="28">
        <f t="shared" si="31"/>
        <v>5313</v>
      </c>
      <c r="K130" s="28">
        <v>224</v>
      </c>
      <c r="L130" s="28">
        <v>433</v>
      </c>
      <c r="M130" s="28">
        <v>72</v>
      </c>
      <c r="N130" s="28">
        <v>84772</v>
      </c>
      <c r="O130" s="28">
        <v>601</v>
      </c>
    </row>
    <row r="131" spans="1:15" ht="12.75" customHeight="1">
      <c r="A131" s="4" t="s">
        <v>241</v>
      </c>
      <c r="B131" s="5" t="s">
        <v>242</v>
      </c>
      <c r="C131" s="28">
        <v>11585</v>
      </c>
      <c r="D131" s="28">
        <v>10151</v>
      </c>
      <c r="E131" s="28">
        <v>80</v>
      </c>
      <c r="F131" s="28">
        <f t="shared" si="30"/>
        <v>1354</v>
      </c>
      <c r="G131" s="28">
        <v>24782</v>
      </c>
      <c r="H131" s="28">
        <v>14945</v>
      </c>
      <c r="I131" s="28">
        <v>538</v>
      </c>
      <c r="J131" s="28">
        <f t="shared" si="31"/>
        <v>9299</v>
      </c>
      <c r="K131" s="28">
        <v>483</v>
      </c>
      <c r="L131" s="28">
        <v>9</v>
      </c>
      <c r="M131" s="28">
        <v>429</v>
      </c>
      <c r="N131" s="28">
        <v>141</v>
      </c>
      <c r="O131" s="28">
        <v>141</v>
      </c>
    </row>
    <row r="132" spans="1:15" ht="12.75" customHeight="1">
      <c r="A132" s="4" t="s">
        <v>243</v>
      </c>
      <c r="B132" s="5" t="s">
        <v>244</v>
      </c>
      <c r="C132" s="28">
        <v>4612</v>
      </c>
      <c r="D132" s="28">
        <v>3859</v>
      </c>
      <c r="E132" s="28">
        <v>0</v>
      </c>
      <c r="F132" s="28">
        <f t="shared" si="30"/>
        <v>753</v>
      </c>
      <c r="G132" s="28">
        <v>14613</v>
      </c>
      <c r="H132" s="28">
        <v>9379</v>
      </c>
      <c r="I132" s="28">
        <v>0</v>
      </c>
      <c r="J132" s="28">
        <f t="shared" si="31"/>
        <v>5234</v>
      </c>
      <c r="K132" s="28">
        <v>942</v>
      </c>
      <c r="L132" s="28">
        <v>0</v>
      </c>
      <c r="M132" s="28">
        <v>1523</v>
      </c>
      <c r="N132" s="28">
        <v>33</v>
      </c>
      <c r="O132" s="28">
        <v>33</v>
      </c>
    </row>
    <row r="133" spans="1:15" ht="12.75" customHeight="1">
      <c r="A133" s="4" t="s">
        <v>245</v>
      </c>
      <c r="B133" s="5" t="s">
        <v>246</v>
      </c>
      <c r="C133" s="28">
        <v>3827</v>
      </c>
      <c r="D133" s="28">
        <v>3394</v>
      </c>
      <c r="E133" s="28">
        <v>0</v>
      </c>
      <c r="F133" s="28">
        <f t="shared" si="30"/>
        <v>433</v>
      </c>
      <c r="G133" s="28">
        <v>10352</v>
      </c>
      <c r="H133" s="28">
        <v>7300</v>
      </c>
      <c r="I133" s="28">
        <v>0</v>
      </c>
      <c r="J133" s="28">
        <f t="shared" si="31"/>
        <v>3052</v>
      </c>
      <c r="K133" s="28">
        <v>166</v>
      </c>
      <c r="L133" s="28">
        <v>57</v>
      </c>
      <c r="M133" s="28">
        <v>937</v>
      </c>
      <c r="N133" s="28">
        <v>1990</v>
      </c>
      <c r="O133" s="28">
        <v>1990</v>
      </c>
    </row>
    <row r="134" spans="1:15" ht="12.75" customHeight="1">
      <c r="A134" s="4" t="s">
        <v>247</v>
      </c>
      <c r="B134" s="5" t="s">
        <v>248</v>
      </c>
      <c r="C134" s="28">
        <v>3388</v>
      </c>
      <c r="D134" s="28">
        <v>2466</v>
      </c>
      <c r="E134" s="28">
        <v>0</v>
      </c>
      <c r="F134" s="28">
        <f t="shared" si="30"/>
        <v>922</v>
      </c>
      <c r="G134" s="28">
        <v>14525</v>
      </c>
      <c r="H134" s="28">
        <v>4682</v>
      </c>
      <c r="I134" s="28">
        <v>0</v>
      </c>
      <c r="J134" s="28">
        <f t="shared" si="31"/>
        <v>9843</v>
      </c>
      <c r="K134" s="28">
        <v>45</v>
      </c>
      <c r="L134" s="28">
        <v>0</v>
      </c>
      <c r="M134" s="28">
        <v>749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49696</v>
      </c>
      <c r="D135" s="29">
        <f t="shared" si="32"/>
        <v>39700</v>
      </c>
      <c r="E135" s="29">
        <f t="shared" si="32"/>
        <v>628</v>
      </c>
      <c r="F135" s="29">
        <f t="shared" si="32"/>
        <v>9368</v>
      </c>
      <c r="G135" s="29">
        <f t="shared" si="32"/>
        <v>134345</v>
      </c>
      <c r="H135" s="29">
        <f t="shared" si="32"/>
        <v>76360</v>
      </c>
      <c r="I135" s="29">
        <f t="shared" si="32"/>
        <v>3625</v>
      </c>
      <c r="J135" s="29">
        <f t="shared" si="32"/>
        <v>54360</v>
      </c>
      <c r="K135" s="29">
        <f t="shared" si="32"/>
        <v>2845</v>
      </c>
      <c r="L135" s="29">
        <f t="shared" si="32"/>
        <v>516</v>
      </c>
      <c r="M135" s="29">
        <f t="shared" si="32"/>
        <v>7198</v>
      </c>
      <c r="N135" s="29">
        <f t="shared" si="32"/>
        <v>88042</v>
      </c>
      <c r="O135" s="29">
        <f t="shared" si="32"/>
        <v>3871</v>
      </c>
    </row>
    <row r="136" spans="1:15" ht="12.75" customHeight="1">
      <c r="A136" s="4" t="s">
        <v>250</v>
      </c>
      <c r="B136" s="5" t="s">
        <v>251</v>
      </c>
      <c r="C136" s="28">
        <v>7359</v>
      </c>
      <c r="D136" s="28">
        <v>7125</v>
      </c>
      <c r="E136" s="28">
        <v>0</v>
      </c>
      <c r="F136" s="28">
        <f t="shared" ref="F136:F143" si="33">SUM(C136-D136-E136)</f>
        <v>234</v>
      </c>
      <c r="G136" s="28">
        <v>16060</v>
      </c>
      <c r="H136" s="28">
        <v>13417</v>
      </c>
      <c r="I136" s="28">
        <v>0</v>
      </c>
      <c r="J136" s="28">
        <f t="shared" ref="J136:J143" si="34">SUM(G136-H136-I136)</f>
        <v>2643</v>
      </c>
      <c r="K136" s="28">
        <v>2431</v>
      </c>
      <c r="L136" s="28">
        <v>313</v>
      </c>
      <c r="M136" s="28">
        <v>924</v>
      </c>
      <c r="N136" s="28">
        <v>2959</v>
      </c>
      <c r="O136" s="28">
        <v>2527</v>
      </c>
    </row>
    <row r="137" spans="1:15" ht="12.75" customHeight="1">
      <c r="A137" s="4" t="s">
        <v>252</v>
      </c>
      <c r="B137" s="5" t="s">
        <v>253</v>
      </c>
      <c r="C137" s="28">
        <v>804</v>
      </c>
      <c r="D137" s="28">
        <v>485</v>
      </c>
      <c r="E137" s="28">
        <v>0</v>
      </c>
      <c r="F137" s="28">
        <f t="shared" si="33"/>
        <v>319</v>
      </c>
      <c r="G137" s="28">
        <v>1638</v>
      </c>
      <c r="H137" s="28">
        <v>1042</v>
      </c>
      <c r="I137" s="28">
        <v>0</v>
      </c>
      <c r="J137" s="28">
        <f t="shared" si="34"/>
        <v>596</v>
      </c>
      <c r="K137" s="28">
        <v>39</v>
      </c>
      <c r="L137" s="28">
        <v>0</v>
      </c>
      <c r="M137" s="28">
        <v>0</v>
      </c>
      <c r="N137" s="28">
        <v>0</v>
      </c>
      <c r="O137" s="28">
        <v>0</v>
      </c>
    </row>
    <row r="138" spans="1:15" ht="12.75" customHeight="1">
      <c r="A138" s="4" t="s">
        <v>254</v>
      </c>
      <c r="B138" s="5" t="s">
        <v>255</v>
      </c>
      <c r="C138" s="28">
        <v>460</v>
      </c>
      <c r="D138" s="28">
        <v>405</v>
      </c>
      <c r="E138" s="28">
        <v>0</v>
      </c>
      <c r="F138" s="28">
        <f t="shared" si="33"/>
        <v>55</v>
      </c>
      <c r="G138" s="28">
        <v>1139</v>
      </c>
      <c r="H138" s="28">
        <v>1035</v>
      </c>
      <c r="I138" s="28">
        <v>0</v>
      </c>
      <c r="J138" s="28">
        <f t="shared" si="34"/>
        <v>104</v>
      </c>
      <c r="K138" s="28">
        <v>3</v>
      </c>
      <c r="L138" s="28">
        <v>0</v>
      </c>
      <c r="M138" s="28">
        <v>37</v>
      </c>
      <c r="N138" s="28">
        <v>275</v>
      </c>
      <c r="O138" s="28">
        <v>0</v>
      </c>
    </row>
    <row r="139" spans="1:15" ht="12.75" customHeight="1">
      <c r="A139" s="4" t="s">
        <v>256</v>
      </c>
      <c r="B139" s="5" t="s">
        <v>257</v>
      </c>
      <c r="C139" s="28">
        <v>1736</v>
      </c>
      <c r="D139" s="28">
        <v>1724</v>
      </c>
      <c r="E139" s="28">
        <v>0</v>
      </c>
      <c r="F139" s="28">
        <f t="shared" si="33"/>
        <v>12</v>
      </c>
      <c r="G139" s="28">
        <v>4750</v>
      </c>
      <c r="H139" s="28">
        <v>4358</v>
      </c>
      <c r="I139" s="28">
        <v>0</v>
      </c>
      <c r="J139" s="28">
        <f t="shared" si="34"/>
        <v>392</v>
      </c>
      <c r="K139" s="28">
        <v>1607</v>
      </c>
      <c r="L139" s="28">
        <v>0</v>
      </c>
      <c r="M139" s="28">
        <v>803</v>
      </c>
      <c r="N139" s="28">
        <v>208</v>
      </c>
      <c r="O139" s="28">
        <v>208</v>
      </c>
    </row>
    <row r="140" spans="1:15" ht="12.75" customHeight="1">
      <c r="A140" s="4" t="s">
        <v>258</v>
      </c>
      <c r="B140" s="5" t="s">
        <v>259</v>
      </c>
      <c r="C140" s="28">
        <v>367</v>
      </c>
      <c r="D140" s="28">
        <v>254</v>
      </c>
      <c r="E140" s="28">
        <v>0</v>
      </c>
      <c r="F140" s="28">
        <f t="shared" si="33"/>
        <v>113</v>
      </c>
      <c r="G140" s="28">
        <v>803</v>
      </c>
      <c r="H140" s="28">
        <v>516</v>
      </c>
      <c r="I140" s="28">
        <v>0</v>
      </c>
      <c r="J140" s="28">
        <f t="shared" si="34"/>
        <v>287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989</v>
      </c>
      <c r="D141" s="28">
        <v>817</v>
      </c>
      <c r="E141" s="28">
        <v>0</v>
      </c>
      <c r="F141" s="28">
        <f t="shared" si="33"/>
        <v>172</v>
      </c>
      <c r="G141" s="28">
        <v>2429</v>
      </c>
      <c r="H141" s="28">
        <v>1573</v>
      </c>
      <c r="I141" s="28">
        <v>0</v>
      </c>
      <c r="J141" s="28">
        <f t="shared" si="34"/>
        <v>856</v>
      </c>
      <c r="K141" s="28">
        <v>634</v>
      </c>
      <c r="L141" s="28">
        <v>0</v>
      </c>
      <c r="M141" s="28">
        <v>134</v>
      </c>
      <c r="N141" s="28">
        <v>146</v>
      </c>
      <c r="O141" s="28">
        <v>146</v>
      </c>
    </row>
    <row r="142" spans="1:15" ht="12.75" customHeight="1">
      <c r="A142" s="4" t="s">
        <v>262</v>
      </c>
      <c r="B142" s="5" t="s">
        <v>263</v>
      </c>
      <c r="C142" s="28">
        <v>1733</v>
      </c>
      <c r="D142" s="28">
        <v>1223</v>
      </c>
      <c r="E142" s="28">
        <v>0</v>
      </c>
      <c r="F142" s="28">
        <f t="shared" si="33"/>
        <v>510</v>
      </c>
      <c r="G142" s="28">
        <v>5417</v>
      </c>
      <c r="H142" s="28">
        <v>3737</v>
      </c>
      <c r="I142" s="28">
        <v>0</v>
      </c>
      <c r="J142" s="28">
        <f t="shared" si="34"/>
        <v>1680</v>
      </c>
      <c r="K142" s="28">
        <v>1367</v>
      </c>
      <c r="L142" s="28">
        <v>0</v>
      </c>
      <c r="M142" s="28">
        <v>883</v>
      </c>
      <c r="N142" s="28">
        <v>569</v>
      </c>
      <c r="O142" s="28">
        <v>510</v>
      </c>
    </row>
    <row r="143" spans="1:15" ht="12.75" customHeight="1">
      <c r="A143" s="4" t="s">
        <v>264</v>
      </c>
      <c r="B143" s="5" t="s">
        <v>265</v>
      </c>
      <c r="C143" s="28">
        <v>4602</v>
      </c>
      <c r="D143" s="28">
        <v>3996</v>
      </c>
      <c r="E143" s="28">
        <v>0</v>
      </c>
      <c r="F143" s="28">
        <f t="shared" si="33"/>
        <v>606</v>
      </c>
      <c r="G143" s="28">
        <v>14092</v>
      </c>
      <c r="H143" s="28">
        <v>7213</v>
      </c>
      <c r="I143" s="28">
        <v>0</v>
      </c>
      <c r="J143" s="28">
        <f t="shared" si="34"/>
        <v>6879</v>
      </c>
      <c r="K143" s="28">
        <v>5446</v>
      </c>
      <c r="L143" s="28">
        <v>0</v>
      </c>
      <c r="M143" s="28">
        <v>1062</v>
      </c>
      <c r="N143" s="28">
        <v>1938</v>
      </c>
      <c r="O143" s="28">
        <v>1799</v>
      </c>
    </row>
    <row r="144" spans="1:15" ht="12.75" customHeight="1">
      <c r="A144" s="10"/>
      <c r="B144" s="9" t="s">
        <v>266</v>
      </c>
      <c r="C144" s="30">
        <f t="shared" ref="C144:O144" si="35">SUM(C136:C143)</f>
        <v>18050</v>
      </c>
      <c r="D144" s="30">
        <f t="shared" si="35"/>
        <v>16029</v>
      </c>
      <c r="E144" s="30">
        <f t="shared" si="35"/>
        <v>0</v>
      </c>
      <c r="F144" s="30">
        <f t="shared" si="35"/>
        <v>2021</v>
      </c>
      <c r="G144" s="30">
        <f t="shared" si="35"/>
        <v>46328</v>
      </c>
      <c r="H144" s="30">
        <f t="shared" si="35"/>
        <v>32891</v>
      </c>
      <c r="I144" s="30">
        <f t="shared" si="35"/>
        <v>0</v>
      </c>
      <c r="J144" s="30">
        <f t="shared" si="35"/>
        <v>13437</v>
      </c>
      <c r="K144" s="30">
        <f t="shared" si="35"/>
        <v>11527</v>
      </c>
      <c r="L144" s="30">
        <f t="shared" si="35"/>
        <v>313</v>
      </c>
      <c r="M144" s="30">
        <f t="shared" si="35"/>
        <v>3843</v>
      </c>
      <c r="N144" s="30">
        <f t="shared" si="35"/>
        <v>6095</v>
      </c>
      <c r="O144" s="30">
        <f t="shared" si="35"/>
        <v>5190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630426</v>
      </c>
      <c r="D145" s="31">
        <f t="shared" si="36"/>
        <v>472335</v>
      </c>
      <c r="E145" s="31">
        <f t="shared" si="36"/>
        <v>14792</v>
      </c>
      <c r="F145" s="31">
        <f t="shared" si="36"/>
        <v>143299</v>
      </c>
      <c r="G145" s="31">
        <f t="shared" si="36"/>
        <v>1939483</v>
      </c>
      <c r="H145" s="31">
        <f t="shared" si="36"/>
        <v>997538</v>
      </c>
      <c r="I145" s="31">
        <f t="shared" si="36"/>
        <v>88656</v>
      </c>
      <c r="J145" s="31">
        <f t="shared" si="36"/>
        <v>853289</v>
      </c>
      <c r="K145" s="31">
        <f t="shared" si="36"/>
        <v>106999</v>
      </c>
      <c r="L145" s="31">
        <f t="shared" si="36"/>
        <v>3815</v>
      </c>
      <c r="M145" s="31">
        <f t="shared" si="36"/>
        <v>128934</v>
      </c>
      <c r="N145" s="31">
        <f t="shared" si="36"/>
        <v>176141</v>
      </c>
      <c r="O145" s="31">
        <f t="shared" si="36"/>
        <v>58654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P16" sqref="P16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16351</v>
      </c>
      <c r="D15" s="28">
        <v>10209</v>
      </c>
      <c r="E15" s="28">
        <v>1001</v>
      </c>
      <c r="F15" s="28">
        <f t="shared" ref="F15:F22" si="0">SUM(C15-D15-E15)</f>
        <v>5141</v>
      </c>
      <c r="G15" s="28">
        <v>69626</v>
      </c>
      <c r="H15" s="28">
        <v>26034</v>
      </c>
      <c r="I15" s="28">
        <v>6982</v>
      </c>
      <c r="J15" s="28">
        <f t="shared" ref="J15:J22" si="1">SUM(G15-H15-I15)</f>
        <v>36610</v>
      </c>
      <c r="K15" s="28">
        <v>5916</v>
      </c>
      <c r="L15" s="28">
        <v>0</v>
      </c>
      <c r="M15" s="28">
        <v>4413</v>
      </c>
      <c r="N15" s="28">
        <v>3203</v>
      </c>
      <c r="O15" s="28">
        <v>3203</v>
      </c>
    </row>
    <row r="16" spans="1:15" ht="12.75" customHeight="1">
      <c r="A16" s="4" t="s">
        <v>29</v>
      </c>
      <c r="B16" s="5" t="s">
        <v>30</v>
      </c>
      <c r="C16" s="28">
        <v>8057</v>
      </c>
      <c r="D16" s="28">
        <v>5037</v>
      </c>
      <c r="E16" s="28">
        <v>201</v>
      </c>
      <c r="F16" s="28">
        <f t="shared" si="0"/>
        <v>2819</v>
      </c>
      <c r="G16" s="28">
        <v>68008</v>
      </c>
      <c r="H16" s="28">
        <v>11584</v>
      </c>
      <c r="I16" s="28">
        <v>1553</v>
      </c>
      <c r="J16" s="28">
        <f t="shared" si="1"/>
        <v>54871</v>
      </c>
      <c r="K16" s="28">
        <v>3318</v>
      </c>
      <c r="L16" s="28">
        <v>0</v>
      </c>
      <c r="M16" s="28">
        <v>6912</v>
      </c>
      <c r="N16" s="28">
        <v>22</v>
      </c>
      <c r="O16" s="28">
        <v>22</v>
      </c>
    </row>
    <row r="17" spans="1:15" ht="12.75" customHeight="1">
      <c r="A17" s="4" t="s">
        <v>31</v>
      </c>
      <c r="B17" s="5" t="s">
        <v>32</v>
      </c>
      <c r="C17" s="28">
        <v>5148</v>
      </c>
      <c r="D17" s="28">
        <v>4703</v>
      </c>
      <c r="E17" s="28">
        <v>0</v>
      </c>
      <c r="F17" s="28">
        <f t="shared" si="0"/>
        <v>445</v>
      </c>
      <c r="G17" s="28">
        <v>10653</v>
      </c>
      <c r="H17" s="28">
        <v>8821</v>
      </c>
      <c r="I17" s="28">
        <v>0</v>
      </c>
      <c r="J17" s="28">
        <f t="shared" si="1"/>
        <v>1832</v>
      </c>
      <c r="K17" s="28">
        <v>1273</v>
      </c>
      <c r="L17" s="28">
        <v>0</v>
      </c>
      <c r="M17" s="28">
        <v>254</v>
      </c>
      <c r="N17" s="28">
        <v>422</v>
      </c>
      <c r="O17" s="28">
        <v>422</v>
      </c>
    </row>
    <row r="18" spans="1:15" ht="12.75" customHeight="1">
      <c r="A18" s="4" t="s">
        <v>33</v>
      </c>
      <c r="B18" s="5" t="s">
        <v>34</v>
      </c>
      <c r="C18" s="28">
        <v>12780</v>
      </c>
      <c r="D18" s="28">
        <v>11708</v>
      </c>
      <c r="E18" s="28">
        <v>145</v>
      </c>
      <c r="F18" s="28">
        <f t="shared" si="0"/>
        <v>927</v>
      </c>
      <c r="G18" s="28">
        <v>39378</v>
      </c>
      <c r="H18" s="28">
        <v>28106</v>
      </c>
      <c r="I18" s="28">
        <v>1085</v>
      </c>
      <c r="J18" s="28">
        <f t="shared" si="1"/>
        <v>10187</v>
      </c>
      <c r="K18" s="28">
        <v>3726</v>
      </c>
      <c r="L18" s="28">
        <v>0</v>
      </c>
      <c r="M18" s="28">
        <v>2409</v>
      </c>
      <c r="N18" s="28">
        <v>585</v>
      </c>
      <c r="O18" s="28">
        <v>585</v>
      </c>
    </row>
    <row r="19" spans="1:15" ht="12.75" customHeight="1">
      <c r="A19" s="4" t="s">
        <v>35</v>
      </c>
      <c r="B19" s="5" t="s">
        <v>36</v>
      </c>
      <c r="C19" s="28">
        <v>11140</v>
      </c>
      <c r="D19" s="28">
        <v>10676</v>
      </c>
      <c r="E19" s="28">
        <v>393</v>
      </c>
      <c r="F19" s="28">
        <f t="shared" si="0"/>
        <v>71</v>
      </c>
      <c r="G19" s="28">
        <v>27620</v>
      </c>
      <c r="H19" s="28">
        <v>22377</v>
      </c>
      <c r="I19" s="28">
        <v>2452</v>
      </c>
      <c r="J19" s="28">
        <f t="shared" si="1"/>
        <v>2791</v>
      </c>
      <c r="K19" s="28">
        <v>638</v>
      </c>
      <c r="L19" s="28">
        <v>0</v>
      </c>
      <c r="M19" s="28">
        <v>57</v>
      </c>
      <c r="N19" s="28">
        <v>116</v>
      </c>
      <c r="O19" s="28">
        <v>116</v>
      </c>
    </row>
    <row r="20" spans="1:15" ht="12.75" customHeight="1">
      <c r="A20" s="4" t="s">
        <v>37</v>
      </c>
      <c r="B20" s="5" t="s">
        <v>38</v>
      </c>
      <c r="C20" s="28">
        <v>61806</v>
      </c>
      <c r="D20" s="28">
        <v>57354</v>
      </c>
      <c r="E20" s="28">
        <v>1594</v>
      </c>
      <c r="F20" s="28">
        <f t="shared" si="0"/>
        <v>2858</v>
      </c>
      <c r="G20" s="28">
        <v>136413</v>
      </c>
      <c r="H20" s="28">
        <v>108723</v>
      </c>
      <c r="I20" s="28">
        <v>9360</v>
      </c>
      <c r="J20" s="28">
        <f t="shared" si="1"/>
        <v>18330</v>
      </c>
      <c r="K20" s="28">
        <v>8986</v>
      </c>
      <c r="L20" s="28">
        <v>0</v>
      </c>
      <c r="M20" s="28">
        <v>3401</v>
      </c>
      <c r="N20" s="28">
        <v>6673</v>
      </c>
      <c r="O20" s="28">
        <v>6589</v>
      </c>
    </row>
    <row r="21" spans="1:15" ht="12.75" customHeight="1">
      <c r="A21" s="4" t="s">
        <v>39</v>
      </c>
      <c r="B21" s="5" t="s">
        <v>40</v>
      </c>
      <c r="C21" s="28">
        <v>4886</v>
      </c>
      <c r="D21" s="28">
        <v>4758</v>
      </c>
      <c r="E21" s="28">
        <v>0</v>
      </c>
      <c r="F21" s="28">
        <f t="shared" si="0"/>
        <v>128</v>
      </c>
      <c r="G21" s="28">
        <v>8271</v>
      </c>
      <c r="H21" s="28">
        <v>7843</v>
      </c>
      <c r="I21" s="28">
        <v>0</v>
      </c>
      <c r="J21" s="28">
        <f t="shared" si="1"/>
        <v>428</v>
      </c>
      <c r="K21" s="28">
        <v>57</v>
      </c>
      <c r="L21" s="28">
        <v>0</v>
      </c>
      <c r="M21" s="28">
        <v>30</v>
      </c>
      <c r="N21" s="28">
        <v>0</v>
      </c>
      <c r="O21" s="28">
        <v>0</v>
      </c>
    </row>
    <row r="22" spans="1:15" ht="12.75" customHeight="1">
      <c r="A22" s="4" t="s">
        <v>41</v>
      </c>
      <c r="B22" s="5" t="s">
        <v>42</v>
      </c>
      <c r="C22" s="28">
        <v>4769</v>
      </c>
      <c r="D22" s="28">
        <v>4040</v>
      </c>
      <c r="E22" s="28">
        <v>472</v>
      </c>
      <c r="F22" s="28">
        <f t="shared" si="0"/>
        <v>257</v>
      </c>
      <c r="G22" s="28">
        <v>12504</v>
      </c>
      <c r="H22" s="28">
        <v>8168</v>
      </c>
      <c r="I22" s="28">
        <v>2395</v>
      </c>
      <c r="J22" s="28">
        <f t="shared" si="1"/>
        <v>1941</v>
      </c>
      <c r="K22" s="28">
        <v>1593</v>
      </c>
      <c r="L22" s="28">
        <v>0</v>
      </c>
      <c r="M22" s="28">
        <v>1887</v>
      </c>
      <c r="N22" s="28">
        <v>856</v>
      </c>
      <c r="O22" s="28">
        <v>856</v>
      </c>
    </row>
    <row r="23" spans="1:15" ht="12.75" customHeight="1">
      <c r="A23" s="8"/>
      <c r="B23" s="9" t="s">
        <v>43</v>
      </c>
      <c r="C23" s="29">
        <f t="shared" ref="C23:O23" si="2">SUM(C15:C22)</f>
        <v>124937</v>
      </c>
      <c r="D23" s="29">
        <f t="shared" si="2"/>
        <v>108485</v>
      </c>
      <c r="E23" s="29">
        <f t="shared" si="2"/>
        <v>3806</v>
      </c>
      <c r="F23" s="29">
        <f t="shared" si="2"/>
        <v>12646</v>
      </c>
      <c r="G23" s="29">
        <f t="shared" si="2"/>
        <v>372473</v>
      </c>
      <c r="H23" s="29">
        <f t="shared" si="2"/>
        <v>221656</v>
      </c>
      <c r="I23" s="29">
        <f t="shared" si="2"/>
        <v>23827</v>
      </c>
      <c r="J23" s="29">
        <f t="shared" si="2"/>
        <v>126990</v>
      </c>
      <c r="K23" s="29">
        <f t="shared" si="2"/>
        <v>25507</v>
      </c>
      <c r="L23" s="29">
        <f t="shared" si="2"/>
        <v>0</v>
      </c>
      <c r="M23" s="29">
        <f t="shared" si="2"/>
        <v>19363</v>
      </c>
      <c r="N23" s="29">
        <f t="shared" si="2"/>
        <v>11877</v>
      </c>
      <c r="O23" s="29">
        <f t="shared" si="2"/>
        <v>11793</v>
      </c>
    </row>
    <row r="24" spans="1:15" ht="14.25" customHeight="1">
      <c r="A24" s="4" t="s">
        <v>44</v>
      </c>
      <c r="B24" s="5" t="s">
        <v>45</v>
      </c>
      <c r="C24" s="28">
        <v>21759</v>
      </c>
      <c r="D24" s="28">
        <v>4950</v>
      </c>
      <c r="E24" s="28">
        <v>290</v>
      </c>
      <c r="F24" s="28">
        <f>SUM(C24-D24-E24)</f>
        <v>16519</v>
      </c>
      <c r="G24" s="28">
        <v>68739</v>
      </c>
      <c r="H24" s="28">
        <v>7322</v>
      </c>
      <c r="I24" s="28">
        <v>1390</v>
      </c>
      <c r="J24" s="28">
        <f>SUM(G24-H24-I24)</f>
        <v>60027</v>
      </c>
      <c r="K24" s="28">
        <v>32445</v>
      </c>
      <c r="L24" s="28">
        <v>0</v>
      </c>
      <c r="M24" s="28">
        <v>4793</v>
      </c>
      <c r="N24" s="28">
        <v>3480</v>
      </c>
      <c r="O24" s="28">
        <v>3480</v>
      </c>
    </row>
    <row r="25" spans="1:15" ht="14.25" customHeight="1">
      <c r="A25" s="10"/>
      <c r="B25" s="9" t="s">
        <v>46</v>
      </c>
      <c r="C25" s="29">
        <f t="shared" ref="C25:O25" si="3">SUM(C24)</f>
        <v>21759</v>
      </c>
      <c r="D25" s="29">
        <f t="shared" si="3"/>
        <v>4950</v>
      </c>
      <c r="E25" s="29">
        <f t="shared" si="3"/>
        <v>290</v>
      </c>
      <c r="F25" s="29">
        <f t="shared" si="3"/>
        <v>16519</v>
      </c>
      <c r="G25" s="29">
        <f t="shared" si="3"/>
        <v>68739</v>
      </c>
      <c r="H25" s="29">
        <f t="shared" si="3"/>
        <v>7322</v>
      </c>
      <c r="I25" s="29">
        <f t="shared" si="3"/>
        <v>1390</v>
      </c>
      <c r="J25" s="29">
        <f t="shared" si="3"/>
        <v>60027</v>
      </c>
      <c r="K25" s="29">
        <f t="shared" si="3"/>
        <v>32445</v>
      </c>
      <c r="L25" s="29">
        <f t="shared" si="3"/>
        <v>0</v>
      </c>
      <c r="M25" s="29">
        <f t="shared" si="3"/>
        <v>4793</v>
      </c>
      <c r="N25" s="29">
        <f t="shared" si="3"/>
        <v>3480</v>
      </c>
      <c r="O25" s="29">
        <f t="shared" si="3"/>
        <v>3480</v>
      </c>
    </row>
    <row r="26" spans="1:15" ht="12.75" customHeight="1">
      <c r="A26" s="4" t="s">
        <v>47</v>
      </c>
      <c r="B26" s="5" t="s">
        <v>48</v>
      </c>
      <c r="C26" s="28">
        <v>38009</v>
      </c>
      <c r="D26" s="28">
        <v>19320</v>
      </c>
      <c r="E26" s="28">
        <v>993</v>
      </c>
      <c r="F26" s="28">
        <f>SUM(C26-D26-E26)</f>
        <v>17696</v>
      </c>
      <c r="G26" s="28">
        <v>88768</v>
      </c>
      <c r="H26" s="28">
        <v>30947</v>
      </c>
      <c r="I26" s="28">
        <v>4088</v>
      </c>
      <c r="J26" s="28">
        <f>SUM(G26-H26-I26)</f>
        <v>53733</v>
      </c>
      <c r="K26" s="28">
        <v>10338</v>
      </c>
      <c r="L26" s="28">
        <v>61</v>
      </c>
      <c r="M26" s="28">
        <v>3057</v>
      </c>
      <c r="N26" s="28">
        <v>1949</v>
      </c>
      <c r="O26" s="28">
        <v>1949</v>
      </c>
    </row>
    <row r="27" spans="1:15" ht="12.75" customHeight="1">
      <c r="A27" s="4" t="s">
        <v>49</v>
      </c>
      <c r="B27" s="5" t="s">
        <v>50</v>
      </c>
      <c r="C27" s="28">
        <v>6384</v>
      </c>
      <c r="D27" s="28">
        <v>6042</v>
      </c>
      <c r="E27" s="28">
        <v>291</v>
      </c>
      <c r="F27" s="28">
        <f>SUM(C27-D27-E27)</f>
        <v>51</v>
      </c>
      <c r="G27" s="28">
        <v>13751</v>
      </c>
      <c r="H27" s="28">
        <v>8124</v>
      </c>
      <c r="I27" s="28">
        <v>1303</v>
      </c>
      <c r="J27" s="28">
        <f>SUM(G27-H27-I27)</f>
        <v>4324</v>
      </c>
      <c r="K27" s="28">
        <v>4060</v>
      </c>
      <c r="L27" s="28">
        <v>0</v>
      </c>
      <c r="M27" s="28">
        <v>575</v>
      </c>
      <c r="N27" s="28">
        <v>710</v>
      </c>
      <c r="O27" s="28">
        <v>710</v>
      </c>
    </row>
    <row r="28" spans="1:15" ht="12.75" customHeight="1">
      <c r="A28" s="4" t="s">
        <v>51</v>
      </c>
      <c r="B28" s="5" t="s">
        <v>52</v>
      </c>
      <c r="C28" s="28">
        <v>6672</v>
      </c>
      <c r="D28" s="28">
        <v>5533</v>
      </c>
      <c r="E28" s="28">
        <v>377</v>
      </c>
      <c r="F28" s="28">
        <f>SUM(C28-D28-E28)</f>
        <v>762</v>
      </c>
      <c r="G28" s="28">
        <v>18186</v>
      </c>
      <c r="H28" s="28">
        <v>11103</v>
      </c>
      <c r="I28" s="28">
        <v>3173</v>
      </c>
      <c r="J28" s="28">
        <f>SUM(G28-H28-I28)</f>
        <v>3910</v>
      </c>
      <c r="K28" s="28">
        <v>1495</v>
      </c>
      <c r="L28" s="28">
        <v>1087</v>
      </c>
      <c r="M28" s="28">
        <v>92</v>
      </c>
      <c r="N28" s="28">
        <v>2476</v>
      </c>
      <c r="O28" s="28">
        <v>2476</v>
      </c>
    </row>
    <row r="29" spans="1:15" ht="12.75" customHeight="1">
      <c r="A29" s="4" t="s">
        <v>53</v>
      </c>
      <c r="B29" s="5" t="s">
        <v>54</v>
      </c>
      <c r="C29" s="28">
        <v>8617</v>
      </c>
      <c r="D29" s="28">
        <v>7516</v>
      </c>
      <c r="E29" s="28">
        <v>765</v>
      </c>
      <c r="F29" s="28">
        <f>SUM(C29-D29-E29)</f>
        <v>336</v>
      </c>
      <c r="G29" s="28">
        <v>18712</v>
      </c>
      <c r="H29" s="28">
        <v>14646</v>
      </c>
      <c r="I29" s="28">
        <v>3487</v>
      </c>
      <c r="J29" s="28">
        <f>SUM(G29-H29-I29)</f>
        <v>579</v>
      </c>
      <c r="K29" s="28">
        <v>299</v>
      </c>
      <c r="L29" s="28">
        <v>77</v>
      </c>
      <c r="M29" s="28">
        <v>0</v>
      </c>
      <c r="N29" s="28">
        <v>119</v>
      </c>
      <c r="O29" s="28">
        <v>119</v>
      </c>
    </row>
    <row r="30" spans="1:15" ht="12.75" customHeight="1">
      <c r="A30" s="8"/>
      <c r="B30" s="9" t="s">
        <v>55</v>
      </c>
      <c r="C30" s="29">
        <f t="shared" ref="C30:O30" si="4">SUM(C26:C29)</f>
        <v>59682</v>
      </c>
      <c r="D30" s="29">
        <f t="shared" si="4"/>
        <v>38411</v>
      </c>
      <c r="E30" s="29">
        <f t="shared" si="4"/>
        <v>2426</v>
      </c>
      <c r="F30" s="29">
        <f t="shared" si="4"/>
        <v>18845</v>
      </c>
      <c r="G30" s="29">
        <f t="shared" si="4"/>
        <v>139417</v>
      </c>
      <c r="H30" s="29">
        <f t="shared" si="4"/>
        <v>64820</v>
      </c>
      <c r="I30" s="29">
        <f t="shared" si="4"/>
        <v>12051</v>
      </c>
      <c r="J30" s="29">
        <f t="shared" si="4"/>
        <v>62546</v>
      </c>
      <c r="K30" s="29">
        <f t="shared" si="4"/>
        <v>16192</v>
      </c>
      <c r="L30" s="29">
        <f t="shared" si="4"/>
        <v>1225</v>
      </c>
      <c r="M30" s="29">
        <f t="shared" si="4"/>
        <v>3724</v>
      </c>
      <c r="N30" s="29">
        <f t="shared" si="4"/>
        <v>5254</v>
      </c>
      <c r="O30" s="29">
        <f t="shared" si="4"/>
        <v>5254</v>
      </c>
    </row>
    <row r="31" spans="1:15" ht="12.75" customHeight="1">
      <c r="A31" s="4" t="s">
        <v>56</v>
      </c>
      <c r="B31" s="5" t="s">
        <v>57</v>
      </c>
      <c r="C31" s="28">
        <v>31682</v>
      </c>
      <c r="D31" s="28">
        <v>28945</v>
      </c>
      <c r="E31" s="28">
        <v>473</v>
      </c>
      <c r="F31" s="28">
        <f t="shared" ref="F31:F42" si="5">SUM(C31-D31-E31)</f>
        <v>2264</v>
      </c>
      <c r="G31" s="28">
        <v>79542</v>
      </c>
      <c r="H31" s="28">
        <v>55512</v>
      </c>
      <c r="I31" s="28">
        <v>2271</v>
      </c>
      <c r="J31" s="28">
        <f t="shared" ref="J31:J42" si="6">SUM(G31-H31-I31)</f>
        <v>21759</v>
      </c>
      <c r="K31" s="28">
        <v>2223</v>
      </c>
      <c r="L31" s="28">
        <v>0</v>
      </c>
      <c r="M31" s="28">
        <v>951</v>
      </c>
      <c r="N31" s="28">
        <v>690</v>
      </c>
      <c r="O31" s="28">
        <v>690</v>
      </c>
    </row>
    <row r="32" spans="1:15" ht="12.75" customHeight="1">
      <c r="A32" s="4" t="s">
        <v>58</v>
      </c>
      <c r="B32" s="5" t="s">
        <v>59</v>
      </c>
      <c r="C32" s="28">
        <v>36639</v>
      </c>
      <c r="D32" s="28">
        <v>32820</v>
      </c>
      <c r="E32" s="28">
        <v>1205</v>
      </c>
      <c r="F32" s="28">
        <f t="shared" si="5"/>
        <v>2614</v>
      </c>
      <c r="G32" s="28">
        <v>134142</v>
      </c>
      <c r="H32" s="28">
        <v>75326</v>
      </c>
      <c r="I32" s="28">
        <v>8033</v>
      </c>
      <c r="J32" s="28">
        <f t="shared" si="6"/>
        <v>50783</v>
      </c>
      <c r="K32" s="28">
        <v>6175</v>
      </c>
      <c r="L32" s="28">
        <v>0</v>
      </c>
      <c r="M32" s="28">
        <v>11440</v>
      </c>
      <c r="N32" s="28">
        <v>2387</v>
      </c>
      <c r="O32" s="28">
        <v>2387</v>
      </c>
    </row>
    <row r="33" spans="1:256" ht="12.75" customHeight="1">
      <c r="A33" s="4" t="s">
        <v>60</v>
      </c>
      <c r="B33" s="5" t="s">
        <v>61</v>
      </c>
      <c r="C33" s="28">
        <v>18995</v>
      </c>
      <c r="D33" s="28">
        <v>15807</v>
      </c>
      <c r="E33" s="28">
        <v>418</v>
      </c>
      <c r="F33" s="28">
        <f t="shared" si="5"/>
        <v>2770</v>
      </c>
      <c r="G33" s="28">
        <v>69132</v>
      </c>
      <c r="H33" s="28">
        <v>20541</v>
      </c>
      <c r="I33" s="28">
        <v>1308</v>
      </c>
      <c r="J33" s="28">
        <f t="shared" si="6"/>
        <v>47283</v>
      </c>
      <c r="K33" s="28">
        <v>11703</v>
      </c>
      <c r="L33" s="28">
        <v>29</v>
      </c>
      <c r="M33" s="28">
        <v>4939</v>
      </c>
      <c r="N33" s="28">
        <v>1684</v>
      </c>
      <c r="O33" s="28">
        <v>1684</v>
      </c>
    </row>
    <row r="34" spans="1:256" ht="12.75" customHeight="1">
      <c r="A34" s="4" t="s">
        <v>62</v>
      </c>
      <c r="B34" s="5" t="s">
        <v>63</v>
      </c>
      <c r="C34" s="28">
        <v>20863</v>
      </c>
      <c r="D34" s="28">
        <v>7918</v>
      </c>
      <c r="E34" s="28">
        <v>97</v>
      </c>
      <c r="F34" s="28">
        <f t="shared" si="5"/>
        <v>12848</v>
      </c>
      <c r="G34" s="28">
        <v>50689</v>
      </c>
      <c r="H34" s="28">
        <v>17812</v>
      </c>
      <c r="I34" s="28">
        <v>575</v>
      </c>
      <c r="J34" s="28">
        <f t="shared" si="6"/>
        <v>32302</v>
      </c>
      <c r="K34" s="28">
        <v>2417</v>
      </c>
      <c r="L34" s="28">
        <v>0</v>
      </c>
      <c r="M34" s="28">
        <v>6214</v>
      </c>
      <c r="N34" s="28">
        <v>57</v>
      </c>
      <c r="O34" s="28">
        <v>57</v>
      </c>
    </row>
    <row r="35" spans="1:256" ht="12.75" customHeight="1">
      <c r="A35" s="4" t="s">
        <v>64</v>
      </c>
      <c r="B35" s="5" t="s">
        <v>65</v>
      </c>
      <c r="C35" s="28">
        <v>9548</v>
      </c>
      <c r="D35" s="28">
        <v>9401</v>
      </c>
      <c r="E35" s="28">
        <v>0</v>
      </c>
      <c r="F35" s="28">
        <f t="shared" si="5"/>
        <v>147</v>
      </c>
      <c r="G35" s="28">
        <v>16982</v>
      </c>
      <c r="H35" s="28">
        <v>15643</v>
      </c>
      <c r="I35" s="28">
        <v>0</v>
      </c>
      <c r="J35" s="28">
        <f t="shared" si="6"/>
        <v>1339</v>
      </c>
      <c r="K35" s="28">
        <v>254</v>
      </c>
      <c r="L35" s="28">
        <v>0</v>
      </c>
      <c r="M35" s="28">
        <v>15</v>
      </c>
      <c r="N35" s="28">
        <v>1137</v>
      </c>
      <c r="O35" s="28">
        <v>1137</v>
      </c>
    </row>
    <row r="36" spans="1:256" ht="12.75" customHeight="1">
      <c r="A36" s="4" t="s">
        <v>66</v>
      </c>
      <c r="B36" s="5" t="s">
        <v>67</v>
      </c>
      <c r="C36" s="28">
        <v>5925</v>
      </c>
      <c r="D36" s="28">
        <v>5177</v>
      </c>
      <c r="E36" s="28">
        <v>343</v>
      </c>
      <c r="F36" s="28">
        <f t="shared" si="5"/>
        <v>405</v>
      </c>
      <c r="G36" s="28">
        <v>17273</v>
      </c>
      <c r="H36" s="28">
        <v>13013</v>
      </c>
      <c r="I36" s="28">
        <v>2747</v>
      </c>
      <c r="J36" s="28">
        <f t="shared" si="6"/>
        <v>1513</v>
      </c>
      <c r="K36" s="28">
        <v>118</v>
      </c>
      <c r="L36" s="28">
        <v>0</v>
      </c>
      <c r="M36" s="28">
        <v>191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10298</v>
      </c>
      <c r="D37" s="28">
        <v>8983</v>
      </c>
      <c r="E37" s="28">
        <v>151</v>
      </c>
      <c r="F37" s="28">
        <f t="shared" si="5"/>
        <v>1164</v>
      </c>
      <c r="G37" s="28">
        <v>50707</v>
      </c>
      <c r="H37" s="28">
        <v>21982</v>
      </c>
      <c r="I37" s="28">
        <v>766</v>
      </c>
      <c r="J37" s="28">
        <f t="shared" si="6"/>
        <v>27959</v>
      </c>
      <c r="K37" s="28">
        <v>3650</v>
      </c>
      <c r="L37" s="28">
        <v>3</v>
      </c>
      <c r="M37" s="28">
        <v>6624</v>
      </c>
      <c r="N37" s="28">
        <v>564</v>
      </c>
      <c r="O37" s="28">
        <v>494</v>
      </c>
    </row>
    <row r="38" spans="1:256" ht="12.75" customHeight="1">
      <c r="A38" s="4" t="s">
        <v>70</v>
      </c>
      <c r="B38" s="5" t="s">
        <v>71</v>
      </c>
      <c r="C38" s="28">
        <v>145381</v>
      </c>
      <c r="D38" s="28">
        <v>113478</v>
      </c>
      <c r="E38" s="28">
        <v>3874</v>
      </c>
      <c r="F38" s="28">
        <f t="shared" si="5"/>
        <v>28029</v>
      </c>
      <c r="G38" s="28">
        <v>418379</v>
      </c>
      <c r="H38" s="28">
        <v>185474</v>
      </c>
      <c r="I38" s="28">
        <v>17494</v>
      </c>
      <c r="J38" s="28">
        <f t="shared" si="6"/>
        <v>215411</v>
      </c>
      <c r="K38" s="28">
        <v>62352</v>
      </c>
      <c r="L38" s="28">
        <v>281</v>
      </c>
      <c r="M38" s="28">
        <v>22275</v>
      </c>
      <c r="N38" s="28">
        <v>114501</v>
      </c>
      <c r="O38" s="28">
        <v>17530</v>
      </c>
    </row>
    <row r="39" spans="1:256" ht="12.75" customHeight="1">
      <c r="A39" s="4" t="s">
        <v>72</v>
      </c>
      <c r="B39" s="5" t="s">
        <v>73</v>
      </c>
      <c r="C39" s="28">
        <v>11917</v>
      </c>
      <c r="D39" s="28">
        <v>10622</v>
      </c>
      <c r="E39" s="28">
        <v>709</v>
      </c>
      <c r="F39" s="28">
        <f t="shared" si="5"/>
        <v>586</v>
      </c>
      <c r="G39" s="28">
        <v>24011</v>
      </c>
      <c r="H39" s="28">
        <v>17270</v>
      </c>
      <c r="I39" s="28">
        <v>3974</v>
      </c>
      <c r="J39" s="28">
        <f t="shared" si="6"/>
        <v>2767</v>
      </c>
      <c r="K39" s="28">
        <v>456</v>
      </c>
      <c r="L39" s="28">
        <v>0</v>
      </c>
      <c r="M39" s="28">
        <v>11</v>
      </c>
      <c r="N39" s="28">
        <v>37</v>
      </c>
      <c r="O39" s="28">
        <v>37</v>
      </c>
    </row>
    <row r="40" spans="1:256" ht="12.75" customHeight="1">
      <c r="A40" s="4" t="s">
        <v>74</v>
      </c>
      <c r="B40" s="5" t="s">
        <v>75</v>
      </c>
      <c r="C40" s="28">
        <v>15411</v>
      </c>
      <c r="D40" s="28">
        <v>13752</v>
      </c>
      <c r="E40" s="28">
        <v>443</v>
      </c>
      <c r="F40" s="28">
        <f t="shared" si="5"/>
        <v>1216</v>
      </c>
      <c r="G40" s="28">
        <v>42663</v>
      </c>
      <c r="H40" s="28">
        <v>27276</v>
      </c>
      <c r="I40" s="28">
        <v>2767</v>
      </c>
      <c r="J40" s="28">
        <f t="shared" si="6"/>
        <v>12620</v>
      </c>
      <c r="K40" s="28">
        <v>1546</v>
      </c>
      <c r="L40" s="28">
        <v>0</v>
      </c>
      <c r="M40" s="28">
        <v>5898</v>
      </c>
      <c r="N40" s="28">
        <v>285</v>
      </c>
      <c r="O40" s="28">
        <v>285</v>
      </c>
    </row>
    <row r="41" spans="1:256" ht="12.75" customHeight="1">
      <c r="A41" s="4" t="s">
        <v>76</v>
      </c>
      <c r="B41" s="5" t="s">
        <v>77</v>
      </c>
      <c r="C41" s="28">
        <v>5896</v>
      </c>
      <c r="D41" s="28">
        <v>4985</v>
      </c>
      <c r="E41" s="28">
        <v>0</v>
      </c>
      <c r="F41" s="28">
        <f t="shared" si="5"/>
        <v>911</v>
      </c>
      <c r="G41" s="28">
        <v>18265</v>
      </c>
      <c r="H41" s="28">
        <v>11215</v>
      </c>
      <c r="I41" s="28">
        <v>0</v>
      </c>
      <c r="J41" s="28">
        <f t="shared" si="6"/>
        <v>7050</v>
      </c>
      <c r="K41" s="28">
        <v>2254</v>
      </c>
      <c r="L41" s="28">
        <v>0</v>
      </c>
      <c r="M41" s="28">
        <v>208</v>
      </c>
      <c r="N41" s="28">
        <v>569</v>
      </c>
      <c r="O41" s="28">
        <v>569</v>
      </c>
    </row>
    <row r="42" spans="1:256" ht="12.75" customHeight="1">
      <c r="A42" s="4" t="s">
        <v>78</v>
      </c>
      <c r="B42" s="5" t="s">
        <v>79</v>
      </c>
      <c r="C42" s="28">
        <v>30791</v>
      </c>
      <c r="D42" s="28">
        <v>27237</v>
      </c>
      <c r="E42" s="28">
        <v>714</v>
      </c>
      <c r="F42" s="28">
        <f t="shared" si="5"/>
        <v>2840</v>
      </c>
      <c r="G42" s="28">
        <v>51145</v>
      </c>
      <c r="H42" s="28">
        <v>40015</v>
      </c>
      <c r="I42" s="28">
        <v>1805</v>
      </c>
      <c r="J42" s="28">
        <f t="shared" si="6"/>
        <v>9325</v>
      </c>
      <c r="K42" s="28">
        <v>1694</v>
      </c>
      <c r="L42" s="28">
        <v>0</v>
      </c>
      <c r="M42" s="28">
        <v>44</v>
      </c>
      <c r="N42" s="28">
        <v>302</v>
      </c>
      <c r="O42" s="28">
        <v>302</v>
      </c>
    </row>
    <row r="43" spans="1:256" ht="12.75" customHeight="1">
      <c r="A43" s="8"/>
      <c r="B43" s="9" t="s">
        <v>80</v>
      </c>
      <c r="C43" s="29">
        <f t="shared" ref="C43:O43" si="7">SUM(C31:C42)</f>
        <v>343346</v>
      </c>
      <c r="D43" s="29">
        <f t="shared" si="7"/>
        <v>279125</v>
      </c>
      <c r="E43" s="29">
        <f t="shared" si="7"/>
        <v>8427</v>
      </c>
      <c r="F43" s="29">
        <f t="shared" si="7"/>
        <v>55794</v>
      </c>
      <c r="G43" s="29">
        <f t="shared" si="7"/>
        <v>972930</v>
      </c>
      <c r="H43" s="29">
        <f t="shared" si="7"/>
        <v>501079</v>
      </c>
      <c r="I43" s="29">
        <f t="shared" si="7"/>
        <v>41740</v>
      </c>
      <c r="J43" s="29">
        <f t="shared" si="7"/>
        <v>430111</v>
      </c>
      <c r="K43" s="29">
        <f t="shared" si="7"/>
        <v>94842</v>
      </c>
      <c r="L43" s="29">
        <f t="shared" si="7"/>
        <v>313</v>
      </c>
      <c r="M43" s="29">
        <f t="shared" si="7"/>
        <v>58810</v>
      </c>
      <c r="N43" s="29">
        <f t="shared" si="7"/>
        <v>122213</v>
      </c>
      <c r="O43" s="29">
        <f t="shared" si="7"/>
        <v>25172</v>
      </c>
    </row>
    <row r="44" spans="1:256" ht="12.75" customHeight="1">
      <c r="A44" s="4" t="s">
        <v>81</v>
      </c>
      <c r="B44" s="5" t="s">
        <v>82</v>
      </c>
      <c r="C44" s="28">
        <v>15820</v>
      </c>
      <c r="D44" s="28">
        <v>12038</v>
      </c>
      <c r="E44" s="28">
        <v>254</v>
      </c>
      <c r="F44" s="28">
        <f>SUM(C44-D44-E44)</f>
        <v>3528</v>
      </c>
      <c r="G44" s="28">
        <v>62735</v>
      </c>
      <c r="H44" s="28">
        <v>31243</v>
      </c>
      <c r="I44" s="28">
        <v>1306</v>
      </c>
      <c r="J44" s="28">
        <f>SUM(G44-H44-I44)</f>
        <v>30186</v>
      </c>
      <c r="K44" s="28">
        <v>13586</v>
      </c>
      <c r="L44" s="28">
        <v>0</v>
      </c>
      <c r="M44" s="28">
        <v>4105</v>
      </c>
      <c r="N44" s="28">
        <v>424</v>
      </c>
      <c r="O44" s="28">
        <v>424</v>
      </c>
    </row>
    <row r="45" spans="1:256" ht="12.75" customHeight="1">
      <c r="A45" s="4" t="s">
        <v>83</v>
      </c>
      <c r="B45" s="5" t="s">
        <v>84</v>
      </c>
      <c r="C45" s="28">
        <v>16930</v>
      </c>
      <c r="D45" s="28">
        <v>14229</v>
      </c>
      <c r="E45" s="28">
        <v>398</v>
      </c>
      <c r="F45" s="28">
        <f>SUM(C45-D45-E45)</f>
        <v>2303</v>
      </c>
      <c r="G45" s="28">
        <v>72527</v>
      </c>
      <c r="H45" s="28">
        <v>34194</v>
      </c>
      <c r="I45" s="28">
        <v>2683</v>
      </c>
      <c r="J45" s="28">
        <f>SUM(G45-H45-I45)</f>
        <v>35650</v>
      </c>
      <c r="K45" s="28">
        <v>19556</v>
      </c>
      <c r="L45" s="28">
        <v>0</v>
      </c>
      <c r="M45" s="28">
        <v>4974</v>
      </c>
      <c r="N45" s="28">
        <v>58</v>
      </c>
      <c r="O45" s="28">
        <v>58</v>
      </c>
    </row>
    <row r="46" spans="1:256" ht="12.75" customHeight="1">
      <c r="A46" s="8"/>
      <c r="B46" s="9" t="s">
        <v>85</v>
      </c>
      <c r="C46" s="29">
        <f t="shared" ref="C46:O46" si="8">SUM(C44:C45)</f>
        <v>32750</v>
      </c>
      <c r="D46" s="29">
        <f t="shared" si="8"/>
        <v>26267</v>
      </c>
      <c r="E46" s="29">
        <f t="shared" si="8"/>
        <v>652</v>
      </c>
      <c r="F46" s="29">
        <f t="shared" si="8"/>
        <v>5831</v>
      </c>
      <c r="G46" s="29">
        <f t="shared" si="8"/>
        <v>135262</v>
      </c>
      <c r="H46" s="29">
        <f t="shared" si="8"/>
        <v>65437</v>
      </c>
      <c r="I46" s="29">
        <f t="shared" si="8"/>
        <v>3989</v>
      </c>
      <c r="J46" s="29">
        <f t="shared" si="8"/>
        <v>65836</v>
      </c>
      <c r="K46" s="29">
        <f t="shared" si="8"/>
        <v>33142</v>
      </c>
      <c r="L46" s="29">
        <f t="shared" si="8"/>
        <v>0</v>
      </c>
      <c r="M46" s="29">
        <f t="shared" si="8"/>
        <v>9079</v>
      </c>
      <c r="N46" s="29">
        <f t="shared" si="8"/>
        <v>482</v>
      </c>
      <c r="O46" s="29">
        <f t="shared" si="8"/>
        <v>482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4206</v>
      </c>
      <c r="D47" s="28">
        <v>3779</v>
      </c>
      <c r="E47" s="28">
        <v>0</v>
      </c>
      <c r="F47" s="28">
        <f>SUM(C47-D47-E47)</f>
        <v>427</v>
      </c>
      <c r="G47" s="28">
        <v>3944</v>
      </c>
      <c r="H47" s="28">
        <v>2594</v>
      </c>
      <c r="I47" s="28">
        <v>0</v>
      </c>
      <c r="J47" s="28">
        <f>SUM(G47-H47-I47)</f>
        <v>1350</v>
      </c>
      <c r="K47" s="28">
        <v>558</v>
      </c>
      <c r="L47" s="28">
        <v>13</v>
      </c>
      <c r="M47" s="28">
        <v>87</v>
      </c>
      <c r="N47" s="28">
        <v>164</v>
      </c>
      <c r="O47" s="28">
        <v>164</v>
      </c>
    </row>
    <row r="48" spans="1:256" ht="12.75" customHeight="1">
      <c r="A48" s="4" t="s">
        <v>88</v>
      </c>
      <c r="B48" s="5" t="s">
        <v>89</v>
      </c>
      <c r="C48" s="28">
        <v>8898</v>
      </c>
      <c r="D48" s="28">
        <v>8298</v>
      </c>
      <c r="E48" s="28">
        <v>81</v>
      </c>
      <c r="F48" s="28">
        <f>SUM(C48-D48-E48)</f>
        <v>519</v>
      </c>
      <c r="G48" s="28">
        <v>15429</v>
      </c>
      <c r="H48" s="28">
        <v>13961</v>
      </c>
      <c r="I48" s="28">
        <v>282</v>
      </c>
      <c r="J48" s="28">
        <f>SUM(G48-H48-I48)</f>
        <v>1186</v>
      </c>
      <c r="K48" s="28">
        <v>944</v>
      </c>
      <c r="L48" s="28">
        <v>0</v>
      </c>
      <c r="M48" s="28">
        <v>62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4606</v>
      </c>
      <c r="D49" s="28">
        <v>4230</v>
      </c>
      <c r="E49" s="28">
        <v>226</v>
      </c>
      <c r="F49" s="28">
        <f>SUM(C49-D49-E49)</f>
        <v>150</v>
      </c>
      <c r="G49" s="28">
        <v>4040</v>
      </c>
      <c r="H49" s="28">
        <v>3330</v>
      </c>
      <c r="I49" s="28">
        <v>540</v>
      </c>
      <c r="J49" s="28">
        <f>SUM(G49-H49-I49)</f>
        <v>170</v>
      </c>
      <c r="K49" s="28">
        <v>4036</v>
      </c>
      <c r="L49" s="28">
        <v>91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24247</v>
      </c>
      <c r="D50" s="28">
        <v>23011</v>
      </c>
      <c r="E50" s="28">
        <v>296</v>
      </c>
      <c r="F50" s="28">
        <f>SUM(C50-D50-E50)</f>
        <v>940</v>
      </c>
      <c r="G50" s="28">
        <v>52525</v>
      </c>
      <c r="H50" s="28">
        <v>36619</v>
      </c>
      <c r="I50" s="28">
        <v>1513</v>
      </c>
      <c r="J50" s="28">
        <f>SUM(G50-H50-I50)</f>
        <v>14393</v>
      </c>
      <c r="K50" s="28">
        <v>8849</v>
      </c>
      <c r="L50" s="28">
        <v>265</v>
      </c>
      <c r="M50" s="28">
        <v>5332</v>
      </c>
      <c r="N50" s="28">
        <v>619</v>
      </c>
      <c r="O50" s="28">
        <v>619</v>
      </c>
    </row>
    <row r="51" spans="1:15" ht="12.75" customHeight="1">
      <c r="A51" s="8"/>
      <c r="B51" s="9" t="s">
        <v>94</v>
      </c>
      <c r="C51" s="29">
        <f t="shared" ref="C51:O51" si="9">SUM(C47:C50)</f>
        <v>41957</v>
      </c>
      <c r="D51" s="29">
        <f t="shared" si="9"/>
        <v>39318</v>
      </c>
      <c r="E51" s="29">
        <f t="shared" si="9"/>
        <v>603</v>
      </c>
      <c r="F51" s="29">
        <f t="shared" si="9"/>
        <v>2036</v>
      </c>
      <c r="G51" s="29">
        <f t="shared" si="9"/>
        <v>75938</v>
      </c>
      <c r="H51" s="29">
        <f t="shared" si="9"/>
        <v>56504</v>
      </c>
      <c r="I51" s="29">
        <f t="shared" si="9"/>
        <v>2335</v>
      </c>
      <c r="J51" s="29">
        <f t="shared" si="9"/>
        <v>17099</v>
      </c>
      <c r="K51" s="29">
        <f t="shared" si="9"/>
        <v>14387</v>
      </c>
      <c r="L51" s="29">
        <f t="shared" si="9"/>
        <v>369</v>
      </c>
      <c r="M51" s="29">
        <f t="shared" si="9"/>
        <v>5481</v>
      </c>
      <c r="N51" s="29">
        <f t="shared" si="9"/>
        <v>783</v>
      </c>
      <c r="O51" s="29">
        <f t="shared" si="9"/>
        <v>783</v>
      </c>
    </row>
    <row r="52" spans="1:15" ht="12.75" customHeight="1">
      <c r="A52" s="4" t="s">
        <v>95</v>
      </c>
      <c r="B52" s="5" t="s">
        <v>96</v>
      </c>
      <c r="C52" s="28">
        <v>4348</v>
      </c>
      <c r="D52" s="28">
        <v>3994</v>
      </c>
      <c r="E52" s="28">
        <v>41</v>
      </c>
      <c r="F52" s="28">
        <f t="shared" ref="F52:F58" si="10">SUM(C52-D52-E52)</f>
        <v>313</v>
      </c>
      <c r="G52" s="28">
        <v>13919</v>
      </c>
      <c r="H52" s="28">
        <v>9281</v>
      </c>
      <c r="I52" s="28">
        <v>144</v>
      </c>
      <c r="J52" s="28">
        <f t="shared" ref="J52:J58" si="11">SUM(G52-H52-I52)</f>
        <v>4494</v>
      </c>
      <c r="K52" s="28">
        <v>6715</v>
      </c>
      <c r="L52" s="28">
        <v>0</v>
      </c>
      <c r="M52" s="28">
        <v>138</v>
      </c>
      <c r="N52" s="28">
        <v>576</v>
      </c>
      <c r="O52" s="28">
        <v>576</v>
      </c>
    </row>
    <row r="53" spans="1:15" ht="12.75" customHeight="1">
      <c r="A53" s="4" t="s">
        <v>97</v>
      </c>
      <c r="B53" s="5" t="s">
        <v>98</v>
      </c>
      <c r="C53" s="28">
        <v>26722</v>
      </c>
      <c r="D53" s="28">
        <v>20390</v>
      </c>
      <c r="E53" s="28">
        <v>258</v>
      </c>
      <c r="F53" s="28">
        <f t="shared" si="10"/>
        <v>6074</v>
      </c>
      <c r="G53" s="28">
        <v>77823</v>
      </c>
      <c r="H53" s="28">
        <v>50547</v>
      </c>
      <c r="I53" s="28">
        <v>2050</v>
      </c>
      <c r="J53" s="28">
        <f t="shared" si="11"/>
        <v>25226</v>
      </c>
      <c r="K53" s="28">
        <v>4990</v>
      </c>
      <c r="L53" s="28">
        <v>0</v>
      </c>
      <c r="M53" s="28">
        <v>1673</v>
      </c>
      <c r="N53" s="28">
        <v>1657</v>
      </c>
      <c r="O53" s="28">
        <v>1657</v>
      </c>
    </row>
    <row r="54" spans="1:15" ht="12.75" customHeight="1">
      <c r="A54" s="4" t="s">
        <v>99</v>
      </c>
      <c r="B54" s="5" t="s">
        <v>100</v>
      </c>
      <c r="C54" s="28">
        <v>4478</v>
      </c>
      <c r="D54" s="28">
        <v>2597</v>
      </c>
      <c r="E54" s="28">
        <v>108</v>
      </c>
      <c r="F54" s="28">
        <f t="shared" si="10"/>
        <v>1773</v>
      </c>
      <c r="G54" s="28">
        <v>14129</v>
      </c>
      <c r="H54" s="28">
        <v>7559</v>
      </c>
      <c r="I54" s="28">
        <v>1046</v>
      </c>
      <c r="J54" s="28">
        <f t="shared" si="11"/>
        <v>5524</v>
      </c>
      <c r="K54" s="28">
        <v>311</v>
      </c>
      <c r="L54" s="28">
        <v>86</v>
      </c>
      <c r="M54" s="28">
        <v>281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20117</v>
      </c>
      <c r="D55" s="28">
        <v>14229</v>
      </c>
      <c r="E55" s="28">
        <v>234</v>
      </c>
      <c r="F55" s="28">
        <f t="shared" si="10"/>
        <v>5654</v>
      </c>
      <c r="G55" s="28">
        <v>61033</v>
      </c>
      <c r="H55" s="28">
        <v>31251</v>
      </c>
      <c r="I55" s="28">
        <v>1353</v>
      </c>
      <c r="J55" s="28">
        <f t="shared" si="11"/>
        <v>28429</v>
      </c>
      <c r="K55" s="28">
        <v>12341</v>
      </c>
      <c r="L55" s="28">
        <v>0</v>
      </c>
      <c r="M55" s="28">
        <v>3460</v>
      </c>
      <c r="N55" s="28">
        <v>6080</v>
      </c>
      <c r="O55" s="28">
        <v>6080</v>
      </c>
    </row>
    <row r="56" spans="1:15" ht="12.75" customHeight="1">
      <c r="A56" s="4" t="s">
        <v>103</v>
      </c>
      <c r="B56" s="5" t="s">
        <v>104</v>
      </c>
      <c r="C56" s="28">
        <v>25669</v>
      </c>
      <c r="D56" s="28">
        <v>11358</v>
      </c>
      <c r="E56" s="28">
        <v>1042</v>
      </c>
      <c r="F56" s="28">
        <f t="shared" si="10"/>
        <v>13269</v>
      </c>
      <c r="G56" s="28">
        <v>85888</v>
      </c>
      <c r="H56" s="28">
        <v>24614</v>
      </c>
      <c r="I56" s="28">
        <v>6297</v>
      </c>
      <c r="J56" s="28">
        <f t="shared" si="11"/>
        <v>54977</v>
      </c>
      <c r="K56" s="28">
        <v>10599</v>
      </c>
      <c r="L56" s="28">
        <v>388</v>
      </c>
      <c r="M56" s="28">
        <v>8859</v>
      </c>
      <c r="N56" s="28">
        <v>862</v>
      </c>
      <c r="O56" s="28">
        <v>862</v>
      </c>
    </row>
    <row r="57" spans="1:15" ht="12.75" customHeight="1">
      <c r="A57" s="4" t="s">
        <v>105</v>
      </c>
      <c r="B57" s="5" t="s">
        <v>106</v>
      </c>
      <c r="C57" s="28">
        <v>23212</v>
      </c>
      <c r="D57" s="28">
        <v>13359</v>
      </c>
      <c r="E57" s="28">
        <v>1089</v>
      </c>
      <c r="F57" s="28">
        <f t="shared" si="10"/>
        <v>8764</v>
      </c>
      <c r="G57" s="28">
        <v>89575</v>
      </c>
      <c r="H57" s="28">
        <v>40758</v>
      </c>
      <c r="I57" s="28">
        <v>7056</v>
      </c>
      <c r="J57" s="28">
        <f t="shared" si="11"/>
        <v>41761</v>
      </c>
      <c r="K57" s="28">
        <v>2512</v>
      </c>
      <c r="L57" s="28">
        <v>0</v>
      </c>
      <c r="M57" s="28">
        <v>4781</v>
      </c>
      <c r="N57" s="28">
        <v>249</v>
      </c>
      <c r="O57" s="28">
        <v>249</v>
      </c>
    </row>
    <row r="58" spans="1:15" ht="12.75" customHeight="1">
      <c r="A58" s="4" t="s">
        <v>107</v>
      </c>
      <c r="B58" s="5" t="s">
        <v>108</v>
      </c>
      <c r="C58" s="28">
        <v>25688</v>
      </c>
      <c r="D58" s="28">
        <v>14647</v>
      </c>
      <c r="E58" s="28">
        <v>361</v>
      </c>
      <c r="F58" s="28">
        <f t="shared" si="10"/>
        <v>10680</v>
      </c>
      <c r="G58" s="28">
        <v>79750</v>
      </c>
      <c r="H58" s="28">
        <v>32556</v>
      </c>
      <c r="I58" s="28">
        <v>2168</v>
      </c>
      <c r="J58" s="28">
        <f t="shared" si="11"/>
        <v>45026</v>
      </c>
      <c r="K58" s="28">
        <v>3541</v>
      </c>
      <c r="L58" s="28">
        <v>101</v>
      </c>
      <c r="M58" s="28">
        <v>3122</v>
      </c>
      <c r="N58" s="28">
        <v>11022</v>
      </c>
      <c r="O58" s="28">
        <v>11022</v>
      </c>
    </row>
    <row r="59" spans="1:15" ht="12.75" customHeight="1">
      <c r="A59" s="8"/>
      <c r="B59" s="9" t="s">
        <v>109</v>
      </c>
      <c r="C59" s="29">
        <f t="shared" ref="C59:O59" si="12">SUM(C52:C58)</f>
        <v>130234</v>
      </c>
      <c r="D59" s="29">
        <f t="shared" si="12"/>
        <v>80574</v>
      </c>
      <c r="E59" s="29">
        <f t="shared" si="12"/>
        <v>3133</v>
      </c>
      <c r="F59" s="29">
        <f t="shared" si="12"/>
        <v>46527</v>
      </c>
      <c r="G59" s="29">
        <f t="shared" si="12"/>
        <v>422117</v>
      </c>
      <c r="H59" s="29">
        <f t="shared" si="12"/>
        <v>196566</v>
      </c>
      <c r="I59" s="29">
        <f t="shared" si="12"/>
        <v>20114</v>
      </c>
      <c r="J59" s="29">
        <f t="shared" si="12"/>
        <v>205437</v>
      </c>
      <c r="K59" s="29">
        <f t="shared" si="12"/>
        <v>41009</v>
      </c>
      <c r="L59" s="29">
        <f t="shared" si="12"/>
        <v>575</v>
      </c>
      <c r="M59" s="29">
        <f t="shared" si="12"/>
        <v>22314</v>
      </c>
      <c r="N59" s="29">
        <f t="shared" si="12"/>
        <v>20446</v>
      </c>
      <c r="O59" s="29">
        <f t="shared" si="12"/>
        <v>20446</v>
      </c>
    </row>
    <row r="60" spans="1:15" ht="12.75" customHeight="1">
      <c r="A60" s="4" t="s">
        <v>110</v>
      </c>
      <c r="B60" s="5" t="s">
        <v>111</v>
      </c>
      <c r="C60" s="28">
        <v>29407</v>
      </c>
      <c r="D60" s="28">
        <v>22822</v>
      </c>
      <c r="E60" s="28">
        <v>1417</v>
      </c>
      <c r="F60" s="28">
        <f t="shared" ref="F60:F68" si="13">SUM(C60-D60-E60)</f>
        <v>5168</v>
      </c>
      <c r="G60" s="28">
        <v>85455</v>
      </c>
      <c r="H60" s="28">
        <v>50976</v>
      </c>
      <c r="I60" s="28">
        <v>12282</v>
      </c>
      <c r="J60" s="28">
        <f t="shared" ref="J60:J68" si="14">SUM(G60-H60-I60)</f>
        <v>22197</v>
      </c>
      <c r="K60" s="28">
        <v>1608</v>
      </c>
      <c r="L60" s="28">
        <v>0</v>
      </c>
      <c r="M60" s="28">
        <v>1651</v>
      </c>
      <c r="N60" s="28">
        <v>581</v>
      </c>
      <c r="O60" s="28">
        <v>581</v>
      </c>
    </row>
    <row r="61" spans="1:15" ht="12.75" customHeight="1">
      <c r="A61" s="4" t="s">
        <v>112</v>
      </c>
      <c r="B61" s="5" t="s">
        <v>113</v>
      </c>
      <c r="C61" s="28">
        <v>7642</v>
      </c>
      <c r="D61" s="28">
        <v>5758</v>
      </c>
      <c r="E61" s="28">
        <v>64</v>
      </c>
      <c r="F61" s="28">
        <f t="shared" si="13"/>
        <v>1820</v>
      </c>
      <c r="G61" s="28">
        <v>17838</v>
      </c>
      <c r="H61" s="28">
        <v>13182</v>
      </c>
      <c r="I61" s="28">
        <v>399</v>
      </c>
      <c r="J61" s="28">
        <f t="shared" si="14"/>
        <v>4257</v>
      </c>
      <c r="K61" s="28">
        <v>65</v>
      </c>
      <c r="L61" s="28">
        <v>399</v>
      </c>
      <c r="M61" s="28">
        <v>724</v>
      </c>
      <c r="N61" s="28">
        <v>9</v>
      </c>
      <c r="O61" s="28">
        <v>9</v>
      </c>
    </row>
    <row r="62" spans="1:15" ht="12.75" customHeight="1">
      <c r="A62" s="4" t="s">
        <v>114</v>
      </c>
      <c r="B62" s="5" t="s">
        <v>115</v>
      </c>
      <c r="C62" s="28">
        <v>12588</v>
      </c>
      <c r="D62" s="28">
        <v>7634</v>
      </c>
      <c r="E62" s="28">
        <v>396</v>
      </c>
      <c r="F62" s="28">
        <f t="shared" si="13"/>
        <v>4558</v>
      </c>
      <c r="G62" s="28">
        <v>51687</v>
      </c>
      <c r="H62" s="28">
        <v>20814</v>
      </c>
      <c r="I62" s="28">
        <v>3919</v>
      </c>
      <c r="J62" s="28">
        <f t="shared" si="14"/>
        <v>26954</v>
      </c>
      <c r="K62" s="28">
        <v>11254</v>
      </c>
      <c r="L62" s="28">
        <v>170</v>
      </c>
      <c r="M62" s="28">
        <v>4168</v>
      </c>
      <c r="N62" s="28">
        <v>3497</v>
      </c>
      <c r="O62" s="28">
        <v>3497</v>
      </c>
    </row>
    <row r="63" spans="1:15" ht="12.75" customHeight="1">
      <c r="A63" s="4" t="s">
        <v>116</v>
      </c>
      <c r="B63" s="5" t="s">
        <v>117</v>
      </c>
      <c r="C63" s="28">
        <v>19438</v>
      </c>
      <c r="D63" s="28">
        <v>13966</v>
      </c>
      <c r="E63" s="28">
        <v>558</v>
      </c>
      <c r="F63" s="28">
        <f t="shared" si="13"/>
        <v>4914</v>
      </c>
      <c r="G63" s="28">
        <v>60959</v>
      </c>
      <c r="H63" s="28">
        <v>36979</v>
      </c>
      <c r="I63" s="28">
        <v>6500</v>
      </c>
      <c r="J63" s="28">
        <f t="shared" si="14"/>
        <v>17480</v>
      </c>
      <c r="K63" s="28">
        <v>858</v>
      </c>
      <c r="L63" s="28">
        <v>0</v>
      </c>
      <c r="M63" s="28">
        <v>2035</v>
      </c>
      <c r="N63" s="28">
        <v>28</v>
      </c>
      <c r="O63" s="28">
        <v>28</v>
      </c>
    </row>
    <row r="64" spans="1:15" ht="12.75" customHeight="1">
      <c r="A64" s="4" t="s">
        <v>118</v>
      </c>
      <c r="B64" s="5" t="s">
        <v>119</v>
      </c>
      <c r="C64" s="28">
        <v>15630</v>
      </c>
      <c r="D64" s="28">
        <v>8853</v>
      </c>
      <c r="E64" s="28">
        <v>612</v>
      </c>
      <c r="F64" s="28">
        <f t="shared" si="13"/>
        <v>6165</v>
      </c>
      <c r="G64" s="28">
        <v>58431</v>
      </c>
      <c r="H64" s="28">
        <v>24490</v>
      </c>
      <c r="I64" s="28">
        <v>5545</v>
      </c>
      <c r="J64" s="28">
        <f t="shared" si="14"/>
        <v>28396</v>
      </c>
      <c r="K64" s="28">
        <v>414</v>
      </c>
      <c r="L64" s="28">
        <v>29</v>
      </c>
      <c r="M64" s="28">
        <v>670</v>
      </c>
      <c r="N64" s="28">
        <v>26</v>
      </c>
      <c r="O64" s="28">
        <v>26</v>
      </c>
    </row>
    <row r="65" spans="1:15" ht="12.75" customHeight="1">
      <c r="A65" s="4" t="s">
        <v>120</v>
      </c>
      <c r="B65" s="5" t="s">
        <v>121</v>
      </c>
      <c r="C65" s="28">
        <v>7801</v>
      </c>
      <c r="D65" s="28">
        <v>6391</v>
      </c>
      <c r="E65" s="28">
        <v>446</v>
      </c>
      <c r="F65" s="28">
        <f t="shared" si="13"/>
        <v>964</v>
      </c>
      <c r="G65" s="28">
        <v>35014</v>
      </c>
      <c r="H65" s="28">
        <v>17169</v>
      </c>
      <c r="I65" s="28">
        <v>4101</v>
      </c>
      <c r="J65" s="28">
        <f t="shared" si="14"/>
        <v>13744</v>
      </c>
      <c r="K65" s="28">
        <v>1466</v>
      </c>
      <c r="L65" s="28">
        <v>0</v>
      </c>
      <c r="M65" s="28">
        <v>1689</v>
      </c>
      <c r="N65" s="28">
        <v>165</v>
      </c>
      <c r="O65" s="28">
        <v>165</v>
      </c>
    </row>
    <row r="66" spans="1:15" ht="12.75" customHeight="1">
      <c r="A66" s="4" t="s">
        <v>122</v>
      </c>
      <c r="B66" s="5" t="s">
        <v>123</v>
      </c>
      <c r="C66" s="28">
        <v>15071</v>
      </c>
      <c r="D66" s="28">
        <v>5847</v>
      </c>
      <c r="E66" s="28">
        <v>270</v>
      </c>
      <c r="F66" s="28">
        <f t="shared" si="13"/>
        <v>8954</v>
      </c>
      <c r="G66" s="28">
        <v>88962</v>
      </c>
      <c r="H66" s="28">
        <v>14787</v>
      </c>
      <c r="I66" s="28">
        <v>2288</v>
      </c>
      <c r="J66" s="28">
        <f t="shared" si="14"/>
        <v>71887</v>
      </c>
      <c r="K66" s="28">
        <v>11695</v>
      </c>
      <c r="L66" s="28">
        <v>60</v>
      </c>
      <c r="M66" s="28">
        <v>13182</v>
      </c>
      <c r="N66" s="28">
        <v>412</v>
      </c>
      <c r="O66" s="28">
        <v>98</v>
      </c>
    </row>
    <row r="67" spans="1:15" ht="12.75" customHeight="1">
      <c r="A67" s="4" t="s">
        <v>124</v>
      </c>
      <c r="B67" s="5" t="s">
        <v>125</v>
      </c>
      <c r="C67" s="28">
        <v>24762</v>
      </c>
      <c r="D67" s="28">
        <v>9886</v>
      </c>
      <c r="E67" s="28">
        <v>0</v>
      </c>
      <c r="F67" s="28">
        <f t="shared" si="13"/>
        <v>14876</v>
      </c>
      <c r="G67" s="28">
        <v>125617</v>
      </c>
      <c r="H67" s="28">
        <v>22442</v>
      </c>
      <c r="I67" s="28">
        <v>0</v>
      </c>
      <c r="J67" s="28">
        <f t="shared" si="14"/>
        <v>103175</v>
      </c>
      <c r="K67" s="28">
        <v>13050</v>
      </c>
      <c r="L67" s="28">
        <v>0</v>
      </c>
      <c r="M67" s="28">
        <v>22521</v>
      </c>
      <c r="N67" s="28">
        <v>332</v>
      </c>
      <c r="O67" s="28">
        <v>332</v>
      </c>
    </row>
    <row r="68" spans="1:15" ht="12.75" customHeight="1">
      <c r="A68" s="4" t="s">
        <v>126</v>
      </c>
      <c r="B68" s="5" t="s">
        <v>127</v>
      </c>
      <c r="C68" s="28">
        <v>11086</v>
      </c>
      <c r="D68" s="28">
        <v>7774</v>
      </c>
      <c r="E68" s="28">
        <v>165</v>
      </c>
      <c r="F68" s="28">
        <f t="shared" si="13"/>
        <v>3147</v>
      </c>
      <c r="G68" s="28">
        <v>40923</v>
      </c>
      <c r="H68" s="28">
        <v>16892</v>
      </c>
      <c r="I68" s="28">
        <v>1265</v>
      </c>
      <c r="J68" s="28">
        <f t="shared" si="14"/>
        <v>22766</v>
      </c>
      <c r="K68" s="28">
        <v>169</v>
      </c>
      <c r="L68" s="28">
        <v>12</v>
      </c>
      <c r="M68" s="28">
        <v>623</v>
      </c>
      <c r="N68" s="28">
        <v>94</v>
      </c>
      <c r="O68" s="28">
        <v>94</v>
      </c>
    </row>
    <row r="69" spans="1:15" ht="12.75" customHeight="1">
      <c r="A69" s="8"/>
      <c r="B69" s="9" t="s">
        <v>128</v>
      </c>
      <c r="C69" s="29">
        <f t="shared" ref="C69:O69" si="15">SUM(C60:C68)</f>
        <v>143425</v>
      </c>
      <c r="D69" s="29">
        <f t="shared" si="15"/>
        <v>88931</v>
      </c>
      <c r="E69" s="29">
        <f t="shared" si="15"/>
        <v>3928</v>
      </c>
      <c r="F69" s="29">
        <f t="shared" si="15"/>
        <v>50566</v>
      </c>
      <c r="G69" s="29">
        <f t="shared" si="15"/>
        <v>564886</v>
      </c>
      <c r="H69" s="29">
        <f t="shared" si="15"/>
        <v>217731</v>
      </c>
      <c r="I69" s="29">
        <f t="shared" si="15"/>
        <v>36299</v>
      </c>
      <c r="J69" s="29">
        <f t="shared" si="15"/>
        <v>310856</v>
      </c>
      <c r="K69" s="29">
        <f t="shared" si="15"/>
        <v>40579</v>
      </c>
      <c r="L69" s="29">
        <f t="shared" si="15"/>
        <v>670</v>
      </c>
      <c r="M69" s="29">
        <f t="shared" si="15"/>
        <v>47263</v>
      </c>
      <c r="N69" s="29">
        <f t="shared" si="15"/>
        <v>5144</v>
      </c>
      <c r="O69" s="29">
        <f t="shared" si="15"/>
        <v>4830</v>
      </c>
    </row>
    <row r="70" spans="1:15" ht="12.75" customHeight="1">
      <c r="A70" s="4" t="s">
        <v>129</v>
      </c>
      <c r="B70" s="5" t="s">
        <v>130</v>
      </c>
      <c r="C70" s="28">
        <v>9167</v>
      </c>
      <c r="D70" s="28">
        <v>7955</v>
      </c>
      <c r="E70" s="28">
        <v>468</v>
      </c>
      <c r="F70" s="28">
        <f t="shared" ref="F70:F79" si="16">SUM(C70-D70-E70)</f>
        <v>744</v>
      </c>
      <c r="G70" s="28">
        <v>29487</v>
      </c>
      <c r="H70" s="28">
        <v>18514</v>
      </c>
      <c r="I70" s="28">
        <v>4638</v>
      </c>
      <c r="J70" s="28">
        <f t="shared" ref="J70:J79" si="17">SUM(G70-H70-I70)</f>
        <v>6335</v>
      </c>
      <c r="K70" s="28">
        <v>1099</v>
      </c>
      <c r="L70" s="28">
        <v>4</v>
      </c>
      <c r="M70" s="28">
        <v>886</v>
      </c>
      <c r="N70" s="28">
        <v>140</v>
      </c>
      <c r="O70" s="28">
        <v>140</v>
      </c>
    </row>
    <row r="71" spans="1:15" ht="12.75" customHeight="1">
      <c r="A71" s="4" t="s">
        <v>131</v>
      </c>
      <c r="B71" s="5" t="s">
        <v>132</v>
      </c>
      <c r="C71" s="28">
        <v>41471</v>
      </c>
      <c r="D71" s="28">
        <v>24716</v>
      </c>
      <c r="E71" s="28">
        <v>1047</v>
      </c>
      <c r="F71" s="28">
        <f t="shared" si="16"/>
        <v>15708</v>
      </c>
      <c r="G71" s="28">
        <v>96124</v>
      </c>
      <c r="H71" s="28">
        <v>42392</v>
      </c>
      <c r="I71" s="28">
        <v>7277</v>
      </c>
      <c r="J71" s="28">
        <f t="shared" si="17"/>
        <v>46455</v>
      </c>
      <c r="K71" s="28">
        <v>7029</v>
      </c>
      <c r="L71" s="28">
        <v>0</v>
      </c>
      <c r="M71" s="28">
        <v>2304</v>
      </c>
      <c r="N71" s="28">
        <v>5700</v>
      </c>
      <c r="O71" s="28">
        <v>5700</v>
      </c>
    </row>
    <row r="72" spans="1:15" ht="12.75" customHeight="1">
      <c r="A72" s="4" t="s">
        <v>133</v>
      </c>
      <c r="B72" s="5" t="s">
        <v>134</v>
      </c>
      <c r="C72" s="28">
        <v>6147</v>
      </c>
      <c r="D72" s="28">
        <v>5021</v>
      </c>
      <c r="E72" s="28">
        <v>0</v>
      </c>
      <c r="F72" s="28">
        <f t="shared" si="16"/>
        <v>1126</v>
      </c>
      <c r="G72" s="28">
        <v>17831</v>
      </c>
      <c r="H72" s="28">
        <v>12515</v>
      </c>
      <c r="I72" s="28">
        <v>0</v>
      </c>
      <c r="J72" s="28">
        <f t="shared" si="17"/>
        <v>5316</v>
      </c>
      <c r="K72" s="28">
        <v>1795</v>
      </c>
      <c r="L72" s="28">
        <v>559</v>
      </c>
      <c r="M72" s="28">
        <v>2323</v>
      </c>
      <c r="N72" s="28">
        <v>61</v>
      </c>
      <c r="O72" s="28">
        <v>61</v>
      </c>
    </row>
    <row r="73" spans="1:15" ht="12.75" customHeight="1">
      <c r="A73" s="4" t="s">
        <v>135</v>
      </c>
      <c r="B73" s="5" t="s">
        <v>136</v>
      </c>
      <c r="C73" s="28">
        <v>15789</v>
      </c>
      <c r="D73" s="28">
        <v>10737</v>
      </c>
      <c r="E73" s="28">
        <v>83</v>
      </c>
      <c r="F73" s="28">
        <f t="shared" si="16"/>
        <v>4969</v>
      </c>
      <c r="G73" s="28">
        <v>47821</v>
      </c>
      <c r="H73" s="28">
        <v>22920</v>
      </c>
      <c r="I73" s="28">
        <v>445</v>
      </c>
      <c r="J73" s="28">
        <f t="shared" si="17"/>
        <v>24456</v>
      </c>
      <c r="K73" s="28">
        <v>4106</v>
      </c>
      <c r="L73" s="28">
        <v>379</v>
      </c>
      <c r="M73" s="28">
        <v>4686</v>
      </c>
      <c r="N73" s="28">
        <v>10411</v>
      </c>
      <c r="O73" s="28">
        <v>10173</v>
      </c>
    </row>
    <row r="74" spans="1:15" ht="12.75" customHeight="1">
      <c r="A74" s="4" t="s">
        <v>137</v>
      </c>
      <c r="B74" s="5" t="s">
        <v>138</v>
      </c>
      <c r="C74" s="28">
        <v>13422</v>
      </c>
      <c r="D74" s="28">
        <v>11212</v>
      </c>
      <c r="E74" s="28">
        <v>298</v>
      </c>
      <c r="F74" s="28">
        <f t="shared" si="16"/>
        <v>1912</v>
      </c>
      <c r="G74" s="28">
        <v>28685</v>
      </c>
      <c r="H74" s="28">
        <v>19254</v>
      </c>
      <c r="I74" s="28">
        <v>1816</v>
      </c>
      <c r="J74" s="28">
        <f t="shared" si="17"/>
        <v>7615</v>
      </c>
      <c r="K74" s="28">
        <v>1767</v>
      </c>
      <c r="L74" s="28">
        <v>0</v>
      </c>
      <c r="M74" s="28">
        <v>509</v>
      </c>
      <c r="N74" s="28">
        <v>651</v>
      </c>
      <c r="O74" s="28">
        <v>651</v>
      </c>
    </row>
    <row r="75" spans="1:15" ht="12.75" customHeight="1">
      <c r="A75" s="4" t="s">
        <v>139</v>
      </c>
      <c r="B75" s="5" t="s">
        <v>140</v>
      </c>
      <c r="C75" s="28">
        <v>6705</v>
      </c>
      <c r="D75" s="28">
        <v>6448</v>
      </c>
      <c r="E75" s="28">
        <v>77</v>
      </c>
      <c r="F75" s="28">
        <f t="shared" si="16"/>
        <v>180</v>
      </c>
      <c r="G75" s="28">
        <v>13386</v>
      </c>
      <c r="H75" s="28">
        <v>10674</v>
      </c>
      <c r="I75" s="28">
        <v>1084</v>
      </c>
      <c r="J75" s="28">
        <f t="shared" si="17"/>
        <v>1628</v>
      </c>
      <c r="K75" s="28">
        <v>81</v>
      </c>
      <c r="L75" s="28">
        <v>0</v>
      </c>
      <c r="M75" s="28">
        <v>22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13754</v>
      </c>
      <c r="D76" s="28">
        <v>10401</v>
      </c>
      <c r="E76" s="28">
        <v>160</v>
      </c>
      <c r="F76" s="28">
        <f t="shared" si="16"/>
        <v>3193</v>
      </c>
      <c r="G76" s="28">
        <v>37289</v>
      </c>
      <c r="H76" s="28">
        <v>22845</v>
      </c>
      <c r="I76" s="28">
        <v>895</v>
      </c>
      <c r="J76" s="28">
        <f t="shared" si="17"/>
        <v>13549</v>
      </c>
      <c r="K76" s="28">
        <v>969</v>
      </c>
      <c r="L76" s="28">
        <v>175</v>
      </c>
      <c r="M76" s="28">
        <v>822</v>
      </c>
      <c r="N76" s="28">
        <v>609</v>
      </c>
      <c r="O76" s="28">
        <v>609</v>
      </c>
    </row>
    <row r="77" spans="1:15" ht="12.75" customHeight="1">
      <c r="A77" s="4" t="s">
        <v>143</v>
      </c>
      <c r="B77" s="5" t="s">
        <v>144</v>
      </c>
      <c r="C77" s="28">
        <v>12450</v>
      </c>
      <c r="D77" s="28">
        <v>8365</v>
      </c>
      <c r="E77" s="28">
        <v>140</v>
      </c>
      <c r="F77" s="28">
        <f t="shared" si="16"/>
        <v>3945</v>
      </c>
      <c r="G77" s="28">
        <v>29564</v>
      </c>
      <c r="H77" s="28">
        <v>15449</v>
      </c>
      <c r="I77" s="28">
        <v>740</v>
      </c>
      <c r="J77" s="28">
        <f t="shared" si="17"/>
        <v>13375</v>
      </c>
      <c r="K77" s="28">
        <v>2512</v>
      </c>
      <c r="L77" s="28">
        <v>0</v>
      </c>
      <c r="M77" s="28">
        <v>1382</v>
      </c>
      <c r="N77" s="28">
        <v>465</v>
      </c>
      <c r="O77" s="28">
        <v>465</v>
      </c>
    </row>
    <row r="78" spans="1:15" ht="12.75" customHeight="1">
      <c r="A78" s="4" t="s">
        <v>145</v>
      </c>
      <c r="B78" s="5" t="s">
        <v>146</v>
      </c>
      <c r="C78" s="28">
        <v>7531</v>
      </c>
      <c r="D78" s="28">
        <v>6362</v>
      </c>
      <c r="E78" s="28">
        <v>0</v>
      </c>
      <c r="F78" s="28">
        <f t="shared" si="16"/>
        <v>1169</v>
      </c>
      <c r="G78" s="28">
        <v>13848</v>
      </c>
      <c r="H78" s="28">
        <v>10541</v>
      </c>
      <c r="I78" s="28">
        <v>0</v>
      </c>
      <c r="J78" s="28">
        <f t="shared" si="17"/>
        <v>3307</v>
      </c>
      <c r="K78" s="28">
        <v>449</v>
      </c>
      <c r="L78" s="28">
        <v>0</v>
      </c>
      <c r="M78" s="28">
        <v>9</v>
      </c>
      <c r="N78" s="28">
        <v>62</v>
      </c>
      <c r="O78" s="28">
        <v>62</v>
      </c>
    </row>
    <row r="79" spans="1:15" ht="12.75" customHeight="1">
      <c r="A79" s="4" t="s">
        <v>147</v>
      </c>
      <c r="B79" s="5" t="s">
        <v>148</v>
      </c>
      <c r="C79" s="28">
        <v>6748</v>
      </c>
      <c r="D79" s="28">
        <v>6395</v>
      </c>
      <c r="E79" s="28">
        <v>126</v>
      </c>
      <c r="F79" s="28">
        <f t="shared" si="16"/>
        <v>227</v>
      </c>
      <c r="G79" s="28">
        <v>22243</v>
      </c>
      <c r="H79" s="28">
        <v>15449</v>
      </c>
      <c r="I79" s="28">
        <v>921</v>
      </c>
      <c r="J79" s="28">
        <f t="shared" si="17"/>
        <v>5873</v>
      </c>
      <c r="K79" s="28">
        <v>1777</v>
      </c>
      <c r="L79" s="28">
        <v>51</v>
      </c>
      <c r="M79" s="28">
        <v>3838</v>
      </c>
      <c r="N79" s="28">
        <v>144</v>
      </c>
      <c r="O79" s="28">
        <v>144</v>
      </c>
    </row>
    <row r="80" spans="1:15" ht="12.75" customHeight="1">
      <c r="A80" s="8"/>
      <c r="B80" s="9" t="s">
        <v>149</v>
      </c>
      <c r="C80" s="29">
        <f t="shared" ref="C80:O80" si="18">SUM(C70:C79)</f>
        <v>133184</v>
      </c>
      <c r="D80" s="29">
        <f t="shared" si="18"/>
        <v>97612</v>
      </c>
      <c r="E80" s="29">
        <f t="shared" si="18"/>
        <v>2399</v>
      </c>
      <c r="F80" s="29">
        <f t="shared" si="18"/>
        <v>33173</v>
      </c>
      <c r="G80" s="29">
        <f t="shared" si="18"/>
        <v>336278</v>
      </c>
      <c r="H80" s="29">
        <f t="shared" si="18"/>
        <v>190553</v>
      </c>
      <c r="I80" s="29">
        <f t="shared" si="18"/>
        <v>17816</v>
      </c>
      <c r="J80" s="29">
        <f t="shared" si="18"/>
        <v>127909</v>
      </c>
      <c r="K80" s="29">
        <f t="shared" si="18"/>
        <v>21584</v>
      </c>
      <c r="L80" s="29">
        <f t="shared" si="18"/>
        <v>1168</v>
      </c>
      <c r="M80" s="29">
        <f t="shared" si="18"/>
        <v>16781</v>
      </c>
      <c r="N80" s="29">
        <f t="shared" si="18"/>
        <v>18243</v>
      </c>
      <c r="O80" s="29">
        <f t="shared" si="18"/>
        <v>18005</v>
      </c>
    </row>
    <row r="81" spans="1:15" ht="12.75" customHeight="1">
      <c r="A81" s="4" t="s">
        <v>150</v>
      </c>
      <c r="B81" s="5" t="s">
        <v>151</v>
      </c>
      <c r="C81" s="28">
        <v>12229</v>
      </c>
      <c r="D81" s="28">
        <v>7371</v>
      </c>
      <c r="E81" s="28">
        <v>204</v>
      </c>
      <c r="F81" s="28">
        <f>SUM(C81-D81-E81)</f>
        <v>4654</v>
      </c>
      <c r="G81" s="28">
        <v>50514</v>
      </c>
      <c r="H81" s="28">
        <v>24845</v>
      </c>
      <c r="I81" s="28">
        <v>3028</v>
      </c>
      <c r="J81" s="28">
        <f>SUM(G81-H81-I81)</f>
        <v>22641</v>
      </c>
      <c r="K81" s="28">
        <v>1173</v>
      </c>
      <c r="L81" s="28">
        <v>0</v>
      </c>
      <c r="M81" s="28">
        <v>1990</v>
      </c>
      <c r="N81" s="28">
        <v>1141</v>
      </c>
      <c r="O81" s="28">
        <v>1141</v>
      </c>
    </row>
    <row r="82" spans="1:15" ht="12.75" customHeight="1">
      <c r="A82" s="4" t="s">
        <v>152</v>
      </c>
      <c r="B82" s="5" t="s">
        <v>153</v>
      </c>
      <c r="C82" s="28">
        <v>6494</v>
      </c>
      <c r="D82" s="28">
        <v>4796</v>
      </c>
      <c r="E82" s="28">
        <v>65</v>
      </c>
      <c r="F82" s="28">
        <f>SUM(C82-D82-E82)</f>
        <v>1633</v>
      </c>
      <c r="G82" s="28">
        <v>29491</v>
      </c>
      <c r="H82" s="28">
        <v>14486</v>
      </c>
      <c r="I82" s="28">
        <v>820</v>
      </c>
      <c r="J82" s="28">
        <f>SUM(G82-H82-I82)</f>
        <v>14185</v>
      </c>
      <c r="K82" s="28">
        <v>402</v>
      </c>
      <c r="L82" s="28">
        <v>4</v>
      </c>
      <c r="M82" s="28">
        <v>1754</v>
      </c>
      <c r="N82" s="28">
        <v>194</v>
      </c>
      <c r="O82" s="28">
        <v>194</v>
      </c>
    </row>
    <row r="83" spans="1:15" ht="12.75" customHeight="1">
      <c r="A83" s="4" t="s">
        <v>154</v>
      </c>
      <c r="B83" s="5" t="s">
        <v>155</v>
      </c>
      <c r="C83" s="28">
        <v>1488</v>
      </c>
      <c r="D83" s="28">
        <v>1425</v>
      </c>
      <c r="E83" s="28">
        <v>58</v>
      </c>
      <c r="F83" s="28">
        <f>SUM(C83-D83-E83)</f>
        <v>5</v>
      </c>
      <c r="G83" s="28">
        <v>4877</v>
      </c>
      <c r="H83" s="28">
        <v>4320</v>
      </c>
      <c r="I83" s="28">
        <v>495</v>
      </c>
      <c r="J83" s="28">
        <f>SUM(G83-H83-I83)</f>
        <v>62</v>
      </c>
      <c r="K83" s="28">
        <v>0</v>
      </c>
      <c r="L83" s="28">
        <v>0</v>
      </c>
      <c r="M83" s="28">
        <v>15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5718</v>
      </c>
      <c r="D84" s="28">
        <v>5347</v>
      </c>
      <c r="E84" s="28">
        <v>67</v>
      </c>
      <c r="F84" s="28">
        <f>SUM(C84-D84-E84)</f>
        <v>304</v>
      </c>
      <c r="G84" s="28">
        <v>22876</v>
      </c>
      <c r="H84" s="28">
        <v>16301</v>
      </c>
      <c r="I84" s="28">
        <v>772</v>
      </c>
      <c r="J84" s="28">
        <f>SUM(G84-H84-I84)</f>
        <v>5803</v>
      </c>
      <c r="K84" s="28">
        <v>533</v>
      </c>
      <c r="L84" s="28">
        <v>0</v>
      </c>
      <c r="M84" s="28">
        <v>1282</v>
      </c>
      <c r="N84" s="28">
        <v>90</v>
      </c>
      <c r="O84" s="28">
        <v>90</v>
      </c>
    </row>
    <row r="85" spans="1:15" ht="12.75" customHeight="1">
      <c r="A85" s="4" t="s">
        <v>158</v>
      </c>
      <c r="B85" s="5" t="s">
        <v>159</v>
      </c>
      <c r="C85" s="28">
        <v>9236</v>
      </c>
      <c r="D85" s="28">
        <v>8414</v>
      </c>
      <c r="E85" s="28">
        <v>199</v>
      </c>
      <c r="F85" s="28">
        <f>SUM(C85-D85-E85)</f>
        <v>623</v>
      </c>
      <c r="G85" s="28">
        <v>30105</v>
      </c>
      <c r="H85" s="28">
        <v>20861</v>
      </c>
      <c r="I85" s="28">
        <v>1673</v>
      </c>
      <c r="J85" s="28">
        <f>SUM(G85-H85-I85)</f>
        <v>7571</v>
      </c>
      <c r="K85" s="28">
        <v>1088</v>
      </c>
      <c r="L85" s="28">
        <v>0</v>
      </c>
      <c r="M85" s="28">
        <v>1000</v>
      </c>
      <c r="N85" s="28">
        <v>8311</v>
      </c>
      <c r="O85" s="28">
        <v>8311</v>
      </c>
    </row>
    <row r="86" spans="1:15" ht="12.75" customHeight="1">
      <c r="A86" s="8"/>
      <c r="B86" s="9" t="s">
        <v>160</v>
      </c>
      <c r="C86" s="29">
        <f t="shared" ref="C86:O86" si="19">SUM(C81:C85)</f>
        <v>35165</v>
      </c>
      <c r="D86" s="29">
        <f t="shared" si="19"/>
        <v>27353</v>
      </c>
      <c r="E86" s="29">
        <f t="shared" si="19"/>
        <v>593</v>
      </c>
      <c r="F86" s="29">
        <f t="shared" si="19"/>
        <v>7219</v>
      </c>
      <c r="G86" s="29">
        <f t="shared" si="19"/>
        <v>137863</v>
      </c>
      <c r="H86" s="29">
        <f t="shared" si="19"/>
        <v>80813</v>
      </c>
      <c r="I86" s="29">
        <f t="shared" si="19"/>
        <v>6788</v>
      </c>
      <c r="J86" s="29">
        <f t="shared" si="19"/>
        <v>50262</v>
      </c>
      <c r="K86" s="29">
        <f t="shared" si="19"/>
        <v>3196</v>
      </c>
      <c r="L86" s="29">
        <f t="shared" si="19"/>
        <v>4</v>
      </c>
      <c r="M86" s="29">
        <f t="shared" si="19"/>
        <v>6041</v>
      </c>
      <c r="N86" s="29">
        <f t="shared" si="19"/>
        <v>9736</v>
      </c>
      <c r="O86" s="29">
        <f t="shared" si="19"/>
        <v>9736</v>
      </c>
    </row>
    <row r="87" spans="1:15" ht="12.75" customHeight="1">
      <c r="A87" s="4" t="s">
        <v>161</v>
      </c>
      <c r="B87" s="5" t="s">
        <v>162</v>
      </c>
      <c r="C87" s="28">
        <v>16262</v>
      </c>
      <c r="D87" s="28">
        <v>14115</v>
      </c>
      <c r="E87" s="28">
        <v>0</v>
      </c>
      <c r="F87" s="28">
        <f>SUM(C87-D87-E87)</f>
        <v>2147</v>
      </c>
      <c r="G87" s="28">
        <v>64899</v>
      </c>
      <c r="H87" s="28">
        <v>39144</v>
      </c>
      <c r="I87" s="28">
        <v>0</v>
      </c>
      <c r="J87" s="28">
        <f>SUM(G87-H87-I87)</f>
        <v>25755</v>
      </c>
      <c r="K87" s="28">
        <v>1639</v>
      </c>
      <c r="L87" s="28">
        <v>142</v>
      </c>
      <c r="M87" s="28">
        <v>3033</v>
      </c>
      <c r="N87" s="28">
        <v>579</v>
      </c>
      <c r="O87" s="28">
        <v>579</v>
      </c>
    </row>
    <row r="88" spans="1:15" ht="12.75" customHeight="1">
      <c r="A88" s="4" t="s">
        <v>163</v>
      </c>
      <c r="B88" s="5" t="s">
        <v>164</v>
      </c>
      <c r="C88" s="28">
        <v>14232</v>
      </c>
      <c r="D88" s="28">
        <v>5967</v>
      </c>
      <c r="E88" s="28">
        <v>327</v>
      </c>
      <c r="F88" s="28">
        <f>SUM(C88-D88-E88)</f>
        <v>7938</v>
      </c>
      <c r="G88" s="28">
        <v>41139</v>
      </c>
      <c r="H88" s="28">
        <v>15685</v>
      </c>
      <c r="I88" s="28">
        <v>3610</v>
      </c>
      <c r="J88" s="28">
        <f>SUM(G88-H88-I88)</f>
        <v>21844</v>
      </c>
      <c r="K88" s="28">
        <v>560</v>
      </c>
      <c r="L88" s="28">
        <v>0</v>
      </c>
      <c r="M88" s="28">
        <v>997</v>
      </c>
      <c r="N88" s="28">
        <v>126</v>
      </c>
      <c r="O88" s="28">
        <v>126</v>
      </c>
    </row>
    <row r="89" spans="1:15" ht="12.75" customHeight="1">
      <c r="A89" s="8"/>
      <c r="B89" s="9" t="s">
        <v>165</v>
      </c>
      <c r="C89" s="29">
        <f t="shared" ref="C89:O89" si="20">SUM(C87:C88)</f>
        <v>30494</v>
      </c>
      <c r="D89" s="29">
        <f t="shared" si="20"/>
        <v>20082</v>
      </c>
      <c r="E89" s="29">
        <f t="shared" si="20"/>
        <v>327</v>
      </c>
      <c r="F89" s="29">
        <f t="shared" si="20"/>
        <v>10085</v>
      </c>
      <c r="G89" s="29">
        <f t="shared" si="20"/>
        <v>106038</v>
      </c>
      <c r="H89" s="29">
        <f t="shared" si="20"/>
        <v>54829</v>
      </c>
      <c r="I89" s="29">
        <f t="shared" si="20"/>
        <v>3610</v>
      </c>
      <c r="J89" s="29">
        <f t="shared" si="20"/>
        <v>47599</v>
      </c>
      <c r="K89" s="29">
        <f t="shared" si="20"/>
        <v>2199</v>
      </c>
      <c r="L89" s="29">
        <f t="shared" si="20"/>
        <v>142</v>
      </c>
      <c r="M89" s="29">
        <f t="shared" si="20"/>
        <v>4030</v>
      </c>
      <c r="N89" s="29">
        <f t="shared" si="20"/>
        <v>705</v>
      </c>
      <c r="O89" s="29">
        <f t="shared" si="20"/>
        <v>705</v>
      </c>
    </row>
    <row r="90" spans="1:15" ht="12.75" customHeight="1">
      <c r="A90" s="4" t="s">
        <v>166</v>
      </c>
      <c r="B90" s="5" t="s">
        <v>167</v>
      </c>
      <c r="C90" s="28">
        <v>12994</v>
      </c>
      <c r="D90" s="28">
        <v>9666</v>
      </c>
      <c r="E90" s="28">
        <v>603</v>
      </c>
      <c r="F90" s="28">
        <f>SUM(C90-D90-E90)</f>
        <v>2725</v>
      </c>
      <c r="G90" s="28">
        <v>56977</v>
      </c>
      <c r="H90" s="28">
        <v>26940</v>
      </c>
      <c r="I90" s="28">
        <v>5791</v>
      </c>
      <c r="J90" s="28">
        <f>SUM(G90-H90-I90)</f>
        <v>24246</v>
      </c>
      <c r="K90" s="28">
        <v>1050</v>
      </c>
      <c r="L90" s="28">
        <v>44</v>
      </c>
      <c r="M90" s="28">
        <v>922</v>
      </c>
      <c r="N90" s="28">
        <v>14</v>
      </c>
      <c r="O90" s="28">
        <v>14</v>
      </c>
    </row>
    <row r="91" spans="1:15" ht="12.75" customHeight="1">
      <c r="A91" s="4" t="s">
        <v>168</v>
      </c>
      <c r="B91" s="5" t="s">
        <v>169</v>
      </c>
      <c r="C91" s="28">
        <v>15839</v>
      </c>
      <c r="D91" s="28">
        <v>13024</v>
      </c>
      <c r="E91" s="28">
        <v>0</v>
      </c>
      <c r="F91" s="28">
        <f>SUM(C91-D91-E91)</f>
        <v>2815</v>
      </c>
      <c r="G91" s="28">
        <v>62376</v>
      </c>
      <c r="H91" s="28">
        <v>32475</v>
      </c>
      <c r="I91" s="28">
        <v>0</v>
      </c>
      <c r="J91" s="28">
        <f>SUM(G91-H91-I91)</f>
        <v>29901</v>
      </c>
      <c r="K91" s="28">
        <v>766</v>
      </c>
      <c r="L91" s="28">
        <v>113</v>
      </c>
      <c r="M91" s="28">
        <v>3370</v>
      </c>
      <c r="N91" s="28">
        <v>376</v>
      </c>
      <c r="O91" s="28">
        <v>376</v>
      </c>
    </row>
    <row r="92" spans="1:15" ht="12.75" customHeight="1">
      <c r="A92" s="4" t="s">
        <v>170</v>
      </c>
      <c r="B92" s="5" t="s">
        <v>171</v>
      </c>
      <c r="C92" s="28">
        <v>3069</v>
      </c>
      <c r="D92" s="28">
        <v>2173</v>
      </c>
      <c r="E92" s="28">
        <v>294</v>
      </c>
      <c r="F92" s="28">
        <f>SUM(C92-D92-E92)</f>
        <v>602</v>
      </c>
      <c r="G92" s="28">
        <v>10873</v>
      </c>
      <c r="H92" s="28">
        <v>5816</v>
      </c>
      <c r="I92" s="28">
        <v>3671</v>
      </c>
      <c r="J92" s="28">
        <f>SUM(G92-H92-I92)</f>
        <v>1386</v>
      </c>
      <c r="K92" s="28">
        <v>413</v>
      </c>
      <c r="L92" s="28">
        <v>0</v>
      </c>
      <c r="M92" s="28">
        <v>275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139820</v>
      </c>
      <c r="D93" s="28">
        <v>113102</v>
      </c>
      <c r="E93" s="28">
        <v>5929</v>
      </c>
      <c r="F93" s="28">
        <f>SUM(C93-D93-E93)</f>
        <v>20789</v>
      </c>
      <c r="G93" s="28">
        <v>390476</v>
      </c>
      <c r="H93" s="28">
        <v>185428</v>
      </c>
      <c r="I93" s="28">
        <v>20699</v>
      </c>
      <c r="J93" s="28">
        <f>SUM(G93-H93-I93)</f>
        <v>184349</v>
      </c>
      <c r="K93" s="28">
        <v>29090</v>
      </c>
      <c r="L93" s="28">
        <v>24</v>
      </c>
      <c r="M93" s="28">
        <v>22018</v>
      </c>
      <c r="N93" s="28">
        <v>10780</v>
      </c>
      <c r="O93" s="28">
        <v>8990</v>
      </c>
    </row>
    <row r="94" spans="1:15" ht="12.75" customHeight="1">
      <c r="A94" s="4" t="s">
        <v>174</v>
      </c>
      <c r="B94" s="5" t="s">
        <v>175</v>
      </c>
      <c r="C94" s="28">
        <v>11609</v>
      </c>
      <c r="D94" s="28">
        <v>4259</v>
      </c>
      <c r="E94" s="28">
        <v>138</v>
      </c>
      <c r="F94" s="28">
        <f>SUM(C94-D94-E94)</f>
        <v>7212</v>
      </c>
      <c r="G94" s="28">
        <v>38367</v>
      </c>
      <c r="H94" s="28">
        <v>12106</v>
      </c>
      <c r="I94" s="28">
        <v>1587</v>
      </c>
      <c r="J94" s="28">
        <f>SUM(G94-H94-I94)</f>
        <v>24674</v>
      </c>
      <c r="K94" s="28">
        <v>2188</v>
      </c>
      <c r="L94" s="28">
        <v>809</v>
      </c>
      <c r="M94" s="28">
        <v>3300</v>
      </c>
      <c r="N94" s="28">
        <v>91</v>
      </c>
      <c r="O94" s="28">
        <v>91</v>
      </c>
    </row>
    <row r="95" spans="1:15" ht="12.75" customHeight="1">
      <c r="A95" s="8"/>
      <c r="B95" s="9" t="s">
        <v>176</v>
      </c>
      <c r="C95" s="29">
        <f t="shared" ref="C95:O95" si="21">SUM(C90:C94)</f>
        <v>183331</v>
      </c>
      <c r="D95" s="29">
        <f t="shared" si="21"/>
        <v>142224</v>
      </c>
      <c r="E95" s="29">
        <f t="shared" si="21"/>
        <v>6964</v>
      </c>
      <c r="F95" s="29">
        <f t="shared" si="21"/>
        <v>34143</v>
      </c>
      <c r="G95" s="29">
        <f t="shared" si="21"/>
        <v>559069</v>
      </c>
      <c r="H95" s="29">
        <f t="shared" si="21"/>
        <v>262765</v>
      </c>
      <c r="I95" s="29">
        <f t="shared" si="21"/>
        <v>31748</v>
      </c>
      <c r="J95" s="29">
        <f t="shared" si="21"/>
        <v>264556</v>
      </c>
      <c r="K95" s="29">
        <f t="shared" si="21"/>
        <v>33507</v>
      </c>
      <c r="L95" s="29">
        <f t="shared" si="21"/>
        <v>990</v>
      </c>
      <c r="M95" s="29">
        <f t="shared" si="21"/>
        <v>29885</v>
      </c>
      <c r="N95" s="29">
        <f t="shared" si="21"/>
        <v>11261</v>
      </c>
      <c r="O95" s="29">
        <f t="shared" si="21"/>
        <v>9471</v>
      </c>
    </row>
    <row r="96" spans="1:15" ht="12.75" customHeight="1">
      <c r="A96" s="4" t="s">
        <v>177</v>
      </c>
      <c r="B96" s="5" t="s">
        <v>178</v>
      </c>
      <c r="C96" s="28">
        <v>2954</v>
      </c>
      <c r="D96" s="28">
        <v>2502</v>
      </c>
      <c r="E96" s="28">
        <v>54</v>
      </c>
      <c r="F96" s="28">
        <f>SUM(C96-D96-E96)</f>
        <v>398</v>
      </c>
      <c r="G96" s="28">
        <v>15463</v>
      </c>
      <c r="H96" s="28">
        <v>9287</v>
      </c>
      <c r="I96" s="28">
        <v>692</v>
      </c>
      <c r="J96" s="28">
        <f>SUM(G96-H96-I96)</f>
        <v>5484</v>
      </c>
      <c r="K96" s="28">
        <v>28</v>
      </c>
      <c r="L96" s="28">
        <v>0</v>
      </c>
      <c r="M96" s="28">
        <v>2737</v>
      </c>
      <c r="N96" s="28">
        <v>66</v>
      </c>
      <c r="O96" s="28">
        <v>66</v>
      </c>
    </row>
    <row r="97" spans="1:15" ht="12.75" customHeight="1">
      <c r="A97" s="4" t="s">
        <v>179</v>
      </c>
      <c r="B97" s="5" t="s">
        <v>180</v>
      </c>
      <c r="C97" s="28">
        <v>1185</v>
      </c>
      <c r="D97" s="28">
        <v>1040</v>
      </c>
      <c r="E97" s="28">
        <v>0</v>
      </c>
      <c r="F97" s="28">
        <f>SUM(C97-D97-E97)</f>
        <v>145</v>
      </c>
      <c r="G97" s="28">
        <v>3957</v>
      </c>
      <c r="H97" s="28">
        <v>3245</v>
      </c>
      <c r="I97" s="28">
        <v>0</v>
      </c>
      <c r="J97" s="28">
        <f>SUM(G97-H97-I97)</f>
        <v>712</v>
      </c>
      <c r="K97" s="28">
        <v>18</v>
      </c>
      <c r="L97" s="28">
        <v>0</v>
      </c>
      <c r="M97" s="28">
        <v>3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4139</v>
      </c>
      <c r="D98" s="29">
        <f t="shared" si="22"/>
        <v>3542</v>
      </c>
      <c r="E98" s="29">
        <f t="shared" si="22"/>
        <v>54</v>
      </c>
      <c r="F98" s="29">
        <f t="shared" si="22"/>
        <v>543</v>
      </c>
      <c r="G98" s="29">
        <f t="shared" si="22"/>
        <v>19420</v>
      </c>
      <c r="H98" s="29">
        <f t="shared" si="22"/>
        <v>12532</v>
      </c>
      <c r="I98" s="29">
        <f t="shared" si="22"/>
        <v>692</v>
      </c>
      <c r="J98" s="29">
        <f t="shared" si="22"/>
        <v>6196</v>
      </c>
      <c r="K98" s="29">
        <f t="shared" si="22"/>
        <v>46</v>
      </c>
      <c r="L98" s="29">
        <f t="shared" si="22"/>
        <v>0</v>
      </c>
      <c r="M98" s="29">
        <f t="shared" si="22"/>
        <v>2740</v>
      </c>
      <c r="N98" s="29">
        <f t="shared" si="22"/>
        <v>66</v>
      </c>
      <c r="O98" s="29">
        <f t="shared" si="22"/>
        <v>66</v>
      </c>
    </row>
    <row r="99" spans="1:15" ht="12.75" customHeight="1">
      <c r="A99" s="4" t="s">
        <v>182</v>
      </c>
      <c r="B99" s="5" t="s">
        <v>183</v>
      </c>
      <c r="C99" s="28">
        <v>8311</v>
      </c>
      <c r="D99" s="28">
        <v>7516</v>
      </c>
      <c r="E99" s="28">
        <v>168</v>
      </c>
      <c r="F99" s="28">
        <f>SUM(C99-D99-E99)</f>
        <v>627</v>
      </c>
      <c r="G99" s="28">
        <v>36246</v>
      </c>
      <c r="H99" s="28">
        <v>22684</v>
      </c>
      <c r="I99" s="28">
        <v>1715</v>
      </c>
      <c r="J99" s="28">
        <f>SUM(G99-H99-I99)</f>
        <v>11847</v>
      </c>
      <c r="K99" s="28">
        <v>238</v>
      </c>
      <c r="L99" s="28">
        <v>0</v>
      </c>
      <c r="M99" s="28">
        <v>1749</v>
      </c>
      <c r="N99" s="28">
        <v>103</v>
      </c>
      <c r="O99" s="28">
        <v>103</v>
      </c>
    </row>
    <row r="100" spans="1:15" ht="12.75" customHeight="1">
      <c r="A100" s="4" t="s">
        <v>184</v>
      </c>
      <c r="B100" s="5" t="s">
        <v>185</v>
      </c>
      <c r="C100" s="28">
        <v>9059</v>
      </c>
      <c r="D100" s="28">
        <v>5274</v>
      </c>
      <c r="E100" s="28">
        <v>329</v>
      </c>
      <c r="F100" s="28">
        <f>SUM(C100-D100-E100)</f>
        <v>3456</v>
      </c>
      <c r="G100" s="28">
        <v>29586</v>
      </c>
      <c r="H100" s="28">
        <v>14343</v>
      </c>
      <c r="I100" s="28">
        <v>2103</v>
      </c>
      <c r="J100" s="28">
        <f>SUM(G100-H100-I100)</f>
        <v>13140</v>
      </c>
      <c r="K100" s="28">
        <v>442</v>
      </c>
      <c r="L100" s="28">
        <v>0</v>
      </c>
      <c r="M100" s="28">
        <v>444</v>
      </c>
      <c r="N100" s="28">
        <v>1087</v>
      </c>
      <c r="O100" s="28">
        <v>1087</v>
      </c>
    </row>
    <row r="101" spans="1:15" ht="12.75" customHeight="1">
      <c r="A101" s="4" t="s">
        <v>186</v>
      </c>
      <c r="B101" s="5" t="s">
        <v>187</v>
      </c>
      <c r="C101" s="28">
        <v>4695</v>
      </c>
      <c r="D101" s="28">
        <v>4171</v>
      </c>
      <c r="E101" s="28">
        <v>0</v>
      </c>
      <c r="F101" s="28">
        <f>SUM(C101-D101-E101)</f>
        <v>524</v>
      </c>
      <c r="G101" s="28">
        <v>16040</v>
      </c>
      <c r="H101" s="28">
        <v>11043</v>
      </c>
      <c r="I101" s="28">
        <v>0</v>
      </c>
      <c r="J101" s="28">
        <f>SUM(G101-H101-I101)</f>
        <v>4997</v>
      </c>
      <c r="K101" s="28">
        <v>101</v>
      </c>
      <c r="L101" s="28">
        <v>0</v>
      </c>
      <c r="M101" s="28">
        <v>518</v>
      </c>
      <c r="N101" s="28">
        <v>82</v>
      </c>
      <c r="O101" s="28">
        <v>82</v>
      </c>
    </row>
    <row r="102" spans="1:15" ht="12.75" customHeight="1">
      <c r="A102" s="4" t="s">
        <v>188</v>
      </c>
      <c r="B102" s="5" t="s">
        <v>189</v>
      </c>
      <c r="C102" s="28">
        <v>7203</v>
      </c>
      <c r="D102" s="28">
        <v>6299</v>
      </c>
      <c r="E102" s="28">
        <v>261</v>
      </c>
      <c r="F102" s="28">
        <f>SUM(C102-D102-E102)</f>
        <v>643</v>
      </c>
      <c r="G102" s="28">
        <v>26307</v>
      </c>
      <c r="H102" s="28">
        <v>15317</v>
      </c>
      <c r="I102" s="28">
        <v>3413</v>
      </c>
      <c r="J102" s="28">
        <f>SUM(G102-H102-I102)</f>
        <v>7577</v>
      </c>
      <c r="K102" s="28">
        <v>706</v>
      </c>
      <c r="L102" s="28">
        <v>0</v>
      </c>
      <c r="M102" s="28">
        <v>1250</v>
      </c>
      <c r="N102" s="28">
        <v>20</v>
      </c>
      <c r="O102" s="28">
        <v>20</v>
      </c>
    </row>
    <row r="103" spans="1:15" ht="12.75" customHeight="1">
      <c r="A103" s="8"/>
      <c r="B103" s="9" t="s">
        <v>190</v>
      </c>
      <c r="C103" s="29">
        <f t="shared" ref="C103:O103" si="23">SUM(C99:C102)</f>
        <v>29268</v>
      </c>
      <c r="D103" s="29">
        <f t="shared" si="23"/>
        <v>23260</v>
      </c>
      <c r="E103" s="29">
        <f t="shared" si="23"/>
        <v>758</v>
      </c>
      <c r="F103" s="29">
        <f t="shared" si="23"/>
        <v>5250</v>
      </c>
      <c r="G103" s="29">
        <f t="shared" si="23"/>
        <v>108179</v>
      </c>
      <c r="H103" s="29">
        <f t="shared" si="23"/>
        <v>63387</v>
      </c>
      <c r="I103" s="29">
        <f t="shared" si="23"/>
        <v>7231</v>
      </c>
      <c r="J103" s="29">
        <f t="shared" si="23"/>
        <v>37561</v>
      </c>
      <c r="K103" s="29">
        <f t="shared" si="23"/>
        <v>1487</v>
      </c>
      <c r="L103" s="29">
        <f t="shared" si="23"/>
        <v>0</v>
      </c>
      <c r="M103" s="29">
        <f t="shared" si="23"/>
        <v>3961</v>
      </c>
      <c r="N103" s="29">
        <f t="shared" si="23"/>
        <v>1292</v>
      </c>
      <c r="O103" s="29">
        <f t="shared" si="23"/>
        <v>1292</v>
      </c>
    </row>
    <row r="104" spans="1:15" ht="12.75" customHeight="1">
      <c r="A104" s="4" t="s">
        <v>191</v>
      </c>
      <c r="B104" s="5" t="s">
        <v>192</v>
      </c>
      <c r="C104" s="28">
        <v>5869</v>
      </c>
      <c r="D104" s="28">
        <v>4694</v>
      </c>
      <c r="E104" s="28">
        <v>152</v>
      </c>
      <c r="F104" s="28">
        <f>SUM(C104-D104-E104)</f>
        <v>1023</v>
      </c>
      <c r="G104" s="28">
        <v>24272</v>
      </c>
      <c r="H104" s="28">
        <v>14592</v>
      </c>
      <c r="I104" s="28">
        <v>1633</v>
      </c>
      <c r="J104" s="28">
        <f>SUM(G104-H104-I104)</f>
        <v>8047</v>
      </c>
      <c r="K104" s="28">
        <v>495</v>
      </c>
      <c r="L104" s="28">
        <v>0</v>
      </c>
      <c r="M104" s="28">
        <v>895</v>
      </c>
      <c r="N104" s="28">
        <v>118</v>
      </c>
      <c r="O104" s="28">
        <v>118</v>
      </c>
    </row>
    <row r="105" spans="1:15" ht="12.75" customHeight="1">
      <c r="A105" s="4" t="s">
        <v>193</v>
      </c>
      <c r="B105" s="5" t="s">
        <v>194</v>
      </c>
      <c r="C105" s="28">
        <v>3989</v>
      </c>
      <c r="D105" s="28">
        <v>2886</v>
      </c>
      <c r="E105" s="28">
        <v>0</v>
      </c>
      <c r="F105" s="28">
        <f>SUM(C105-D105-E105)</f>
        <v>1103</v>
      </c>
      <c r="G105" s="28">
        <v>18226</v>
      </c>
      <c r="H105" s="28">
        <v>8501</v>
      </c>
      <c r="I105" s="28">
        <v>0</v>
      </c>
      <c r="J105" s="28">
        <f>SUM(G105-H105-I105)</f>
        <v>9725</v>
      </c>
      <c r="K105" s="28">
        <v>157</v>
      </c>
      <c r="L105" s="28">
        <v>0</v>
      </c>
      <c r="M105" s="28">
        <v>1280</v>
      </c>
      <c r="N105" s="28">
        <v>26</v>
      </c>
      <c r="O105" s="28">
        <v>26</v>
      </c>
    </row>
    <row r="106" spans="1:15" ht="12.75" customHeight="1">
      <c r="A106" s="4" t="s">
        <v>195</v>
      </c>
      <c r="B106" s="5" t="s">
        <v>196</v>
      </c>
      <c r="C106" s="28">
        <v>19537</v>
      </c>
      <c r="D106" s="28">
        <v>13068</v>
      </c>
      <c r="E106" s="28">
        <v>398</v>
      </c>
      <c r="F106" s="28">
        <f>SUM(C106-D106-E106)</f>
        <v>6071</v>
      </c>
      <c r="G106" s="28">
        <v>95618</v>
      </c>
      <c r="H106" s="28">
        <v>37416</v>
      </c>
      <c r="I106" s="28">
        <v>3028</v>
      </c>
      <c r="J106" s="28">
        <f>SUM(G106-H106-I106)</f>
        <v>55174</v>
      </c>
      <c r="K106" s="28">
        <v>502</v>
      </c>
      <c r="L106" s="28">
        <v>0</v>
      </c>
      <c r="M106" s="28">
        <v>9030</v>
      </c>
      <c r="N106" s="28">
        <v>988</v>
      </c>
      <c r="O106" s="28">
        <v>988</v>
      </c>
    </row>
    <row r="107" spans="1:15" ht="12.75" customHeight="1">
      <c r="A107" s="4" t="s">
        <v>197</v>
      </c>
      <c r="B107" s="5" t="s">
        <v>198</v>
      </c>
      <c r="C107" s="28">
        <v>68461</v>
      </c>
      <c r="D107" s="28">
        <v>42078</v>
      </c>
      <c r="E107" s="28">
        <v>1670</v>
      </c>
      <c r="F107" s="28">
        <f>SUM(C107-D107-E107)</f>
        <v>24713</v>
      </c>
      <c r="G107" s="28">
        <v>187671</v>
      </c>
      <c r="H107" s="28">
        <v>76049</v>
      </c>
      <c r="I107" s="28">
        <v>4755</v>
      </c>
      <c r="J107" s="28">
        <f>SUM(G107-H107-I107)</f>
        <v>106867</v>
      </c>
      <c r="K107" s="28">
        <v>8326</v>
      </c>
      <c r="L107" s="28">
        <v>0</v>
      </c>
      <c r="M107" s="28">
        <v>1399</v>
      </c>
      <c r="N107" s="28">
        <v>4600</v>
      </c>
      <c r="O107" s="28">
        <v>4600</v>
      </c>
    </row>
    <row r="108" spans="1:15" ht="12.75" customHeight="1">
      <c r="A108" s="4" t="s">
        <v>199</v>
      </c>
      <c r="B108" s="5" t="s">
        <v>200</v>
      </c>
      <c r="C108" s="28">
        <v>16712</v>
      </c>
      <c r="D108" s="28">
        <v>11993</v>
      </c>
      <c r="E108" s="28">
        <v>373</v>
      </c>
      <c r="F108" s="28">
        <f>SUM(C108-D108-E108)</f>
        <v>4346</v>
      </c>
      <c r="G108" s="28">
        <v>92622</v>
      </c>
      <c r="H108" s="28">
        <v>37017</v>
      </c>
      <c r="I108" s="28">
        <v>3507</v>
      </c>
      <c r="J108" s="28">
        <f>SUM(G108-H108-I108)</f>
        <v>52098</v>
      </c>
      <c r="K108" s="28">
        <v>1068</v>
      </c>
      <c r="L108" s="28">
        <v>0</v>
      </c>
      <c r="M108" s="28">
        <v>3101</v>
      </c>
      <c r="N108" s="28">
        <v>1443</v>
      </c>
      <c r="O108" s="28">
        <v>1443</v>
      </c>
    </row>
    <row r="109" spans="1:15" ht="12.75" customHeight="1">
      <c r="A109" s="8"/>
      <c r="B109" s="9" t="s">
        <v>201</v>
      </c>
      <c r="C109" s="29">
        <f t="shared" ref="C109:O109" si="24">SUM(C104:C108)</f>
        <v>114568</v>
      </c>
      <c r="D109" s="29">
        <f t="shared" si="24"/>
        <v>74719</v>
      </c>
      <c r="E109" s="29">
        <f t="shared" si="24"/>
        <v>2593</v>
      </c>
      <c r="F109" s="29">
        <f t="shared" si="24"/>
        <v>37256</v>
      </c>
      <c r="G109" s="29">
        <f t="shared" si="24"/>
        <v>418409</v>
      </c>
      <c r="H109" s="29">
        <f t="shared" si="24"/>
        <v>173575</v>
      </c>
      <c r="I109" s="29">
        <f t="shared" si="24"/>
        <v>12923</v>
      </c>
      <c r="J109" s="29">
        <f t="shared" si="24"/>
        <v>231911</v>
      </c>
      <c r="K109" s="29">
        <f t="shared" si="24"/>
        <v>10548</v>
      </c>
      <c r="L109" s="29">
        <f t="shared" si="24"/>
        <v>0</v>
      </c>
      <c r="M109" s="29">
        <f t="shared" si="24"/>
        <v>15705</v>
      </c>
      <c r="N109" s="29">
        <f t="shared" si="24"/>
        <v>7175</v>
      </c>
      <c r="O109" s="29">
        <f t="shared" si="24"/>
        <v>7175</v>
      </c>
    </row>
    <row r="110" spans="1:15" ht="12.75" customHeight="1">
      <c r="A110" s="4" t="s">
        <v>202</v>
      </c>
      <c r="B110" s="5" t="s">
        <v>203</v>
      </c>
      <c r="C110" s="28">
        <v>28209</v>
      </c>
      <c r="D110" s="28">
        <v>24466</v>
      </c>
      <c r="E110" s="28">
        <v>157</v>
      </c>
      <c r="F110" s="28">
        <f t="shared" ref="F110:F115" si="25">SUM(C110-D110-E110)</f>
        <v>3586</v>
      </c>
      <c r="G110" s="28">
        <v>114406</v>
      </c>
      <c r="H110" s="28">
        <v>73654</v>
      </c>
      <c r="I110" s="28">
        <v>2522</v>
      </c>
      <c r="J110" s="28">
        <f t="shared" ref="J110:J115" si="26">SUM(G110-H110-I110)</f>
        <v>38230</v>
      </c>
      <c r="K110" s="28">
        <v>2757</v>
      </c>
      <c r="L110" s="28">
        <v>0</v>
      </c>
      <c r="M110" s="28">
        <v>5411</v>
      </c>
      <c r="N110" s="28">
        <v>854</v>
      </c>
      <c r="O110" s="28">
        <v>854</v>
      </c>
    </row>
    <row r="111" spans="1:15" ht="12.75" customHeight="1">
      <c r="A111" s="4" t="s">
        <v>204</v>
      </c>
      <c r="B111" s="5" t="s">
        <v>205</v>
      </c>
      <c r="C111" s="28">
        <v>2593</v>
      </c>
      <c r="D111" s="28">
        <v>2436</v>
      </c>
      <c r="E111" s="28">
        <v>23</v>
      </c>
      <c r="F111" s="28">
        <f t="shared" si="25"/>
        <v>134</v>
      </c>
      <c r="G111" s="28">
        <v>8677</v>
      </c>
      <c r="H111" s="28">
        <v>6459</v>
      </c>
      <c r="I111" s="28">
        <v>234</v>
      </c>
      <c r="J111" s="28">
        <f t="shared" si="26"/>
        <v>1984</v>
      </c>
      <c r="K111" s="28">
        <v>148</v>
      </c>
      <c r="L111" s="28">
        <v>0</v>
      </c>
      <c r="M111" s="28">
        <v>805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8785</v>
      </c>
      <c r="D112" s="28">
        <v>7464</v>
      </c>
      <c r="E112" s="28">
        <v>0</v>
      </c>
      <c r="F112" s="28">
        <f t="shared" si="25"/>
        <v>1321</v>
      </c>
      <c r="G112" s="28">
        <v>28864</v>
      </c>
      <c r="H112" s="28">
        <v>22639</v>
      </c>
      <c r="I112" s="28">
        <v>0</v>
      </c>
      <c r="J112" s="28">
        <f t="shared" si="26"/>
        <v>6225</v>
      </c>
      <c r="K112" s="28">
        <v>922</v>
      </c>
      <c r="L112" s="28">
        <v>3455</v>
      </c>
      <c r="M112" s="28">
        <v>848</v>
      </c>
      <c r="N112" s="28">
        <v>7624</v>
      </c>
      <c r="O112" s="28">
        <v>7624</v>
      </c>
    </row>
    <row r="113" spans="1:15" ht="12.75" customHeight="1">
      <c r="A113" s="4" t="s">
        <v>208</v>
      </c>
      <c r="B113" s="5" t="s">
        <v>209</v>
      </c>
      <c r="C113" s="28">
        <v>8757</v>
      </c>
      <c r="D113" s="28">
        <v>6279</v>
      </c>
      <c r="E113" s="28">
        <v>200</v>
      </c>
      <c r="F113" s="28">
        <f t="shared" si="25"/>
        <v>2278</v>
      </c>
      <c r="G113" s="28">
        <v>31928</v>
      </c>
      <c r="H113" s="28">
        <v>18815</v>
      </c>
      <c r="I113" s="28">
        <v>1774</v>
      </c>
      <c r="J113" s="28">
        <f t="shared" si="26"/>
        <v>11339</v>
      </c>
      <c r="K113" s="28">
        <v>1197</v>
      </c>
      <c r="L113" s="28">
        <v>0</v>
      </c>
      <c r="M113" s="28">
        <v>3863</v>
      </c>
      <c r="N113" s="28">
        <v>57</v>
      </c>
      <c r="O113" s="28">
        <v>57</v>
      </c>
    </row>
    <row r="114" spans="1:15" ht="12.75" customHeight="1">
      <c r="A114" s="4" t="s">
        <v>210</v>
      </c>
      <c r="B114" s="5" t="s">
        <v>211</v>
      </c>
      <c r="C114" s="28">
        <v>35119</v>
      </c>
      <c r="D114" s="28">
        <v>17217</v>
      </c>
      <c r="E114" s="28">
        <v>0</v>
      </c>
      <c r="F114" s="28">
        <f t="shared" si="25"/>
        <v>17902</v>
      </c>
      <c r="G114" s="28">
        <v>105359</v>
      </c>
      <c r="H114" s="28">
        <v>40950</v>
      </c>
      <c r="I114" s="28">
        <v>0</v>
      </c>
      <c r="J114" s="28">
        <f t="shared" si="26"/>
        <v>64409</v>
      </c>
      <c r="K114" s="28">
        <v>7386</v>
      </c>
      <c r="L114" s="28">
        <v>0</v>
      </c>
      <c r="M114" s="28">
        <v>6197</v>
      </c>
      <c r="N114" s="28">
        <v>2622</v>
      </c>
      <c r="O114" s="28">
        <v>2622</v>
      </c>
    </row>
    <row r="115" spans="1:15" ht="12.75" customHeight="1">
      <c r="A115" s="4" t="s">
        <v>212</v>
      </c>
      <c r="B115" s="5" t="s">
        <v>213</v>
      </c>
      <c r="C115" s="28">
        <v>10902</v>
      </c>
      <c r="D115" s="28">
        <v>10137</v>
      </c>
      <c r="E115" s="28">
        <v>0</v>
      </c>
      <c r="F115" s="28">
        <f t="shared" si="25"/>
        <v>765</v>
      </c>
      <c r="G115" s="28">
        <v>32199</v>
      </c>
      <c r="H115" s="28">
        <v>27629</v>
      </c>
      <c r="I115" s="28">
        <v>0</v>
      </c>
      <c r="J115" s="28">
        <f t="shared" si="26"/>
        <v>4570</v>
      </c>
      <c r="K115" s="28">
        <v>1076</v>
      </c>
      <c r="L115" s="28">
        <v>0</v>
      </c>
      <c r="M115" s="28">
        <v>786</v>
      </c>
      <c r="N115" s="28">
        <v>403</v>
      </c>
      <c r="O115" s="28">
        <v>403</v>
      </c>
    </row>
    <row r="116" spans="1:15" ht="12.75" customHeight="1">
      <c r="A116" s="8"/>
      <c r="B116" s="9" t="s">
        <v>214</v>
      </c>
      <c r="C116" s="29">
        <f t="shared" ref="C116:O116" si="27">SUM(C110:C115)</f>
        <v>94365</v>
      </c>
      <c r="D116" s="29">
        <f t="shared" si="27"/>
        <v>67999</v>
      </c>
      <c r="E116" s="29">
        <f t="shared" si="27"/>
        <v>380</v>
      </c>
      <c r="F116" s="29">
        <f t="shared" si="27"/>
        <v>25986</v>
      </c>
      <c r="G116" s="29">
        <f t="shared" si="27"/>
        <v>321433</v>
      </c>
      <c r="H116" s="29">
        <f t="shared" si="27"/>
        <v>190146</v>
      </c>
      <c r="I116" s="29">
        <f t="shared" si="27"/>
        <v>4530</v>
      </c>
      <c r="J116" s="29">
        <f t="shared" si="27"/>
        <v>126757</v>
      </c>
      <c r="K116" s="29">
        <f t="shared" si="27"/>
        <v>13486</v>
      </c>
      <c r="L116" s="29">
        <f t="shared" si="27"/>
        <v>3455</v>
      </c>
      <c r="M116" s="29">
        <f t="shared" si="27"/>
        <v>17910</v>
      </c>
      <c r="N116" s="29">
        <f t="shared" si="27"/>
        <v>11560</v>
      </c>
      <c r="O116" s="29">
        <f t="shared" si="27"/>
        <v>11560</v>
      </c>
    </row>
    <row r="117" spans="1:15" ht="12.75" customHeight="1">
      <c r="A117" s="4" t="s">
        <v>215</v>
      </c>
      <c r="B117" s="5" t="s">
        <v>216</v>
      </c>
      <c r="C117" s="28">
        <v>3150</v>
      </c>
      <c r="D117" s="28">
        <v>2509</v>
      </c>
      <c r="E117" s="28">
        <v>0</v>
      </c>
      <c r="F117" s="28">
        <f>SUM(C117-D117-E117)</f>
        <v>641</v>
      </c>
      <c r="G117" s="28">
        <v>11719</v>
      </c>
      <c r="H117" s="28">
        <v>8097</v>
      </c>
      <c r="I117" s="28">
        <v>0</v>
      </c>
      <c r="J117" s="28">
        <f>SUM(G117-H117-I117)</f>
        <v>3622</v>
      </c>
      <c r="K117" s="28">
        <v>18</v>
      </c>
      <c r="L117" s="28">
        <v>0</v>
      </c>
      <c r="M117" s="28">
        <v>1551</v>
      </c>
      <c r="N117" s="28">
        <v>27</v>
      </c>
      <c r="O117" s="28">
        <v>27</v>
      </c>
    </row>
    <row r="118" spans="1:15" ht="12.75" customHeight="1">
      <c r="A118" s="4" t="s">
        <v>217</v>
      </c>
      <c r="B118" s="5" t="s">
        <v>218</v>
      </c>
      <c r="C118" s="28">
        <v>7619</v>
      </c>
      <c r="D118" s="28">
        <v>7006</v>
      </c>
      <c r="E118" s="28">
        <v>113</v>
      </c>
      <c r="F118" s="28">
        <f>SUM(C118-D118-E118)</f>
        <v>500</v>
      </c>
      <c r="G118" s="28">
        <v>30679</v>
      </c>
      <c r="H118" s="28">
        <v>19762</v>
      </c>
      <c r="I118" s="28">
        <v>956</v>
      </c>
      <c r="J118" s="28">
        <f>SUM(G118-H118-I118)</f>
        <v>9961</v>
      </c>
      <c r="K118" s="28">
        <v>305</v>
      </c>
      <c r="L118" s="28">
        <v>0</v>
      </c>
      <c r="M118" s="28">
        <v>1378</v>
      </c>
      <c r="N118" s="28">
        <v>544</v>
      </c>
      <c r="O118" s="28">
        <v>544</v>
      </c>
    </row>
    <row r="119" spans="1:15" ht="12.75" customHeight="1">
      <c r="A119" s="8"/>
      <c r="B119" s="9" t="s">
        <v>219</v>
      </c>
      <c r="C119" s="29">
        <f t="shared" ref="C119:O119" si="28">SUM(C117:C118)</f>
        <v>10769</v>
      </c>
      <c r="D119" s="29">
        <f t="shared" si="28"/>
        <v>9515</v>
      </c>
      <c r="E119" s="29">
        <f t="shared" si="28"/>
        <v>113</v>
      </c>
      <c r="F119" s="29">
        <f t="shared" si="28"/>
        <v>1141</v>
      </c>
      <c r="G119" s="29">
        <f t="shared" si="28"/>
        <v>42398</v>
      </c>
      <c r="H119" s="29">
        <f t="shared" si="28"/>
        <v>27859</v>
      </c>
      <c r="I119" s="29">
        <f t="shared" si="28"/>
        <v>956</v>
      </c>
      <c r="J119" s="29">
        <f t="shared" si="28"/>
        <v>13583</v>
      </c>
      <c r="K119" s="29">
        <f t="shared" si="28"/>
        <v>323</v>
      </c>
      <c r="L119" s="29">
        <f t="shared" si="28"/>
        <v>0</v>
      </c>
      <c r="M119" s="29">
        <f t="shared" si="28"/>
        <v>2929</v>
      </c>
      <c r="N119" s="29">
        <f t="shared" si="28"/>
        <v>571</v>
      </c>
      <c r="O119" s="29">
        <f t="shared" si="28"/>
        <v>571</v>
      </c>
    </row>
    <row r="120" spans="1:15" ht="12.75" customHeight="1">
      <c r="A120" s="4" t="s">
        <v>220</v>
      </c>
      <c r="B120" s="5" t="s">
        <v>221</v>
      </c>
      <c r="C120" s="28">
        <v>8736</v>
      </c>
      <c r="D120" s="28">
        <v>8180</v>
      </c>
      <c r="E120" s="28">
        <v>103</v>
      </c>
      <c r="F120" s="28">
        <f>SUM(C120-D120-E120)</f>
        <v>453</v>
      </c>
      <c r="G120" s="28">
        <v>27521</v>
      </c>
      <c r="H120" s="28">
        <v>22201</v>
      </c>
      <c r="I120" s="28">
        <v>1442</v>
      </c>
      <c r="J120" s="28">
        <f>SUM(G120-H120-I120)</f>
        <v>3878</v>
      </c>
      <c r="K120" s="28">
        <v>2157</v>
      </c>
      <c r="L120" s="28">
        <v>0</v>
      </c>
      <c r="M120" s="28">
        <v>918</v>
      </c>
      <c r="N120" s="28">
        <v>939</v>
      </c>
      <c r="O120" s="28">
        <v>939</v>
      </c>
    </row>
    <row r="121" spans="1:15" ht="12.75" customHeight="1">
      <c r="A121" s="4" t="s">
        <v>222</v>
      </c>
      <c r="B121" s="5" t="s">
        <v>223</v>
      </c>
      <c r="C121" s="28">
        <v>14221</v>
      </c>
      <c r="D121" s="28">
        <v>13167</v>
      </c>
      <c r="E121" s="28">
        <v>261</v>
      </c>
      <c r="F121" s="28">
        <f>SUM(C121-D121-E121)</f>
        <v>793</v>
      </c>
      <c r="G121" s="28">
        <v>47066</v>
      </c>
      <c r="H121" s="28">
        <v>36306</v>
      </c>
      <c r="I121" s="28">
        <v>2437</v>
      </c>
      <c r="J121" s="28">
        <f>SUM(G121-H121-I121)</f>
        <v>8323</v>
      </c>
      <c r="K121" s="28">
        <v>310</v>
      </c>
      <c r="L121" s="28">
        <v>1</v>
      </c>
      <c r="M121" s="28">
        <v>1206</v>
      </c>
      <c r="N121" s="28">
        <v>0</v>
      </c>
      <c r="O121" s="28">
        <v>0</v>
      </c>
    </row>
    <row r="122" spans="1:15" ht="12.75" customHeight="1">
      <c r="A122" s="4" t="s">
        <v>224</v>
      </c>
      <c r="B122" s="5" t="s">
        <v>225</v>
      </c>
      <c r="C122" s="28">
        <v>2599</v>
      </c>
      <c r="D122" s="28">
        <v>2155</v>
      </c>
      <c r="E122" s="28">
        <v>0</v>
      </c>
      <c r="F122" s="28">
        <f>SUM(C122-D122-E122)</f>
        <v>444</v>
      </c>
      <c r="G122" s="28">
        <v>8618</v>
      </c>
      <c r="H122" s="28">
        <v>5806</v>
      </c>
      <c r="I122" s="28">
        <v>0</v>
      </c>
      <c r="J122" s="28">
        <f>SUM(G122-H122-I122)</f>
        <v>2812</v>
      </c>
      <c r="K122" s="28">
        <v>97</v>
      </c>
      <c r="L122" s="28">
        <v>0</v>
      </c>
      <c r="M122" s="28">
        <v>2234</v>
      </c>
      <c r="N122" s="28">
        <v>15</v>
      </c>
      <c r="O122" s="28">
        <v>15</v>
      </c>
    </row>
    <row r="123" spans="1:15" ht="12.75" customHeight="1">
      <c r="A123" s="4" t="s">
        <v>226</v>
      </c>
      <c r="B123" s="5" t="s">
        <v>227</v>
      </c>
      <c r="C123" s="28">
        <v>12447</v>
      </c>
      <c r="D123" s="28">
        <v>11411</v>
      </c>
      <c r="E123" s="28">
        <v>118</v>
      </c>
      <c r="F123" s="28">
        <f>SUM(C123-D123-E123)</f>
        <v>918</v>
      </c>
      <c r="G123" s="28">
        <v>34546</v>
      </c>
      <c r="H123" s="28">
        <v>27053</v>
      </c>
      <c r="I123" s="28">
        <v>1093</v>
      </c>
      <c r="J123" s="28">
        <f>SUM(G123-H123-I123)</f>
        <v>6400</v>
      </c>
      <c r="K123" s="28">
        <v>924</v>
      </c>
      <c r="L123" s="28">
        <v>0</v>
      </c>
      <c r="M123" s="28">
        <v>1077</v>
      </c>
      <c r="N123" s="28">
        <v>337</v>
      </c>
      <c r="O123" s="28">
        <v>337</v>
      </c>
    </row>
    <row r="124" spans="1:15" ht="12.75" customHeight="1">
      <c r="A124" s="4" t="s">
        <v>228</v>
      </c>
      <c r="B124" s="5" t="s">
        <v>229</v>
      </c>
      <c r="C124" s="28">
        <v>3182</v>
      </c>
      <c r="D124" s="28">
        <v>3059</v>
      </c>
      <c r="E124" s="28">
        <v>57</v>
      </c>
      <c r="F124" s="28">
        <f>SUM(C124-D124-E124)</f>
        <v>66</v>
      </c>
      <c r="G124" s="28">
        <v>8757</v>
      </c>
      <c r="H124" s="28">
        <v>7069</v>
      </c>
      <c r="I124" s="28">
        <v>602</v>
      </c>
      <c r="J124" s="28">
        <f>SUM(G124-H124-I124)</f>
        <v>1086</v>
      </c>
      <c r="K124" s="28">
        <v>285</v>
      </c>
      <c r="L124" s="28">
        <v>0</v>
      </c>
      <c r="M124" s="28">
        <v>91</v>
      </c>
      <c r="N124" s="28">
        <v>236</v>
      </c>
      <c r="O124" s="28">
        <v>236</v>
      </c>
    </row>
    <row r="125" spans="1:15" ht="12.75" customHeight="1">
      <c r="A125" s="8"/>
      <c r="B125" s="9" t="s">
        <v>230</v>
      </c>
      <c r="C125" s="29">
        <f t="shared" ref="C125:O125" si="29">SUM(C120:C124)</f>
        <v>41185</v>
      </c>
      <c r="D125" s="29">
        <f t="shared" si="29"/>
        <v>37972</v>
      </c>
      <c r="E125" s="29">
        <f t="shared" si="29"/>
        <v>539</v>
      </c>
      <c r="F125" s="29">
        <f t="shared" si="29"/>
        <v>2674</v>
      </c>
      <c r="G125" s="29">
        <f t="shared" si="29"/>
        <v>126508</v>
      </c>
      <c r="H125" s="29">
        <f t="shared" si="29"/>
        <v>98435</v>
      </c>
      <c r="I125" s="29">
        <f t="shared" si="29"/>
        <v>5574</v>
      </c>
      <c r="J125" s="29">
        <f t="shared" si="29"/>
        <v>22499</v>
      </c>
      <c r="K125" s="29">
        <f t="shared" si="29"/>
        <v>3773</v>
      </c>
      <c r="L125" s="29">
        <f t="shared" si="29"/>
        <v>1</v>
      </c>
      <c r="M125" s="29">
        <f t="shared" si="29"/>
        <v>5526</v>
      </c>
      <c r="N125" s="29">
        <f t="shared" si="29"/>
        <v>1527</v>
      </c>
      <c r="O125" s="29">
        <f t="shared" si="29"/>
        <v>1527</v>
      </c>
    </row>
    <row r="126" spans="1:15" ht="12.75" customHeight="1">
      <c r="A126" s="4" t="s">
        <v>231</v>
      </c>
      <c r="B126" s="5" t="s">
        <v>232</v>
      </c>
      <c r="C126" s="28">
        <v>8639</v>
      </c>
      <c r="D126" s="28">
        <v>7276</v>
      </c>
      <c r="E126" s="28">
        <v>0</v>
      </c>
      <c r="F126" s="28">
        <f t="shared" ref="F126:F134" si="30">SUM(C126-D126-E126)</f>
        <v>1363</v>
      </c>
      <c r="G126" s="28">
        <v>22370</v>
      </c>
      <c r="H126" s="28">
        <v>16171</v>
      </c>
      <c r="I126" s="28">
        <v>0</v>
      </c>
      <c r="J126" s="28">
        <f t="shared" ref="J126:J134" si="31">SUM(G126-H126-I126)</f>
        <v>6199</v>
      </c>
      <c r="K126" s="28">
        <v>193</v>
      </c>
      <c r="L126" s="28">
        <v>59</v>
      </c>
      <c r="M126" s="28">
        <v>1882</v>
      </c>
      <c r="N126" s="28">
        <v>2730</v>
      </c>
      <c r="O126" s="28">
        <v>2730</v>
      </c>
    </row>
    <row r="127" spans="1:15" ht="12.75" customHeight="1">
      <c r="A127" s="4" t="s">
        <v>233</v>
      </c>
      <c r="B127" s="5" t="s">
        <v>234</v>
      </c>
      <c r="C127" s="28">
        <v>5270</v>
      </c>
      <c r="D127" s="28">
        <v>4436</v>
      </c>
      <c r="E127" s="28">
        <v>0</v>
      </c>
      <c r="F127" s="28">
        <f t="shared" si="30"/>
        <v>834</v>
      </c>
      <c r="G127" s="28">
        <v>14596</v>
      </c>
      <c r="H127" s="28">
        <v>11886</v>
      </c>
      <c r="I127" s="28">
        <v>0</v>
      </c>
      <c r="J127" s="28">
        <f t="shared" si="31"/>
        <v>2710</v>
      </c>
      <c r="K127" s="28">
        <v>194</v>
      </c>
      <c r="L127" s="28">
        <v>0</v>
      </c>
      <c r="M127" s="28">
        <v>474</v>
      </c>
      <c r="N127" s="28">
        <v>186</v>
      </c>
      <c r="O127" s="28">
        <v>186</v>
      </c>
    </row>
    <row r="128" spans="1:15" ht="12.75" customHeight="1">
      <c r="A128" s="4" t="s">
        <v>235</v>
      </c>
      <c r="B128" s="5" t="s">
        <v>236</v>
      </c>
      <c r="C128" s="28">
        <v>39591</v>
      </c>
      <c r="D128" s="28">
        <v>26682</v>
      </c>
      <c r="E128" s="28">
        <v>478</v>
      </c>
      <c r="F128" s="28">
        <f t="shared" si="30"/>
        <v>12431</v>
      </c>
      <c r="G128" s="28">
        <v>108134</v>
      </c>
      <c r="H128" s="28">
        <v>55566</v>
      </c>
      <c r="I128" s="28">
        <v>2599</v>
      </c>
      <c r="J128" s="28">
        <f t="shared" si="31"/>
        <v>49969</v>
      </c>
      <c r="K128" s="28">
        <v>3415</v>
      </c>
      <c r="L128" s="28">
        <v>0</v>
      </c>
      <c r="M128" s="28">
        <v>3383</v>
      </c>
      <c r="N128" s="28">
        <v>755</v>
      </c>
      <c r="O128" s="28">
        <v>755</v>
      </c>
    </row>
    <row r="129" spans="1:15" ht="12.75" customHeight="1">
      <c r="A129" s="4" t="s">
        <v>237</v>
      </c>
      <c r="B129" s="5" t="s">
        <v>238</v>
      </c>
      <c r="C129" s="28">
        <v>2764</v>
      </c>
      <c r="D129" s="28">
        <v>2272</v>
      </c>
      <c r="E129" s="28">
        <v>123</v>
      </c>
      <c r="F129" s="28">
        <f t="shared" si="30"/>
        <v>369</v>
      </c>
      <c r="G129" s="28">
        <v>12349</v>
      </c>
      <c r="H129" s="28">
        <v>5810</v>
      </c>
      <c r="I129" s="28">
        <v>1162</v>
      </c>
      <c r="J129" s="28">
        <f t="shared" si="31"/>
        <v>5377</v>
      </c>
      <c r="K129" s="28">
        <v>233</v>
      </c>
      <c r="L129" s="28">
        <v>0</v>
      </c>
      <c r="M129" s="28">
        <v>1414</v>
      </c>
      <c r="N129" s="28">
        <v>54</v>
      </c>
      <c r="O129" s="28">
        <v>54</v>
      </c>
    </row>
    <row r="130" spans="1:15" ht="12.75" customHeight="1">
      <c r="A130" s="4" t="s">
        <v>239</v>
      </c>
      <c r="B130" s="5" t="s">
        <v>240</v>
      </c>
      <c r="C130" s="28">
        <v>17132</v>
      </c>
      <c r="D130" s="28">
        <v>15048</v>
      </c>
      <c r="E130" s="28">
        <v>922</v>
      </c>
      <c r="F130" s="28">
        <f t="shared" si="30"/>
        <v>1162</v>
      </c>
      <c r="G130" s="28">
        <v>42821</v>
      </c>
      <c r="H130" s="28">
        <v>23550</v>
      </c>
      <c r="I130" s="28">
        <v>4537</v>
      </c>
      <c r="J130" s="28">
        <f t="shared" si="31"/>
        <v>14734</v>
      </c>
      <c r="K130" s="28">
        <v>1052</v>
      </c>
      <c r="L130" s="28">
        <v>1152</v>
      </c>
      <c r="M130" s="28">
        <v>142</v>
      </c>
      <c r="N130" s="28">
        <v>252083</v>
      </c>
      <c r="O130" s="28">
        <v>1506</v>
      </c>
    </row>
    <row r="131" spans="1:15" ht="12.75" customHeight="1">
      <c r="A131" s="4" t="s">
        <v>241</v>
      </c>
      <c r="B131" s="5" t="s">
        <v>242</v>
      </c>
      <c r="C131" s="28">
        <v>33267</v>
      </c>
      <c r="D131" s="28">
        <v>28269</v>
      </c>
      <c r="E131" s="28">
        <v>208</v>
      </c>
      <c r="F131" s="28">
        <f t="shared" si="30"/>
        <v>4790</v>
      </c>
      <c r="G131" s="28">
        <v>73588</v>
      </c>
      <c r="H131" s="28">
        <v>42019</v>
      </c>
      <c r="I131" s="28">
        <v>1436</v>
      </c>
      <c r="J131" s="28">
        <f t="shared" si="31"/>
        <v>30133</v>
      </c>
      <c r="K131" s="28">
        <v>2093</v>
      </c>
      <c r="L131" s="28">
        <v>17</v>
      </c>
      <c r="M131" s="28">
        <v>779</v>
      </c>
      <c r="N131" s="28">
        <v>317</v>
      </c>
      <c r="O131" s="28">
        <v>317</v>
      </c>
    </row>
    <row r="132" spans="1:15" ht="12.75" customHeight="1">
      <c r="A132" s="4" t="s">
        <v>243</v>
      </c>
      <c r="B132" s="5" t="s">
        <v>244</v>
      </c>
      <c r="C132" s="28">
        <v>13913</v>
      </c>
      <c r="D132" s="28">
        <v>11531</v>
      </c>
      <c r="E132" s="28">
        <v>0</v>
      </c>
      <c r="F132" s="28">
        <f t="shared" si="30"/>
        <v>2382</v>
      </c>
      <c r="G132" s="28">
        <v>42646</v>
      </c>
      <c r="H132" s="28">
        <v>27722</v>
      </c>
      <c r="I132" s="28">
        <v>0</v>
      </c>
      <c r="J132" s="28">
        <f t="shared" si="31"/>
        <v>14924</v>
      </c>
      <c r="K132" s="28">
        <v>2838</v>
      </c>
      <c r="L132" s="28">
        <v>0</v>
      </c>
      <c r="M132" s="28">
        <v>3437</v>
      </c>
      <c r="N132" s="28">
        <v>124</v>
      </c>
      <c r="O132" s="28">
        <v>124</v>
      </c>
    </row>
    <row r="133" spans="1:15" ht="12.75" customHeight="1">
      <c r="A133" s="4" t="s">
        <v>245</v>
      </c>
      <c r="B133" s="5" t="s">
        <v>246</v>
      </c>
      <c r="C133" s="28">
        <v>10251</v>
      </c>
      <c r="D133" s="28">
        <v>9212</v>
      </c>
      <c r="E133" s="28">
        <v>0</v>
      </c>
      <c r="F133" s="28">
        <f t="shared" si="30"/>
        <v>1039</v>
      </c>
      <c r="G133" s="28">
        <v>28786</v>
      </c>
      <c r="H133" s="28">
        <v>19728</v>
      </c>
      <c r="I133" s="28">
        <v>0</v>
      </c>
      <c r="J133" s="28">
        <f t="shared" si="31"/>
        <v>9058</v>
      </c>
      <c r="K133" s="28">
        <v>850</v>
      </c>
      <c r="L133" s="28">
        <v>137</v>
      </c>
      <c r="M133" s="28">
        <v>2254</v>
      </c>
      <c r="N133" s="28">
        <v>4325</v>
      </c>
      <c r="O133" s="28">
        <v>4325</v>
      </c>
    </row>
    <row r="134" spans="1:15" ht="12.75" customHeight="1">
      <c r="A134" s="4" t="s">
        <v>247</v>
      </c>
      <c r="B134" s="5" t="s">
        <v>248</v>
      </c>
      <c r="C134" s="28">
        <v>9318</v>
      </c>
      <c r="D134" s="28">
        <v>6793</v>
      </c>
      <c r="E134" s="28">
        <v>0</v>
      </c>
      <c r="F134" s="28">
        <f t="shared" si="30"/>
        <v>2525</v>
      </c>
      <c r="G134" s="28">
        <v>36587</v>
      </c>
      <c r="H134" s="28">
        <v>13091</v>
      </c>
      <c r="I134" s="28">
        <v>0</v>
      </c>
      <c r="J134" s="28">
        <f t="shared" si="31"/>
        <v>23496</v>
      </c>
      <c r="K134" s="28">
        <v>157</v>
      </c>
      <c r="L134" s="28">
        <v>0</v>
      </c>
      <c r="M134" s="28">
        <v>1798</v>
      </c>
      <c r="N134" s="28">
        <v>30</v>
      </c>
      <c r="O134" s="28">
        <v>30</v>
      </c>
    </row>
    <row r="135" spans="1:15" ht="12.75" customHeight="1">
      <c r="A135" s="10"/>
      <c r="B135" s="9" t="s">
        <v>249</v>
      </c>
      <c r="C135" s="29">
        <f t="shared" ref="C135:O135" si="32">SUM(C126:C134)</f>
        <v>140145</v>
      </c>
      <c r="D135" s="29">
        <f t="shared" si="32"/>
        <v>111519</v>
      </c>
      <c r="E135" s="29">
        <f t="shared" si="32"/>
        <v>1731</v>
      </c>
      <c r="F135" s="29">
        <f t="shared" si="32"/>
        <v>26895</v>
      </c>
      <c r="G135" s="29">
        <f t="shared" si="32"/>
        <v>381877</v>
      </c>
      <c r="H135" s="29">
        <f t="shared" si="32"/>
        <v>215543</v>
      </c>
      <c r="I135" s="29">
        <f t="shared" si="32"/>
        <v>9734</v>
      </c>
      <c r="J135" s="29">
        <f t="shared" si="32"/>
        <v>156600</v>
      </c>
      <c r="K135" s="29">
        <f t="shared" si="32"/>
        <v>11025</v>
      </c>
      <c r="L135" s="29">
        <f t="shared" si="32"/>
        <v>1365</v>
      </c>
      <c r="M135" s="29">
        <f t="shared" si="32"/>
        <v>15563</v>
      </c>
      <c r="N135" s="29">
        <f t="shared" si="32"/>
        <v>260604</v>
      </c>
      <c r="O135" s="29">
        <f t="shared" si="32"/>
        <v>10027</v>
      </c>
    </row>
    <row r="136" spans="1:15" ht="12.75" customHeight="1">
      <c r="A136" s="4" t="s">
        <v>250</v>
      </c>
      <c r="B136" s="5" t="s">
        <v>251</v>
      </c>
      <c r="C136" s="28">
        <v>21312</v>
      </c>
      <c r="D136" s="28">
        <v>19940</v>
      </c>
      <c r="E136" s="28">
        <v>0</v>
      </c>
      <c r="F136" s="28">
        <f t="shared" ref="F136:F143" si="33">SUM(C136-D136-E136)</f>
        <v>1372</v>
      </c>
      <c r="G136" s="28">
        <v>46647</v>
      </c>
      <c r="H136" s="28">
        <v>38049</v>
      </c>
      <c r="I136" s="28">
        <v>0</v>
      </c>
      <c r="J136" s="28">
        <f t="shared" ref="J136:J143" si="34">SUM(G136-H136-I136)</f>
        <v>8598</v>
      </c>
      <c r="K136" s="28">
        <v>9917</v>
      </c>
      <c r="L136" s="28">
        <v>1945</v>
      </c>
      <c r="M136" s="28">
        <v>2023</v>
      </c>
      <c r="N136" s="28">
        <v>8974</v>
      </c>
      <c r="O136" s="28">
        <v>7549</v>
      </c>
    </row>
    <row r="137" spans="1:15" ht="12.75" customHeight="1">
      <c r="A137" s="4" t="s">
        <v>252</v>
      </c>
      <c r="B137" s="5" t="s">
        <v>253</v>
      </c>
      <c r="C137" s="28">
        <v>1738</v>
      </c>
      <c r="D137" s="28">
        <v>1419</v>
      </c>
      <c r="E137" s="28">
        <v>0</v>
      </c>
      <c r="F137" s="28">
        <f t="shared" si="33"/>
        <v>319</v>
      </c>
      <c r="G137" s="28">
        <v>3382</v>
      </c>
      <c r="H137" s="28">
        <v>2785</v>
      </c>
      <c r="I137" s="28">
        <v>0</v>
      </c>
      <c r="J137" s="28">
        <f t="shared" si="34"/>
        <v>597</v>
      </c>
      <c r="K137" s="28">
        <v>241</v>
      </c>
      <c r="L137" s="28">
        <v>0</v>
      </c>
      <c r="M137" s="28">
        <v>0</v>
      </c>
      <c r="N137" s="28">
        <v>7</v>
      </c>
      <c r="O137" s="28">
        <v>7</v>
      </c>
    </row>
    <row r="138" spans="1:15" ht="12.75" customHeight="1">
      <c r="A138" s="4" t="s">
        <v>254</v>
      </c>
      <c r="B138" s="5" t="s">
        <v>255</v>
      </c>
      <c r="C138" s="28">
        <v>1145</v>
      </c>
      <c r="D138" s="28">
        <v>1090</v>
      </c>
      <c r="E138" s="28">
        <v>0</v>
      </c>
      <c r="F138" s="28">
        <f t="shared" si="33"/>
        <v>55</v>
      </c>
      <c r="G138" s="28">
        <v>2566</v>
      </c>
      <c r="H138" s="28">
        <v>2460</v>
      </c>
      <c r="I138" s="28">
        <v>0</v>
      </c>
      <c r="J138" s="28">
        <f t="shared" si="34"/>
        <v>106</v>
      </c>
      <c r="K138" s="28">
        <v>61</v>
      </c>
      <c r="L138" s="28">
        <v>0</v>
      </c>
      <c r="M138" s="28">
        <v>59</v>
      </c>
      <c r="N138" s="28">
        <v>326</v>
      </c>
      <c r="O138" s="28">
        <v>51</v>
      </c>
    </row>
    <row r="139" spans="1:15" ht="12.75" customHeight="1">
      <c r="A139" s="4" t="s">
        <v>256</v>
      </c>
      <c r="B139" s="5" t="s">
        <v>257</v>
      </c>
      <c r="C139" s="28">
        <v>4905</v>
      </c>
      <c r="D139" s="28">
        <v>4672</v>
      </c>
      <c r="E139" s="28">
        <v>0</v>
      </c>
      <c r="F139" s="28">
        <f t="shared" si="33"/>
        <v>233</v>
      </c>
      <c r="G139" s="28">
        <v>13588</v>
      </c>
      <c r="H139" s="28">
        <v>12056</v>
      </c>
      <c r="I139" s="28">
        <v>0</v>
      </c>
      <c r="J139" s="28">
        <f t="shared" si="34"/>
        <v>1532</v>
      </c>
      <c r="K139" s="28">
        <v>5948</v>
      </c>
      <c r="L139" s="28">
        <v>0</v>
      </c>
      <c r="M139" s="28">
        <v>1947</v>
      </c>
      <c r="N139" s="28">
        <v>454</v>
      </c>
      <c r="O139" s="28">
        <v>434</v>
      </c>
    </row>
    <row r="140" spans="1:15" ht="12.75" customHeight="1">
      <c r="A140" s="4" t="s">
        <v>258</v>
      </c>
      <c r="B140" s="5" t="s">
        <v>259</v>
      </c>
      <c r="C140" s="28">
        <v>644</v>
      </c>
      <c r="D140" s="28">
        <v>532</v>
      </c>
      <c r="E140" s="28">
        <v>0</v>
      </c>
      <c r="F140" s="28">
        <f t="shared" si="33"/>
        <v>112</v>
      </c>
      <c r="G140" s="28">
        <v>1414</v>
      </c>
      <c r="H140" s="28">
        <v>1092</v>
      </c>
      <c r="I140" s="28">
        <v>0</v>
      </c>
      <c r="J140" s="28">
        <f t="shared" si="34"/>
        <v>322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2743</v>
      </c>
      <c r="D141" s="28">
        <v>2508</v>
      </c>
      <c r="E141" s="28">
        <v>0</v>
      </c>
      <c r="F141" s="28">
        <f t="shared" si="33"/>
        <v>235</v>
      </c>
      <c r="G141" s="28">
        <v>6577</v>
      </c>
      <c r="H141" s="28">
        <v>4662</v>
      </c>
      <c r="I141" s="28">
        <v>0</v>
      </c>
      <c r="J141" s="28">
        <f t="shared" si="34"/>
        <v>1915</v>
      </c>
      <c r="K141" s="28">
        <v>2036</v>
      </c>
      <c r="L141" s="28">
        <v>0</v>
      </c>
      <c r="M141" s="28">
        <v>349</v>
      </c>
      <c r="N141" s="28">
        <v>250</v>
      </c>
      <c r="O141" s="28">
        <v>250</v>
      </c>
    </row>
    <row r="142" spans="1:15" ht="12.75" customHeight="1">
      <c r="A142" s="4" t="s">
        <v>262</v>
      </c>
      <c r="B142" s="5" t="s">
        <v>263</v>
      </c>
      <c r="C142" s="28">
        <v>4846</v>
      </c>
      <c r="D142" s="28">
        <v>3366</v>
      </c>
      <c r="E142" s="28">
        <v>0</v>
      </c>
      <c r="F142" s="28">
        <f t="shared" si="33"/>
        <v>1480</v>
      </c>
      <c r="G142" s="28">
        <v>14893</v>
      </c>
      <c r="H142" s="28">
        <v>10530</v>
      </c>
      <c r="I142" s="28">
        <v>0</v>
      </c>
      <c r="J142" s="28">
        <f t="shared" si="34"/>
        <v>4363</v>
      </c>
      <c r="K142" s="28">
        <v>5082</v>
      </c>
      <c r="L142" s="28">
        <v>0</v>
      </c>
      <c r="M142" s="28">
        <v>2255</v>
      </c>
      <c r="N142" s="28">
        <v>1715</v>
      </c>
      <c r="O142" s="28">
        <v>1567</v>
      </c>
    </row>
    <row r="143" spans="1:15" ht="12.75" customHeight="1">
      <c r="A143" s="4" t="s">
        <v>264</v>
      </c>
      <c r="B143" s="5" t="s">
        <v>265</v>
      </c>
      <c r="C143" s="28">
        <v>13583</v>
      </c>
      <c r="D143" s="28">
        <v>11673</v>
      </c>
      <c r="E143" s="28">
        <v>0</v>
      </c>
      <c r="F143" s="28">
        <f t="shared" si="33"/>
        <v>1910</v>
      </c>
      <c r="G143" s="28">
        <v>39944</v>
      </c>
      <c r="H143" s="28">
        <v>19848</v>
      </c>
      <c r="I143" s="28">
        <v>0</v>
      </c>
      <c r="J143" s="28">
        <f t="shared" si="34"/>
        <v>20096</v>
      </c>
      <c r="K143" s="28">
        <v>20108</v>
      </c>
      <c r="L143" s="28">
        <v>0</v>
      </c>
      <c r="M143" s="28">
        <v>2707</v>
      </c>
      <c r="N143" s="28">
        <v>4101</v>
      </c>
      <c r="O143" s="28">
        <v>3772</v>
      </c>
    </row>
    <row r="144" spans="1:15" ht="12.75" customHeight="1">
      <c r="A144" s="10"/>
      <c r="B144" s="9" t="s">
        <v>266</v>
      </c>
      <c r="C144" s="30">
        <f t="shared" ref="C144:O144" si="35">SUM(C136:C143)</f>
        <v>50916</v>
      </c>
      <c r="D144" s="30">
        <f t="shared" si="35"/>
        <v>45200</v>
      </c>
      <c r="E144" s="30">
        <f t="shared" si="35"/>
        <v>0</v>
      </c>
      <c r="F144" s="30">
        <f t="shared" si="35"/>
        <v>5716</v>
      </c>
      <c r="G144" s="30">
        <f t="shared" si="35"/>
        <v>129011</v>
      </c>
      <c r="H144" s="30">
        <f t="shared" si="35"/>
        <v>91482</v>
      </c>
      <c r="I144" s="30">
        <f t="shared" si="35"/>
        <v>0</v>
      </c>
      <c r="J144" s="30">
        <f t="shared" si="35"/>
        <v>37529</v>
      </c>
      <c r="K144" s="30">
        <f t="shared" si="35"/>
        <v>43393</v>
      </c>
      <c r="L144" s="30">
        <f t="shared" si="35"/>
        <v>1945</v>
      </c>
      <c r="M144" s="30">
        <f t="shared" si="35"/>
        <v>9340</v>
      </c>
      <c r="N144" s="30">
        <f t="shared" si="35"/>
        <v>15827</v>
      </c>
      <c r="O144" s="30">
        <f t="shared" si="35"/>
        <v>13630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1765619</v>
      </c>
      <c r="D145" s="31">
        <f t="shared" si="36"/>
        <v>1327058</v>
      </c>
      <c r="E145" s="31">
        <f t="shared" si="36"/>
        <v>39716</v>
      </c>
      <c r="F145" s="31">
        <f t="shared" si="36"/>
        <v>398845</v>
      </c>
      <c r="G145" s="31">
        <f t="shared" si="36"/>
        <v>5438245</v>
      </c>
      <c r="H145" s="31">
        <f t="shared" si="36"/>
        <v>2793034</v>
      </c>
      <c r="I145" s="31">
        <f t="shared" si="36"/>
        <v>243347</v>
      </c>
      <c r="J145" s="31">
        <f t="shared" si="36"/>
        <v>2401864</v>
      </c>
      <c r="K145" s="31">
        <f t="shared" si="36"/>
        <v>442670</v>
      </c>
      <c r="L145" s="31">
        <f t="shared" si="36"/>
        <v>12222</v>
      </c>
      <c r="M145" s="31">
        <f t="shared" si="36"/>
        <v>301238</v>
      </c>
      <c r="N145" s="31">
        <f t="shared" si="36"/>
        <v>508246</v>
      </c>
      <c r="O145" s="31">
        <f t="shared" si="36"/>
        <v>156005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2015-08-06T10:28:08Z</dcterms:modified>
</cp:coreProperties>
</file>