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l="1"/>
  <c r="P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<sst xmlns="http://schemas.openxmlformats.org/spreadsheetml/2006/main" count="182" uniqueCount="91">
  <si>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</si>
  <si>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</si>
  <si>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</si>
  <si>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</si>
  <si>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</si>
  <si>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</si>
  <si>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</si>
  <si>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febbraio 2015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</si>
  <si>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</si>
  <si>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</si>
  <si>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</si>
  <si>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</si>
  <si>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</si>
  <si>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</si>
  <si>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</si>
  <si>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</si>
  <si>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</si>
  <si>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</si>
  <si>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</si>
  <si>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</si>
  <si>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</si>
  <si>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</si>
  <si>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</si>
  <si>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</si>
  <si>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</si>
  <si>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</si>
  <si>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</si>
  <si>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</si>
  <si>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</si>
  <si>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</si>
  <si>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</si>
  <si>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</si>
  <si>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</si>
  <si>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</si>
  <si>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</si>
  <si>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</si>
  <si>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</si>
  <si>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</si>
  <si>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</si>
  <si>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</si>
  <si>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</si>
  <si>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</si>
  <si>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</si>
  <si>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</si>
  <si>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</si>
  <si>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</si>
  <si>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</si>
  <si>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</si>
  <si>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</si>
  <si>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</si>
  <si>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</si>
  <si>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</si>
  <si>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</si>
  <si>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</si>
  <si>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</si>
  <si>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</si>
  <si>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</si>
  <si>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</si>
  <si>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</si>
  <si>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</si>
  <si>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</si>
  <si>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</si>
  <si>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</si>
  <si>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</si>
  <si>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</si>
  <si>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</si>
  <si>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</si>
  <si>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</si>
  <si>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</si>
  <si>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</si>
  <si>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</si>
  <si>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</si>
  <si>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</si>
  <si>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</si>
  <si>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</si>
  <si>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</si>
  <si>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</si>
  <si>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</si>
  <si>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</si>
  <si>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</si>
  <si>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</si>
  <si>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</si>
  <si>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</si>
  <si>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</si>
  <si>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</si>
  <si>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</si>
  <si>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</si>
  <si>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</si>
  <si>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</si>
  <si>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</si>
  <si>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gennaio-febbraio 2015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</si>
</sst>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tabSelected="1" zoomScale="85" workbookViewId="0">
      <selection activeCell="D10" sqref="D10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109864</v>
      </c>
      <c r="E10" s="29">
        <v>2005</v>
      </c>
      <c r="F10" s="29">
        <v>0</v>
      </c>
      <c r="G10" s="29">
        <v>0</v>
      </c>
      <c r="H10" s="29">
        <v>0</v>
      </c>
      <c r="I10" s="29">
        <v>0</v>
      </c>
      <c r="J10" s="29">
        <v>7610</v>
      </c>
      <c r="K10" s="29">
        <v>529</v>
      </c>
      <c r="L10" s="29">
        <v>73250</v>
      </c>
      <c r="M10" s="29">
        <v>987</v>
      </c>
      <c r="N10" s="30">
        <f t="shared" ref="N10:N42" si="0">SUM(C10:M10)</f>
        <v>194245</v>
      </c>
      <c r="O10" s="29">
        <v>0</v>
      </c>
      <c r="P10" s="30">
        <f t="shared" ref="P10:P42" si="1">SUM(N10:O10)</f>
        <v>194245</v>
      </c>
    </row>
    <row r="11" spans="1:16" ht="15" customHeight="1">
      <c r="A11" s="11" t="s">
        <v>26</v>
      </c>
      <c r="B11" s="12" t="s">
        <v>27</v>
      </c>
      <c r="C11" s="29">
        <v>59133</v>
      </c>
      <c r="D11" s="29">
        <v>5876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55361</v>
      </c>
      <c r="M11" s="29">
        <v>594</v>
      </c>
      <c r="N11" s="30">
        <f t="shared" si="0"/>
        <v>120964</v>
      </c>
      <c r="O11" s="29">
        <v>0</v>
      </c>
      <c r="P11" s="30">
        <f t="shared" si="1"/>
        <v>120964</v>
      </c>
    </row>
    <row r="12" spans="1:16" ht="15" customHeight="1">
      <c r="A12" s="11" t="s">
        <v>28</v>
      </c>
      <c r="B12" s="12" t="s">
        <v>29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>
        <f t="shared" si="0"/>
        <v>0</v>
      </c>
      <c r="O12" s="29"/>
      <c r="P12" s="30">
        <f t="shared" si="1"/>
        <v>0</v>
      </c>
    </row>
    <row r="13" spans="1:16" ht="15" customHeight="1">
      <c r="A13" s="11" t="s">
        <v>30</v>
      </c>
      <c r="B13" s="12" t="s">
        <v>31</v>
      </c>
      <c r="C13" s="29">
        <v>421372</v>
      </c>
      <c r="D13" s="29">
        <v>16917</v>
      </c>
      <c r="E13" s="29">
        <v>150</v>
      </c>
      <c r="F13" s="29">
        <v>0</v>
      </c>
      <c r="G13" s="29">
        <v>0</v>
      </c>
      <c r="H13" s="29">
        <v>0</v>
      </c>
      <c r="I13" s="29">
        <v>0</v>
      </c>
      <c r="J13" s="29">
        <v>1212</v>
      </c>
      <c r="K13" s="29">
        <v>37</v>
      </c>
      <c r="L13" s="29">
        <v>106652</v>
      </c>
      <c r="M13" s="29">
        <v>2839</v>
      </c>
      <c r="N13" s="30">
        <f t="shared" si="0"/>
        <v>549179</v>
      </c>
      <c r="O13" s="29">
        <v>0</v>
      </c>
      <c r="P13" s="30">
        <f t="shared" si="1"/>
        <v>549179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54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54</v>
      </c>
      <c r="O14" s="29">
        <v>0</v>
      </c>
      <c r="P14" s="30">
        <f t="shared" si="1"/>
        <v>54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58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58</v>
      </c>
      <c r="O15" s="29">
        <v>0</v>
      </c>
      <c r="P15" s="30">
        <f t="shared" si="1"/>
        <v>58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67</v>
      </c>
      <c r="F16" s="29">
        <v>0</v>
      </c>
      <c r="G16" s="29">
        <v>0</v>
      </c>
      <c r="H16" s="29">
        <v>0</v>
      </c>
      <c r="I16" s="29">
        <v>0</v>
      </c>
      <c r="J16" s="29">
        <v>50</v>
      </c>
      <c r="K16" s="29">
        <v>0</v>
      </c>
      <c r="L16" s="29">
        <v>0</v>
      </c>
      <c r="M16" s="29">
        <v>0</v>
      </c>
      <c r="N16" s="30">
        <f t="shared" si="0"/>
        <v>117</v>
      </c>
      <c r="O16" s="29">
        <v>0</v>
      </c>
      <c r="P16" s="30">
        <f t="shared" si="1"/>
        <v>117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10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38</v>
      </c>
      <c r="K17" s="29">
        <v>0</v>
      </c>
      <c r="L17" s="29">
        <v>643</v>
      </c>
      <c r="M17" s="29">
        <v>0</v>
      </c>
      <c r="N17" s="30">
        <f t="shared" si="0"/>
        <v>691</v>
      </c>
      <c r="O17" s="29">
        <v>0</v>
      </c>
      <c r="P17" s="30">
        <f t="shared" si="1"/>
        <v>691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234669</v>
      </c>
      <c r="I18" s="29">
        <v>0</v>
      </c>
      <c r="J18" s="29">
        <v>0</v>
      </c>
      <c r="K18" s="29">
        <v>1501</v>
      </c>
      <c r="L18" s="29">
        <v>0</v>
      </c>
      <c r="M18" s="29">
        <v>0</v>
      </c>
      <c r="N18" s="30">
        <f t="shared" si="0"/>
        <v>236170</v>
      </c>
      <c r="O18" s="29">
        <v>0</v>
      </c>
      <c r="P18" s="30">
        <f t="shared" si="1"/>
        <v>236170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7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30">
        <f t="shared" si="0"/>
        <v>7</v>
      </c>
      <c r="O19" s="29">
        <v>0</v>
      </c>
      <c r="P19" s="30">
        <f t="shared" si="1"/>
        <v>7</v>
      </c>
    </row>
    <row r="20" spans="1:16" ht="15" customHeight="1">
      <c r="A20" s="11" t="s">
        <v>44</v>
      </c>
      <c r="B20" s="12" t="s">
        <v>45</v>
      </c>
      <c r="C20" s="29">
        <v>952113</v>
      </c>
      <c r="D20" s="29">
        <v>83471</v>
      </c>
      <c r="E20" s="29">
        <v>109269</v>
      </c>
      <c r="F20" s="29">
        <v>3497</v>
      </c>
      <c r="G20" s="29">
        <v>17424</v>
      </c>
      <c r="H20" s="29">
        <v>0</v>
      </c>
      <c r="I20" s="29">
        <v>1468</v>
      </c>
      <c r="J20" s="29">
        <v>6859</v>
      </c>
      <c r="K20" s="29">
        <v>1792</v>
      </c>
      <c r="L20" s="29">
        <v>633969</v>
      </c>
      <c r="M20" s="29">
        <v>48730</v>
      </c>
      <c r="N20" s="30">
        <f t="shared" si="0"/>
        <v>1858592</v>
      </c>
      <c r="O20" s="29">
        <v>28937</v>
      </c>
      <c r="P20" s="30">
        <f t="shared" si="1"/>
        <v>1887529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17949</v>
      </c>
      <c r="E21" s="29">
        <v>34</v>
      </c>
      <c r="F21" s="29">
        <v>49</v>
      </c>
      <c r="G21" s="29">
        <v>0</v>
      </c>
      <c r="H21" s="29">
        <v>0</v>
      </c>
      <c r="I21" s="29">
        <v>520</v>
      </c>
      <c r="J21" s="29">
        <v>599</v>
      </c>
      <c r="K21" s="29">
        <v>5304</v>
      </c>
      <c r="L21" s="29">
        <v>144004</v>
      </c>
      <c r="M21" s="29">
        <v>3276</v>
      </c>
      <c r="N21" s="30">
        <f t="shared" si="0"/>
        <v>171735</v>
      </c>
      <c r="O21" s="29">
        <v>4571</v>
      </c>
      <c r="P21" s="30">
        <f t="shared" si="1"/>
        <v>176306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3804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3804</v>
      </c>
      <c r="O22" s="29">
        <v>0</v>
      </c>
      <c r="P22" s="30">
        <f t="shared" si="1"/>
        <v>3804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28</v>
      </c>
      <c r="E23" s="29">
        <v>0</v>
      </c>
      <c r="F23" s="29">
        <v>0</v>
      </c>
      <c r="G23" s="29">
        <v>0</v>
      </c>
      <c r="H23" s="29">
        <v>0</v>
      </c>
      <c r="I23" s="29">
        <v>112920</v>
      </c>
      <c r="J23" s="29">
        <v>0</v>
      </c>
      <c r="K23" s="29">
        <v>0</v>
      </c>
      <c r="L23" s="29">
        <v>3407</v>
      </c>
      <c r="M23" s="29">
        <v>535</v>
      </c>
      <c r="N23" s="30">
        <f t="shared" si="0"/>
        <v>116890</v>
      </c>
      <c r="O23" s="29">
        <v>101027</v>
      </c>
      <c r="P23" s="30">
        <f t="shared" si="1"/>
        <v>217917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3419</v>
      </c>
      <c r="E24" s="29">
        <v>0</v>
      </c>
      <c r="F24" s="29">
        <v>0</v>
      </c>
      <c r="G24" s="29">
        <v>0</v>
      </c>
      <c r="H24" s="29">
        <v>0</v>
      </c>
      <c r="I24" s="29">
        <v>4508</v>
      </c>
      <c r="J24" s="29">
        <v>1258</v>
      </c>
      <c r="K24" s="29">
        <v>0</v>
      </c>
      <c r="L24" s="29">
        <v>29519</v>
      </c>
      <c r="M24" s="29">
        <v>11739</v>
      </c>
      <c r="N24" s="30">
        <f t="shared" si="0"/>
        <v>50443</v>
      </c>
      <c r="O24" s="29">
        <v>43194</v>
      </c>
      <c r="P24" s="30">
        <f t="shared" si="1"/>
        <v>93637</v>
      </c>
    </row>
    <row r="25" spans="1:16" ht="15" customHeight="1">
      <c r="A25" s="11" t="s">
        <v>54</v>
      </c>
      <c r="B25" s="12" t="s">
        <v>55</v>
      </c>
      <c r="C25" s="29">
        <v>78</v>
      </c>
      <c r="D25" s="29">
        <v>6006</v>
      </c>
      <c r="E25" s="29">
        <v>586</v>
      </c>
      <c r="F25" s="29">
        <v>12</v>
      </c>
      <c r="G25" s="29">
        <v>154</v>
      </c>
      <c r="H25" s="29">
        <v>3</v>
      </c>
      <c r="I25" s="29">
        <v>44</v>
      </c>
      <c r="J25" s="29">
        <v>1841</v>
      </c>
      <c r="K25" s="29">
        <v>15</v>
      </c>
      <c r="L25" s="29">
        <v>5453</v>
      </c>
      <c r="M25" s="29">
        <v>445</v>
      </c>
      <c r="N25" s="30">
        <f t="shared" si="0"/>
        <v>14637</v>
      </c>
      <c r="O25" s="29">
        <v>2462</v>
      </c>
      <c r="P25" s="30">
        <f t="shared" si="1"/>
        <v>17099</v>
      </c>
    </row>
    <row r="26" spans="1:16" ht="15" customHeight="1">
      <c r="A26" s="11" t="s">
        <v>56</v>
      </c>
      <c r="B26" s="12" t="s">
        <v>57</v>
      </c>
      <c r="C26" s="29">
        <v>4</v>
      </c>
      <c r="D26" s="29">
        <v>1969</v>
      </c>
      <c r="E26" s="29">
        <v>134</v>
      </c>
      <c r="F26" s="29">
        <v>4</v>
      </c>
      <c r="G26" s="29">
        <v>46</v>
      </c>
      <c r="H26" s="29">
        <v>37</v>
      </c>
      <c r="I26" s="29">
        <v>31</v>
      </c>
      <c r="J26" s="29">
        <v>8387</v>
      </c>
      <c r="K26" s="29">
        <v>2</v>
      </c>
      <c r="L26" s="29">
        <v>2339</v>
      </c>
      <c r="M26" s="29">
        <v>40</v>
      </c>
      <c r="N26" s="30">
        <f t="shared" si="0"/>
        <v>12993</v>
      </c>
      <c r="O26" s="29">
        <v>200</v>
      </c>
      <c r="P26" s="30">
        <f t="shared" si="1"/>
        <v>13193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871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480</v>
      </c>
      <c r="K27" s="29">
        <v>0</v>
      </c>
      <c r="L27" s="29">
        <v>16</v>
      </c>
      <c r="M27" s="29">
        <v>875</v>
      </c>
      <c r="N27" s="30">
        <f t="shared" si="0"/>
        <v>2242</v>
      </c>
      <c r="O27" s="29">
        <v>0</v>
      </c>
      <c r="P27" s="30">
        <f t="shared" si="1"/>
        <v>2242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5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143</v>
      </c>
      <c r="K28" s="29">
        <v>0</v>
      </c>
      <c r="L28" s="29">
        <v>58</v>
      </c>
      <c r="M28" s="29">
        <v>0</v>
      </c>
      <c r="N28" s="30">
        <f t="shared" si="0"/>
        <v>206</v>
      </c>
      <c r="O28" s="29">
        <v>0</v>
      </c>
      <c r="P28" s="30">
        <f t="shared" si="1"/>
        <v>206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535</v>
      </c>
      <c r="K29" s="29">
        <v>0</v>
      </c>
      <c r="L29" s="29">
        <v>58</v>
      </c>
      <c r="M29" s="29">
        <v>6847</v>
      </c>
      <c r="N29" s="30">
        <f t="shared" si="0"/>
        <v>7440</v>
      </c>
      <c r="O29" s="29">
        <v>0</v>
      </c>
      <c r="P29" s="30">
        <f t="shared" si="1"/>
        <v>7440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5890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38128</v>
      </c>
      <c r="K32" s="29">
        <v>0</v>
      </c>
      <c r="L32" s="29">
        <v>27672</v>
      </c>
      <c r="M32" s="29">
        <v>1602</v>
      </c>
      <c r="N32" s="30">
        <f t="shared" si="0"/>
        <v>73292</v>
      </c>
      <c r="O32" s="29">
        <v>0</v>
      </c>
      <c r="P32" s="30">
        <f t="shared" si="1"/>
        <v>73292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9294</v>
      </c>
      <c r="K33" s="29">
        <v>0</v>
      </c>
      <c r="L33" s="29">
        <v>0</v>
      </c>
      <c r="M33" s="29">
        <v>0</v>
      </c>
      <c r="N33" s="30">
        <f t="shared" si="0"/>
        <v>9294</v>
      </c>
      <c r="O33" s="29">
        <v>0</v>
      </c>
      <c r="P33" s="30">
        <f t="shared" si="1"/>
        <v>9294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7</v>
      </c>
      <c r="D35" s="29">
        <v>48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4379</v>
      </c>
      <c r="K35" s="29">
        <v>0</v>
      </c>
      <c r="L35" s="29">
        <v>99</v>
      </c>
      <c r="M35" s="29">
        <v>0</v>
      </c>
      <c r="N35" s="30">
        <f t="shared" si="0"/>
        <v>4533</v>
      </c>
      <c r="O35" s="29">
        <v>0</v>
      </c>
      <c r="P35" s="30">
        <f t="shared" si="1"/>
        <v>4533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26297</v>
      </c>
      <c r="K36" s="29">
        <v>0</v>
      </c>
      <c r="L36" s="29">
        <v>10384</v>
      </c>
      <c r="M36" s="29">
        <v>10268</v>
      </c>
      <c r="N36" s="30">
        <f t="shared" si="0"/>
        <v>46949</v>
      </c>
      <c r="O36" s="29">
        <v>0</v>
      </c>
      <c r="P36" s="30">
        <f t="shared" si="1"/>
        <v>46949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3437</v>
      </c>
      <c r="K37" s="29">
        <v>0</v>
      </c>
      <c r="L37" s="29">
        <v>0</v>
      </c>
      <c r="M37" s="29">
        <v>0</v>
      </c>
      <c r="N37" s="30">
        <f t="shared" si="0"/>
        <v>3437</v>
      </c>
      <c r="O37" s="29">
        <v>0</v>
      </c>
      <c r="P37" s="30">
        <f t="shared" si="1"/>
        <v>3437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8</v>
      </c>
      <c r="K38" s="29">
        <v>0</v>
      </c>
      <c r="L38" s="29">
        <v>0</v>
      </c>
      <c r="M38" s="29">
        <v>0</v>
      </c>
      <c r="N38" s="30">
        <f t="shared" si="0"/>
        <v>8</v>
      </c>
      <c r="O38" s="29">
        <v>0</v>
      </c>
      <c r="P38" s="30">
        <f t="shared" si="1"/>
        <v>8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43</v>
      </c>
      <c r="J39" s="29">
        <v>0</v>
      </c>
      <c r="K39" s="29">
        <v>0</v>
      </c>
      <c r="L39" s="29">
        <v>5658</v>
      </c>
      <c r="M39" s="29">
        <v>0</v>
      </c>
      <c r="N39" s="30">
        <f t="shared" si="0"/>
        <v>5701</v>
      </c>
      <c r="O39" s="29">
        <v>0</v>
      </c>
      <c r="P39" s="30">
        <f t="shared" si="1"/>
        <v>5701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1432707</v>
      </c>
      <c r="D43" s="31">
        <f t="shared" si="2"/>
        <v>252330</v>
      </c>
      <c r="E43" s="31">
        <f t="shared" si="2"/>
        <v>112245</v>
      </c>
      <c r="F43" s="31">
        <f t="shared" si="2"/>
        <v>3562</v>
      </c>
      <c r="G43" s="31">
        <f t="shared" si="2"/>
        <v>17624</v>
      </c>
      <c r="H43" s="31">
        <f t="shared" si="2"/>
        <v>234821</v>
      </c>
      <c r="I43" s="31">
        <f t="shared" si="2"/>
        <v>123338</v>
      </c>
      <c r="J43" s="31">
        <f t="shared" si="2"/>
        <v>110555</v>
      </c>
      <c r="K43" s="31">
        <f t="shared" si="2"/>
        <v>9180</v>
      </c>
      <c r="L43" s="31">
        <f t="shared" si="2"/>
        <v>1098542</v>
      </c>
      <c r="M43" s="31">
        <f t="shared" si="2"/>
        <v>88777</v>
      </c>
      <c r="N43" s="31">
        <f t="shared" si="2"/>
        <v>3483681</v>
      </c>
      <c r="O43" s="31">
        <f t="shared" si="2"/>
        <v>180391</v>
      </c>
      <c r="P43" s="31">
        <f t="shared" si="2"/>
        <v>3664072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zoomScale="80" workbookViewId="0">
      <selection activeCell="S8" sqref="S8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205621</v>
      </c>
      <c r="E10" s="29">
        <v>4101</v>
      </c>
      <c r="F10" s="29">
        <v>0</v>
      </c>
      <c r="G10" s="29">
        <v>0</v>
      </c>
      <c r="H10" s="29">
        <v>0</v>
      </c>
      <c r="I10" s="29">
        <v>0</v>
      </c>
      <c r="J10" s="29">
        <v>16130</v>
      </c>
      <c r="K10" s="29">
        <v>1069</v>
      </c>
      <c r="L10" s="29">
        <v>156485</v>
      </c>
      <c r="M10" s="29">
        <v>1563</v>
      </c>
      <c r="N10" s="30">
        <f t="shared" ref="N10:N42" si="0">SUM(C10:M10)</f>
        <v>384969</v>
      </c>
      <c r="O10" s="29">
        <v>0</v>
      </c>
      <c r="P10" s="30">
        <f t="shared" ref="P10:P42" si="1">SUM(N10:O10)</f>
        <v>384969</v>
      </c>
    </row>
    <row r="11" spans="1:16" ht="15" customHeight="1">
      <c r="A11" s="11" t="s">
        <v>26</v>
      </c>
      <c r="B11" s="12" t="s">
        <v>27</v>
      </c>
      <c r="C11" s="29">
        <v>123662</v>
      </c>
      <c r="D11" s="29">
        <v>11759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114998</v>
      </c>
      <c r="M11" s="29">
        <v>1195</v>
      </c>
      <c r="N11" s="30">
        <f t="shared" si="0"/>
        <v>251614</v>
      </c>
      <c r="O11" s="29">
        <v>0</v>
      </c>
      <c r="P11" s="30">
        <f t="shared" si="1"/>
        <v>251614</v>
      </c>
    </row>
    <row r="12" spans="1:16" ht="15" customHeight="1">
      <c r="A12" s="11" t="s">
        <v>28</v>
      </c>
      <c r="B12" s="12" t="s">
        <v>29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>
        <f t="shared" si="0"/>
        <v>0</v>
      </c>
      <c r="O12" s="29"/>
      <c r="P12" s="30">
        <f t="shared" si="1"/>
        <v>0</v>
      </c>
    </row>
    <row r="13" spans="1:16" ht="15" customHeight="1">
      <c r="A13" s="11" t="s">
        <v>30</v>
      </c>
      <c r="B13" s="12" t="s">
        <v>31</v>
      </c>
      <c r="C13" s="29">
        <v>879644</v>
      </c>
      <c r="D13" s="29">
        <v>33469</v>
      </c>
      <c r="E13" s="29">
        <v>166</v>
      </c>
      <c r="F13" s="29">
        <v>0</v>
      </c>
      <c r="G13" s="29">
        <v>0</v>
      </c>
      <c r="H13" s="29">
        <v>0</v>
      </c>
      <c r="I13" s="29">
        <v>0</v>
      </c>
      <c r="J13" s="29">
        <v>2404</v>
      </c>
      <c r="K13" s="29">
        <v>105</v>
      </c>
      <c r="L13" s="29">
        <v>214505</v>
      </c>
      <c r="M13" s="29">
        <v>5064</v>
      </c>
      <c r="N13" s="30">
        <f t="shared" si="0"/>
        <v>1135357</v>
      </c>
      <c r="O13" s="29">
        <v>0</v>
      </c>
      <c r="P13" s="30">
        <f t="shared" si="1"/>
        <v>1135357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136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136</v>
      </c>
      <c r="O14" s="29">
        <v>0</v>
      </c>
      <c r="P14" s="30">
        <f t="shared" si="1"/>
        <v>136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106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106</v>
      </c>
      <c r="O15" s="29">
        <v>0</v>
      </c>
      <c r="P15" s="30">
        <f t="shared" si="1"/>
        <v>106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103</v>
      </c>
      <c r="F16" s="29">
        <v>0</v>
      </c>
      <c r="G16" s="29">
        <v>0</v>
      </c>
      <c r="H16" s="29">
        <v>0</v>
      </c>
      <c r="I16" s="29">
        <v>0</v>
      </c>
      <c r="J16" s="29">
        <v>50</v>
      </c>
      <c r="K16" s="29">
        <v>0</v>
      </c>
      <c r="L16" s="29">
        <v>0</v>
      </c>
      <c r="M16" s="29">
        <v>0</v>
      </c>
      <c r="N16" s="30">
        <f t="shared" si="0"/>
        <v>153</v>
      </c>
      <c r="O16" s="29">
        <v>0</v>
      </c>
      <c r="P16" s="30">
        <f t="shared" si="1"/>
        <v>153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20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62</v>
      </c>
      <c r="K17" s="29">
        <v>0</v>
      </c>
      <c r="L17" s="29">
        <v>1361</v>
      </c>
      <c r="M17" s="29">
        <v>0</v>
      </c>
      <c r="N17" s="30">
        <f t="shared" si="0"/>
        <v>1443</v>
      </c>
      <c r="O17" s="29">
        <v>0</v>
      </c>
      <c r="P17" s="30">
        <f t="shared" si="1"/>
        <v>1443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482360</v>
      </c>
      <c r="I18" s="29">
        <v>0</v>
      </c>
      <c r="J18" s="29">
        <v>0</v>
      </c>
      <c r="K18" s="29">
        <v>14561</v>
      </c>
      <c r="L18" s="29">
        <v>0</v>
      </c>
      <c r="M18" s="29">
        <v>0</v>
      </c>
      <c r="N18" s="30">
        <f t="shared" si="0"/>
        <v>496921</v>
      </c>
      <c r="O18" s="29">
        <v>0</v>
      </c>
      <c r="P18" s="30">
        <f t="shared" si="1"/>
        <v>496921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24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30">
        <f t="shared" si="0"/>
        <v>24</v>
      </c>
      <c r="O19" s="29">
        <v>0</v>
      </c>
      <c r="P19" s="30">
        <f t="shared" si="1"/>
        <v>24</v>
      </c>
    </row>
    <row r="20" spans="1:16" ht="15" customHeight="1">
      <c r="A20" s="11" t="s">
        <v>44</v>
      </c>
      <c r="B20" s="12" t="s">
        <v>45</v>
      </c>
      <c r="C20" s="29">
        <v>1950191</v>
      </c>
      <c r="D20" s="29">
        <v>166238</v>
      </c>
      <c r="E20" s="29">
        <v>172303</v>
      </c>
      <c r="F20" s="29">
        <v>4262</v>
      </c>
      <c r="G20" s="29">
        <v>36353</v>
      </c>
      <c r="H20" s="29">
        <v>0</v>
      </c>
      <c r="I20" s="29">
        <v>2804</v>
      </c>
      <c r="J20" s="29">
        <v>13348</v>
      </c>
      <c r="K20" s="29">
        <v>3995</v>
      </c>
      <c r="L20" s="29">
        <v>1270524</v>
      </c>
      <c r="M20" s="29">
        <v>87400</v>
      </c>
      <c r="N20" s="30">
        <f t="shared" si="0"/>
        <v>3707418</v>
      </c>
      <c r="O20" s="29">
        <v>59597</v>
      </c>
      <c r="P20" s="30">
        <f t="shared" si="1"/>
        <v>3767015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28457</v>
      </c>
      <c r="E21" s="29">
        <v>166</v>
      </c>
      <c r="F21" s="29">
        <v>62</v>
      </c>
      <c r="G21" s="29">
        <v>0</v>
      </c>
      <c r="H21" s="29">
        <v>0</v>
      </c>
      <c r="I21" s="29">
        <v>1716</v>
      </c>
      <c r="J21" s="29">
        <v>1290</v>
      </c>
      <c r="K21" s="29">
        <v>8214</v>
      </c>
      <c r="L21" s="29">
        <v>290384</v>
      </c>
      <c r="M21" s="29">
        <v>5387</v>
      </c>
      <c r="N21" s="30">
        <f t="shared" si="0"/>
        <v>335676</v>
      </c>
      <c r="O21" s="29">
        <v>9701</v>
      </c>
      <c r="P21" s="30">
        <f t="shared" si="1"/>
        <v>345377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7435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7435</v>
      </c>
      <c r="O22" s="29">
        <v>0</v>
      </c>
      <c r="P22" s="30">
        <f t="shared" si="1"/>
        <v>7435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28</v>
      </c>
      <c r="E23" s="29">
        <v>0</v>
      </c>
      <c r="F23" s="29">
        <v>0</v>
      </c>
      <c r="G23" s="29">
        <v>0</v>
      </c>
      <c r="H23" s="29">
        <v>0</v>
      </c>
      <c r="I23" s="29">
        <v>226284</v>
      </c>
      <c r="J23" s="29">
        <v>0</v>
      </c>
      <c r="K23" s="29">
        <v>0</v>
      </c>
      <c r="L23" s="29">
        <v>7292</v>
      </c>
      <c r="M23" s="29">
        <v>1149</v>
      </c>
      <c r="N23" s="30">
        <f t="shared" si="0"/>
        <v>234753</v>
      </c>
      <c r="O23" s="29">
        <v>179655</v>
      </c>
      <c r="P23" s="30">
        <f t="shared" si="1"/>
        <v>414408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6123</v>
      </c>
      <c r="E24" s="29">
        <v>403</v>
      </c>
      <c r="F24" s="29">
        <v>0</v>
      </c>
      <c r="G24" s="29">
        <v>0</v>
      </c>
      <c r="H24" s="29">
        <v>0</v>
      </c>
      <c r="I24" s="29">
        <v>9049</v>
      </c>
      <c r="J24" s="29">
        <v>2775</v>
      </c>
      <c r="K24" s="29">
        <v>0</v>
      </c>
      <c r="L24" s="29">
        <v>61934</v>
      </c>
      <c r="M24" s="29">
        <v>17125</v>
      </c>
      <c r="N24" s="30">
        <f t="shared" si="0"/>
        <v>97409</v>
      </c>
      <c r="O24" s="29">
        <v>87613</v>
      </c>
      <c r="P24" s="30">
        <f t="shared" si="1"/>
        <v>185022</v>
      </c>
    </row>
    <row r="25" spans="1:16" ht="15" customHeight="1">
      <c r="A25" s="11" t="s">
        <v>54</v>
      </c>
      <c r="B25" s="12" t="s">
        <v>55</v>
      </c>
      <c r="C25" s="29">
        <v>159</v>
      </c>
      <c r="D25" s="29">
        <v>11208</v>
      </c>
      <c r="E25" s="29">
        <v>981</v>
      </c>
      <c r="F25" s="29">
        <v>111</v>
      </c>
      <c r="G25" s="29">
        <v>401</v>
      </c>
      <c r="H25" s="29">
        <v>5</v>
      </c>
      <c r="I25" s="29">
        <v>120</v>
      </c>
      <c r="J25" s="29">
        <v>3419</v>
      </c>
      <c r="K25" s="29">
        <v>63</v>
      </c>
      <c r="L25" s="29">
        <v>9658</v>
      </c>
      <c r="M25" s="29">
        <v>998</v>
      </c>
      <c r="N25" s="30">
        <f t="shared" si="0"/>
        <v>27123</v>
      </c>
      <c r="O25" s="29">
        <v>4864</v>
      </c>
      <c r="P25" s="30">
        <f t="shared" si="1"/>
        <v>31987</v>
      </c>
    </row>
    <row r="26" spans="1:16" ht="15" customHeight="1">
      <c r="A26" s="11" t="s">
        <v>56</v>
      </c>
      <c r="B26" s="12" t="s">
        <v>57</v>
      </c>
      <c r="C26" s="29">
        <v>7</v>
      </c>
      <c r="D26" s="29">
        <v>4180</v>
      </c>
      <c r="E26" s="29">
        <v>241</v>
      </c>
      <c r="F26" s="29">
        <v>10</v>
      </c>
      <c r="G26" s="29">
        <v>97</v>
      </c>
      <c r="H26" s="29">
        <v>52</v>
      </c>
      <c r="I26" s="29">
        <v>76</v>
      </c>
      <c r="J26" s="29">
        <v>15601</v>
      </c>
      <c r="K26" s="29">
        <v>33</v>
      </c>
      <c r="L26" s="29">
        <v>4306</v>
      </c>
      <c r="M26" s="29">
        <v>128</v>
      </c>
      <c r="N26" s="30">
        <f t="shared" si="0"/>
        <v>24731</v>
      </c>
      <c r="O26" s="29">
        <v>406</v>
      </c>
      <c r="P26" s="30">
        <f t="shared" si="1"/>
        <v>25137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1624</v>
      </c>
      <c r="E27" s="29">
        <v>1</v>
      </c>
      <c r="F27" s="29">
        <v>0</v>
      </c>
      <c r="G27" s="29">
        <v>0</v>
      </c>
      <c r="H27" s="29">
        <v>0</v>
      </c>
      <c r="I27" s="29">
        <v>0</v>
      </c>
      <c r="J27" s="29">
        <v>886</v>
      </c>
      <c r="K27" s="29">
        <v>0</v>
      </c>
      <c r="L27" s="29">
        <v>23</v>
      </c>
      <c r="M27" s="29">
        <v>1894</v>
      </c>
      <c r="N27" s="30">
        <f t="shared" si="0"/>
        <v>4428</v>
      </c>
      <c r="O27" s="29">
        <v>0</v>
      </c>
      <c r="P27" s="30">
        <f t="shared" si="1"/>
        <v>4428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10</v>
      </c>
      <c r="E28" s="29">
        <v>1</v>
      </c>
      <c r="F28" s="29">
        <v>0</v>
      </c>
      <c r="G28" s="29">
        <v>0</v>
      </c>
      <c r="H28" s="29">
        <v>0</v>
      </c>
      <c r="I28" s="29">
        <v>4</v>
      </c>
      <c r="J28" s="29">
        <v>271</v>
      </c>
      <c r="K28" s="29">
        <v>0</v>
      </c>
      <c r="L28" s="29">
        <v>94</v>
      </c>
      <c r="M28" s="29">
        <v>0</v>
      </c>
      <c r="N28" s="30">
        <f t="shared" si="0"/>
        <v>380</v>
      </c>
      <c r="O28" s="29">
        <v>0</v>
      </c>
      <c r="P28" s="30">
        <f t="shared" si="1"/>
        <v>380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1106</v>
      </c>
      <c r="K29" s="29">
        <v>0</v>
      </c>
      <c r="L29" s="29">
        <v>124</v>
      </c>
      <c r="M29" s="29">
        <v>14232</v>
      </c>
      <c r="N29" s="30">
        <f t="shared" si="0"/>
        <v>15462</v>
      </c>
      <c r="O29" s="29">
        <v>0</v>
      </c>
      <c r="P29" s="30">
        <f t="shared" si="1"/>
        <v>15462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2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1</v>
      </c>
      <c r="K31" s="29">
        <v>0</v>
      </c>
      <c r="L31" s="29">
        <v>0</v>
      </c>
      <c r="M31" s="29">
        <v>0</v>
      </c>
      <c r="N31" s="30">
        <f t="shared" si="0"/>
        <v>3</v>
      </c>
      <c r="O31" s="29">
        <v>0</v>
      </c>
      <c r="P31" s="30">
        <f t="shared" si="1"/>
        <v>3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10763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69865</v>
      </c>
      <c r="K32" s="29">
        <v>0</v>
      </c>
      <c r="L32" s="29">
        <v>51612</v>
      </c>
      <c r="M32" s="29">
        <v>2568</v>
      </c>
      <c r="N32" s="30">
        <f t="shared" si="0"/>
        <v>134808</v>
      </c>
      <c r="O32" s="29">
        <v>0</v>
      </c>
      <c r="P32" s="30">
        <f t="shared" si="1"/>
        <v>134808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18495</v>
      </c>
      <c r="K33" s="29">
        <v>0</v>
      </c>
      <c r="L33" s="29">
        <v>0</v>
      </c>
      <c r="M33" s="29">
        <v>0</v>
      </c>
      <c r="N33" s="30">
        <f t="shared" si="0"/>
        <v>18495</v>
      </c>
      <c r="O33" s="29">
        <v>0</v>
      </c>
      <c r="P33" s="30">
        <f t="shared" si="1"/>
        <v>18495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13</v>
      </c>
      <c r="D35" s="29">
        <v>126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7901</v>
      </c>
      <c r="K35" s="29">
        <v>0</v>
      </c>
      <c r="L35" s="29">
        <v>175</v>
      </c>
      <c r="M35" s="29">
        <v>0</v>
      </c>
      <c r="N35" s="30">
        <f t="shared" si="0"/>
        <v>8215</v>
      </c>
      <c r="O35" s="29">
        <v>0</v>
      </c>
      <c r="P35" s="30">
        <f t="shared" si="1"/>
        <v>8215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49318</v>
      </c>
      <c r="K36" s="29">
        <v>0</v>
      </c>
      <c r="L36" s="29">
        <v>23648</v>
      </c>
      <c r="M36" s="29">
        <v>18271</v>
      </c>
      <c r="N36" s="30">
        <f t="shared" si="0"/>
        <v>91237</v>
      </c>
      <c r="O36" s="29">
        <v>0</v>
      </c>
      <c r="P36" s="30">
        <f t="shared" si="1"/>
        <v>91237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5553</v>
      </c>
      <c r="K37" s="29">
        <v>0</v>
      </c>
      <c r="L37" s="29">
        <v>0</v>
      </c>
      <c r="M37" s="29">
        <v>0</v>
      </c>
      <c r="N37" s="30">
        <f t="shared" si="0"/>
        <v>5553</v>
      </c>
      <c r="O37" s="29">
        <v>0</v>
      </c>
      <c r="P37" s="30">
        <f t="shared" si="1"/>
        <v>5553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338</v>
      </c>
      <c r="K38" s="29">
        <v>0</v>
      </c>
      <c r="L38" s="29">
        <v>0</v>
      </c>
      <c r="M38" s="29">
        <v>0</v>
      </c>
      <c r="N38" s="30">
        <f t="shared" si="0"/>
        <v>338</v>
      </c>
      <c r="O38" s="29">
        <v>0</v>
      </c>
      <c r="P38" s="30">
        <f t="shared" si="1"/>
        <v>338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91</v>
      </c>
      <c r="J39" s="29">
        <v>0</v>
      </c>
      <c r="K39" s="29">
        <v>0</v>
      </c>
      <c r="L39" s="29">
        <v>12901</v>
      </c>
      <c r="M39" s="29">
        <v>0</v>
      </c>
      <c r="N39" s="30">
        <f t="shared" si="0"/>
        <v>12992</v>
      </c>
      <c r="O39" s="29">
        <v>0</v>
      </c>
      <c r="P39" s="30">
        <f t="shared" si="1"/>
        <v>12992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2953676</v>
      </c>
      <c r="D43" s="31">
        <f t="shared" si="2"/>
        <v>479652</v>
      </c>
      <c r="E43" s="31">
        <f t="shared" si="2"/>
        <v>178466</v>
      </c>
      <c r="F43" s="31">
        <f t="shared" si="2"/>
        <v>4445</v>
      </c>
      <c r="G43" s="31">
        <f t="shared" si="2"/>
        <v>36851</v>
      </c>
      <c r="H43" s="31">
        <f t="shared" si="2"/>
        <v>482659</v>
      </c>
      <c r="I43" s="31">
        <f t="shared" si="2"/>
        <v>247579</v>
      </c>
      <c r="J43" s="31">
        <f t="shared" si="2"/>
        <v>208813</v>
      </c>
      <c r="K43" s="31">
        <f t="shared" si="2"/>
        <v>28040</v>
      </c>
      <c r="L43" s="31">
        <f t="shared" si="2"/>
        <v>2220024</v>
      </c>
      <c r="M43" s="31">
        <f t="shared" si="2"/>
        <v>156974</v>
      </c>
      <c r="N43" s="31">
        <f t="shared" si="2"/>
        <v>6997179</v>
      </c>
      <c r="O43" s="31">
        <f t="shared" si="2"/>
        <v>341836</v>
      </c>
      <c r="P43" s="31">
        <f t="shared" si="2"/>
        <v>7339015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2015-07-29T14:36:05Z</dcterms:modified>
</cp:coreProperties>
</file>