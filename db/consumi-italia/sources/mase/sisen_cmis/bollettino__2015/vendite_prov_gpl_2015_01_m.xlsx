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G125"/>
  <c r="C135"/>
  <c r="D135"/>
  <c r="E135"/>
  <c r="F135"/>
  <c r="G135"/>
  <c r="C144"/>
  <c r="D144"/>
  <c r="E144"/>
  <c r="F144"/>
  <c r="G144"/>
  <c r="G145" s="1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G135"/>
  <c r="C144"/>
  <c r="C145" s="1"/>
  <c r="D144"/>
  <c r="E144"/>
  <c r="F144"/>
  <c r="F145" s="1"/>
  <c r="G144"/>
  <c r="G145" s="1"/>
  <c r="D145"/>
  <c r="F145" i="1" l="1"/>
  <c r="E145"/>
  <c r="C145"/>
  <c r="D145"/>
</calcChain>
</file>

<file path=xl/sharedStrings.xml><?xml version="1.0" encoding="utf-8"?>
<sst xmlns="http://schemas.openxmlformats.org/spreadsheetml/2006/main" count="520" uniqueCount="261">
  <si>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</si>
  <si>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</si>
  <si>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</si>
  <si>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</si>
  <si>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</si>
  <si>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Report costruito su dati provvisori</t>
  </si>
  <si>
    <t>Periodo: gennaio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</si>
  <si>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</si>
  <si>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</si>
  <si>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</si>
  <si>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</si>
  <si>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</si>
  <si>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</si>
  <si>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</si>
  <si>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</si>
  <si>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</si>
  <si>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</si>
  <si>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</si>
  <si>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</si>
  <si>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</si>
  <si>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</si>
  <si>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</si>
  <si>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</si>
  <si>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</si>
  <si>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</si>
  <si>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</si>
  <si>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</si>
  <si>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</si>
  <si>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</si>
  <si>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</si>
  <si>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</si>
  <si>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</si>
  <si>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</si>
  <si>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</si>
  <si>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</si>
  <si>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</si>
  <si>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</si>
  <si>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</si>
  <si>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</si>
  <si>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</si>
  <si>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</si>
  <si>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</si>
  <si>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</si>
  <si>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</si>
  <si>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</si>
  <si>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</si>
  <si>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</si>
  <si>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</si>
  <si>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</si>
  <si>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</si>
  <si>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</si>
  <si>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</si>
  <si>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</si>
  <si>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</si>
  <si>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</si>
  <si>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</si>
  <si>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</si>
  <si>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</si>
  <si>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</si>
  <si>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</si>
  <si>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</si>
  <si>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</si>
  <si>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</si>
  <si>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</si>
  <si>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</si>
  <si>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</si>
  <si>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</si>
  <si>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</si>
  <si>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</si>
  <si>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</si>
  <si>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</si>
  <si>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</si>
  <si>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</si>
  <si>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</si>
  <si>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</si>
  <si>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</si>
  <si>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</si>
  <si>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</si>
  <si>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</si>
  <si>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</si>
  <si>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</si>
  <si>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</si>
  <si>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</si>
  <si>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</si>
  <si>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</si>
  <si>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</si>
  <si>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</si>
  <si>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</si>
  <si>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</si>
  <si>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</si>
  <si>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</si>
  <si>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</si>
  <si>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</si>
  <si>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</si>
  <si>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</si>
  <si>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</si>
  <si>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</si>
  <si>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</si>
  <si>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</si>
  <si>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</si>
  <si>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</si>
  <si>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</si>
  <si>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</si>
  <si>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</si>
  <si>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</si>
  <si>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</si>
  <si>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</si>
  <si>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</si>
  <si>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</si>
  <si>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</si>
  <si>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</si>
  <si>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</si>
  <si>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</si>
  <si>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</si>
  <si>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</si>
  <si>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</si>
  <si>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</si>
  <si>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</si>
  <si>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</si>
  <si>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</si>
  <si>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</si>
  <si>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</si>
  <si>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</si>
  <si>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</si>
  <si>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</si>
  <si>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</si>
  <si>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</si>
  <si>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</si>
  <si>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</si>
  <si>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</si>
  <si>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</si>
  <si>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</si>
  <si>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</si>
  <si>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</si>
  <si>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</si>
  <si>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</si>
  <si>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</si>
  <si>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</si>
  <si>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</si>
  <si>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</si>
  <si>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</si>
  <si>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</si>
  <si>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</si>
  <si>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</si>
  <si>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</si>
  <si>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</si>
  <si>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</si>
  <si>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</si>
  <si>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</si>
  <si>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</si>
  <si>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</si>
  <si>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</si>
  <si>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</si>
  <si>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</si>
  <si>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</si>
  <si>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</si>
  <si>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</si>
  <si>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</si>
  <si>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</si>
  <si>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</si>
  <si>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</si>
  <si>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</si>
  <si>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</si>
  <si>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</si>
  <si>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</si>
  <si>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</si>
  <si>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</si>
  <si>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</si>
  <si>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</si>
  <si>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</si>
  <si>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</si>
  <si>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</si>
  <si>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</si>
  <si>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</si>
  <si>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</si>
  <si>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</si>
  <si>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</si>
  <si>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</si>
  <si>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</si>
  <si>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</si>
  <si>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</si>
  <si>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</si>
  <si>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</si>
  <si>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</si>
  <si>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</si>
  <si>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</si>
  <si>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</si>
  <si>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</si>
  <si>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</si>
  <si>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</si>
  <si>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</si>
  <si>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</si>
  <si>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</si>
  <si>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</si>
  <si>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</si>
  <si>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</si>
  <si>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</si>
  <si>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</si>
  <si>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</si>
  <si>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</si>
  <si>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</si>
  <si>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</si>
  <si>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</si>
  <si>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</si>
  <si>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</si>
  <si>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</si>
  <si>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</si>
  <si>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</si>
  <si>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</si>
  <si>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</si>
  <si>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</si>
  <si>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</si>
  <si>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</si>
  <si>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</si>
  <si>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</si>
  <si>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</si>
  <si>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</si>
  <si>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</si>
  <si>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</si>
  <si>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</si>
  <si>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</si>
  <si>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</si>
  <si>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</si>
  <si>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</si>
  <si>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</si>
  <si>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</si>
  <si>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</si>
  <si>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</si>
  <si>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</si>
  <si>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</si>
  <si>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</si>
  <si>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</si>
  <si>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</si>
  <si>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</si>
  <si>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</si>
  <si>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</si>
  <si>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</si>
  <si>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</si>
  <si>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</si>
  <si>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</si>
  <si>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</si>
  <si>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</si>
  <si>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</si>
  <si>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</si>
  <si>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</si>
  <si>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</si>
  <si>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</si>
  <si>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</si>
  <si>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</si>
  <si>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</si>
  <si>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</si>
  <si>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</si>
  <si>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</si>
  <si>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</si>
  <si>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</si>
  <si>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</si>
  <si>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</si>
  <si>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</si>
  <si>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</si>
  <si>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</si>
  <si>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 xml:space="preserve">DI GPL 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</si>
</sst>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3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6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5" xfId="0" applyFont="1" applyFill="1" applyBorder="1" applyAlignment="1" applyProtection="1">
      <alignment horizontal="center" vertical="center"/>
    </xf>
    <xf numFmtId="0" fontId="8" fillId="3" borderId="30" xfId="0" applyFont="1" applyFill="1" applyBorder="1" applyAlignment="1" applyProtection="1">
      <alignment horizontal="center" vertical="center"/>
    </xf>
    <xf numFmtId="0" fontId="8" fillId="3" borderId="31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8" fillId="3" borderId="28" xfId="0" applyFont="1" applyFill="1" applyBorder="1" applyAlignment="1" applyProtection="1">
      <alignment horizontal="center" vertical="center"/>
    </xf>
    <xf numFmtId="0" fontId="8" fillId="3" borderId="29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M7" sqref="M7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260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6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 thickBo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 thickTop="1">
      <c r="A11" s="39" t="s">
        <v>7</v>
      </c>
      <c r="B11" s="39"/>
      <c r="C11" s="40" t="s">
        <v>8</v>
      </c>
      <c r="D11" s="41"/>
      <c r="E11" s="56" t="s">
        <v>9</v>
      </c>
      <c r="F11" s="54" t="s">
        <v>10</v>
      </c>
      <c r="G11" s="55"/>
      <c r="H11" s="40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7"/>
      <c r="F12" s="48" t="s">
        <v>15</v>
      </c>
      <c r="G12" s="46" t="s">
        <v>16</v>
      </c>
      <c r="H12" s="59"/>
      <c r="I12" s="52"/>
    </row>
    <row r="13" spans="1:19" ht="12.75" customHeight="1">
      <c r="A13" s="45"/>
      <c r="B13" s="47"/>
      <c r="C13" s="49"/>
      <c r="D13" s="50"/>
      <c r="E13" s="58"/>
      <c r="F13" s="49"/>
      <c r="G13" s="50"/>
      <c r="H13" s="60"/>
      <c r="I13" s="53"/>
    </row>
    <row r="14" spans="1:19" s="2" customFormat="1" ht="10.5" customHeight="1" thickBo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 thickTop="1">
      <c r="A15" s="20" t="s">
        <v>17</v>
      </c>
      <c r="B15" s="21" t="s">
        <v>18</v>
      </c>
      <c r="C15" s="29">
        <v>1714</v>
      </c>
      <c r="D15" s="29">
        <v>983</v>
      </c>
      <c r="E15" s="29">
        <v>759</v>
      </c>
      <c r="F15" s="29">
        <v>71</v>
      </c>
      <c r="G15" s="29">
        <v>519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956</v>
      </c>
      <c r="D16" s="30">
        <v>328</v>
      </c>
      <c r="E16" s="30">
        <v>328</v>
      </c>
      <c r="F16" s="30">
        <v>77</v>
      </c>
      <c r="G16" s="30">
        <v>551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262</v>
      </c>
      <c r="D17" s="30">
        <v>50</v>
      </c>
      <c r="E17" s="30">
        <v>50</v>
      </c>
      <c r="F17" s="30">
        <v>60</v>
      </c>
      <c r="G17" s="30">
        <v>153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3962</v>
      </c>
      <c r="D18" s="30">
        <v>907</v>
      </c>
      <c r="E18" s="30">
        <v>481</v>
      </c>
      <c r="F18" s="30">
        <v>224</v>
      </c>
      <c r="G18" s="30">
        <v>2414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1214</v>
      </c>
      <c r="D19" s="30">
        <v>644</v>
      </c>
      <c r="E19" s="30">
        <v>580</v>
      </c>
      <c r="F19" s="30">
        <v>26</v>
      </c>
      <c r="G19" s="30">
        <v>145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8426</v>
      </c>
      <c r="D20" s="30">
        <v>3978</v>
      </c>
      <c r="E20" s="30">
        <v>3613</v>
      </c>
      <c r="F20" s="30">
        <v>352</v>
      </c>
      <c r="G20" s="30">
        <v>2577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257</v>
      </c>
      <c r="D21" s="30">
        <v>118</v>
      </c>
      <c r="E21" s="30">
        <v>118</v>
      </c>
      <c r="F21" s="30">
        <v>26</v>
      </c>
      <c r="G21" s="30">
        <v>113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600</v>
      </c>
      <c r="D22" s="30">
        <v>342</v>
      </c>
      <c r="E22" s="30">
        <v>342</v>
      </c>
      <c r="F22" s="30">
        <v>27</v>
      </c>
      <c r="G22" s="30">
        <v>231</v>
      </c>
      <c r="H22" s="30"/>
      <c r="I22" s="30"/>
    </row>
    <row r="23" spans="1:9" ht="12.75" customHeight="1">
      <c r="A23" s="5"/>
      <c r="B23" s="6" t="s">
        <v>33</v>
      </c>
      <c r="C23" s="31">
        <f t="shared" ref="C23:G23" si="0">SUM(C15:C22)</f>
        <v>17391</v>
      </c>
      <c r="D23" s="31">
        <f t="shared" si="0"/>
        <v>7350</v>
      </c>
      <c r="E23" s="31">
        <f t="shared" si="0"/>
        <v>6271</v>
      </c>
      <c r="F23" s="31">
        <f t="shared" si="0"/>
        <v>863</v>
      </c>
      <c r="G23" s="31">
        <f t="shared" si="0"/>
        <v>6703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1136</v>
      </c>
      <c r="D24" s="32">
        <v>65</v>
      </c>
      <c r="E24" s="32">
        <v>31</v>
      </c>
      <c r="F24" s="32">
        <v>83</v>
      </c>
      <c r="G24" s="32">
        <v>429</v>
      </c>
      <c r="H24" s="32"/>
      <c r="I24" s="32"/>
    </row>
    <row r="25" spans="1:9" ht="14.25" customHeight="1">
      <c r="A25" s="7"/>
      <c r="B25" s="6" t="s">
        <v>36</v>
      </c>
      <c r="C25" s="31">
        <f t="shared" ref="C25:G25" si="1">SUM(C24)</f>
        <v>1136</v>
      </c>
      <c r="D25" s="31">
        <f t="shared" si="1"/>
        <v>65</v>
      </c>
      <c r="E25" s="31">
        <f t="shared" si="1"/>
        <v>31</v>
      </c>
      <c r="F25" s="31">
        <f t="shared" si="1"/>
        <v>83</v>
      </c>
      <c r="G25" s="31">
        <f t="shared" si="1"/>
        <v>429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1441</v>
      </c>
      <c r="D26" s="32">
        <v>560</v>
      </c>
      <c r="E26" s="32">
        <v>125</v>
      </c>
      <c r="F26" s="32">
        <v>98</v>
      </c>
      <c r="G26" s="32">
        <v>247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1888</v>
      </c>
      <c r="D27" s="32">
        <v>318</v>
      </c>
      <c r="E27" s="32">
        <v>63</v>
      </c>
      <c r="F27" s="32">
        <v>269</v>
      </c>
      <c r="G27" s="32">
        <v>897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382</v>
      </c>
      <c r="D28" s="32">
        <v>159</v>
      </c>
      <c r="E28" s="32">
        <v>159</v>
      </c>
      <c r="F28" s="32">
        <v>13</v>
      </c>
      <c r="G28" s="32">
        <v>31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729</v>
      </c>
      <c r="D29" s="32">
        <v>20</v>
      </c>
      <c r="E29" s="32">
        <v>20</v>
      </c>
      <c r="F29" s="32">
        <v>91</v>
      </c>
      <c r="G29" s="32">
        <v>604</v>
      </c>
      <c r="H29" s="32"/>
      <c r="I29" s="32"/>
    </row>
    <row r="30" spans="1:9" ht="12.75" customHeight="1">
      <c r="A30" s="5"/>
      <c r="B30" s="6" t="s">
        <v>45</v>
      </c>
      <c r="C30" s="31">
        <f t="shared" ref="C30:G30" si="2">SUM(C26:C29)</f>
        <v>4440</v>
      </c>
      <c r="D30" s="31">
        <f t="shared" si="2"/>
        <v>1057</v>
      </c>
      <c r="E30" s="31">
        <f t="shared" si="2"/>
        <v>367</v>
      </c>
      <c r="F30" s="31">
        <f t="shared" si="2"/>
        <v>471</v>
      </c>
      <c r="G30" s="31">
        <f t="shared" si="2"/>
        <v>1779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4462</v>
      </c>
      <c r="D31" s="32">
        <v>590</v>
      </c>
      <c r="E31" s="32">
        <v>571</v>
      </c>
      <c r="F31" s="32">
        <v>153</v>
      </c>
      <c r="G31" s="32">
        <v>3265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7776</v>
      </c>
      <c r="D32" s="32">
        <v>5209</v>
      </c>
      <c r="E32" s="32">
        <v>4044</v>
      </c>
      <c r="F32" s="32">
        <v>206</v>
      </c>
      <c r="G32" s="32">
        <v>1431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1056</v>
      </c>
      <c r="D33" s="32">
        <v>239</v>
      </c>
      <c r="E33" s="32">
        <v>239</v>
      </c>
      <c r="F33" s="32">
        <v>67</v>
      </c>
      <c r="G33" s="32">
        <v>307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1046</v>
      </c>
      <c r="D34" s="32">
        <v>332</v>
      </c>
      <c r="E34" s="32">
        <v>321</v>
      </c>
      <c r="F34" s="32">
        <v>39</v>
      </c>
      <c r="G34" s="32">
        <v>267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566</v>
      </c>
      <c r="D35" s="32">
        <v>129</v>
      </c>
      <c r="E35" s="32">
        <v>129</v>
      </c>
      <c r="F35" s="32">
        <v>42</v>
      </c>
      <c r="G35" s="32">
        <v>388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454</v>
      </c>
      <c r="D36" s="32">
        <v>168</v>
      </c>
      <c r="E36" s="32">
        <v>168</v>
      </c>
      <c r="F36" s="32">
        <v>13</v>
      </c>
      <c r="G36" s="32">
        <v>71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3309</v>
      </c>
      <c r="D37" s="32">
        <v>1559</v>
      </c>
      <c r="E37" s="32">
        <v>469</v>
      </c>
      <c r="F37" s="32">
        <v>70</v>
      </c>
      <c r="G37" s="32">
        <v>981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7366</v>
      </c>
      <c r="D38" s="32">
        <v>4399</v>
      </c>
      <c r="E38" s="32">
        <v>2881</v>
      </c>
      <c r="F38" s="32">
        <v>199</v>
      </c>
      <c r="G38" s="32">
        <v>1194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516</v>
      </c>
      <c r="D39" s="32">
        <v>326</v>
      </c>
      <c r="E39" s="32">
        <v>326</v>
      </c>
      <c r="F39" s="32">
        <v>53</v>
      </c>
      <c r="G39" s="32">
        <v>137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1825</v>
      </c>
      <c r="D40" s="32">
        <v>723</v>
      </c>
      <c r="E40" s="32">
        <v>480</v>
      </c>
      <c r="F40" s="32">
        <v>45</v>
      </c>
      <c r="G40" s="32">
        <v>859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1050</v>
      </c>
      <c r="D41" s="32">
        <v>126</v>
      </c>
      <c r="E41" s="32">
        <v>81</v>
      </c>
      <c r="F41" s="32">
        <v>136</v>
      </c>
      <c r="G41" s="32">
        <v>319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1060</v>
      </c>
      <c r="D42" s="32">
        <v>625</v>
      </c>
      <c r="E42" s="32">
        <v>341</v>
      </c>
      <c r="F42" s="32">
        <v>84</v>
      </c>
      <c r="G42" s="32">
        <v>343</v>
      </c>
      <c r="H42" s="32"/>
      <c r="I42" s="32"/>
    </row>
    <row r="43" spans="1:9" ht="12.75" customHeight="1">
      <c r="A43" s="5"/>
      <c r="B43" s="6" t="s">
        <v>70</v>
      </c>
      <c r="C43" s="31">
        <f t="shared" ref="C43:G43" si="3">SUM(C31:C42)</f>
        <v>30486</v>
      </c>
      <c r="D43" s="31">
        <f t="shared" si="3"/>
        <v>14425</v>
      </c>
      <c r="E43" s="31">
        <f t="shared" si="3"/>
        <v>10050</v>
      </c>
      <c r="F43" s="31">
        <f t="shared" si="3"/>
        <v>1107</v>
      </c>
      <c r="G43" s="31">
        <f t="shared" si="3"/>
        <v>9562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1586</v>
      </c>
      <c r="D44" s="32">
        <v>263</v>
      </c>
      <c r="E44" s="32">
        <v>263</v>
      </c>
      <c r="F44" s="32">
        <v>263</v>
      </c>
      <c r="G44" s="32">
        <v>833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2311</v>
      </c>
      <c r="D45" s="32">
        <v>840</v>
      </c>
      <c r="E45" s="32">
        <v>758</v>
      </c>
      <c r="F45" s="32">
        <v>262</v>
      </c>
      <c r="G45" s="32">
        <v>1204</v>
      </c>
      <c r="H45" s="32"/>
      <c r="I45" s="32"/>
    </row>
    <row r="46" spans="1:9" ht="12.75" customHeight="1">
      <c r="A46" s="5"/>
      <c r="B46" s="6" t="s">
        <v>75</v>
      </c>
      <c r="C46" s="31">
        <f t="shared" ref="C46:G46" si="4">SUM(C44:C45)</f>
        <v>3897</v>
      </c>
      <c r="D46" s="31">
        <f t="shared" si="4"/>
        <v>1103</v>
      </c>
      <c r="E46" s="31">
        <f t="shared" si="4"/>
        <v>1021</v>
      </c>
      <c r="F46" s="31">
        <f t="shared" si="4"/>
        <v>525</v>
      </c>
      <c r="G46" s="31">
        <f t="shared" si="4"/>
        <v>2037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93</v>
      </c>
      <c r="D47" s="33">
        <v>18</v>
      </c>
      <c r="E47" s="33">
        <v>18</v>
      </c>
      <c r="F47" s="32">
        <v>18</v>
      </c>
      <c r="G47" s="32">
        <v>56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1444</v>
      </c>
      <c r="D48" s="33">
        <v>201</v>
      </c>
      <c r="E48" s="33">
        <v>187</v>
      </c>
      <c r="F48" s="32">
        <v>84</v>
      </c>
      <c r="G48" s="32">
        <v>1013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207</v>
      </c>
      <c r="D49" s="33">
        <v>0</v>
      </c>
      <c r="E49" s="33">
        <v>0</v>
      </c>
      <c r="F49" s="32">
        <v>73</v>
      </c>
      <c r="G49" s="32">
        <v>135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5327</v>
      </c>
      <c r="D50" s="33">
        <v>312</v>
      </c>
      <c r="E50" s="33">
        <v>193</v>
      </c>
      <c r="F50" s="32">
        <v>343</v>
      </c>
      <c r="G50" s="32">
        <v>4244</v>
      </c>
      <c r="H50" s="32"/>
      <c r="I50" s="32"/>
    </row>
    <row r="51" spans="1:9" ht="12.75" customHeight="1">
      <c r="A51" s="9"/>
      <c r="B51" s="6" t="s">
        <v>84</v>
      </c>
      <c r="C51" s="31">
        <f t="shared" ref="C51:G51" si="5">SUM(C47:C50)</f>
        <v>7071</v>
      </c>
      <c r="D51" s="31">
        <f t="shared" si="5"/>
        <v>531</v>
      </c>
      <c r="E51" s="31">
        <f t="shared" si="5"/>
        <v>398</v>
      </c>
      <c r="F51" s="31">
        <f t="shared" si="5"/>
        <v>518</v>
      </c>
      <c r="G51" s="31">
        <f t="shared" si="5"/>
        <v>5448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1502</v>
      </c>
      <c r="D52" s="33">
        <v>179</v>
      </c>
      <c r="E52" s="33">
        <v>121</v>
      </c>
      <c r="F52" s="32">
        <v>151</v>
      </c>
      <c r="G52" s="32">
        <v>943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6455</v>
      </c>
      <c r="D53" s="33">
        <v>3174</v>
      </c>
      <c r="E53" s="33">
        <v>2759</v>
      </c>
      <c r="F53" s="32">
        <v>199</v>
      </c>
      <c r="G53" s="32">
        <v>1419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1154</v>
      </c>
      <c r="D54" s="33">
        <v>407</v>
      </c>
      <c r="E54" s="33">
        <v>226</v>
      </c>
      <c r="F54" s="32">
        <v>58</v>
      </c>
      <c r="G54" s="32">
        <v>482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3714</v>
      </c>
      <c r="D55" s="33">
        <v>754</v>
      </c>
      <c r="E55" s="33">
        <v>666</v>
      </c>
      <c r="F55" s="32">
        <v>346</v>
      </c>
      <c r="G55" s="32">
        <v>2442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4758</v>
      </c>
      <c r="D56" s="33">
        <v>1782</v>
      </c>
      <c r="E56" s="33">
        <v>710</v>
      </c>
      <c r="F56" s="32">
        <v>116</v>
      </c>
      <c r="G56" s="32">
        <v>1381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6264</v>
      </c>
      <c r="D57" s="33">
        <v>2731</v>
      </c>
      <c r="E57" s="33">
        <v>1315</v>
      </c>
      <c r="F57" s="32">
        <v>153</v>
      </c>
      <c r="G57" s="32">
        <v>1938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3112</v>
      </c>
      <c r="D58" s="33">
        <v>1194</v>
      </c>
      <c r="E58" s="33">
        <v>1008</v>
      </c>
      <c r="F58" s="32">
        <v>151</v>
      </c>
      <c r="G58" s="32">
        <v>1002</v>
      </c>
      <c r="H58" s="32"/>
      <c r="I58" s="32"/>
    </row>
    <row r="59" spans="1:9" ht="12.75" customHeight="1">
      <c r="A59" s="9"/>
      <c r="B59" s="6" t="s">
        <v>99</v>
      </c>
      <c r="C59" s="31">
        <f t="shared" ref="C59:G59" si="6">SUM(C52:C58)</f>
        <v>26959</v>
      </c>
      <c r="D59" s="31">
        <f t="shared" si="6"/>
        <v>10221</v>
      </c>
      <c r="E59" s="31">
        <f t="shared" si="6"/>
        <v>6805</v>
      </c>
      <c r="F59" s="31">
        <f t="shared" si="6"/>
        <v>1174</v>
      </c>
      <c r="G59" s="31">
        <f t="shared" si="6"/>
        <v>9607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6712</v>
      </c>
      <c r="D60" s="33">
        <v>3710</v>
      </c>
      <c r="E60" s="33">
        <v>1030</v>
      </c>
      <c r="F60" s="32">
        <v>104</v>
      </c>
      <c r="G60" s="32">
        <v>2082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1655</v>
      </c>
      <c r="D61" s="33">
        <v>620</v>
      </c>
      <c r="E61" s="33">
        <v>575</v>
      </c>
      <c r="F61" s="32">
        <v>52</v>
      </c>
      <c r="G61" s="32">
        <v>960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3400</v>
      </c>
      <c r="D62" s="33">
        <v>1499</v>
      </c>
      <c r="E62" s="33">
        <v>620</v>
      </c>
      <c r="F62" s="32">
        <v>95</v>
      </c>
      <c r="G62" s="32">
        <v>1528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2154</v>
      </c>
      <c r="D63" s="33">
        <v>1319</v>
      </c>
      <c r="E63" s="33">
        <v>513</v>
      </c>
      <c r="F63" s="32">
        <v>75</v>
      </c>
      <c r="G63" s="32">
        <v>693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15153</v>
      </c>
      <c r="D64" s="33">
        <v>9313</v>
      </c>
      <c r="E64" s="33">
        <v>506</v>
      </c>
      <c r="F64" s="32">
        <v>35</v>
      </c>
      <c r="G64" s="32">
        <v>2182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801</v>
      </c>
      <c r="D65" s="33">
        <v>631</v>
      </c>
      <c r="E65" s="33">
        <v>519</v>
      </c>
      <c r="F65" s="32">
        <v>31</v>
      </c>
      <c r="G65" s="32">
        <v>139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1422</v>
      </c>
      <c r="D66" s="33">
        <v>805</v>
      </c>
      <c r="E66" s="33">
        <v>504</v>
      </c>
      <c r="F66" s="32">
        <v>32</v>
      </c>
      <c r="G66" s="32">
        <v>289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2845</v>
      </c>
      <c r="D67" s="33">
        <v>1723</v>
      </c>
      <c r="E67" s="33">
        <v>665</v>
      </c>
      <c r="F67" s="32">
        <v>67</v>
      </c>
      <c r="G67" s="32">
        <v>820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2502</v>
      </c>
      <c r="D68" s="33">
        <v>1167</v>
      </c>
      <c r="E68" s="33">
        <v>412</v>
      </c>
      <c r="F68" s="32">
        <v>52</v>
      </c>
      <c r="G68" s="32">
        <v>510</v>
      </c>
      <c r="H68" s="32"/>
      <c r="I68" s="32"/>
    </row>
    <row r="69" spans="1:9" ht="12.75" customHeight="1">
      <c r="A69" s="5"/>
      <c r="B69" s="6" t="s">
        <v>118</v>
      </c>
      <c r="C69" s="31">
        <f t="shared" ref="C69:G69" si="7">SUM(C60:C68)</f>
        <v>36644</v>
      </c>
      <c r="D69" s="31">
        <f t="shared" si="7"/>
        <v>20787</v>
      </c>
      <c r="E69" s="31">
        <f t="shared" si="7"/>
        <v>5344</v>
      </c>
      <c r="F69" s="31">
        <f t="shared" si="7"/>
        <v>543</v>
      </c>
      <c r="G69" s="31">
        <f t="shared" si="7"/>
        <v>9203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2329</v>
      </c>
      <c r="D70" s="33">
        <v>965</v>
      </c>
      <c r="E70" s="33">
        <v>742</v>
      </c>
      <c r="F70" s="32">
        <v>168</v>
      </c>
      <c r="G70" s="32">
        <v>969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4327</v>
      </c>
      <c r="D71" s="33">
        <v>2146</v>
      </c>
      <c r="E71" s="33">
        <v>1950</v>
      </c>
      <c r="F71" s="32">
        <v>248</v>
      </c>
      <c r="G71" s="32">
        <v>1033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953</v>
      </c>
      <c r="D72" s="33">
        <v>237</v>
      </c>
      <c r="E72" s="33">
        <v>237</v>
      </c>
      <c r="F72" s="32">
        <v>129</v>
      </c>
      <c r="G72" s="32">
        <v>496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1515</v>
      </c>
      <c r="D73" s="33">
        <v>313</v>
      </c>
      <c r="E73" s="33">
        <v>313</v>
      </c>
      <c r="F73" s="32">
        <v>124</v>
      </c>
      <c r="G73" s="32">
        <v>370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1597</v>
      </c>
      <c r="D74" s="33">
        <v>526</v>
      </c>
      <c r="E74" s="33">
        <v>472</v>
      </c>
      <c r="F74" s="32">
        <v>130</v>
      </c>
      <c r="G74" s="32">
        <v>542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848</v>
      </c>
      <c r="D75" s="33">
        <v>256</v>
      </c>
      <c r="E75" s="33">
        <v>225</v>
      </c>
      <c r="F75" s="32">
        <v>45</v>
      </c>
      <c r="G75" s="32">
        <v>113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1189</v>
      </c>
      <c r="D76" s="33">
        <v>668</v>
      </c>
      <c r="E76" s="33">
        <v>668</v>
      </c>
      <c r="F76" s="32">
        <v>85</v>
      </c>
      <c r="G76" s="32">
        <v>436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1943</v>
      </c>
      <c r="D77" s="33">
        <v>152</v>
      </c>
      <c r="E77" s="33">
        <v>90</v>
      </c>
      <c r="F77" s="32">
        <v>112</v>
      </c>
      <c r="G77" s="32">
        <v>820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459</v>
      </c>
      <c r="D78" s="33">
        <v>284</v>
      </c>
      <c r="E78" s="33">
        <v>284</v>
      </c>
      <c r="F78" s="32">
        <v>56</v>
      </c>
      <c r="G78" s="32">
        <v>119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1611</v>
      </c>
      <c r="D79" s="33">
        <v>295</v>
      </c>
      <c r="E79" s="33">
        <v>276</v>
      </c>
      <c r="F79" s="32">
        <v>76</v>
      </c>
      <c r="G79" s="32">
        <v>831</v>
      </c>
      <c r="H79" s="32"/>
      <c r="I79" s="32"/>
    </row>
    <row r="80" spans="1:9" ht="12.75" customHeight="1">
      <c r="A80" s="11"/>
      <c r="B80" s="6" t="s">
        <v>139</v>
      </c>
      <c r="C80" s="31">
        <f t="shared" ref="C80:G80" si="8">SUM(C70:C79)</f>
        <v>16771</v>
      </c>
      <c r="D80" s="31">
        <f t="shared" si="8"/>
        <v>5842</v>
      </c>
      <c r="E80" s="31">
        <f t="shared" si="8"/>
        <v>5257</v>
      </c>
      <c r="F80" s="31">
        <f t="shared" si="8"/>
        <v>1173</v>
      </c>
      <c r="G80" s="31">
        <f t="shared" si="8"/>
        <v>5729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3755</v>
      </c>
      <c r="D81" s="30">
        <v>1075</v>
      </c>
      <c r="E81" s="30">
        <v>621</v>
      </c>
      <c r="F81" s="32">
        <v>308</v>
      </c>
      <c r="G81" s="32">
        <v>2135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1499</v>
      </c>
      <c r="D82" s="30">
        <v>687</v>
      </c>
      <c r="E82" s="30">
        <v>450</v>
      </c>
      <c r="F82" s="32">
        <v>105</v>
      </c>
      <c r="G82" s="32">
        <v>684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142</v>
      </c>
      <c r="D83" s="30">
        <v>73</v>
      </c>
      <c r="E83" s="30">
        <v>70</v>
      </c>
      <c r="F83" s="32">
        <v>19</v>
      </c>
      <c r="G83" s="32">
        <v>28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935</v>
      </c>
      <c r="D84" s="30">
        <v>314</v>
      </c>
      <c r="E84" s="30">
        <v>276</v>
      </c>
      <c r="F84" s="32">
        <v>73</v>
      </c>
      <c r="G84" s="32">
        <v>548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1894</v>
      </c>
      <c r="D85" s="30">
        <v>749</v>
      </c>
      <c r="E85" s="30">
        <v>435</v>
      </c>
      <c r="F85" s="32">
        <v>81</v>
      </c>
      <c r="G85" s="32">
        <v>706</v>
      </c>
      <c r="H85" s="32"/>
      <c r="I85" s="32"/>
    </row>
    <row r="86" spans="1:9" ht="12.75" customHeight="1">
      <c r="A86" s="11"/>
      <c r="B86" s="6" t="s">
        <v>150</v>
      </c>
      <c r="C86" s="31">
        <f t="shared" ref="C86:G86" si="9">SUM(C81:C85)</f>
        <v>8225</v>
      </c>
      <c r="D86" s="31">
        <f t="shared" si="9"/>
        <v>2898</v>
      </c>
      <c r="E86" s="31">
        <f t="shared" si="9"/>
        <v>1852</v>
      </c>
      <c r="F86" s="31">
        <f t="shared" si="9"/>
        <v>586</v>
      </c>
      <c r="G86" s="31">
        <f t="shared" si="9"/>
        <v>4101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4144</v>
      </c>
      <c r="D87" s="30">
        <v>1285</v>
      </c>
      <c r="E87" s="30">
        <v>1239</v>
      </c>
      <c r="F87" s="32">
        <v>189</v>
      </c>
      <c r="G87" s="32">
        <v>1737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2013</v>
      </c>
      <c r="D88" s="30">
        <v>696</v>
      </c>
      <c r="E88" s="30">
        <v>685</v>
      </c>
      <c r="F88" s="32">
        <v>98</v>
      </c>
      <c r="G88" s="32">
        <v>569</v>
      </c>
      <c r="H88" s="32"/>
      <c r="I88" s="32"/>
    </row>
    <row r="89" spans="1:9" ht="12.75" customHeight="1">
      <c r="A89" s="11"/>
      <c r="B89" s="6" t="s">
        <v>155</v>
      </c>
      <c r="C89" s="31">
        <f t="shared" ref="C89:G89" si="10">SUM(C87:C88)</f>
        <v>6157</v>
      </c>
      <c r="D89" s="31">
        <f t="shared" si="10"/>
        <v>1981</v>
      </c>
      <c r="E89" s="31">
        <f t="shared" si="10"/>
        <v>1924</v>
      </c>
      <c r="F89" s="31">
        <f t="shared" si="10"/>
        <v>287</v>
      </c>
      <c r="G89" s="31">
        <f t="shared" si="10"/>
        <v>2306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6035</v>
      </c>
      <c r="D90" s="30">
        <v>1492</v>
      </c>
      <c r="E90" s="30">
        <v>1151</v>
      </c>
      <c r="F90" s="32">
        <v>147</v>
      </c>
      <c r="G90" s="32">
        <v>1764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2678</v>
      </c>
      <c r="D91" s="30">
        <v>791</v>
      </c>
      <c r="E91" s="30">
        <v>692</v>
      </c>
      <c r="F91" s="32">
        <v>244</v>
      </c>
      <c r="G91" s="32">
        <v>796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822</v>
      </c>
      <c r="D92" s="30">
        <v>342</v>
      </c>
      <c r="E92" s="30">
        <v>342</v>
      </c>
      <c r="F92" s="32">
        <v>51</v>
      </c>
      <c r="G92" s="32">
        <v>425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38503</v>
      </c>
      <c r="D93" s="30">
        <v>23764</v>
      </c>
      <c r="E93" s="30">
        <v>12048</v>
      </c>
      <c r="F93" s="32">
        <v>807</v>
      </c>
      <c r="G93" s="32">
        <v>5393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2159</v>
      </c>
      <c r="D94" s="30">
        <v>519</v>
      </c>
      <c r="E94" s="30">
        <v>353</v>
      </c>
      <c r="F94" s="32">
        <v>102</v>
      </c>
      <c r="G94" s="32">
        <v>635</v>
      </c>
      <c r="H94" s="32"/>
      <c r="I94" s="32"/>
    </row>
    <row r="95" spans="1:9" ht="12.75" customHeight="1">
      <c r="A95" s="11"/>
      <c r="B95" s="6" t="s">
        <v>166</v>
      </c>
      <c r="C95" s="31">
        <f t="shared" ref="C95:G95" si="11">SUM(C90:C94)</f>
        <v>50197</v>
      </c>
      <c r="D95" s="31">
        <f t="shared" si="11"/>
        <v>26908</v>
      </c>
      <c r="E95" s="31">
        <f t="shared" si="11"/>
        <v>14586</v>
      </c>
      <c r="F95" s="31">
        <f t="shared" si="11"/>
        <v>1351</v>
      </c>
      <c r="G95" s="31">
        <f t="shared" si="11"/>
        <v>9013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476</v>
      </c>
      <c r="D96" s="30">
        <v>204</v>
      </c>
      <c r="E96" s="30">
        <v>183</v>
      </c>
      <c r="F96" s="32">
        <v>25</v>
      </c>
      <c r="G96" s="32">
        <v>247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483</v>
      </c>
      <c r="D97" s="30">
        <v>130</v>
      </c>
      <c r="E97" s="30">
        <v>58</v>
      </c>
      <c r="F97" s="32">
        <v>17</v>
      </c>
      <c r="G97" s="32">
        <v>175</v>
      </c>
      <c r="H97" s="32"/>
      <c r="I97" s="32"/>
    </row>
    <row r="98" spans="1:9" ht="12.75" customHeight="1">
      <c r="A98" s="11"/>
      <c r="B98" s="6" t="s">
        <v>171</v>
      </c>
      <c r="C98" s="31">
        <f t="shared" ref="C98:G98" si="12">SUM(C96:C97)</f>
        <v>959</v>
      </c>
      <c r="D98" s="31">
        <f t="shared" si="12"/>
        <v>334</v>
      </c>
      <c r="E98" s="31">
        <f t="shared" si="12"/>
        <v>241</v>
      </c>
      <c r="F98" s="31">
        <f t="shared" si="12"/>
        <v>42</v>
      </c>
      <c r="G98" s="31">
        <f t="shared" si="12"/>
        <v>422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1576</v>
      </c>
      <c r="D99" s="30">
        <v>536</v>
      </c>
      <c r="E99" s="30">
        <v>298</v>
      </c>
      <c r="F99" s="32">
        <v>118</v>
      </c>
      <c r="G99" s="32">
        <v>444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891</v>
      </c>
      <c r="D100" s="30">
        <v>439</v>
      </c>
      <c r="E100" s="30">
        <v>373</v>
      </c>
      <c r="F100" s="32">
        <v>50</v>
      </c>
      <c r="G100" s="32">
        <v>384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1485</v>
      </c>
      <c r="D101" s="30">
        <v>469</v>
      </c>
      <c r="E101" s="30">
        <v>184</v>
      </c>
      <c r="F101" s="32">
        <v>116</v>
      </c>
      <c r="G101" s="32">
        <v>385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1548</v>
      </c>
      <c r="D102" s="30">
        <v>627</v>
      </c>
      <c r="E102" s="30">
        <v>491</v>
      </c>
      <c r="F102" s="32">
        <v>149</v>
      </c>
      <c r="G102" s="32">
        <v>773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G103" si="13">SUM(C99:C102)</f>
        <v>5500</v>
      </c>
      <c r="D103" s="31">
        <f t="shared" si="13"/>
        <v>2071</v>
      </c>
      <c r="E103" s="31">
        <f t="shared" si="13"/>
        <v>1346</v>
      </c>
      <c r="F103" s="31">
        <f t="shared" si="13"/>
        <v>433</v>
      </c>
      <c r="G103" s="31">
        <f t="shared" si="13"/>
        <v>1986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1398</v>
      </c>
      <c r="D104" s="30">
        <v>445</v>
      </c>
      <c r="E104" s="30">
        <v>114</v>
      </c>
      <c r="F104" s="32">
        <v>45</v>
      </c>
      <c r="G104" s="32">
        <v>430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1501</v>
      </c>
      <c r="D105" s="30">
        <v>308</v>
      </c>
      <c r="E105" s="30">
        <v>78</v>
      </c>
      <c r="F105" s="32">
        <v>156</v>
      </c>
      <c r="G105" s="32">
        <v>336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8287</v>
      </c>
      <c r="D106" s="30">
        <v>3127</v>
      </c>
      <c r="E106" s="30">
        <v>595</v>
      </c>
      <c r="F106" s="32">
        <v>81</v>
      </c>
      <c r="G106" s="32">
        <v>1026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21937</v>
      </c>
      <c r="D107" s="30">
        <v>7695</v>
      </c>
      <c r="E107" s="30">
        <v>871</v>
      </c>
      <c r="F107" s="32">
        <v>819</v>
      </c>
      <c r="G107" s="32">
        <v>1857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7648</v>
      </c>
      <c r="D108" s="30">
        <v>1673</v>
      </c>
      <c r="E108" s="30">
        <v>599</v>
      </c>
      <c r="F108" s="32">
        <v>465</v>
      </c>
      <c r="G108" s="32">
        <v>823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G109" si="14">SUM(C104:C108)</f>
        <v>40771</v>
      </c>
      <c r="D109" s="31">
        <f t="shared" si="14"/>
        <v>13248</v>
      </c>
      <c r="E109" s="31">
        <f t="shared" si="14"/>
        <v>2257</v>
      </c>
      <c r="F109" s="31">
        <f t="shared" si="14"/>
        <v>1566</v>
      </c>
      <c r="G109" s="31">
        <f t="shared" si="14"/>
        <v>4472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4750</v>
      </c>
      <c r="D110" s="30">
        <v>1929</v>
      </c>
      <c r="E110" s="30">
        <v>781</v>
      </c>
      <c r="F110" s="32">
        <v>796</v>
      </c>
      <c r="G110" s="32">
        <v>1403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318</v>
      </c>
      <c r="D111" s="30">
        <v>166</v>
      </c>
      <c r="E111" s="30">
        <v>166</v>
      </c>
      <c r="F111" s="32">
        <v>64</v>
      </c>
      <c r="G111" s="32">
        <v>88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1530</v>
      </c>
      <c r="D112" s="30">
        <v>701</v>
      </c>
      <c r="E112" s="30">
        <v>305</v>
      </c>
      <c r="F112" s="32">
        <v>176</v>
      </c>
      <c r="G112" s="32">
        <v>439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3708</v>
      </c>
      <c r="D113" s="30">
        <v>1581</v>
      </c>
      <c r="E113" s="30">
        <v>323</v>
      </c>
      <c r="F113" s="32">
        <v>345</v>
      </c>
      <c r="G113" s="32">
        <v>774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3983</v>
      </c>
      <c r="D114" s="30">
        <v>1613</v>
      </c>
      <c r="E114" s="30">
        <v>843</v>
      </c>
      <c r="F114" s="32">
        <v>302</v>
      </c>
      <c r="G114" s="32">
        <v>395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1125</v>
      </c>
      <c r="D115" s="30">
        <v>425</v>
      </c>
      <c r="E115" s="30">
        <v>324</v>
      </c>
      <c r="F115" s="32">
        <v>286</v>
      </c>
      <c r="G115" s="32">
        <v>283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G116" si="15">SUM(C110:C115)</f>
        <v>15414</v>
      </c>
      <c r="D116" s="31">
        <f t="shared" si="15"/>
        <v>6415</v>
      </c>
      <c r="E116" s="31">
        <f t="shared" si="15"/>
        <v>2742</v>
      </c>
      <c r="F116" s="31">
        <f t="shared" si="15"/>
        <v>1969</v>
      </c>
      <c r="G116" s="31">
        <f t="shared" si="15"/>
        <v>3382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377</v>
      </c>
      <c r="D117" s="30">
        <v>129</v>
      </c>
      <c r="E117" s="30">
        <v>93</v>
      </c>
      <c r="F117" s="32">
        <v>33</v>
      </c>
      <c r="G117" s="32">
        <v>215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1479</v>
      </c>
      <c r="D118" s="34">
        <v>283</v>
      </c>
      <c r="E118" s="30">
        <v>246</v>
      </c>
      <c r="F118" s="32">
        <v>264</v>
      </c>
      <c r="G118" s="32">
        <v>745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G119" si="16">SUM(C117:C118)</f>
        <v>1856</v>
      </c>
      <c r="D119" s="31">
        <f t="shared" si="16"/>
        <v>412</v>
      </c>
      <c r="E119" s="31">
        <f t="shared" si="16"/>
        <v>339</v>
      </c>
      <c r="F119" s="31">
        <f t="shared" si="16"/>
        <v>297</v>
      </c>
      <c r="G119" s="31">
        <f t="shared" si="16"/>
        <v>960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1926</v>
      </c>
      <c r="D120" s="30">
        <v>642</v>
      </c>
      <c r="E120" s="30">
        <v>308</v>
      </c>
      <c r="F120" s="32">
        <v>157</v>
      </c>
      <c r="G120" s="32">
        <v>596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2847</v>
      </c>
      <c r="D121" s="30">
        <v>353</v>
      </c>
      <c r="E121" s="30">
        <v>330</v>
      </c>
      <c r="F121" s="32">
        <v>685</v>
      </c>
      <c r="G121" s="32">
        <v>1272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645</v>
      </c>
      <c r="D122" s="30">
        <v>63</v>
      </c>
      <c r="E122" s="30">
        <v>63</v>
      </c>
      <c r="F122" s="32">
        <v>94</v>
      </c>
      <c r="G122" s="32">
        <v>176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2349</v>
      </c>
      <c r="D123" s="30">
        <v>582</v>
      </c>
      <c r="E123" s="30">
        <v>265</v>
      </c>
      <c r="F123" s="32">
        <v>842</v>
      </c>
      <c r="G123" s="32">
        <v>926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700</v>
      </c>
      <c r="D124" s="30">
        <v>29</v>
      </c>
      <c r="E124" s="30">
        <v>29</v>
      </c>
      <c r="F124" s="32">
        <v>65</v>
      </c>
      <c r="G124" s="32">
        <v>352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G125" si="17">SUM(C120:C124)</f>
        <v>8467</v>
      </c>
      <c r="D125" s="31">
        <f t="shared" si="17"/>
        <v>1669</v>
      </c>
      <c r="E125" s="31">
        <f t="shared" si="17"/>
        <v>995</v>
      </c>
      <c r="F125" s="31">
        <f t="shared" si="17"/>
        <v>1843</v>
      </c>
      <c r="G125" s="31">
        <f t="shared" si="17"/>
        <v>3322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1406</v>
      </c>
      <c r="D126" s="30">
        <v>210</v>
      </c>
      <c r="E126" s="30">
        <v>8</v>
      </c>
      <c r="F126" s="32">
        <v>793</v>
      </c>
      <c r="G126" s="32">
        <v>359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383</v>
      </c>
      <c r="D127" s="30">
        <v>103</v>
      </c>
      <c r="E127" s="30">
        <v>29</v>
      </c>
      <c r="F127" s="32">
        <v>172</v>
      </c>
      <c r="G127" s="32">
        <v>104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5633</v>
      </c>
      <c r="D128" s="30">
        <v>3146</v>
      </c>
      <c r="E128" s="30">
        <v>410</v>
      </c>
      <c r="F128" s="32">
        <v>803</v>
      </c>
      <c r="G128" s="32">
        <v>698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2708</v>
      </c>
      <c r="D129" s="30">
        <v>554</v>
      </c>
      <c r="E129" s="30">
        <v>24</v>
      </c>
      <c r="F129" s="32">
        <v>43</v>
      </c>
      <c r="G129" s="32">
        <v>67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2469</v>
      </c>
      <c r="D130" s="30">
        <v>730</v>
      </c>
      <c r="E130" s="30">
        <v>559</v>
      </c>
      <c r="F130" s="32">
        <v>962</v>
      </c>
      <c r="G130" s="32">
        <v>777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4601</v>
      </c>
      <c r="D131" s="30">
        <v>2135</v>
      </c>
      <c r="E131" s="30">
        <v>692</v>
      </c>
      <c r="F131" s="32">
        <v>1354</v>
      </c>
      <c r="G131" s="32">
        <v>810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3164</v>
      </c>
      <c r="D132" s="30">
        <v>2615</v>
      </c>
      <c r="E132" s="30">
        <v>3</v>
      </c>
      <c r="F132" s="32">
        <v>47</v>
      </c>
      <c r="G132" s="32">
        <v>239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2466</v>
      </c>
      <c r="D133" s="30">
        <v>2236</v>
      </c>
      <c r="E133" s="30">
        <v>128</v>
      </c>
      <c r="F133" s="32">
        <v>101</v>
      </c>
      <c r="G133" s="32">
        <v>129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1181</v>
      </c>
      <c r="D134" s="30">
        <v>54</v>
      </c>
      <c r="E134" s="30">
        <v>45</v>
      </c>
      <c r="F134" s="32">
        <v>842</v>
      </c>
      <c r="G134" s="32">
        <v>285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G135" si="18">SUM(C126:C134)</f>
        <v>24011</v>
      </c>
      <c r="D135" s="31">
        <f t="shared" si="18"/>
        <v>11783</v>
      </c>
      <c r="E135" s="31">
        <f t="shared" si="18"/>
        <v>1898</v>
      </c>
      <c r="F135" s="31">
        <f t="shared" si="18"/>
        <v>5117</v>
      </c>
      <c r="G135" s="31">
        <f t="shared" si="18"/>
        <v>3468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7378</v>
      </c>
      <c r="D136" s="30">
        <v>672</v>
      </c>
      <c r="E136" s="30">
        <v>435</v>
      </c>
      <c r="F136" s="32">
        <v>3325</v>
      </c>
      <c r="G136" s="32">
        <v>1040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421</v>
      </c>
      <c r="D137" s="30">
        <v>33</v>
      </c>
      <c r="E137" s="30">
        <v>33</v>
      </c>
      <c r="F137" s="32">
        <v>206</v>
      </c>
      <c r="G137" s="32">
        <v>182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551</v>
      </c>
      <c r="D138" s="30">
        <v>0</v>
      </c>
      <c r="E138" s="30">
        <v>0</v>
      </c>
      <c r="F138" s="32">
        <v>204</v>
      </c>
      <c r="G138" s="32">
        <v>347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1531</v>
      </c>
      <c r="D139" s="30">
        <v>117</v>
      </c>
      <c r="E139" s="30">
        <v>70</v>
      </c>
      <c r="F139" s="32">
        <v>382</v>
      </c>
      <c r="G139" s="32">
        <v>156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167</v>
      </c>
      <c r="D140" s="30">
        <v>0</v>
      </c>
      <c r="E140" s="30">
        <v>0</v>
      </c>
      <c r="F140" s="32">
        <v>105</v>
      </c>
      <c r="G140" s="32">
        <v>62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725</v>
      </c>
      <c r="D141" s="30">
        <v>28</v>
      </c>
      <c r="E141" s="30">
        <v>28</v>
      </c>
      <c r="F141" s="32">
        <v>271</v>
      </c>
      <c r="G141" s="32">
        <v>425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880</v>
      </c>
      <c r="D142" s="30">
        <v>100</v>
      </c>
      <c r="E142" s="30">
        <v>10</v>
      </c>
      <c r="F142" s="32">
        <v>342</v>
      </c>
      <c r="G142" s="32">
        <v>170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3371</v>
      </c>
      <c r="D143" s="30">
        <v>599</v>
      </c>
      <c r="E143" s="30">
        <v>232</v>
      </c>
      <c r="F143" s="32">
        <v>810</v>
      </c>
      <c r="G143" s="32">
        <v>519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G144" si="19">SUM(C136:C143)</f>
        <v>15024</v>
      </c>
      <c r="D144" s="35">
        <f t="shared" si="19"/>
        <v>1549</v>
      </c>
      <c r="E144" s="35">
        <f t="shared" si="19"/>
        <v>808</v>
      </c>
      <c r="F144" s="35">
        <f t="shared" si="19"/>
        <v>5645</v>
      </c>
      <c r="G144" s="35">
        <f t="shared" si="19"/>
        <v>2901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G145" si="20">C144+C135+C125+C119+C116+C109+C103+C98+C95+C89+C86+C80+C69+C59+C51+C46+C43+C30+C25+C23</f>
        <v>321376</v>
      </c>
      <c r="D145" s="32">
        <f t="shared" si="20"/>
        <v>130649</v>
      </c>
      <c r="E145" s="32">
        <f t="shared" si="20"/>
        <v>64532</v>
      </c>
      <c r="F145" s="32">
        <f t="shared" si="20"/>
        <v>25593</v>
      </c>
      <c r="G145" s="32">
        <f t="shared" si="20"/>
        <v>86830</v>
      </c>
      <c r="H145" s="32"/>
      <c r="I145" s="32"/>
    </row>
  </sheetData>
  <sheetProtection selectLockedCells="1" selectUnlockedCells="1"/>
  <mergeCells count="23">
    <mergeCell ref="I12:I13"/>
    <mergeCell ref="F11:G11"/>
    <mergeCell ref="G12:G13"/>
    <mergeCell ref="E11:E13"/>
    <mergeCell ref="F7:I7"/>
    <mergeCell ref="F8:I8"/>
    <mergeCell ref="H12:H13"/>
    <mergeCell ref="A12:A13"/>
    <mergeCell ref="B12:B13"/>
    <mergeCell ref="C12:C13"/>
    <mergeCell ref="D12:D13"/>
    <mergeCell ref="F12:F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H11:I11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M10" sqref="M10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259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260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6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6" t="s">
        <v>9</v>
      </c>
      <c r="F11" s="54" t="s">
        <v>10</v>
      </c>
      <c r="G11" s="55"/>
      <c r="H11" s="61"/>
      <c r="I11" s="6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7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8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1714</v>
      </c>
      <c r="D15" s="29">
        <v>983</v>
      </c>
      <c r="E15" s="29">
        <v>759</v>
      </c>
      <c r="F15" s="29">
        <v>71</v>
      </c>
      <c r="G15" s="29">
        <v>519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956</v>
      </c>
      <c r="D16" s="30">
        <v>328</v>
      </c>
      <c r="E16" s="30">
        <v>328</v>
      </c>
      <c r="F16" s="30">
        <v>77</v>
      </c>
      <c r="G16" s="30">
        <v>551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262</v>
      </c>
      <c r="D17" s="30">
        <v>50</v>
      </c>
      <c r="E17" s="30">
        <v>50</v>
      </c>
      <c r="F17" s="30">
        <v>60</v>
      </c>
      <c r="G17" s="30">
        <v>153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3962</v>
      </c>
      <c r="D18" s="30">
        <v>907</v>
      </c>
      <c r="E18" s="30">
        <v>481</v>
      </c>
      <c r="F18" s="30">
        <v>224</v>
      </c>
      <c r="G18" s="30">
        <v>2414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1214</v>
      </c>
      <c r="D19" s="30">
        <v>644</v>
      </c>
      <c r="E19" s="30">
        <v>580</v>
      </c>
      <c r="F19" s="30">
        <v>26</v>
      </c>
      <c r="G19" s="30">
        <v>145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8426</v>
      </c>
      <c r="D20" s="30">
        <v>3978</v>
      </c>
      <c r="E20" s="30">
        <v>3613</v>
      </c>
      <c r="F20" s="30">
        <v>352</v>
      </c>
      <c r="G20" s="30">
        <v>2577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257</v>
      </c>
      <c r="D21" s="30">
        <v>118</v>
      </c>
      <c r="E21" s="30">
        <v>118</v>
      </c>
      <c r="F21" s="30">
        <v>26</v>
      </c>
      <c r="G21" s="30">
        <v>113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600</v>
      </c>
      <c r="D22" s="30">
        <v>342</v>
      </c>
      <c r="E22" s="30">
        <v>342</v>
      </c>
      <c r="F22" s="30">
        <v>27</v>
      </c>
      <c r="G22" s="30">
        <v>231</v>
      </c>
      <c r="H22" s="30"/>
      <c r="I22" s="30"/>
    </row>
    <row r="23" spans="1:9" ht="12.75" customHeight="1">
      <c r="A23" s="5"/>
      <c r="B23" s="6" t="s">
        <v>33</v>
      </c>
      <c r="C23" s="31">
        <f t="shared" ref="C23:G23" si="0">SUM(C15:C22)</f>
        <v>17391</v>
      </c>
      <c r="D23" s="31">
        <f t="shared" si="0"/>
        <v>7350</v>
      </c>
      <c r="E23" s="31">
        <f t="shared" si="0"/>
        <v>6271</v>
      </c>
      <c r="F23" s="31">
        <f t="shared" si="0"/>
        <v>863</v>
      </c>
      <c r="G23" s="31">
        <f t="shared" si="0"/>
        <v>6703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1136</v>
      </c>
      <c r="D24" s="32">
        <v>65</v>
      </c>
      <c r="E24" s="32">
        <v>31</v>
      </c>
      <c r="F24" s="32">
        <v>83</v>
      </c>
      <c r="G24" s="32">
        <v>429</v>
      </c>
      <c r="H24" s="32"/>
      <c r="I24" s="32"/>
    </row>
    <row r="25" spans="1:9" ht="14.25" customHeight="1">
      <c r="A25" s="7"/>
      <c r="B25" s="6" t="s">
        <v>36</v>
      </c>
      <c r="C25" s="31">
        <f t="shared" ref="C25:G25" si="1">SUM(C24)</f>
        <v>1136</v>
      </c>
      <c r="D25" s="31">
        <f t="shared" si="1"/>
        <v>65</v>
      </c>
      <c r="E25" s="31">
        <f t="shared" si="1"/>
        <v>31</v>
      </c>
      <c r="F25" s="31">
        <f t="shared" si="1"/>
        <v>83</v>
      </c>
      <c r="G25" s="31">
        <f t="shared" si="1"/>
        <v>429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1441</v>
      </c>
      <c r="D26" s="32">
        <v>560</v>
      </c>
      <c r="E26" s="32">
        <v>125</v>
      </c>
      <c r="F26" s="32">
        <v>98</v>
      </c>
      <c r="G26" s="32">
        <v>247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1888</v>
      </c>
      <c r="D27" s="32">
        <v>318</v>
      </c>
      <c r="E27" s="32">
        <v>63</v>
      </c>
      <c r="F27" s="32">
        <v>269</v>
      </c>
      <c r="G27" s="32">
        <v>897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382</v>
      </c>
      <c r="D28" s="32">
        <v>159</v>
      </c>
      <c r="E28" s="32">
        <v>159</v>
      </c>
      <c r="F28" s="32">
        <v>13</v>
      </c>
      <c r="G28" s="32">
        <v>31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729</v>
      </c>
      <c r="D29" s="32">
        <v>20</v>
      </c>
      <c r="E29" s="32">
        <v>20</v>
      </c>
      <c r="F29" s="32">
        <v>91</v>
      </c>
      <c r="G29" s="32">
        <v>604</v>
      </c>
      <c r="H29" s="32"/>
      <c r="I29" s="32"/>
    </row>
    <row r="30" spans="1:9" ht="12.75" customHeight="1">
      <c r="A30" s="5"/>
      <c r="B30" s="6" t="s">
        <v>45</v>
      </c>
      <c r="C30" s="31">
        <f t="shared" ref="C30:G30" si="2">SUM(C26:C29)</f>
        <v>4440</v>
      </c>
      <c r="D30" s="31">
        <f t="shared" si="2"/>
        <v>1057</v>
      </c>
      <c r="E30" s="31">
        <f t="shared" si="2"/>
        <v>367</v>
      </c>
      <c r="F30" s="31">
        <f t="shared" si="2"/>
        <v>471</v>
      </c>
      <c r="G30" s="31">
        <f t="shared" si="2"/>
        <v>1779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4462</v>
      </c>
      <c r="D31" s="32">
        <v>590</v>
      </c>
      <c r="E31" s="32">
        <v>571</v>
      </c>
      <c r="F31" s="32">
        <v>153</v>
      </c>
      <c r="G31" s="32">
        <v>3265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7776</v>
      </c>
      <c r="D32" s="32">
        <v>5209</v>
      </c>
      <c r="E32" s="32">
        <v>4044</v>
      </c>
      <c r="F32" s="32">
        <v>206</v>
      </c>
      <c r="G32" s="32">
        <v>1431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1056</v>
      </c>
      <c r="D33" s="32">
        <v>239</v>
      </c>
      <c r="E33" s="32">
        <v>239</v>
      </c>
      <c r="F33" s="32">
        <v>67</v>
      </c>
      <c r="G33" s="32">
        <v>307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1046</v>
      </c>
      <c r="D34" s="32">
        <v>332</v>
      </c>
      <c r="E34" s="32">
        <v>321</v>
      </c>
      <c r="F34" s="32">
        <v>39</v>
      </c>
      <c r="G34" s="32">
        <v>267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566</v>
      </c>
      <c r="D35" s="32">
        <v>129</v>
      </c>
      <c r="E35" s="32">
        <v>129</v>
      </c>
      <c r="F35" s="32">
        <v>42</v>
      </c>
      <c r="G35" s="32">
        <v>388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454</v>
      </c>
      <c r="D36" s="32">
        <v>168</v>
      </c>
      <c r="E36" s="32">
        <v>168</v>
      </c>
      <c r="F36" s="32">
        <v>13</v>
      </c>
      <c r="G36" s="32">
        <v>71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3309</v>
      </c>
      <c r="D37" s="32">
        <v>1559</v>
      </c>
      <c r="E37" s="32">
        <v>469</v>
      </c>
      <c r="F37" s="32">
        <v>70</v>
      </c>
      <c r="G37" s="32">
        <v>981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7366</v>
      </c>
      <c r="D38" s="32">
        <v>4399</v>
      </c>
      <c r="E38" s="32">
        <v>2881</v>
      </c>
      <c r="F38" s="32">
        <v>199</v>
      </c>
      <c r="G38" s="32">
        <v>1194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516</v>
      </c>
      <c r="D39" s="32">
        <v>326</v>
      </c>
      <c r="E39" s="32">
        <v>326</v>
      </c>
      <c r="F39" s="32">
        <v>53</v>
      </c>
      <c r="G39" s="32">
        <v>137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1825</v>
      </c>
      <c r="D40" s="32">
        <v>723</v>
      </c>
      <c r="E40" s="32">
        <v>480</v>
      </c>
      <c r="F40" s="32">
        <v>45</v>
      </c>
      <c r="G40" s="32">
        <v>859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1050</v>
      </c>
      <c r="D41" s="32">
        <v>126</v>
      </c>
      <c r="E41" s="32">
        <v>81</v>
      </c>
      <c r="F41" s="32">
        <v>136</v>
      </c>
      <c r="G41" s="32">
        <v>319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1060</v>
      </c>
      <c r="D42" s="32">
        <v>625</v>
      </c>
      <c r="E42" s="32">
        <v>341</v>
      </c>
      <c r="F42" s="32">
        <v>84</v>
      </c>
      <c r="G42" s="32">
        <v>343</v>
      </c>
      <c r="H42" s="32"/>
      <c r="I42" s="32"/>
    </row>
    <row r="43" spans="1:9" ht="12.75" customHeight="1">
      <c r="A43" s="5"/>
      <c r="B43" s="6" t="s">
        <v>70</v>
      </c>
      <c r="C43" s="31">
        <f t="shared" ref="C43:G43" si="3">SUM(C31:C42)</f>
        <v>30486</v>
      </c>
      <c r="D43" s="31">
        <f t="shared" si="3"/>
        <v>14425</v>
      </c>
      <c r="E43" s="31">
        <f t="shared" si="3"/>
        <v>10050</v>
      </c>
      <c r="F43" s="31">
        <f t="shared" si="3"/>
        <v>1107</v>
      </c>
      <c r="G43" s="31">
        <f t="shared" si="3"/>
        <v>9562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1586</v>
      </c>
      <c r="D44" s="32">
        <v>263</v>
      </c>
      <c r="E44" s="32">
        <v>263</v>
      </c>
      <c r="F44" s="32">
        <v>263</v>
      </c>
      <c r="G44" s="32">
        <v>833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2311</v>
      </c>
      <c r="D45" s="32">
        <v>840</v>
      </c>
      <c r="E45" s="32">
        <v>758</v>
      </c>
      <c r="F45" s="32">
        <v>262</v>
      </c>
      <c r="G45" s="32">
        <v>1204</v>
      </c>
      <c r="H45" s="32"/>
      <c r="I45" s="32"/>
    </row>
    <row r="46" spans="1:9" ht="12.75" customHeight="1">
      <c r="A46" s="5"/>
      <c r="B46" s="6" t="s">
        <v>75</v>
      </c>
      <c r="C46" s="31">
        <f t="shared" ref="C46:G46" si="4">SUM(C44:C45)</f>
        <v>3897</v>
      </c>
      <c r="D46" s="31">
        <f t="shared" si="4"/>
        <v>1103</v>
      </c>
      <c r="E46" s="31">
        <f t="shared" si="4"/>
        <v>1021</v>
      </c>
      <c r="F46" s="31">
        <f t="shared" si="4"/>
        <v>525</v>
      </c>
      <c r="G46" s="31">
        <f t="shared" si="4"/>
        <v>2037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93</v>
      </c>
      <c r="D47" s="33">
        <v>18</v>
      </c>
      <c r="E47" s="33">
        <v>18</v>
      </c>
      <c r="F47" s="32">
        <v>18</v>
      </c>
      <c r="G47" s="32">
        <v>56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1444</v>
      </c>
      <c r="D48" s="33">
        <v>201</v>
      </c>
      <c r="E48" s="33">
        <v>187</v>
      </c>
      <c r="F48" s="32">
        <v>84</v>
      </c>
      <c r="G48" s="32">
        <v>1013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207</v>
      </c>
      <c r="D49" s="33">
        <v>0</v>
      </c>
      <c r="E49" s="33">
        <v>0</v>
      </c>
      <c r="F49" s="32">
        <v>73</v>
      </c>
      <c r="G49" s="32">
        <v>135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5327</v>
      </c>
      <c r="D50" s="33">
        <v>312</v>
      </c>
      <c r="E50" s="33">
        <v>193</v>
      </c>
      <c r="F50" s="32">
        <v>343</v>
      </c>
      <c r="G50" s="32">
        <v>4244</v>
      </c>
      <c r="H50" s="32"/>
      <c r="I50" s="32"/>
    </row>
    <row r="51" spans="1:9" ht="12.75" customHeight="1">
      <c r="A51" s="9"/>
      <c r="B51" s="6" t="s">
        <v>84</v>
      </c>
      <c r="C51" s="31">
        <f t="shared" ref="C51:G51" si="5">SUM(C47:C50)</f>
        <v>7071</v>
      </c>
      <c r="D51" s="31">
        <f t="shared" si="5"/>
        <v>531</v>
      </c>
      <c r="E51" s="31">
        <f t="shared" si="5"/>
        <v>398</v>
      </c>
      <c r="F51" s="31">
        <f t="shared" si="5"/>
        <v>518</v>
      </c>
      <c r="G51" s="31">
        <f t="shared" si="5"/>
        <v>5448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1502</v>
      </c>
      <c r="D52" s="33">
        <v>179</v>
      </c>
      <c r="E52" s="33">
        <v>121</v>
      </c>
      <c r="F52" s="32">
        <v>151</v>
      </c>
      <c r="G52" s="32">
        <v>943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6455</v>
      </c>
      <c r="D53" s="33">
        <v>3174</v>
      </c>
      <c r="E53" s="33">
        <v>2759</v>
      </c>
      <c r="F53" s="32">
        <v>199</v>
      </c>
      <c r="G53" s="32">
        <v>1419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1154</v>
      </c>
      <c r="D54" s="33">
        <v>407</v>
      </c>
      <c r="E54" s="33">
        <v>226</v>
      </c>
      <c r="F54" s="32">
        <v>58</v>
      </c>
      <c r="G54" s="32">
        <v>482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3714</v>
      </c>
      <c r="D55" s="33">
        <v>754</v>
      </c>
      <c r="E55" s="33">
        <v>666</v>
      </c>
      <c r="F55" s="32">
        <v>346</v>
      </c>
      <c r="G55" s="32">
        <v>2442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4758</v>
      </c>
      <c r="D56" s="33">
        <v>1782</v>
      </c>
      <c r="E56" s="33">
        <v>710</v>
      </c>
      <c r="F56" s="32">
        <v>116</v>
      </c>
      <c r="G56" s="32">
        <v>1381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6264</v>
      </c>
      <c r="D57" s="33">
        <v>2731</v>
      </c>
      <c r="E57" s="33">
        <v>1315</v>
      </c>
      <c r="F57" s="32">
        <v>153</v>
      </c>
      <c r="G57" s="32">
        <v>1938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3112</v>
      </c>
      <c r="D58" s="33">
        <v>1194</v>
      </c>
      <c r="E58" s="33">
        <v>1008</v>
      </c>
      <c r="F58" s="32">
        <v>151</v>
      </c>
      <c r="G58" s="32">
        <v>1002</v>
      </c>
      <c r="H58" s="32"/>
      <c r="I58" s="32"/>
    </row>
    <row r="59" spans="1:9" ht="12.75" customHeight="1">
      <c r="A59" s="9"/>
      <c r="B59" s="6" t="s">
        <v>99</v>
      </c>
      <c r="C59" s="31">
        <f t="shared" ref="C59:G59" si="6">SUM(C52:C58)</f>
        <v>26959</v>
      </c>
      <c r="D59" s="31">
        <f t="shared" si="6"/>
        <v>10221</v>
      </c>
      <c r="E59" s="31">
        <f t="shared" si="6"/>
        <v>6805</v>
      </c>
      <c r="F59" s="31">
        <f t="shared" si="6"/>
        <v>1174</v>
      </c>
      <c r="G59" s="31">
        <f t="shared" si="6"/>
        <v>9607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6712</v>
      </c>
      <c r="D60" s="33">
        <v>3710</v>
      </c>
      <c r="E60" s="33">
        <v>1030</v>
      </c>
      <c r="F60" s="32">
        <v>104</v>
      </c>
      <c r="G60" s="32">
        <v>2082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1655</v>
      </c>
      <c r="D61" s="33">
        <v>620</v>
      </c>
      <c r="E61" s="33">
        <v>575</v>
      </c>
      <c r="F61" s="32">
        <v>52</v>
      </c>
      <c r="G61" s="32">
        <v>960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3400</v>
      </c>
      <c r="D62" s="33">
        <v>1499</v>
      </c>
      <c r="E62" s="33">
        <v>620</v>
      </c>
      <c r="F62" s="32">
        <v>95</v>
      </c>
      <c r="G62" s="32">
        <v>1528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2154</v>
      </c>
      <c r="D63" s="33">
        <v>1319</v>
      </c>
      <c r="E63" s="33">
        <v>513</v>
      </c>
      <c r="F63" s="32">
        <v>75</v>
      </c>
      <c r="G63" s="32">
        <v>693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15153</v>
      </c>
      <c r="D64" s="33">
        <v>9313</v>
      </c>
      <c r="E64" s="33">
        <v>506</v>
      </c>
      <c r="F64" s="32">
        <v>35</v>
      </c>
      <c r="G64" s="32">
        <v>2182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801</v>
      </c>
      <c r="D65" s="33">
        <v>631</v>
      </c>
      <c r="E65" s="33">
        <v>519</v>
      </c>
      <c r="F65" s="32">
        <v>31</v>
      </c>
      <c r="G65" s="32">
        <v>139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1422</v>
      </c>
      <c r="D66" s="33">
        <v>805</v>
      </c>
      <c r="E66" s="33">
        <v>504</v>
      </c>
      <c r="F66" s="32">
        <v>32</v>
      </c>
      <c r="G66" s="32">
        <v>289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2845</v>
      </c>
      <c r="D67" s="33">
        <v>1723</v>
      </c>
      <c r="E67" s="33">
        <v>665</v>
      </c>
      <c r="F67" s="32">
        <v>67</v>
      </c>
      <c r="G67" s="32">
        <v>820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2502</v>
      </c>
      <c r="D68" s="33">
        <v>1167</v>
      </c>
      <c r="E68" s="33">
        <v>412</v>
      </c>
      <c r="F68" s="32">
        <v>52</v>
      </c>
      <c r="G68" s="32">
        <v>510</v>
      </c>
      <c r="H68" s="32"/>
      <c r="I68" s="32"/>
    </row>
    <row r="69" spans="1:9" ht="12.75" customHeight="1">
      <c r="A69" s="5"/>
      <c r="B69" s="6" t="s">
        <v>118</v>
      </c>
      <c r="C69" s="31">
        <f t="shared" ref="C69:G69" si="7">SUM(C60:C68)</f>
        <v>36644</v>
      </c>
      <c r="D69" s="31">
        <f t="shared" si="7"/>
        <v>20787</v>
      </c>
      <c r="E69" s="31">
        <f t="shared" si="7"/>
        <v>5344</v>
      </c>
      <c r="F69" s="31">
        <f t="shared" si="7"/>
        <v>543</v>
      </c>
      <c r="G69" s="31">
        <f t="shared" si="7"/>
        <v>9203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2329</v>
      </c>
      <c r="D70" s="33">
        <v>965</v>
      </c>
      <c r="E70" s="33">
        <v>742</v>
      </c>
      <c r="F70" s="32">
        <v>168</v>
      </c>
      <c r="G70" s="32">
        <v>969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4327</v>
      </c>
      <c r="D71" s="33">
        <v>2146</v>
      </c>
      <c r="E71" s="33">
        <v>1950</v>
      </c>
      <c r="F71" s="32">
        <v>248</v>
      </c>
      <c r="G71" s="32">
        <v>1033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953</v>
      </c>
      <c r="D72" s="33">
        <v>237</v>
      </c>
      <c r="E72" s="33">
        <v>237</v>
      </c>
      <c r="F72" s="32">
        <v>129</v>
      </c>
      <c r="G72" s="32">
        <v>496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1515</v>
      </c>
      <c r="D73" s="33">
        <v>313</v>
      </c>
      <c r="E73" s="33">
        <v>313</v>
      </c>
      <c r="F73" s="32">
        <v>124</v>
      </c>
      <c r="G73" s="32">
        <v>370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1597</v>
      </c>
      <c r="D74" s="33">
        <v>526</v>
      </c>
      <c r="E74" s="33">
        <v>472</v>
      </c>
      <c r="F74" s="32">
        <v>130</v>
      </c>
      <c r="G74" s="32">
        <v>542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848</v>
      </c>
      <c r="D75" s="33">
        <v>256</v>
      </c>
      <c r="E75" s="33">
        <v>225</v>
      </c>
      <c r="F75" s="32">
        <v>45</v>
      </c>
      <c r="G75" s="32">
        <v>113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1189</v>
      </c>
      <c r="D76" s="33">
        <v>668</v>
      </c>
      <c r="E76" s="33">
        <v>668</v>
      </c>
      <c r="F76" s="32">
        <v>85</v>
      </c>
      <c r="G76" s="32">
        <v>436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1943</v>
      </c>
      <c r="D77" s="33">
        <v>152</v>
      </c>
      <c r="E77" s="33">
        <v>90</v>
      </c>
      <c r="F77" s="32">
        <v>112</v>
      </c>
      <c r="G77" s="32">
        <v>820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459</v>
      </c>
      <c r="D78" s="33">
        <v>284</v>
      </c>
      <c r="E78" s="33">
        <v>284</v>
      </c>
      <c r="F78" s="32">
        <v>56</v>
      </c>
      <c r="G78" s="32">
        <v>119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1611</v>
      </c>
      <c r="D79" s="33">
        <v>295</v>
      </c>
      <c r="E79" s="33">
        <v>276</v>
      </c>
      <c r="F79" s="32">
        <v>76</v>
      </c>
      <c r="G79" s="32">
        <v>831</v>
      </c>
      <c r="H79" s="32"/>
      <c r="I79" s="32"/>
    </row>
    <row r="80" spans="1:9" ht="12.75" customHeight="1">
      <c r="A80" s="11"/>
      <c r="B80" s="6" t="s">
        <v>139</v>
      </c>
      <c r="C80" s="31">
        <f t="shared" ref="C80:G80" si="8">SUM(C70:C79)</f>
        <v>16771</v>
      </c>
      <c r="D80" s="31">
        <f t="shared" si="8"/>
        <v>5842</v>
      </c>
      <c r="E80" s="31">
        <f t="shared" si="8"/>
        <v>5257</v>
      </c>
      <c r="F80" s="31">
        <f t="shared" si="8"/>
        <v>1173</v>
      </c>
      <c r="G80" s="31">
        <f t="shared" si="8"/>
        <v>5729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3755</v>
      </c>
      <c r="D81" s="30">
        <v>1075</v>
      </c>
      <c r="E81" s="30">
        <v>621</v>
      </c>
      <c r="F81" s="32">
        <v>308</v>
      </c>
      <c r="G81" s="32">
        <v>2135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1499</v>
      </c>
      <c r="D82" s="30">
        <v>687</v>
      </c>
      <c r="E82" s="30">
        <v>450</v>
      </c>
      <c r="F82" s="32">
        <v>105</v>
      </c>
      <c r="G82" s="32">
        <v>684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142</v>
      </c>
      <c r="D83" s="30">
        <v>73</v>
      </c>
      <c r="E83" s="30">
        <v>70</v>
      </c>
      <c r="F83" s="32">
        <v>19</v>
      </c>
      <c r="G83" s="32">
        <v>28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935</v>
      </c>
      <c r="D84" s="30">
        <v>314</v>
      </c>
      <c r="E84" s="30">
        <v>276</v>
      </c>
      <c r="F84" s="32">
        <v>73</v>
      </c>
      <c r="G84" s="32">
        <v>548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1894</v>
      </c>
      <c r="D85" s="30">
        <v>749</v>
      </c>
      <c r="E85" s="30">
        <v>435</v>
      </c>
      <c r="F85" s="32">
        <v>81</v>
      </c>
      <c r="G85" s="32">
        <v>706</v>
      </c>
      <c r="H85" s="32"/>
      <c r="I85" s="32"/>
    </row>
    <row r="86" spans="1:9" ht="12.75" customHeight="1">
      <c r="A86" s="11"/>
      <c r="B86" s="6" t="s">
        <v>150</v>
      </c>
      <c r="C86" s="31">
        <f t="shared" ref="C86:G86" si="9">SUM(C81:C85)</f>
        <v>8225</v>
      </c>
      <c r="D86" s="31">
        <f t="shared" si="9"/>
        <v>2898</v>
      </c>
      <c r="E86" s="31">
        <f t="shared" si="9"/>
        <v>1852</v>
      </c>
      <c r="F86" s="31">
        <f t="shared" si="9"/>
        <v>586</v>
      </c>
      <c r="G86" s="31">
        <f t="shared" si="9"/>
        <v>4101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4144</v>
      </c>
      <c r="D87" s="30">
        <v>1285</v>
      </c>
      <c r="E87" s="30">
        <v>1239</v>
      </c>
      <c r="F87" s="32">
        <v>189</v>
      </c>
      <c r="G87" s="32">
        <v>1737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2013</v>
      </c>
      <c r="D88" s="30">
        <v>696</v>
      </c>
      <c r="E88" s="30">
        <v>685</v>
      </c>
      <c r="F88" s="32">
        <v>98</v>
      </c>
      <c r="G88" s="32">
        <v>569</v>
      </c>
      <c r="H88" s="32"/>
      <c r="I88" s="32"/>
    </row>
    <row r="89" spans="1:9" ht="12.75" customHeight="1">
      <c r="A89" s="11"/>
      <c r="B89" s="6" t="s">
        <v>155</v>
      </c>
      <c r="C89" s="31">
        <f t="shared" ref="C89:G89" si="10">SUM(C87:C88)</f>
        <v>6157</v>
      </c>
      <c r="D89" s="31">
        <f t="shared" si="10"/>
        <v>1981</v>
      </c>
      <c r="E89" s="31">
        <f t="shared" si="10"/>
        <v>1924</v>
      </c>
      <c r="F89" s="31">
        <f t="shared" si="10"/>
        <v>287</v>
      </c>
      <c r="G89" s="31">
        <f t="shared" si="10"/>
        <v>2306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6035</v>
      </c>
      <c r="D90" s="30">
        <v>1492</v>
      </c>
      <c r="E90" s="30">
        <v>1151</v>
      </c>
      <c r="F90" s="32">
        <v>147</v>
      </c>
      <c r="G90" s="32">
        <v>1764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2678</v>
      </c>
      <c r="D91" s="30">
        <v>791</v>
      </c>
      <c r="E91" s="30">
        <v>692</v>
      </c>
      <c r="F91" s="32">
        <v>244</v>
      </c>
      <c r="G91" s="32">
        <v>796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822</v>
      </c>
      <c r="D92" s="30">
        <v>342</v>
      </c>
      <c r="E92" s="30">
        <v>342</v>
      </c>
      <c r="F92" s="32">
        <v>51</v>
      </c>
      <c r="G92" s="32">
        <v>425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38503</v>
      </c>
      <c r="D93" s="30">
        <v>23764</v>
      </c>
      <c r="E93" s="30">
        <v>12048</v>
      </c>
      <c r="F93" s="32">
        <v>807</v>
      </c>
      <c r="G93" s="32">
        <v>5393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2159</v>
      </c>
      <c r="D94" s="30">
        <v>519</v>
      </c>
      <c r="E94" s="30">
        <v>353</v>
      </c>
      <c r="F94" s="32">
        <v>102</v>
      </c>
      <c r="G94" s="32">
        <v>635</v>
      </c>
      <c r="H94" s="32"/>
      <c r="I94" s="32"/>
    </row>
    <row r="95" spans="1:9" ht="12.75" customHeight="1">
      <c r="A95" s="11"/>
      <c r="B95" s="6" t="s">
        <v>166</v>
      </c>
      <c r="C95" s="31">
        <f t="shared" ref="C95:G95" si="11">SUM(C90:C94)</f>
        <v>50197</v>
      </c>
      <c r="D95" s="31">
        <f t="shared" si="11"/>
        <v>26908</v>
      </c>
      <c r="E95" s="31">
        <f t="shared" si="11"/>
        <v>14586</v>
      </c>
      <c r="F95" s="31">
        <f t="shared" si="11"/>
        <v>1351</v>
      </c>
      <c r="G95" s="31">
        <f t="shared" si="11"/>
        <v>9013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476</v>
      </c>
      <c r="D96" s="30">
        <v>204</v>
      </c>
      <c r="E96" s="30">
        <v>183</v>
      </c>
      <c r="F96" s="32">
        <v>25</v>
      </c>
      <c r="G96" s="32">
        <v>247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483</v>
      </c>
      <c r="D97" s="30">
        <v>130</v>
      </c>
      <c r="E97" s="30">
        <v>58</v>
      </c>
      <c r="F97" s="32">
        <v>17</v>
      </c>
      <c r="G97" s="32">
        <v>175</v>
      </c>
      <c r="H97" s="32"/>
      <c r="I97" s="32"/>
    </row>
    <row r="98" spans="1:9" ht="12.75" customHeight="1">
      <c r="A98" s="11"/>
      <c r="B98" s="6" t="s">
        <v>171</v>
      </c>
      <c r="C98" s="31">
        <f t="shared" ref="C98:G98" si="12">SUM(C96:C97)</f>
        <v>959</v>
      </c>
      <c r="D98" s="31">
        <f t="shared" si="12"/>
        <v>334</v>
      </c>
      <c r="E98" s="31">
        <f t="shared" si="12"/>
        <v>241</v>
      </c>
      <c r="F98" s="31">
        <f t="shared" si="12"/>
        <v>42</v>
      </c>
      <c r="G98" s="31">
        <f t="shared" si="12"/>
        <v>422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1576</v>
      </c>
      <c r="D99" s="30">
        <v>536</v>
      </c>
      <c r="E99" s="30">
        <v>298</v>
      </c>
      <c r="F99" s="32">
        <v>118</v>
      </c>
      <c r="G99" s="32">
        <v>444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891</v>
      </c>
      <c r="D100" s="30">
        <v>439</v>
      </c>
      <c r="E100" s="30">
        <v>373</v>
      </c>
      <c r="F100" s="32">
        <v>50</v>
      </c>
      <c r="G100" s="32">
        <v>384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1485</v>
      </c>
      <c r="D101" s="30">
        <v>469</v>
      </c>
      <c r="E101" s="30">
        <v>184</v>
      </c>
      <c r="F101" s="32">
        <v>116</v>
      </c>
      <c r="G101" s="32">
        <v>385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1548</v>
      </c>
      <c r="D102" s="30">
        <v>627</v>
      </c>
      <c r="E102" s="30">
        <v>491</v>
      </c>
      <c r="F102" s="32">
        <v>149</v>
      </c>
      <c r="G102" s="32">
        <v>773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G103" si="13">SUM(C99:C102)</f>
        <v>5500</v>
      </c>
      <c r="D103" s="31">
        <f t="shared" si="13"/>
        <v>2071</v>
      </c>
      <c r="E103" s="31">
        <f t="shared" si="13"/>
        <v>1346</v>
      </c>
      <c r="F103" s="31">
        <f t="shared" si="13"/>
        <v>433</v>
      </c>
      <c r="G103" s="31">
        <f t="shared" si="13"/>
        <v>1986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1398</v>
      </c>
      <c r="D104" s="30">
        <v>445</v>
      </c>
      <c r="E104" s="30">
        <v>114</v>
      </c>
      <c r="F104" s="32">
        <v>45</v>
      </c>
      <c r="G104" s="32">
        <v>430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1501</v>
      </c>
      <c r="D105" s="30">
        <v>308</v>
      </c>
      <c r="E105" s="30">
        <v>78</v>
      </c>
      <c r="F105" s="32">
        <v>156</v>
      </c>
      <c r="G105" s="32">
        <v>336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8287</v>
      </c>
      <c r="D106" s="30">
        <v>3127</v>
      </c>
      <c r="E106" s="30">
        <v>595</v>
      </c>
      <c r="F106" s="32">
        <v>81</v>
      </c>
      <c r="G106" s="32">
        <v>1026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21937</v>
      </c>
      <c r="D107" s="30">
        <v>7695</v>
      </c>
      <c r="E107" s="30">
        <v>871</v>
      </c>
      <c r="F107" s="32">
        <v>819</v>
      </c>
      <c r="G107" s="32">
        <v>1857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7648</v>
      </c>
      <c r="D108" s="30">
        <v>1673</v>
      </c>
      <c r="E108" s="30">
        <v>599</v>
      </c>
      <c r="F108" s="32">
        <v>465</v>
      </c>
      <c r="G108" s="32">
        <v>823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G109" si="14">SUM(C104:C108)</f>
        <v>40771</v>
      </c>
      <c r="D109" s="31">
        <f t="shared" si="14"/>
        <v>13248</v>
      </c>
      <c r="E109" s="31">
        <f t="shared" si="14"/>
        <v>2257</v>
      </c>
      <c r="F109" s="31">
        <f t="shared" si="14"/>
        <v>1566</v>
      </c>
      <c r="G109" s="31">
        <f t="shared" si="14"/>
        <v>4472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4750</v>
      </c>
      <c r="D110" s="30">
        <v>1929</v>
      </c>
      <c r="E110" s="30">
        <v>781</v>
      </c>
      <c r="F110" s="32">
        <v>796</v>
      </c>
      <c r="G110" s="32">
        <v>1403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318</v>
      </c>
      <c r="D111" s="30">
        <v>166</v>
      </c>
      <c r="E111" s="30">
        <v>166</v>
      </c>
      <c r="F111" s="32">
        <v>64</v>
      </c>
      <c r="G111" s="32">
        <v>88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1530</v>
      </c>
      <c r="D112" s="30">
        <v>701</v>
      </c>
      <c r="E112" s="30">
        <v>305</v>
      </c>
      <c r="F112" s="32">
        <v>176</v>
      </c>
      <c r="G112" s="32">
        <v>439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3708</v>
      </c>
      <c r="D113" s="30">
        <v>1581</v>
      </c>
      <c r="E113" s="30">
        <v>323</v>
      </c>
      <c r="F113" s="32">
        <v>345</v>
      </c>
      <c r="G113" s="32">
        <v>774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3983</v>
      </c>
      <c r="D114" s="30">
        <v>1613</v>
      </c>
      <c r="E114" s="30">
        <v>843</v>
      </c>
      <c r="F114" s="32">
        <v>302</v>
      </c>
      <c r="G114" s="32">
        <v>395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1125</v>
      </c>
      <c r="D115" s="30">
        <v>425</v>
      </c>
      <c r="E115" s="30">
        <v>324</v>
      </c>
      <c r="F115" s="32">
        <v>286</v>
      </c>
      <c r="G115" s="32">
        <v>283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G116" si="15">SUM(C110:C115)</f>
        <v>15414</v>
      </c>
      <c r="D116" s="31">
        <f t="shared" si="15"/>
        <v>6415</v>
      </c>
      <c r="E116" s="31">
        <f t="shared" si="15"/>
        <v>2742</v>
      </c>
      <c r="F116" s="31">
        <f t="shared" si="15"/>
        <v>1969</v>
      </c>
      <c r="G116" s="31">
        <f t="shared" si="15"/>
        <v>3382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377</v>
      </c>
      <c r="D117" s="30">
        <v>129</v>
      </c>
      <c r="E117" s="30">
        <v>93</v>
      </c>
      <c r="F117" s="32">
        <v>33</v>
      </c>
      <c r="G117" s="32">
        <v>215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1479</v>
      </c>
      <c r="D118" s="34">
        <v>283</v>
      </c>
      <c r="E118" s="30">
        <v>246</v>
      </c>
      <c r="F118" s="32">
        <v>264</v>
      </c>
      <c r="G118" s="32">
        <v>745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G119" si="16">SUM(C117:C118)</f>
        <v>1856</v>
      </c>
      <c r="D119" s="31">
        <f t="shared" si="16"/>
        <v>412</v>
      </c>
      <c r="E119" s="31">
        <f t="shared" si="16"/>
        <v>339</v>
      </c>
      <c r="F119" s="31">
        <f t="shared" si="16"/>
        <v>297</v>
      </c>
      <c r="G119" s="31">
        <f t="shared" si="16"/>
        <v>960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1926</v>
      </c>
      <c r="D120" s="30">
        <v>642</v>
      </c>
      <c r="E120" s="30">
        <v>308</v>
      </c>
      <c r="F120" s="32">
        <v>157</v>
      </c>
      <c r="G120" s="32">
        <v>596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2847</v>
      </c>
      <c r="D121" s="30">
        <v>353</v>
      </c>
      <c r="E121" s="30">
        <v>330</v>
      </c>
      <c r="F121" s="32">
        <v>685</v>
      </c>
      <c r="G121" s="32">
        <v>1272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645</v>
      </c>
      <c r="D122" s="30">
        <v>63</v>
      </c>
      <c r="E122" s="30">
        <v>63</v>
      </c>
      <c r="F122" s="32">
        <v>94</v>
      </c>
      <c r="G122" s="32">
        <v>176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2349</v>
      </c>
      <c r="D123" s="30">
        <v>582</v>
      </c>
      <c r="E123" s="30">
        <v>265</v>
      </c>
      <c r="F123" s="32">
        <v>842</v>
      </c>
      <c r="G123" s="32">
        <v>926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700</v>
      </c>
      <c r="D124" s="30">
        <v>29</v>
      </c>
      <c r="E124" s="30">
        <v>29</v>
      </c>
      <c r="F124" s="32">
        <v>65</v>
      </c>
      <c r="G124" s="32">
        <v>352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G125" si="17">SUM(C120:C124)</f>
        <v>8467</v>
      </c>
      <c r="D125" s="31">
        <f t="shared" si="17"/>
        <v>1669</v>
      </c>
      <c r="E125" s="31">
        <f t="shared" si="17"/>
        <v>995</v>
      </c>
      <c r="F125" s="31">
        <f t="shared" si="17"/>
        <v>1843</v>
      </c>
      <c r="G125" s="31">
        <f t="shared" si="17"/>
        <v>3322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1406</v>
      </c>
      <c r="D126" s="30">
        <v>210</v>
      </c>
      <c r="E126" s="30">
        <v>8</v>
      </c>
      <c r="F126" s="32">
        <v>793</v>
      </c>
      <c r="G126" s="32">
        <v>359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383</v>
      </c>
      <c r="D127" s="30">
        <v>103</v>
      </c>
      <c r="E127" s="30">
        <v>29</v>
      </c>
      <c r="F127" s="32">
        <v>172</v>
      </c>
      <c r="G127" s="32">
        <v>104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5633</v>
      </c>
      <c r="D128" s="30">
        <v>3146</v>
      </c>
      <c r="E128" s="30">
        <v>410</v>
      </c>
      <c r="F128" s="32">
        <v>803</v>
      </c>
      <c r="G128" s="32">
        <v>698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2708</v>
      </c>
      <c r="D129" s="30">
        <v>554</v>
      </c>
      <c r="E129" s="30">
        <v>24</v>
      </c>
      <c r="F129" s="32">
        <v>43</v>
      </c>
      <c r="G129" s="32">
        <v>67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2469</v>
      </c>
      <c r="D130" s="30">
        <v>730</v>
      </c>
      <c r="E130" s="30">
        <v>559</v>
      </c>
      <c r="F130" s="32">
        <v>962</v>
      </c>
      <c r="G130" s="32">
        <v>777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4601</v>
      </c>
      <c r="D131" s="30">
        <v>2135</v>
      </c>
      <c r="E131" s="30">
        <v>692</v>
      </c>
      <c r="F131" s="32">
        <v>1354</v>
      </c>
      <c r="G131" s="32">
        <v>810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3164</v>
      </c>
      <c r="D132" s="30">
        <v>2615</v>
      </c>
      <c r="E132" s="30">
        <v>3</v>
      </c>
      <c r="F132" s="32">
        <v>47</v>
      </c>
      <c r="G132" s="32">
        <v>239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2466</v>
      </c>
      <c r="D133" s="30">
        <v>2236</v>
      </c>
      <c r="E133" s="30">
        <v>128</v>
      </c>
      <c r="F133" s="32">
        <v>101</v>
      </c>
      <c r="G133" s="32">
        <v>129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1181</v>
      </c>
      <c r="D134" s="30">
        <v>54</v>
      </c>
      <c r="E134" s="30">
        <v>45</v>
      </c>
      <c r="F134" s="32">
        <v>842</v>
      </c>
      <c r="G134" s="32">
        <v>285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G135" si="18">SUM(C126:C134)</f>
        <v>24011</v>
      </c>
      <c r="D135" s="31">
        <f t="shared" si="18"/>
        <v>11783</v>
      </c>
      <c r="E135" s="31">
        <f t="shared" si="18"/>
        <v>1898</v>
      </c>
      <c r="F135" s="31">
        <f t="shared" si="18"/>
        <v>5117</v>
      </c>
      <c r="G135" s="31">
        <f t="shared" si="18"/>
        <v>3468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7378</v>
      </c>
      <c r="D136" s="30">
        <v>672</v>
      </c>
      <c r="E136" s="30">
        <v>435</v>
      </c>
      <c r="F136" s="32">
        <v>3325</v>
      </c>
      <c r="G136" s="32">
        <v>1040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421</v>
      </c>
      <c r="D137" s="30">
        <v>33</v>
      </c>
      <c r="E137" s="30">
        <v>33</v>
      </c>
      <c r="F137" s="32">
        <v>206</v>
      </c>
      <c r="G137" s="32">
        <v>182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551</v>
      </c>
      <c r="D138" s="30">
        <v>0</v>
      </c>
      <c r="E138" s="30">
        <v>0</v>
      </c>
      <c r="F138" s="32">
        <v>204</v>
      </c>
      <c r="G138" s="32">
        <v>347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1531</v>
      </c>
      <c r="D139" s="30">
        <v>117</v>
      </c>
      <c r="E139" s="30">
        <v>70</v>
      </c>
      <c r="F139" s="32">
        <v>382</v>
      </c>
      <c r="G139" s="32">
        <v>156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167</v>
      </c>
      <c r="D140" s="30">
        <v>0</v>
      </c>
      <c r="E140" s="30">
        <v>0</v>
      </c>
      <c r="F140" s="32">
        <v>105</v>
      </c>
      <c r="G140" s="32">
        <v>62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725</v>
      </c>
      <c r="D141" s="30">
        <v>28</v>
      </c>
      <c r="E141" s="30">
        <v>28</v>
      </c>
      <c r="F141" s="32">
        <v>271</v>
      </c>
      <c r="G141" s="32">
        <v>425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880</v>
      </c>
      <c r="D142" s="30">
        <v>100</v>
      </c>
      <c r="E142" s="30">
        <v>10</v>
      </c>
      <c r="F142" s="32">
        <v>342</v>
      </c>
      <c r="G142" s="32">
        <v>170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3371</v>
      </c>
      <c r="D143" s="30">
        <v>599</v>
      </c>
      <c r="E143" s="30">
        <v>232</v>
      </c>
      <c r="F143" s="32">
        <v>810</v>
      </c>
      <c r="G143" s="32">
        <v>519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G144" si="19">SUM(C136:C143)</f>
        <v>15024</v>
      </c>
      <c r="D144" s="35">
        <f t="shared" si="19"/>
        <v>1549</v>
      </c>
      <c r="E144" s="35">
        <f t="shared" si="19"/>
        <v>808</v>
      </c>
      <c r="F144" s="35">
        <f t="shared" si="19"/>
        <v>5645</v>
      </c>
      <c r="G144" s="35">
        <f t="shared" si="19"/>
        <v>2901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G145" si="20">C144+C135+C125+C119+C116+C109+C103+C98+C95+C89+C86+C80+C69+C59+C51+C46+C43+C30+C25+C23</f>
        <v>321376</v>
      </c>
      <c r="D145" s="32">
        <f t="shared" si="20"/>
        <v>130649</v>
      </c>
      <c r="E145" s="32">
        <f t="shared" si="20"/>
        <v>64532</v>
      </c>
      <c r="F145" s="32">
        <f t="shared" si="20"/>
        <v>25593</v>
      </c>
      <c r="G145" s="32">
        <f t="shared" si="20"/>
        <v>86830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2015-08-06T13:25:00Z</dcterms:modified>
</cp:coreProperties>
</file>