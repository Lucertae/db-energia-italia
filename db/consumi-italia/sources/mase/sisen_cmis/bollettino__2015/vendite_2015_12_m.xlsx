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i="1" l="1"/>
  <c r="P43" i="2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<sst xmlns="http://schemas.openxmlformats.org/spreadsheetml/2006/main" count="182" uniqueCount="91">
  <si>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</si>
  <si>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</si>
  <si>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</si>
  <si>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</si>
  <si>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</si>
  <si>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</si>
  <si>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</si>
  <si>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dicembre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</si>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</sst>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107462</v>
      </c>
      <c r="E10" s="29">
        <v>2355</v>
      </c>
      <c r="F10" s="29">
        <v>0</v>
      </c>
      <c r="G10" s="29">
        <v>0</v>
      </c>
      <c r="H10" s="29">
        <v>0</v>
      </c>
      <c r="I10" s="29">
        <v>0</v>
      </c>
      <c r="J10" s="29">
        <v>7062</v>
      </c>
      <c r="K10" s="29">
        <v>518</v>
      </c>
      <c r="L10" s="29">
        <v>84546</v>
      </c>
      <c r="M10" s="29">
        <v>359</v>
      </c>
      <c r="N10" s="30">
        <f t="shared" ref="N10:N42" si="0">SUM(C10:M10)</f>
        <v>202302</v>
      </c>
      <c r="O10" s="29">
        <v>0</v>
      </c>
      <c r="P10" s="30">
        <f t="shared" ref="P10:P42" si="1">SUM(N10:O10)</f>
        <v>202302</v>
      </c>
    </row>
    <row r="11" spans="1:16" ht="15" customHeight="1">
      <c r="A11" s="11" t="s">
        <v>26</v>
      </c>
      <c r="B11" s="12" t="s">
        <v>27</v>
      </c>
      <c r="C11" s="29">
        <v>74132</v>
      </c>
      <c r="D11" s="29">
        <v>4790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57952</v>
      </c>
      <c r="M11" s="29">
        <v>6077</v>
      </c>
      <c r="N11" s="30">
        <f t="shared" si="0"/>
        <v>142951</v>
      </c>
      <c r="O11" s="29">
        <v>0</v>
      </c>
      <c r="P11" s="30">
        <f t="shared" si="1"/>
        <v>142951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1989</v>
      </c>
      <c r="K12" s="29">
        <v>0</v>
      </c>
      <c r="L12" s="29">
        <v>0</v>
      </c>
      <c r="M12" s="29">
        <v>0</v>
      </c>
      <c r="N12" s="30">
        <f t="shared" si="0"/>
        <v>1989</v>
      </c>
      <c r="O12" s="29">
        <v>0</v>
      </c>
      <c r="P12" s="30">
        <f t="shared" si="1"/>
        <v>1989</v>
      </c>
    </row>
    <row r="13" spans="1:16" ht="15" customHeight="1">
      <c r="A13" s="11" t="s">
        <v>30</v>
      </c>
      <c r="B13" s="12" t="s">
        <v>31</v>
      </c>
      <c r="C13" s="29">
        <v>515244</v>
      </c>
      <c r="D13" s="29">
        <v>9895</v>
      </c>
      <c r="E13" s="29">
        <v>68</v>
      </c>
      <c r="F13" s="29">
        <v>0</v>
      </c>
      <c r="G13" s="29">
        <v>0</v>
      </c>
      <c r="H13" s="29">
        <v>0</v>
      </c>
      <c r="I13" s="29">
        <v>0</v>
      </c>
      <c r="J13" s="29">
        <v>1025</v>
      </c>
      <c r="K13" s="29">
        <v>180</v>
      </c>
      <c r="L13" s="29">
        <v>152166</v>
      </c>
      <c r="M13" s="29">
        <v>3821</v>
      </c>
      <c r="N13" s="30">
        <f t="shared" si="0"/>
        <v>682399</v>
      </c>
      <c r="O13" s="29">
        <v>0</v>
      </c>
      <c r="P13" s="30">
        <f t="shared" si="1"/>
        <v>682399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83</v>
      </c>
      <c r="I14" s="29">
        <v>0</v>
      </c>
      <c r="J14" s="29">
        <v>0</v>
      </c>
      <c r="K14" s="29">
        <v>3</v>
      </c>
      <c r="L14" s="29">
        <v>0</v>
      </c>
      <c r="M14" s="29">
        <v>0</v>
      </c>
      <c r="N14" s="30">
        <f t="shared" si="0"/>
        <v>86</v>
      </c>
      <c r="O14" s="29">
        <v>0</v>
      </c>
      <c r="P14" s="30">
        <f t="shared" si="1"/>
        <v>86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100</v>
      </c>
      <c r="O15" s="29">
        <v>0</v>
      </c>
      <c r="P15" s="30">
        <f t="shared" si="1"/>
        <v>100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161</v>
      </c>
      <c r="F16" s="29">
        <v>0</v>
      </c>
      <c r="G16" s="29">
        <v>0</v>
      </c>
      <c r="H16" s="29">
        <v>0</v>
      </c>
      <c r="I16" s="29">
        <v>0</v>
      </c>
      <c r="J16" s="29">
        <v>294</v>
      </c>
      <c r="K16" s="29">
        <v>0</v>
      </c>
      <c r="L16" s="29">
        <v>0</v>
      </c>
      <c r="M16" s="29">
        <v>0</v>
      </c>
      <c r="N16" s="30">
        <f t="shared" si="0"/>
        <v>455</v>
      </c>
      <c r="O16" s="29">
        <v>0</v>
      </c>
      <c r="P16" s="30">
        <f t="shared" si="1"/>
        <v>455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13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47</v>
      </c>
      <c r="K17" s="29">
        <v>0</v>
      </c>
      <c r="L17" s="29">
        <v>664</v>
      </c>
      <c r="M17" s="29">
        <v>0</v>
      </c>
      <c r="N17" s="30">
        <f t="shared" si="0"/>
        <v>724</v>
      </c>
      <c r="O17" s="29">
        <v>0</v>
      </c>
      <c r="P17" s="30">
        <f t="shared" si="1"/>
        <v>724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259333</v>
      </c>
      <c r="I18" s="29">
        <v>0</v>
      </c>
      <c r="J18" s="29">
        <v>0</v>
      </c>
      <c r="K18" s="29">
        <v>810</v>
      </c>
      <c r="L18" s="29">
        <v>0</v>
      </c>
      <c r="M18" s="29">
        <v>0</v>
      </c>
      <c r="N18" s="30">
        <f t="shared" si="0"/>
        <v>260143</v>
      </c>
      <c r="O18" s="29">
        <v>0</v>
      </c>
      <c r="P18" s="30">
        <f t="shared" si="1"/>
        <v>260143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8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15</v>
      </c>
      <c r="M19" s="29">
        <v>0</v>
      </c>
      <c r="N19" s="30">
        <f t="shared" si="0"/>
        <v>23</v>
      </c>
      <c r="O19" s="29">
        <v>0</v>
      </c>
      <c r="P19" s="30">
        <f t="shared" si="1"/>
        <v>23</v>
      </c>
    </row>
    <row r="20" spans="1:16" ht="15" customHeight="1">
      <c r="A20" s="11" t="s">
        <v>44</v>
      </c>
      <c r="B20" s="12" t="s">
        <v>45</v>
      </c>
      <c r="C20" s="29">
        <v>1154035</v>
      </c>
      <c r="D20" s="29">
        <v>80303</v>
      </c>
      <c r="E20" s="29">
        <v>136292</v>
      </c>
      <c r="F20" s="29">
        <v>2886</v>
      </c>
      <c r="G20" s="29">
        <v>24976</v>
      </c>
      <c r="H20" s="29">
        <v>0</v>
      </c>
      <c r="I20" s="29">
        <v>778</v>
      </c>
      <c r="J20" s="29">
        <v>5805</v>
      </c>
      <c r="K20" s="29">
        <v>2794</v>
      </c>
      <c r="L20" s="29">
        <v>733506</v>
      </c>
      <c r="M20" s="29">
        <v>49220</v>
      </c>
      <c r="N20" s="30">
        <f t="shared" si="0"/>
        <v>2190595</v>
      </c>
      <c r="O20" s="29">
        <v>31145</v>
      </c>
      <c r="P20" s="30">
        <f t="shared" si="1"/>
        <v>2221740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8810</v>
      </c>
      <c r="E21" s="29">
        <v>86</v>
      </c>
      <c r="F21" s="29">
        <v>0</v>
      </c>
      <c r="G21" s="29">
        <v>63</v>
      </c>
      <c r="H21" s="29">
        <v>0</v>
      </c>
      <c r="I21" s="29">
        <v>376</v>
      </c>
      <c r="J21" s="29">
        <v>605</v>
      </c>
      <c r="K21" s="29">
        <v>11458</v>
      </c>
      <c r="L21" s="29">
        <v>151314</v>
      </c>
      <c r="M21" s="29">
        <v>3264</v>
      </c>
      <c r="N21" s="30">
        <f t="shared" si="0"/>
        <v>175976</v>
      </c>
      <c r="O21" s="29">
        <v>5792</v>
      </c>
      <c r="P21" s="30">
        <f t="shared" si="1"/>
        <v>181768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31</v>
      </c>
      <c r="E22" s="29">
        <v>0</v>
      </c>
      <c r="F22" s="29">
        <v>0</v>
      </c>
      <c r="G22" s="29">
        <v>0</v>
      </c>
      <c r="H22" s="29">
        <v>0</v>
      </c>
      <c r="I22" s="29">
        <v>3844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3875</v>
      </c>
      <c r="O22" s="29">
        <v>0</v>
      </c>
      <c r="P22" s="30">
        <f t="shared" si="1"/>
        <v>3875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135105</v>
      </c>
      <c r="J23" s="29">
        <v>0</v>
      </c>
      <c r="K23" s="29">
        <v>0</v>
      </c>
      <c r="L23" s="29">
        <v>736</v>
      </c>
      <c r="M23" s="29">
        <v>356</v>
      </c>
      <c r="N23" s="30">
        <f t="shared" si="0"/>
        <v>136197</v>
      </c>
      <c r="O23" s="29">
        <v>108121</v>
      </c>
      <c r="P23" s="30">
        <f t="shared" si="1"/>
        <v>244318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2704</v>
      </c>
      <c r="E24" s="29">
        <v>376</v>
      </c>
      <c r="F24" s="29">
        <v>0</v>
      </c>
      <c r="G24" s="29">
        <v>0</v>
      </c>
      <c r="H24" s="29">
        <v>0</v>
      </c>
      <c r="I24" s="29">
        <v>9052</v>
      </c>
      <c r="J24" s="29">
        <v>1820</v>
      </c>
      <c r="K24" s="29">
        <v>46</v>
      </c>
      <c r="L24" s="29">
        <v>42834</v>
      </c>
      <c r="M24" s="29">
        <v>16611</v>
      </c>
      <c r="N24" s="30">
        <f t="shared" si="0"/>
        <v>73443</v>
      </c>
      <c r="O24" s="29">
        <v>60774</v>
      </c>
      <c r="P24" s="30">
        <f t="shared" si="1"/>
        <v>134217</v>
      </c>
    </row>
    <row r="25" spans="1:16" ht="15" customHeight="1">
      <c r="A25" s="11" t="s">
        <v>54</v>
      </c>
      <c r="B25" s="12" t="s">
        <v>55</v>
      </c>
      <c r="C25" s="29">
        <v>193</v>
      </c>
      <c r="D25" s="29">
        <v>5956</v>
      </c>
      <c r="E25" s="29">
        <v>491</v>
      </c>
      <c r="F25" s="29">
        <v>78</v>
      </c>
      <c r="G25" s="29">
        <v>190</v>
      </c>
      <c r="H25" s="29">
        <v>3</v>
      </c>
      <c r="I25" s="29">
        <v>68</v>
      </c>
      <c r="J25" s="29">
        <v>1719</v>
      </c>
      <c r="K25" s="29">
        <v>53</v>
      </c>
      <c r="L25" s="29">
        <v>5424</v>
      </c>
      <c r="M25" s="29">
        <v>692</v>
      </c>
      <c r="N25" s="30">
        <f t="shared" si="0"/>
        <v>14867</v>
      </c>
      <c r="O25" s="29">
        <v>2349</v>
      </c>
      <c r="P25" s="30">
        <f t="shared" si="1"/>
        <v>17216</v>
      </c>
    </row>
    <row r="26" spans="1:16" ht="15" customHeight="1">
      <c r="A26" s="11" t="s">
        <v>56</v>
      </c>
      <c r="B26" s="12" t="s">
        <v>57</v>
      </c>
      <c r="C26" s="29">
        <v>2</v>
      </c>
      <c r="D26" s="29">
        <v>3011</v>
      </c>
      <c r="E26" s="29">
        <v>120</v>
      </c>
      <c r="F26" s="29">
        <v>6</v>
      </c>
      <c r="G26" s="29">
        <v>60</v>
      </c>
      <c r="H26" s="29">
        <v>42</v>
      </c>
      <c r="I26" s="29">
        <v>33</v>
      </c>
      <c r="J26" s="29">
        <v>7400</v>
      </c>
      <c r="K26" s="29">
        <v>34</v>
      </c>
      <c r="L26" s="29">
        <v>2315</v>
      </c>
      <c r="M26" s="29">
        <v>471</v>
      </c>
      <c r="N26" s="30">
        <f t="shared" si="0"/>
        <v>13494</v>
      </c>
      <c r="O26" s="29">
        <v>223</v>
      </c>
      <c r="P26" s="30">
        <f t="shared" si="1"/>
        <v>13717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23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475</v>
      </c>
      <c r="K27" s="29">
        <v>0</v>
      </c>
      <c r="L27" s="29">
        <v>7</v>
      </c>
      <c r="M27" s="29">
        <v>336</v>
      </c>
      <c r="N27" s="30">
        <f t="shared" si="0"/>
        <v>841</v>
      </c>
      <c r="O27" s="29">
        <v>0</v>
      </c>
      <c r="P27" s="30">
        <f t="shared" si="1"/>
        <v>841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4</v>
      </c>
      <c r="E28" s="29">
        <v>0</v>
      </c>
      <c r="F28" s="29">
        <v>0</v>
      </c>
      <c r="G28" s="29">
        <v>0</v>
      </c>
      <c r="H28" s="29">
        <v>0</v>
      </c>
      <c r="I28" s="29">
        <v>2</v>
      </c>
      <c r="J28" s="29">
        <v>88</v>
      </c>
      <c r="K28" s="29">
        <v>0</v>
      </c>
      <c r="L28" s="29">
        <v>31</v>
      </c>
      <c r="M28" s="29">
        <v>0</v>
      </c>
      <c r="N28" s="30">
        <f t="shared" si="0"/>
        <v>125</v>
      </c>
      <c r="O28" s="29">
        <v>0</v>
      </c>
      <c r="P28" s="30">
        <f t="shared" si="1"/>
        <v>125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374</v>
      </c>
      <c r="K29" s="29">
        <v>0</v>
      </c>
      <c r="L29" s="29">
        <v>28</v>
      </c>
      <c r="M29" s="29">
        <v>5686</v>
      </c>
      <c r="N29" s="30">
        <f t="shared" si="0"/>
        <v>6088</v>
      </c>
      <c r="O29" s="29">
        <v>0</v>
      </c>
      <c r="P29" s="30">
        <f t="shared" si="1"/>
        <v>6088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5106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56606</v>
      </c>
      <c r="K32" s="29">
        <v>0</v>
      </c>
      <c r="L32" s="29">
        <v>41859</v>
      </c>
      <c r="M32" s="29">
        <v>1772</v>
      </c>
      <c r="N32" s="30">
        <f t="shared" si="0"/>
        <v>105343</v>
      </c>
      <c r="O32" s="29">
        <v>0</v>
      </c>
      <c r="P32" s="30">
        <f t="shared" si="1"/>
        <v>105343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6423</v>
      </c>
      <c r="K33" s="29">
        <v>0</v>
      </c>
      <c r="L33" s="29">
        <v>0</v>
      </c>
      <c r="M33" s="29">
        <v>0</v>
      </c>
      <c r="N33" s="30">
        <f t="shared" si="0"/>
        <v>6423</v>
      </c>
      <c r="O33" s="29">
        <v>0</v>
      </c>
      <c r="P33" s="30">
        <f t="shared" si="1"/>
        <v>6423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106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3615</v>
      </c>
      <c r="K35" s="29">
        <v>0</v>
      </c>
      <c r="L35" s="29">
        <v>120</v>
      </c>
      <c r="M35" s="29">
        <v>0</v>
      </c>
      <c r="N35" s="30">
        <f t="shared" si="0"/>
        <v>3846</v>
      </c>
      <c r="O35" s="29">
        <v>0</v>
      </c>
      <c r="P35" s="30">
        <f t="shared" si="1"/>
        <v>3846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29652</v>
      </c>
      <c r="K36" s="29">
        <v>0</v>
      </c>
      <c r="L36" s="29">
        <v>12667</v>
      </c>
      <c r="M36" s="29">
        <v>11448</v>
      </c>
      <c r="N36" s="30">
        <f t="shared" si="0"/>
        <v>53767</v>
      </c>
      <c r="O36" s="29">
        <v>0</v>
      </c>
      <c r="P36" s="30">
        <f t="shared" si="1"/>
        <v>53767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233</v>
      </c>
      <c r="K37" s="29">
        <v>0</v>
      </c>
      <c r="L37" s="29">
        <v>319</v>
      </c>
      <c r="M37" s="29">
        <v>0</v>
      </c>
      <c r="N37" s="30">
        <f t="shared" si="0"/>
        <v>552</v>
      </c>
      <c r="O37" s="29">
        <v>0</v>
      </c>
      <c r="P37" s="30">
        <f t="shared" si="1"/>
        <v>552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5</v>
      </c>
      <c r="K38" s="29">
        <v>0</v>
      </c>
      <c r="L38" s="29">
        <v>0</v>
      </c>
      <c r="M38" s="29">
        <v>0</v>
      </c>
      <c r="N38" s="30">
        <f t="shared" si="0"/>
        <v>5</v>
      </c>
      <c r="O38" s="29">
        <v>0</v>
      </c>
      <c r="P38" s="30">
        <f t="shared" si="1"/>
        <v>5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51</v>
      </c>
      <c r="J39" s="29">
        <v>63</v>
      </c>
      <c r="K39" s="29">
        <v>0</v>
      </c>
      <c r="L39" s="29">
        <v>3457</v>
      </c>
      <c r="M39" s="29">
        <v>0</v>
      </c>
      <c r="N39" s="30">
        <f t="shared" si="0"/>
        <v>3571</v>
      </c>
      <c r="O39" s="29">
        <v>0</v>
      </c>
      <c r="P39" s="30">
        <f t="shared" si="1"/>
        <v>3571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1743611</v>
      </c>
      <c r="D43" s="31">
        <f t="shared" si="2"/>
        <v>228222</v>
      </c>
      <c r="E43" s="31">
        <f t="shared" si="2"/>
        <v>139949</v>
      </c>
      <c r="F43" s="31">
        <f t="shared" si="2"/>
        <v>2970</v>
      </c>
      <c r="G43" s="31">
        <f t="shared" si="2"/>
        <v>25289</v>
      </c>
      <c r="H43" s="31">
        <f t="shared" si="2"/>
        <v>259561</v>
      </c>
      <c r="I43" s="31">
        <f t="shared" si="2"/>
        <v>149309</v>
      </c>
      <c r="J43" s="31">
        <f t="shared" si="2"/>
        <v>125300</v>
      </c>
      <c r="K43" s="31">
        <f t="shared" si="2"/>
        <v>15896</v>
      </c>
      <c r="L43" s="31">
        <f t="shared" si="2"/>
        <v>1289960</v>
      </c>
      <c r="M43" s="31">
        <f t="shared" si="2"/>
        <v>100113</v>
      </c>
      <c r="N43" s="31">
        <f t="shared" si="2"/>
        <v>4080180</v>
      </c>
      <c r="O43" s="31">
        <f t="shared" si="2"/>
        <v>208404</v>
      </c>
      <c r="P43" s="31">
        <f t="shared" si="2"/>
        <v>4288584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3" width="8.6640625" customWidth="1"/>
    <col min="14" max="14" width="10.109375" bestFit="1" customWidth="1"/>
    <col min="15" max="15" width="9.109375" customWidth="1"/>
    <col min="16" max="16" width="10.109375" bestFit="1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827541</v>
      </c>
      <c r="E10" s="29">
        <v>18385</v>
      </c>
      <c r="F10" s="29">
        <v>0</v>
      </c>
      <c r="G10" s="29">
        <v>0</v>
      </c>
      <c r="H10" s="29">
        <v>0</v>
      </c>
      <c r="I10" s="29">
        <v>0</v>
      </c>
      <c r="J10" s="29">
        <v>66718</v>
      </c>
      <c r="K10" s="29">
        <v>4433</v>
      </c>
      <c r="L10" s="29">
        <v>680992</v>
      </c>
      <c r="M10" s="29">
        <v>4116</v>
      </c>
      <c r="N10" s="30">
        <f t="shared" ref="N10:N42" si="0">SUM(C10:M10)</f>
        <v>1602185</v>
      </c>
      <c r="O10" s="29">
        <v>0</v>
      </c>
      <c r="P10" s="30">
        <f t="shared" ref="P10:P42" si="1">SUM(N10:O10)</f>
        <v>1602185</v>
      </c>
    </row>
    <row r="11" spans="1:16" ht="15" customHeight="1">
      <c r="A11" s="11" t="s">
        <v>26</v>
      </c>
      <c r="B11" s="12" t="s">
        <v>27</v>
      </c>
      <c r="C11" s="29">
        <v>827396</v>
      </c>
      <c r="D11" s="29">
        <v>60061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742967</v>
      </c>
      <c r="M11" s="29">
        <v>17306</v>
      </c>
      <c r="N11" s="30">
        <f t="shared" si="0"/>
        <v>1647730</v>
      </c>
      <c r="O11" s="29">
        <v>0</v>
      </c>
      <c r="P11" s="30">
        <f t="shared" si="1"/>
        <v>1647730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5920</v>
      </c>
      <c r="K12" s="29">
        <v>0</v>
      </c>
      <c r="L12" s="29">
        <v>0</v>
      </c>
      <c r="M12" s="29">
        <v>2499</v>
      </c>
      <c r="N12" s="30">
        <f t="shared" si="0"/>
        <v>8419</v>
      </c>
      <c r="O12" s="29">
        <v>0</v>
      </c>
      <c r="P12" s="30">
        <f t="shared" si="1"/>
        <v>8419</v>
      </c>
    </row>
    <row r="13" spans="1:16" ht="15" customHeight="1">
      <c r="A13" s="11" t="s">
        <v>30</v>
      </c>
      <c r="B13" s="12" t="s">
        <v>31</v>
      </c>
      <c r="C13" s="29">
        <v>5986177</v>
      </c>
      <c r="D13" s="29">
        <v>188544</v>
      </c>
      <c r="E13" s="29">
        <v>1259</v>
      </c>
      <c r="F13" s="29">
        <v>0</v>
      </c>
      <c r="G13" s="29">
        <v>0</v>
      </c>
      <c r="H13" s="29">
        <v>0</v>
      </c>
      <c r="I13" s="29">
        <v>0</v>
      </c>
      <c r="J13" s="29">
        <v>13206</v>
      </c>
      <c r="K13" s="29">
        <v>1060</v>
      </c>
      <c r="L13" s="29">
        <v>1590682</v>
      </c>
      <c r="M13" s="29">
        <v>40830</v>
      </c>
      <c r="N13" s="30">
        <f t="shared" si="0"/>
        <v>7821758</v>
      </c>
      <c r="O13" s="29">
        <v>0</v>
      </c>
      <c r="P13" s="30">
        <f t="shared" si="1"/>
        <v>7821758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1467</v>
      </c>
      <c r="I14" s="29">
        <v>0</v>
      </c>
      <c r="J14" s="29">
        <v>0</v>
      </c>
      <c r="K14" s="29">
        <v>209</v>
      </c>
      <c r="L14" s="29">
        <v>0</v>
      </c>
      <c r="M14" s="29">
        <v>0</v>
      </c>
      <c r="N14" s="30">
        <f t="shared" si="0"/>
        <v>1676</v>
      </c>
      <c r="O14" s="29">
        <v>0</v>
      </c>
      <c r="P14" s="30">
        <f t="shared" si="1"/>
        <v>1676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1004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1004</v>
      </c>
      <c r="O15" s="29">
        <v>0</v>
      </c>
      <c r="P15" s="30">
        <f t="shared" si="1"/>
        <v>1004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1299</v>
      </c>
      <c r="F16" s="29">
        <v>0</v>
      </c>
      <c r="G16" s="29">
        <v>0</v>
      </c>
      <c r="H16" s="29">
        <v>0</v>
      </c>
      <c r="I16" s="29">
        <v>0</v>
      </c>
      <c r="J16" s="29">
        <v>2454</v>
      </c>
      <c r="K16" s="29">
        <v>0</v>
      </c>
      <c r="L16" s="29">
        <v>0</v>
      </c>
      <c r="M16" s="29">
        <v>0</v>
      </c>
      <c r="N16" s="30">
        <f t="shared" si="0"/>
        <v>3753</v>
      </c>
      <c r="O16" s="29">
        <v>0</v>
      </c>
      <c r="P16" s="30">
        <f t="shared" si="1"/>
        <v>3753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62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271</v>
      </c>
      <c r="K17" s="29">
        <v>0</v>
      </c>
      <c r="L17" s="29">
        <v>4588</v>
      </c>
      <c r="M17" s="29">
        <v>0</v>
      </c>
      <c r="N17" s="30">
        <f t="shared" si="0"/>
        <v>4921</v>
      </c>
      <c r="O17" s="29">
        <v>0</v>
      </c>
      <c r="P17" s="30">
        <f t="shared" si="1"/>
        <v>4921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3766379</v>
      </c>
      <c r="I18" s="29">
        <v>0</v>
      </c>
      <c r="J18" s="29">
        <v>0</v>
      </c>
      <c r="K18" s="29">
        <v>118543</v>
      </c>
      <c r="L18" s="29">
        <v>0</v>
      </c>
      <c r="M18" s="29">
        <v>0</v>
      </c>
      <c r="N18" s="30">
        <f t="shared" si="0"/>
        <v>3884922</v>
      </c>
      <c r="O18" s="29">
        <v>0</v>
      </c>
      <c r="P18" s="30">
        <f t="shared" si="1"/>
        <v>3884922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72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65</v>
      </c>
      <c r="M19" s="29">
        <v>0</v>
      </c>
      <c r="N19" s="30">
        <f t="shared" si="0"/>
        <v>137</v>
      </c>
      <c r="O19" s="29">
        <v>0</v>
      </c>
      <c r="P19" s="30">
        <f t="shared" si="1"/>
        <v>137</v>
      </c>
    </row>
    <row r="20" spans="1:16" ht="15" customHeight="1">
      <c r="A20" s="11" t="s">
        <v>44</v>
      </c>
      <c r="B20" s="12" t="s">
        <v>45</v>
      </c>
      <c r="C20" s="29">
        <v>13036057</v>
      </c>
      <c r="D20" s="29">
        <v>1059796</v>
      </c>
      <c r="E20" s="29">
        <v>1897356</v>
      </c>
      <c r="F20" s="29">
        <v>14586</v>
      </c>
      <c r="G20" s="29">
        <v>271611</v>
      </c>
      <c r="H20" s="29">
        <v>0</v>
      </c>
      <c r="I20" s="29">
        <v>16039</v>
      </c>
      <c r="J20" s="29">
        <v>79647</v>
      </c>
      <c r="K20" s="29">
        <v>27413</v>
      </c>
      <c r="L20" s="29">
        <v>8465710</v>
      </c>
      <c r="M20" s="29">
        <v>549785</v>
      </c>
      <c r="N20" s="30">
        <f t="shared" si="0"/>
        <v>25418000</v>
      </c>
      <c r="O20" s="29">
        <v>419464</v>
      </c>
      <c r="P20" s="30">
        <f t="shared" si="1"/>
        <v>25837464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68535</v>
      </c>
      <c r="E21" s="29">
        <v>611</v>
      </c>
      <c r="F21" s="29">
        <v>62</v>
      </c>
      <c r="G21" s="29">
        <v>654</v>
      </c>
      <c r="H21" s="29">
        <v>0</v>
      </c>
      <c r="I21" s="29">
        <v>8772</v>
      </c>
      <c r="J21" s="29">
        <v>4241</v>
      </c>
      <c r="K21" s="29">
        <v>40604</v>
      </c>
      <c r="L21" s="29">
        <v>1021793</v>
      </c>
      <c r="M21" s="29">
        <v>29190</v>
      </c>
      <c r="N21" s="30">
        <f t="shared" si="0"/>
        <v>1174462</v>
      </c>
      <c r="O21" s="29">
        <v>67234</v>
      </c>
      <c r="P21" s="30">
        <f t="shared" si="1"/>
        <v>1241696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1814</v>
      </c>
      <c r="E22" s="29">
        <v>0</v>
      </c>
      <c r="F22" s="29">
        <v>0</v>
      </c>
      <c r="G22" s="29">
        <v>0</v>
      </c>
      <c r="H22" s="29">
        <v>0</v>
      </c>
      <c r="I22" s="29">
        <v>41500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43314</v>
      </c>
      <c r="O22" s="29">
        <v>0</v>
      </c>
      <c r="P22" s="30">
        <f t="shared" si="1"/>
        <v>43314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1208123</v>
      </c>
      <c r="J23" s="29">
        <v>0</v>
      </c>
      <c r="K23" s="29">
        <v>0</v>
      </c>
      <c r="L23" s="29">
        <v>19866</v>
      </c>
      <c r="M23" s="29">
        <v>6327</v>
      </c>
      <c r="N23" s="30">
        <f t="shared" si="0"/>
        <v>1234344</v>
      </c>
      <c r="O23" s="29">
        <v>1383562</v>
      </c>
      <c r="P23" s="30">
        <f t="shared" si="1"/>
        <v>2617906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24497</v>
      </c>
      <c r="E24" s="29">
        <v>3041</v>
      </c>
      <c r="F24" s="29">
        <v>0</v>
      </c>
      <c r="G24" s="29">
        <v>0</v>
      </c>
      <c r="H24" s="29">
        <v>0</v>
      </c>
      <c r="I24" s="29">
        <v>122109</v>
      </c>
      <c r="J24" s="29">
        <v>21165</v>
      </c>
      <c r="K24" s="29">
        <v>535</v>
      </c>
      <c r="L24" s="29">
        <v>346716</v>
      </c>
      <c r="M24" s="29">
        <v>186359</v>
      </c>
      <c r="N24" s="30">
        <f t="shared" si="0"/>
        <v>704422</v>
      </c>
      <c r="O24" s="29">
        <v>732003</v>
      </c>
      <c r="P24" s="30">
        <f t="shared" si="1"/>
        <v>1436425</v>
      </c>
    </row>
    <row r="25" spans="1:16" ht="15" customHeight="1">
      <c r="A25" s="11" t="s">
        <v>54</v>
      </c>
      <c r="B25" s="12" t="s">
        <v>55</v>
      </c>
      <c r="C25" s="29">
        <v>1725</v>
      </c>
      <c r="D25" s="29">
        <v>74560</v>
      </c>
      <c r="E25" s="29">
        <v>8625</v>
      </c>
      <c r="F25" s="29">
        <v>552</v>
      </c>
      <c r="G25" s="29">
        <v>2456</v>
      </c>
      <c r="H25" s="29">
        <v>55</v>
      </c>
      <c r="I25" s="29">
        <v>745</v>
      </c>
      <c r="J25" s="29">
        <v>23515</v>
      </c>
      <c r="K25" s="29">
        <v>550</v>
      </c>
      <c r="L25" s="29">
        <v>65516</v>
      </c>
      <c r="M25" s="29">
        <v>7738</v>
      </c>
      <c r="N25" s="30">
        <f t="shared" si="0"/>
        <v>186037</v>
      </c>
      <c r="O25" s="29">
        <v>34800</v>
      </c>
      <c r="P25" s="30">
        <f t="shared" si="1"/>
        <v>220837</v>
      </c>
    </row>
    <row r="26" spans="1:16" ht="15" customHeight="1">
      <c r="A26" s="11" t="s">
        <v>56</v>
      </c>
      <c r="B26" s="12" t="s">
        <v>57</v>
      </c>
      <c r="C26" s="29">
        <v>106</v>
      </c>
      <c r="D26" s="29">
        <v>32102</v>
      </c>
      <c r="E26" s="29">
        <v>1777</v>
      </c>
      <c r="F26" s="29">
        <v>43</v>
      </c>
      <c r="G26" s="29">
        <v>766</v>
      </c>
      <c r="H26" s="29">
        <v>427</v>
      </c>
      <c r="I26" s="29">
        <v>393</v>
      </c>
      <c r="J26" s="29">
        <v>99685</v>
      </c>
      <c r="K26" s="29">
        <v>273</v>
      </c>
      <c r="L26" s="29">
        <v>30205</v>
      </c>
      <c r="M26" s="29">
        <v>1244</v>
      </c>
      <c r="N26" s="30">
        <f t="shared" si="0"/>
        <v>167021</v>
      </c>
      <c r="O26" s="29">
        <v>2790</v>
      </c>
      <c r="P26" s="30">
        <f t="shared" si="1"/>
        <v>169811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8418</v>
      </c>
      <c r="E27" s="29">
        <v>5</v>
      </c>
      <c r="F27" s="29">
        <v>0</v>
      </c>
      <c r="G27" s="29">
        <v>0</v>
      </c>
      <c r="H27" s="29">
        <v>0</v>
      </c>
      <c r="I27" s="29">
        <v>1</v>
      </c>
      <c r="J27" s="29">
        <v>5204</v>
      </c>
      <c r="K27" s="29">
        <v>0</v>
      </c>
      <c r="L27" s="29">
        <v>168</v>
      </c>
      <c r="M27" s="29">
        <v>8635</v>
      </c>
      <c r="N27" s="30">
        <f t="shared" si="0"/>
        <v>22431</v>
      </c>
      <c r="O27" s="29">
        <v>0</v>
      </c>
      <c r="P27" s="30">
        <f t="shared" si="1"/>
        <v>22431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65</v>
      </c>
      <c r="E28" s="29">
        <v>2</v>
      </c>
      <c r="F28" s="29">
        <v>0</v>
      </c>
      <c r="G28" s="29">
        <v>0</v>
      </c>
      <c r="H28" s="29">
        <v>0</v>
      </c>
      <c r="I28" s="29">
        <v>174</v>
      </c>
      <c r="J28" s="29">
        <v>1423</v>
      </c>
      <c r="K28" s="29">
        <v>0</v>
      </c>
      <c r="L28" s="29">
        <v>600</v>
      </c>
      <c r="M28" s="29">
        <v>0</v>
      </c>
      <c r="N28" s="30">
        <f t="shared" si="0"/>
        <v>2264</v>
      </c>
      <c r="O28" s="29">
        <v>0</v>
      </c>
      <c r="P28" s="30">
        <f t="shared" si="1"/>
        <v>2264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4382</v>
      </c>
      <c r="K29" s="29">
        <v>0</v>
      </c>
      <c r="L29" s="29">
        <v>466</v>
      </c>
      <c r="M29" s="29">
        <v>92726</v>
      </c>
      <c r="N29" s="30">
        <f t="shared" si="0"/>
        <v>97574</v>
      </c>
      <c r="O29" s="29">
        <v>0</v>
      </c>
      <c r="P29" s="30">
        <f t="shared" si="1"/>
        <v>97574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31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7</v>
      </c>
      <c r="K31" s="29">
        <v>0</v>
      </c>
      <c r="L31" s="29">
        <v>1</v>
      </c>
      <c r="M31" s="29">
        <v>0</v>
      </c>
      <c r="N31" s="30">
        <f t="shared" si="0"/>
        <v>39</v>
      </c>
      <c r="O31" s="29">
        <v>0</v>
      </c>
      <c r="P31" s="30">
        <f t="shared" si="1"/>
        <v>39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78772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803237</v>
      </c>
      <c r="K32" s="29">
        <v>0</v>
      </c>
      <c r="L32" s="29">
        <v>635512</v>
      </c>
      <c r="M32" s="29">
        <v>28858</v>
      </c>
      <c r="N32" s="30">
        <f t="shared" si="0"/>
        <v>1546379</v>
      </c>
      <c r="O32" s="29">
        <v>0</v>
      </c>
      <c r="P32" s="30">
        <f t="shared" si="1"/>
        <v>1546379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97309</v>
      </c>
      <c r="K33" s="29">
        <v>0</v>
      </c>
      <c r="L33" s="29">
        <v>0</v>
      </c>
      <c r="M33" s="29">
        <v>0</v>
      </c>
      <c r="N33" s="30">
        <f t="shared" si="0"/>
        <v>97309</v>
      </c>
      <c r="O33" s="29">
        <v>0</v>
      </c>
      <c r="P33" s="30">
        <f t="shared" si="1"/>
        <v>97309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72</v>
      </c>
      <c r="D35" s="29">
        <v>882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54829</v>
      </c>
      <c r="K35" s="29">
        <v>0</v>
      </c>
      <c r="L35" s="29">
        <v>901</v>
      </c>
      <c r="M35" s="29">
        <v>0</v>
      </c>
      <c r="N35" s="30">
        <f t="shared" si="0"/>
        <v>56684</v>
      </c>
      <c r="O35" s="29">
        <v>0</v>
      </c>
      <c r="P35" s="30">
        <f t="shared" si="1"/>
        <v>56684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373</v>
      </c>
      <c r="J36" s="29">
        <v>296403</v>
      </c>
      <c r="K36" s="29">
        <v>0</v>
      </c>
      <c r="L36" s="29">
        <v>146337</v>
      </c>
      <c r="M36" s="29">
        <v>127286</v>
      </c>
      <c r="N36" s="30">
        <f t="shared" si="0"/>
        <v>570399</v>
      </c>
      <c r="O36" s="29">
        <v>0</v>
      </c>
      <c r="P36" s="30">
        <f t="shared" si="1"/>
        <v>570399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34897</v>
      </c>
      <c r="K37" s="29">
        <v>0</v>
      </c>
      <c r="L37" s="29">
        <v>3038</v>
      </c>
      <c r="M37" s="29">
        <v>0</v>
      </c>
      <c r="N37" s="30">
        <f t="shared" si="0"/>
        <v>37935</v>
      </c>
      <c r="O37" s="29">
        <v>0</v>
      </c>
      <c r="P37" s="30">
        <f t="shared" si="1"/>
        <v>37935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843</v>
      </c>
      <c r="K38" s="29">
        <v>0</v>
      </c>
      <c r="L38" s="29">
        <v>0</v>
      </c>
      <c r="M38" s="29">
        <v>0</v>
      </c>
      <c r="N38" s="30">
        <f t="shared" si="0"/>
        <v>843</v>
      </c>
      <c r="O38" s="29">
        <v>0</v>
      </c>
      <c r="P38" s="30">
        <f t="shared" si="1"/>
        <v>843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703</v>
      </c>
      <c r="J39" s="29">
        <v>6977</v>
      </c>
      <c r="K39" s="29">
        <v>0</v>
      </c>
      <c r="L39" s="29">
        <v>103265</v>
      </c>
      <c r="M39" s="29">
        <v>0</v>
      </c>
      <c r="N39" s="30">
        <f t="shared" si="0"/>
        <v>110945</v>
      </c>
      <c r="O39" s="29">
        <v>0</v>
      </c>
      <c r="P39" s="30">
        <f t="shared" si="1"/>
        <v>110945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19851533</v>
      </c>
      <c r="D43" s="31">
        <f t="shared" si="2"/>
        <v>2425780</v>
      </c>
      <c r="E43" s="31">
        <f t="shared" si="2"/>
        <v>1932360</v>
      </c>
      <c r="F43" s="31">
        <f t="shared" si="2"/>
        <v>15243</v>
      </c>
      <c r="G43" s="31">
        <f t="shared" si="2"/>
        <v>275487</v>
      </c>
      <c r="H43" s="31">
        <f t="shared" si="2"/>
        <v>3769332</v>
      </c>
      <c r="I43" s="31">
        <f t="shared" si="2"/>
        <v>1398932</v>
      </c>
      <c r="J43" s="31">
        <f t="shared" si="2"/>
        <v>1622333</v>
      </c>
      <c r="K43" s="31">
        <f t="shared" si="2"/>
        <v>193620</v>
      </c>
      <c r="L43" s="31">
        <f t="shared" si="2"/>
        <v>13859388</v>
      </c>
      <c r="M43" s="31">
        <f t="shared" si="2"/>
        <v>1102899</v>
      </c>
      <c r="N43" s="31">
        <f t="shared" si="2"/>
        <v>46446907</v>
      </c>
      <c r="O43" s="31">
        <f t="shared" si="2"/>
        <v>2639853</v>
      </c>
      <c r="P43" s="31">
        <f t="shared" si="2"/>
        <v>49086760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2016-04-27T11:29:37Z</dcterms:modified>
</cp:coreProperties>
</file>