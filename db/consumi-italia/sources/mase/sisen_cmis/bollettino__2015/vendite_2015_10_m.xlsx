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P43" i="1"/>
  <c r="N43" i="2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<sst xmlns="http://schemas.openxmlformats.org/spreadsheetml/2006/main" count="182" uniqueCount="91">
  <si>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</si>
  <si>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</si>
  <si>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</si>
  <si>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</si>
  <si>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</si>
  <si>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</si>
  <si>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</si>
  <si>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ottobre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</si>
  <si>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</si>
  <si>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</si>
  <si>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</si>
  <si>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</si>
  <si>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</si>
  <si>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</si>
  <si>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</si>
  <si>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</si>
  <si>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</si>
  <si>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</si>
  <si>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</si>
  <si>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</si>
  <si>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</si>
  <si>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</si>
  <si>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</si>
  <si>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</si>
  <si>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</si>
  <si>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</si>
  <si>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</si>
  <si>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</si>
  <si>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</si>
  <si>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</si>
  <si>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</si>
  <si>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</si>
  <si>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</si>
  <si>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</si>
  <si>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</si>
  <si>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</si>
  <si>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</si>
  <si>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</si>
  <si>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</si>
  <si>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</si>
  <si>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</si>
  <si>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</si>
  <si>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</si>
  <si>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</si>
  <si>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</si>
  <si>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</si>
  <si>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</si>
  <si>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</si>
  <si>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</si>
  <si>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</si>
  <si>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</si>
  <si>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</si>
  <si>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</si>
  <si>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</si>
  <si>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</si>
  <si>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</si>
  <si>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</si>
  <si>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</si>
  <si>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</si>
  <si>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</si>
  <si>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</si>
  <si>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</si>
  <si>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</si>
  <si>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</si>
  <si>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</si>
  <si>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</si>
  <si>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</si>
  <si>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</si>
  <si>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</si>
  <si>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</si>
  <si>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</si>
  <si>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</si>
  <si>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</si>
  <si>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</si>
  <si>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</si>
  <si>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</si>
  <si>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</si>
  <si>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</si>
  <si>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</si>
  <si>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</si>
  <si>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</si>
  <si>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</si>
  <si>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</si>
  <si>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</si>
  <si>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</si>
  <si>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</si>
  <si>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</si>
  <si>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</si>
  <si>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</si>
  <si>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</si>
  <si>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gennaio-ottobre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</si>
</sst>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70137</v>
      </c>
      <c r="E10" s="29">
        <v>2043</v>
      </c>
      <c r="F10" s="29">
        <v>0</v>
      </c>
      <c r="G10" s="29">
        <v>0</v>
      </c>
      <c r="H10" s="29">
        <v>0</v>
      </c>
      <c r="I10" s="29">
        <v>0</v>
      </c>
      <c r="J10" s="29">
        <v>4472</v>
      </c>
      <c r="K10" s="29">
        <v>318</v>
      </c>
      <c r="L10" s="29">
        <v>51284</v>
      </c>
      <c r="M10" s="29">
        <v>325</v>
      </c>
      <c r="N10" s="30">
        <f t="shared" ref="N10:N42" si="0">SUM(C10:M10)</f>
        <v>128579</v>
      </c>
      <c r="O10" s="29">
        <v>0</v>
      </c>
      <c r="P10" s="30">
        <f t="shared" ref="P10:P42" si="1">SUM(N10:O10)</f>
        <v>128579</v>
      </c>
    </row>
    <row r="11" spans="1:16" ht="15" customHeight="1">
      <c r="A11" s="11" t="s">
        <v>26</v>
      </c>
      <c r="B11" s="12" t="s">
        <v>27</v>
      </c>
      <c r="C11" s="29">
        <v>69861</v>
      </c>
      <c r="D11" s="29">
        <v>5312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64336</v>
      </c>
      <c r="M11" s="29">
        <v>1448</v>
      </c>
      <c r="N11" s="30">
        <f t="shared" si="0"/>
        <v>140957</v>
      </c>
      <c r="O11" s="29">
        <v>0</v>
      </c>
      <c r="P11" s="30">
        <f t="shared" si="1"/>
        <v>140957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1162</v>
      </c>
      <c r="K12" s="29">
        <v>0</v>
      </c>
      <c r="L12" s="29">
        <v>0</v>
      </c>
      <c r="M12" s="29">
        <v>0</v>
      </c>
      <c r="N12" s="30">
        <f t="shared" si="0"/>
        <v>1162</v>
      </c>
      <c r="O12" s="29">
        <v>0</v>
      </c>
      <c r="P12" s="30">
        <f t="shared" si="1"/>
        <v>1162</v>
      </c>
    </row>
    <row r="13" spans="1:16" ht="15" customHeight="1">
      <c r="A13" s="11" t="s">
        <v>30</v>
      </c>
      <c r="B13" s="12" t="s">
        <v>31</v>
      </c>
      <c r="C13" s="29">
        <v>499720</v>
      </c>
      <c r="D13" s="29">
        <v>8780</v>
      </c>
      <c r="E13" s="29">
        <v>70</v>
      </c>
      <c r="F13" s="29">
        <v>0</v>
      </c>
      <c r="G13" s="29">
        <v>0</v>
      </c>
      <c r="H13" s="29">
        <v>0</v>
      </c>
      <c r="I13" s="29">
        <v>0</v>
      </c>
      <c r="J13" s="29">
        <v>1065</v>
      </c>
      <c r="K13" s="29">
        <v>106</v>
      </c>
      <c r="L13" s="29">
        <v>142689</v>
      </c>
      <c r="M13" s="29">
        <v>2476</v>
      </c>
      <c r="N13" s="30">
        <f t="shared" si="0"/>
        <v>654906</v>
      </c>
      <c r="O13" s="29">
        <v>0</v>
      </c>
      <c r="P13" s="30">
        <f t="shared" si="1"/>
        <v>654906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185</v>
      </c>
      <c r="I14" s="29">
        <v>0</v>
      </c>
      <c r="J14" s="29">
        <v>0</v>
      </c>
      <c r="K14" s="29">
        <v>26</v>
      </c>
      <c r="L14" s="29">
        <v>0</v>
      </c>
      <c r="M14" s="29">
        <v>0</v>
      </c>
      <c r="N14" s="30">
        <f t="shared" si="0"/>
        <v>211</v>
      </c>
      <c r="O14" s="29">
        <v>0</v>
      </c>
      <c r="P14" s="30">
        <f t="shared" si="1"/>
        <v>211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9</v>
      </c>
      <c r="O15" s="29">
        <v>0</v>
      </c>
      <c r="P15" s="30">
        <f t="shared" si="1"/>
        <v>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131</v>
      </c>
      <c r="F16" s="29">
        <v>0</v>
      </c>
      <c r="G16" s="29">
        <v>0</v>
      </c>
      <c r="H16" s="29">
        <v>0</v>
      </c>
      <c r="I16" s="29">
        <v>0</v>
      </c>
      <c r="J16" s="29">
        <v>727</v>
      </c>
      <c r="K16" s="29">
        <v>0</v>
      </c>
      <c r="L16" s="29">
        <v>0</v>
      </c>
      <c r="M16" s="29">
        <v>0</v>
      </c>
      <c r="N16" s="30">
        <f t="shared" si="0"/>
        <v>858</v>
      </c>
      <c r="O16" s="29">
        <v>0</v>
      </c>
      <c r="P16" s="30">
        <f t="shared" si="1"/>
        <v>858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46</v>
      </c>
      <c r="K17" s="29">
        <v>0</v>
      </c>
      <c r="L17" s="29">
        <v>567</v>
      </c>
      <c r="M17" s="29">
        <v>0</v>
      </c>
      <c r="N17" s="30">
        <f t="shared" si="0"/>
        <v>620</v>
      </c>
      <c r="O17" s="29">
        <v>0</v>
      </c>
      <c r="P17" s="30">
        <f t="shared" si="1"/>
        <v>620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328042</v>
      </c>
      <c r="I18" s="29">
        <v>0</v>
      </c>
      <c r="J18" s="29">
        <v>0</v>
      </c>
      <c r="K18" s="29">
        <v>14113</v>
      </c>
      <c r="L18" s="29">
        <v>0</v>
      </c>
      <c r="M18" s="29">
        <v>0</v>
      </c>
      <c r="N18" s="30">
        <f t="shared" si="0"/>
        <v>342155</v>
      </c>
      <c r="O18" s="29">
        <v>0</v>
      </c>
      <c r="P18" s="30">
        <f t="shared" si="1"/>
        <v>342155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29</v>
      </c>
      <c r="M19" s="29">
        <v>0</v>
      </c>
      <c r="N19" s="30">
        <f t="shared" si="0"/>
        <v>47</v>
      </c>
      <c r="O19" s="29">
        <v>0</v>
      </c>
      <c r="P19" s="30">
        <f t="shared" si="1"/>
        <v>47</v>
      </c>
    </row>
    <row r="20" spans="1:16" ht="15" customHeight="1">
      <c r="A20" s="11" t="s">
        <v>44</v>
      </c>
      <c r="B20" s="12" t="s">
        <v>45</v>
      </c>
      <c r="C20" s="29">
        <v>1120908</v>
      </c>
      <c r="D20" s="29">
        <v>80447</v>
      </c>
      <c r="E20" s="29">
        <v>173797</v>
      </c>
      <c r="F20" s="29">
        <v>1356</v>
      </c>
      <c r="G20" s="29">
        <v>20646</v>
      </c>
      <c r="H20" s="29">
        <v>0</v>
      </c>
      <c r="I20" s="29">
        <v>1086</v>
      </c>
      <c r="J20" s="29">
        <v>6203</v>
      </c>
      <c r="K20" s="29">
        <v>2101</v>
      </c>
      <c r="L20" s="29">
        <v>755785</v>
      </c>
      <c r="M20" s="29">
        <v>42345</v>
      </c>
      <c r="N20" s="30">
        <f t="shared" si="0"/>
        <v>2204674</v>
      </c>
      <c r="O20" s="29">
        <v>37379</v>
      </c>
      <c r="P20" s="30">
        <f t="shared" si="1"/>
        <v>2242053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5841</v>
      </c>
      <c r="E21" s="29">
        <v>54</v>
      </c>
      <c r="F21" s="29">
        <v>0</v>
      </c>
      <c r="G21" s="29">
        <v>0</v>
      </c>
      <c r="H21" s="29">
        <v>0</v>
      </c>
      <c r="I21" s="29">
        <v>538</v>
      </c>
      <c r="J21" s="29">
        <v>497</v>
      </c>
      <c r="K21" s="29">
        <v>7955</v>
      </c>
      <c r="L21" s="29">
        <v>118188</v>
      </c>
      <c r="M21" s="29">
        <v>3346</v>
      </c>
      <c r="N21" s="30">
        <f t="shared" si="0"/>
        <v>136419</v>
      </c>
      <c r="O21" s="29">
        <v>6139</v>
      </c>
      <c r="P21" s="30">
        <f t="shared" si="1"/>
        <v>142558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1191</v>
      </c>
      <c r="E22" s="29">
        <v>0</v>
      </c>
      <c r="F22" s="29">
        <v>0</v>
      </c>
      <c r="G22" s="29">
        <v>0</v>
      </c>
      <c r="H22" s="29">
        <v>0</v>
      </c>
      <c r="I22" s="29">
        <v>3332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4523</v>
      </c>
      <c r="O22" s="29">
        <v>0</v>
      </c>
      <c r="P22" s="30">
        <f t="shared" si="1"/>
        <v>4523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104583</v>
      </c>
      <c r="J23" s="29">
        <v>0</v>
      </c>
      <c r="K23" s="29">
        <v>0</v>
      </c>
      <c r="L23" s="29">
        <v>148</v>
      </c>
      <c r="M23" s="29">
        <v>463</v>
      </c>
      <c r="N23" s="30">
        <f t="shared" si="0"/>
        <v>105194</v>
      </c>
      <c r="O23" s="29">
        <v>118441</v>
      </c>
      <c r="P23" s="30">
        <f t="shared" si="1"/>
        <v>223635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1876</v>
      </c>
      <c r="E24" s="29">
        <v>203</v>
      </c>
      <c r="F24" s="29">
        <v>0</v>
      </c>
      <c r="G24" s="29">
        <v>0</v>
      </c>
      <c r="H24" s="29">
        <v>0</v>
      </c>
      <c r="I24" s="29">
        <v>14546</v>
      </c>
      <c r="J24" s="29">
        <v>1920</v>
      </c>
      <c r="K24" s="29">
        <v>26</v>
      </c>
      <c r="L24" s="29">
        <v>26254</v>
      </c>
      <c r="M24" s="29">
        <v>27992</v>
      </c>
      <c r="N24" s="30">
        <f t="shared" si="0"/>
        <v>72817</v>
      </c>
      <c r="O24" s="29">
        <v>68193</v>
      </c>
      <c r="P24" s="30">
        <f t="shared" si="1"/>
        <v>141010</v>
      </c>
    </row>
    <row r="25" spans="1:16" ht="15" customHeight="1">
      <c r="A25" s="11" t="s">
        <v>54</v>
      </c>
      <c r="B25" s="12" t="s">
        <v>55</v>
      </c>
      <c r="C25" s="29">
        <v>188</v>
      </c>
      <c r="D25" s="29">
        <v>6729</v>
      </c>
      <c r="E25" s="29">
        <v>730</v>
      </c>
      <c r="F25" s="29">
        <v>105</v>
      </c>
      <c r="G25" s="29">
        <v>195</v>
      </c>
      <c r="H25" s="29">
        <v>1</v>
      </c>
      <c r="I25" s="29">
        <v>54</v>
      </c>
      <c r="J25" s="29">
        <v>2263</v>
      </c>
      <c r="K25" s="29">
        <v>66</v>
      </c>
      <c r="L25" s="29">
        <v>5798</v>
      </c>
      <c r="M25" s="29">
        <v>737</v>
      </c>
      <c r="N25" s="30">
        <f t="shared" si="0"/>
        <v>16866</v>
      </c>
      <c r="O25" s="29">
        <v>2844</v>
      </c>
      <c r="P25" s="30">
        <f t="shared" si="1"/>
        <v>19710</v>
      </c>
    </row>
    <row r="26" spans="1:16" ht="15" customHeight="1">
      <c r="A26" s="11" t="s">
        <v>56</v>
      </c>
      <c r="B26" s="12" t="s">
        <v>57</v>
      </c>
      <c r="C26" s="29">
        <v>10</v>
      </c>
      <c r="D26" s="29">
        <v>3217</v>
      </c>
      <c r="E26" s="29">
        <v>157</v>
      </c>
      <c r="F26" s="29">
        <v>11</v>
      </c>
      <c r="G26" s="29">
        <v>82</v>
      </c>
      <c r="H26" s="29">
        <v>56</v>
      </c>
      <c r="I26" s="29">
        <v>28</v>
      </c>
      <c r="J26" s="29">
        <v>9015</v>
      </c>
      <c r="K26" s="29">
        <v>7</v>
      </c>
      <c r="L26" s="29">
        <v>2616</v>
      </c>
      <c r="M26" s="29">
        <v>49</v>
      </c>
      <c r="N26" s="30">
        <f t="shared" si="0"/>
        <v>15248</v>
      </c>
      <c r="O26" s="29">
        <v>227</v>
      </c>
      <c r="P26" s="30">
        <f t="shared" si="1"/>
        <v>15475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902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566</v>
      </c>
      <c r="K27" s="29">
        <v>0</v>
      </c>
      <c r="L27" s="29">
        <v>10</v>
      </c>
      <c r="M27" s="29">
        <v>883</v>
      </c>
      <c r="N27" s="30">
        <f t="shared" si="0"/>
        <v>2361</v>
      </c>
      <c r="O27" s="29">
        <v>0</v>
      </c>
      <c r="P27" s="30">
        <f t="shared" si="1"/>
        <v>2361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</v>
      </c>
      <c r="E28" s="29">
        <v>0</v>
      </c>
      <c r="F28" s="29">
        <v>0</v>
      </c>
      <c r="G28" s="29">
        <v>0</v>
      </c>
      <c r="H28" s="29">
        <v>0</v>
      </c>
      <c r="I28" s="29">
        <v>12</v>
      </c>
      <c r="J28" s="29">
        <v>121</v>
      </c>
      <c r="K28" s="29">
        <v>0</v>
      </c>
      <c r="L28" s="29">
        <v>67</v>
      </c>
      <c r="M28" s="29">
        <v>0</v>
      </c>
      <c r="N28" s="30">
        <f t="shared" si="0"/>
        <v>204</v>
      </c>
      <c r="O28" s="29">
        <v>0</v>
      </c>
      <c r="P28" s="30">
        <f t="shared" si="1"/>
        <v>204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423</v>
      </c>
      <c r="K29" s="29">
        <v>0</v>
      </c>
      <c r="L29" s="29">
        <v>54</v>
      </c>
      <c r="M29" s="29">
        <v>8676</v>
      </c>
      <c r="N29" s="30">
        <f t="shared" si="0"/>
        <v>9153</v>
      </c>
      <c r="O29" s="29">
        <v>0</v>
      </c>
      <c r="P29" s="30">
        <f t="shared" si="1"/>
        <v>9153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3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4</v>
      </c>
      <c r="O31" s="29">
        <v>0</v>
      </c>
      <c r="P31" s="30">
        <f t="shared" si="1"/>
        <v>4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8316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80961</v>
      </c>
      <c r="K32" s="29">
        <v>0</v>
      </c>
      <c r="L32" s="29">
        <v>56160</v>
      </c>
      <c r="M32" s="29">
        <v>2262</v>
      </c>
      <c r="N32" s="30">
        <f t="shared" si="0"/>
        <v>147699</v>
      </c>
      <c r="O32" s="29">
        <v>0</v>
      </c>
      <c r="P32" s="30">
        <f t="shared" si="1"/>
        <v>147699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7392</v>
      </c>
      <c r="K33" s="29">
        <v>0</v>
      </c>
      <c r="L33" s="29">
        <v>0</v>
      </c>
      <c r="M33" s="29">
        <v>0</v>
      </c>
      <c r="N33" s="30">
        <f t="shared" si="0"/>
        <v>7392</v>
      </c>
      <c r="O33" s="29">
        <v>0</v>
      </c>
      <c r="P33" s="30">
        <f t="shared" si="1"/>
        <v>7392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8</v>
      </c>
      <c r="D35" s="29">
        <v>117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5403</v>
      </c>
      <c r="K35" s="29">
        <v>0</v>
      </c>
      <c r="L35" s="29">
        <v>147</v>
      </c>
      <c r="M35" s="29">
        <v>0</v>
      </c>
      <c r="N35" s="30">
        <f t="shared" si="0"/>
        <v>5675</v>
      </c>
      <c r="O35" s="29">
        <v>0</v>
      </c>
      <c r="P35" s="30">
        <f t="shared" si="1"/>
        <v>5675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24780</v>
      </c>
      <c r="K36" s="29">
        <v>0</v>
      </c>
      <c r="L36" s="29">
        <v>10213</v>
      </c>
      <c r="M36" s="29">
        <v>9950</v>
      </c>
      <c r="N36" s="30">
        <f t="shared" si="0"/>
        <v>44943</v>
      </c>
      <c r="O36" s="29">
        <v>0</v>
      </c>
      <c r="P36" s="30">
        <f t="shared" si="1"/>
        <v>44943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5267</v>
      </c>
      <c r="K37" s="29">
        <v>0</v>
      </c>
      <c r="L37" s="29">
        <v>319</v>
      </c>
      <c r="M37" s="29">
        <v>0</v>
      </c>
      <c r="N37" s="30">
        <f t="shared" si="0"/>
        <v>5586</v>
      </c>
      <c r="O37" s="29">
        <v>0</v>
      </c>
      <c r="P37" s="30">
        <f t="shared" si="1"/>
        <v>5586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14</v>
      </c>
      <c r="K38" s="29">
        <v>0</v>
      </c>
      <c r="L38" s="29">
        <v>0</v>
      </c>
      <c r="M38" s="29">
        <v>0</v>
      </c>
      <c r="N38" s="30">
        <f t="shared" si="0"/>
        <v>14</v>
      </c>
      <c r="O38" s="29">
        <v>0</v>
      </c>
      <c r="P38" s="30">
        <f t="shared" si="1"/>
        <v>14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51</v>
      </c>
      <c r="J39" s="29">
        <v>65</v>
      </c>
      <c r="K39" s="29">
        <v>0</v>
      </c>
      <c r="L39" s="29">
        <v>5955</v>
      </c>
      <c r="M39" s="29">
        <v>0</v>
      </c>
      <c r="N39" s="30">
        <f t="shared" si="0"/>
        <v>6071</v>
      </c>
      <c r="O39" s="29">
        <v>0</v>
      </c>
      <c r="P39" s="30">
        <f t="shared" si="1"/>
        <v>6071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1690695</v>
      </c>
      <c r="D43" s="31">
        <f t="shared" si="2"/>
        <v>192897</v>
      </c>
      <c r="E43" s="31">
        <f t="shared" si="2"/>
        <v>177185</v>
      </c>
      <c r="F43" s="31">
        <f t="shared" si="2"/>
        <v>1472</v>
      </c>
      <c r="G43" s="31">
        <f t="shared" si="2"/>
        <v>20923</v>
      </c>
      <c r="H43" s="31">
        <f t="shared" si="2"/>
        <v>328293</v>
      </c>
      <c r="I43" s="31">
        <f t="shared" si="2"/>
        <v>124230</v>
      </c>
      <c r="J43" s="31">
        <f t="shared" si="2"/>
        <v>152363</v>
      </c>
      <c r="K43" s="31">
        <f t="shared" si="2"/>
        <v>24718</v>
      </c>
      <c r="L43" s="31">
        <f t="shared" si="2"/>
        <v>1240619</v>
      </c>
      <c r="M43" s="31">
        <f t="shared" si="2"/>
        <v>100952</v>
      </c>
      <c r="N43" s="31">
        <f t="shared" si="2"/>
        <v>4054347</v>
      </c>
      <c r="O43" s="31">
        <f t="shared" si="2"/>
        <v>233223</v>
      </c>
      <c r="P43" s="31">
        <f t="shared" si="2"/>
        <v>4287570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9.5546875" bestFit="1" customWidth="1"/>
    <col min="15" max="15" width="9.109375" customWidth="1"/>
    <col min="16" max="16" width="9.88671875" bestFit="1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655055</v>
      </c>
      <c r="E10" s="29">
        <v>14467</v>
      </c>
      <c r="F10" s="29">
        <v>0</v>
      </c>
      <c r="G10" s="29">
        <v>0</v>
      </c>
      <c r="H10" s="29">
        <v>0</v>
      </c>
      <c r="I10" s="29">
        <v>0</v>
      </c>
      <c r="J10" s="29">
        <v>54428</v>
      </c>
      <c r="K10" s="29">
        <v>3569</v>
      </c>
      <c r="L10" s="29">
        <v>535828</v>
      </c>
      <c r="M10" s="29">
        <v>3487</v>
      </c>
      <c r="N10" s="30">
        <f t="shared" ref="N10:N42" si="0">SUM(C10:M10)</f>
        <v>1266834</v>
      </c>
      <c r="O10" s="29">
        <v>0</v>
      </c>
      <c r="P10" s="30">
        <f t="shared" ref="P10:P42" si="1">SUM(N10:O10)</f>
        <v>1266834</v>
      </c>
    </row>
    <row r="11" spans="1:16" ht="15" customHeight="1">
      <c r="A11" s="11" t="s">
        <v>26</v>
      </c>
      <c r="B11" s="12" t="s">
        <v>27</v>
      </c>
      <c r="C11" s="29">
        <v>686976</v>
      </c>
      <c r="D11" s="29">
        <v>49907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624269</v>
      </c>
      <c r="M11" s="29">
        <v>9901</v>
      </c>
      <c r="N11" s="30">
        <f t="shared" si="0"/>
        <v>1371053</v>
      </c>
      <c r="O11" s="29">
        <v>0</v>
      </c>
      <c r="P11" s="30">
        <f t="shared" si="1"/>
        <v>1371053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2497</v>
      </c>
      <c r="K12" s="29">
        <v>0</v>
      </c>
      <c r="L12" s="29">
        <v>0</v>
      </c>
      <c r="M12" s="29">
        <v>0</v>
      </c>
      <c r="N12" s="30">
        <f t="shared" si="0"/>
        <v>2497</v>
      </c>
      <c r="O12" s="29">
        <v>0</v>
      </c>
      <c r="P12" s="30">
        <f t="shared" si="1"/>
        <v>2497</v>
      </c>
    </row>
    <row r="13" spans="1:16" ht="15" customHeight="1">
      <c r="A13" s="11" t="s">
        <v>30</v>
      </c>
      <c r="B13" s="12" t="s">
        <v>31</v>
      </c>
      <c r="C13" s="29">
        <v>5009232</v>
      </c>
      <c r="D13" s="29">
        <v>169997</v>
      </c>
      <c r="E13" s="29">
        <v>1133</v>
      </c>
      <c r="F13" s="29">
        <v>0</v>
      </c>
      <c r="G13" s="29">
        <v>0</v>
      </c>
      <c r="H13" s="29">
        <v>0</v>
      </c>
      <c r="I13" s="29">
        <v>0</v>
      </c>
      <c r="J13" s="29">
        <v>11235</v>
      </c>
      <c r="K13" s="29">
        <v>748</v>
      </c>
      <c r="L13" s="29">
        <v>1303339</v>
      </c>
      <c r="M13" s="29">
        <v>34705</v>
      </c>
      <c r="N13" s="30">
        <f t="shared" si="0"/>
        <v>6530389</v>
      </c>
      <c r="O13" s="29">
        <v>0</v>
      </c>
      <c r="P13" s="30">
        <f t="shared" si="1"/>
        <v>6530389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1268</v>
      </c>
      <c r="I14" s="29">
        <v>0</v>
      </c>
      <c r="J14" s="29">
        <v>0</v>
      </c>
      <c r="K14" s="29">
        <v>206</v>
      </c>
      <c r="L14" s="29">
        <v>0</v>
      </c>
      <c r="M14" s="29">
        <v>0</v>
      </c>
      <c r="N14" s="30">
        <f t="shared" si="0"/>
        <v>1474</v>
      </c>
      <c r="O14" s="29">
        <v>0</v>
      </c>
      <c r="P14" s="30">
        <f t="shared" si="1"/>
        <v>1474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848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848</v>
      </c>
      <c r="O15" s="29">
        <v>0</v>
      </c>
      <c r="P15" s="30">
        <f t="shared" si="1"/>
        <v>848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1006</v>
      </c>
      <c r="F16" s="29">
        <v>0</v>
      </c>
      <c r="G16" s="29">
        <v>0</v>
      </c>
      <c r="H16" s="29">
        <v>0</v>
      </c>
      <c r="I16" s="29">
        <v>0</v>
      </c>
      <c r="J16" s="29">
        <v>1636</v>
      </c>
      <c r="K16" s="29">
        <v>0</v>
      </c>
      <c r="L16" s="29">
        <v>0</v>
      </c>
      <c r="M16" s="29">
        <v>0</v>
      </c>
      <c r="N16" s="30">
        <f t="shared" si="0"/>
        <v>2642</v>
      </c>
      <c r="O16" s="29">
        <v>0</v>
      </c>
      <c r="P16" s="30">
        <f t="shared" si="1"/>
        <v>2642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220</v>
      </c>
      <c r="K17" s="29">
        <v>0</v>
      </c>
      <c r="L17" s="29">
        <v>3409</v>
      </c>
      <c r="M17" s="29">
        <v>0</v>
      </c>
      <c r="N17" s="30">
        <f t="shared" si="0"/>
        <v>3670</v>
      </c>
      <c r="O17" s="29">
        <v>0</v>
      </c>
      <c r="P17" s="30">
        <f t="shared" si="1"/>
        <v>3670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3248107</v>
      </c>
      <c r="I18" s="29">
        <v>0</v>
      </c>
      <c r="J18" s="29">
        <v>0</v>
      </c>
      <c r="K18" s="29">
        <v>98558</v>
      </c>
      <c r="L18" s="29">
        <v>0</v>
      </c>
      <c r="M18" s="29">
        <v>0</v>
      </c>
      <c r="N18" s="30">
        <f t="shared" si="0"/>
        <v>3346665</v>
      </c>
      <c r="O18" s="29">
        <v>0</v>
      </c>
      <c r="P18" s="30">
        <f t="shared" si="1"/>
        <v>3346665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60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50</v>
      </c>
      <c r="M19" s="29">
        <v>0</v>
      </c>
      <c r="N19" s="30">
        <f t="shared" si="0"/>
        <v>110</v>
      </c>
      <c r="O19" s="29">
        <v>0</v>
      </c>
      <c r="P19" s="30">
        <f t="shared" si="1"/>
        <v>110</v>
      </c>
    </row>
    <row r="20" spans="1:16" ht="15" customHeight="1">
      <c r="A20" s="11" t="s">
        <v>44</v>
      </c>
      <c r="B20" s="12" t="s">
        <v>45</v>
      </c>
      <c r="C20" s="29">
        <v>10841030</v>
      </c>
      <c r="D20" s="29">
        <v>902086</v>
      </c>
      <c r="E20" s="29">
        <v>1609423</v>
      </c>
      <c r="F20" s="29">
        <v>9068</v>
      </c>
      <c r="G20" s="29">
        <v>224796</v>
      </c>
      <c r="H20" s="29">
        <v>0</v>
      </c>
      <c r="I20" s="29">
        <v>14658</v>
      </c>
      <c r="J20" s="29">
        <v>67248</v>
      </c>
      <c r="K20" s="29">
        <v>22023</v>
      </c>
      <c r="L20" s="29">
        <v>7020346</v>
      </c>
      <c r="M20" s="29">
        <v>462525</v>
      </c>
      <c r="N20" s="30">
        <f t="shared" si="0"/>
        <v>21173203</v>
      </c>
      <c r="O20" s="29">
        <v>358578</v>
      </c>
      <c r="P20" s="30">
        <f t="shared" si="1"/>
        <v>21531781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53482</v>
      </c>
      <c r="E21" s="29">
        <v>428</v>
      </c>
      <c r="F21" s="29">
        <v>62</v>
      </c>
      <c r="G21" s="29">
        <v>494</v>
      </c>
      <c r="H21" s="29">
        <v>0</v>
      </c>
      <c r="I21" s="29">
        <v>7216</v>
      </c>
      <c r="J21" s="29">
        <v>3192</v>
      </c>
      <c r="K21" s="29">
        <v>22280</v>
      </c>
      <c r="L21" s="29">
        <v>761152</v>
      </c>
      <c r="M21" s="29">
        <v>23786</v>
      </c>
      <c r="N21" s="30">
        <f t="shared" si="0"/>
        <v>872092</v>
      </c>
      <c r="O21" s="29">
        <v>56127</v>
      </c>
      <c r="P21" s="30">
        <f t="shared" si="1"/>
        <v>928219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1269</v>
      </c>
      <c r="E22" s="29">
        <v>0</v>
      </c>
      <c r="F22" s="29">
        <v>0</v>
      </c>
      <c r="G22" s="29">
        <v>0</v>
      </c>
      <c r="H22" s="29">
        <v>0</v>
      </c>
      <c r="I22" s="29">
        <v>34411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35680</v>
      </c>
      <c r="O22" s="29">
        <v>0</v>
      </c>
      <c r="P22" s="30">
        <f t="shared" si="1"/>
        <v>35680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979093</v>
      </c>
      <c r="J23" s="29">
        <v>0</v>
      </c>
      <c r="K23" s="29">
        <v>0</v>
      </c>
      <c r="L23" s="29">
        <v>18440</v>
      </c>
      <c r="M23" s="29">
        <v>5617</v>
      </c>
      <c r="N23" s="30">
        <f t="shared" si="0"/>
        <v>1003178</v>
      </c>
      <c r="O23" s="29">
        <v>1172690</v>
      </c>
      <c r="P23" s="30">
        <f t="shared" si="1"/>
        <v>2175868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19767</v>
      </c>
      <c r="E24" s="29">
        <v>2422</v>
      </c>
      <c r="F24" s="29">
        <v>0</v>
      </c>
      <c r="G24" s="29">
        <v>0</v>
      </c>
      <c r="H24" s="29">
        <v>0</v>
      </c>
      <c r="I24" s="29">
        <v>110563</v>
      </c>
      <c r="J24" s="29">
        <v>17226</v>
      </c>
      <c r="K24" s="29">
        <v>425</v>
      </c>
      <c r="L24" s="29">
        <v>275507</v>
      </c>
      <c r="M24" s="29">
        <v>152455</v>
      </c>
      <c r="N24" s="30">
        <f t="shared" si="0"/>
        <v>578365</v>
      </c>
      <c r="O24" s="29">
        <v>617143</v>
      </c>
      <c r="P24" s="30">
        <f t="shared" si="1"/>
        <v>1195508</v>
      </c>
    </row>
    <row r="25" spans="1:16" ht="15" customHeight="1">
      <c r="A25" s="11" t="s">
        <v>54</v>
      </c>
      <c r="B25" s="12" t="s">
        <v>55</v>
      </c>
      <c r="C25" s="29">
        <v>1376</v>
      </c>
      <c r="D25" s="29">
        <v>62081</v>
      </c>
      <c r="E25" s="29">
        <v>7461</v>
      </c>
      <c r="F25" s="29">
        <v>449</v>
      </c>
      <c r="G25" s="29">
        <v>2114</v>
      </c>
      <c r="H25" s="29">
        <v>47</v>
      </c>
      <c r="I25" s="29">
        <v>616</v>
      </c>
      <c r="J25" s="29">
        <v>19597</v>
      </c>
      <c r="K25" s="29">
        <v>462</v>
      </c>
      <c r="L25" s="29">
        <v>54594</v>
      </c>
      <c r="M25" s="29">
        <v>6128</v>
      </c>
      <c r="N25" s="30">
        <f t="shared" si="0"/>
        <v>154925</v>
      </c>
      <c r="O25" s="29">
        <v>29136</v>
      </c>
      <c r="P25" s="30">
        <f t="shared" si="1"/>
        <v>184061</v>
      </c>
    </row>
    <row r="26" spans="1:16" ht="15" customHeight="1">
      <c r="A26" s="11" t="s">
        <v>56</v>
      </c>
      <c r="B26" s="12" t="s">
        <v>57</v>
      </c>
      <c r="C26" s="29">
        <v>100</v>
      </c>
      <c r="D26" s="29">
        <v>26160</v>
      </c>
      <c r="E26" s="29">
        <v>1518</v>
      </c>
      <c r="F26" s="29">
        <v>36</v>
      </c>
      <c r="G26" s="29">
        <v>641</v>
      </c>
      <c r="H26" s="29">
        <v>349</v>
      </c>
      <c r="I26" s="29">
        <v>328</v>
      </c>
      <c r="J26" s="29">
        <v>84024</v>
      </c>
      <c r="K26" s="29">
        <v>231</v>
      </c>
      <c r="L26" s="29">
        <v>25337</v>
      </c>
      <c r="M26" s="29">
        <v>699</v>
      </c>
      <c r="N26" s="30">
        <f t="shared" si="0"/>
        <v>139423</v>
      </c>
      <c r="O26" s="29">
        <v>2307</v>
      </c>
      <c r="P26" s="30">
        <f t="shared" si="1"/>
        <v>141730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7751</v>
      </c>
      <c r="E27" s="29">
        <v>4</v>
      </c>
      <c r="F27" s="29">
        <v>0</v>
      </c>
      <c r="G27" s="29">
        <v>0</v>
      </c>
      <c r="H27" s="29">
        <v>0</v>
      </c>
      <c r="I27" s="29">
        <v>1</v>
      </c>
      <c r="J27" s="29">
        <v>4197</v>
      </c>
      <c r="K27" s="29">
        <v>0</v>
      </c>
      <c r="L27" s="29">
        <v>144</v>
      </c>
      <c r="M27" s="29">
        <v>7452</v>
      </c>
      <c r="N27" s="30">
        <f t="shared" si="0"/>
        <v>19549</v>
      </c>
      <c r="O27" s="29">
        <v>0</v>
      </c>
      <c r="P27" s="30">
        <f t="shared" si="1"/>
        <v>19549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58</v>
      </c>
      <c r="E28" s="29">
        <v>1</v>
      </c>
      <c r="F28" s="29">
        <v>0</v>
      </c>
      <c r="G28" s="29">
        <v>0</v>
      </c>
      <c r="H28" s="29">
        <v>0</v>
      </c>
      <c r="I28" s="29">
        <v>135</v>
      </c>
      <c r="J28" s="29">
        <v>1244</v>
      </c>
      <c r="K28" s="29">
        <v>0</v>
      </c>
      <c r="L28" s="29">
        <v>514</v>
      </c>
      <c r="M28" s="29">
        <v>0</v>
      </c>
      <c r="N28" s="30">
        <f t="shared" si="0"/>
        <v>1952</v>
      </c>
      <c r="O28" s="29">
        <v>0</v>
      </c>
      <c r="P28" s="30">
        <f t="shared" si="1"/>
        <v>1952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3810</v>
      </c>
      <c r="K29" s="29">
        <v>0</v>
      </c>
      <c r="L29" s="29">
        <v>382</v>
      </c>
      <c r="M29" s="29">
        <v>79015</v>
      </c>
      <c r="N29" s="30">
        <f t="shared" si="0"/>
        <v>83207</v>
      </c>
      <c r="O29" s="29">
        <v>0</v>
      </c>
      <c r="P29" s="30">
        <f t="shared" si="1"/>
        <v>83207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28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6</v>
      </c>
      <c r="K31" s="29">
        <v>0</v>
      </c>
      <c r="L31" s="29">
        <v>1</v>
      </c>
      <c r="M31" s="29">
        <v>0</v>
      </c>
      <c r="N31" s="30">
        <f t="shared" si="0"/>
        <v>35</v>
      </c>
      <c r="O31" s="29">
        <v>0</v>
      </c>
      <c r="P31" s="30">
        <f t="shared" si="1"/>
        <v>35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66486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668307</v>
      </c>
      <c r="K32" s="29">
        <v>0</v>
      </c>
      <c r="L32" s="29">
        <v>526708</v>
      </c>
      <c r="M32" s="29">
        <v>23309</v>
      </c>
      <c r="N32" s="30">
        <f t="shared" si="0"/>
        <v>1284810</v>
      </c>
      <c r="O32" s="29">
        <v>0</v>
      </c>
      <c r="P32" s="30">
        <f t="shared" si="1"/>
        <v>1284810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84528</v>
      </c>
      <c r="K33" s="29">
        <v>0</v>
      </c>
      <c r="L33" s="29">
        <v>0</v>
      </c>
      <c r="M33" s="29">
        <v>0</v>
      </c>
      <c r="N33" s="30">
        <f t="shared" si="0"/>
        <v>84528</v>
      </c>
      <c r="O33" s="29">
        <v>0</v>
      </c>
      <c r="P33" s="30">
        <f t="shared" si="1"/>
        <v>84528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60</v>
      </c>
      <c r="D35" s="29">
        <v>639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45971</v>
      </c>
      <c r="K35" s="29">
        <v>0</v>
      </c>
      <c r="L35" s="29">
        <v>678</v>
      </c>
      <c r="M35" s="29">
        <v>0</v>
      </c>
      <c r="N35" s="30">
        <f t="shared" si="0"/>
        <v>47348</v>
      </c>
      <c r="O35" s="29">
        <v>0</v>
      </c>
      <c r="P35" s="30">
        <f t="shared" si="1"/>
        <v>47348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373</v>
      </c>
      <c r="J36" s="29">
        <v>236149</v>
      </c>
      <c r="K36" s="29">
        <v>0</v>
      </c>
      <c r="L36" s="29">
        <v>123332</v>
      </c>
      <c r="M36" s="29">
        <v>104555</v>
      </c>
      <c r="N36" s="30">
        <f t="shared" si="0"/>
        <v>464409</v>
      </c>
      <c r="O36" s="29">
        <v>0</v>
      </c>
      <c r="P36" s="30">
        <f t="shared" si="1"/>
        <v>464409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31672</v>
      </c>
      <c r="K37" s="29">
        <v>0</v>
      </c>
      <c r="L37" s="29">
        <v>2400</v>
      </c>
      <c r="M37" s="29">
        <v>0</v>
      </c>
      <c r="N37" s="30">
        <f t="shared" si="0"/>
        <v>34072</v>
      </c>
      <c r="O37" s="29">
        <v>0</v>
      </c>
      <c r="P37" s="30">
        <f t="shared" si="1"/>
        <v>34072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831</v>
      </c>
      <c r="K38" s="29">
        <v>0</v>
      </c>
      <c r="L38" s="29">
        <v>0</v>
      </c>
      <c r="M38" s="29">
        <v>0</v>
      </c>
      <c r="N38" s="30">
        <f t="shared" si="0"/>
        <v>831</v>
      </c>
      <c r="O38" s="29">
        <v>0</v>
      </c>
      <c r="P38" s="30">
        <f t="shared" si="1"/>
        <v>831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606</v>
      </c>
      <c r="J39" s="29">
        <v>6847</v>
      </c>
      <c r="K39" s="29">
        <v>0</v>
      </c>
      <c r="L39" s="29">
        <v>94919</v>
      </c>
      <c r="M39" s="29">
        <v>0</v>
      </c>
      <c r="N39" s="30">
        <f t="shared" si="0"/>
        <v>102372</v>
      </c>
      <c r="O39" s="29">
        <v>0</v>
      </c>
      <c r="P39" s="30">
        <f t="shared" si="1"/>
        <v>102372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16538774</v>
      </c>
      <c r="D43" s="31">
        <f t="shared" si="2"/>
        <v>2014895</v>
      </c>
      <c r="E43" s="31">
        <f t="shared" si="2"/>
        <v>1637863</v>
      </c>
      <c r="F43" s="31">
        <f t="shared" si="2"/>
        <v>9615</v>
      </c>
      <c r="G43" s="31">
        <f t="shared" si="2"/>
        <v>228045</v>
      </c>
      <c r="H43" s="31">
        <f t="shared" si="2"/>
        <v>3250619</v>
      </c>
      <c r="I43" s="31">
        <f t="shared" si="2"/>
        <v>1148000</v>
      </c>
      <c r="J43" s="31">
        <f t="shared" si="2"/>
        <v>1344865</v>
      </c>
      <c r="K43" s="31">
        <f t="shared" si="2"/>
        <v>148502</v>
      </c>
      <c r="L43" s="31">
        <f t="shared" si="2"/>
        <v>11371349</v>
      </c>
      <c r="M43" s="31">
        <f t="shared" si="2"/>
        <v>913634</v>
      </c>
      <c r="N43" s="31">
        <f t="shared" si="2"/>
        <v>38606161</v>
      </c>
      <c r="O43" s="31">
        <f t="shared" si="2"/>
        <v>2235981</v>
      </c>
      <c r="P43" s="31">
        <f t="shared" si="2"/>
        <v>40842142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2016-04-27T11:26:46Z</dcterms:modified>
</cp:coreProperties>
</file>