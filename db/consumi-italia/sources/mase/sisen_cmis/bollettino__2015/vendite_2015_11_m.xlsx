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l="1"/>
  <c r="P43" i="1"/>
  <c r="N43" i="2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<sst xmlns="http://schemas.openxmlformats.org/spreadsheetml/2006/main" count="182" uniqueCount="91">
  <si>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</si>
  <si>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</si>
  <si>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</si>
  <si>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</si>
  <si>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</si>
  <si>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</si>
  <si>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</si>
  <si>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novembre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</si>
  <si>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</si>
  <si>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</si>
  <si>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</si>
  <si>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</si>
  <si>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</si>
  <si>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</si>
  <si>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</si>
  <si>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</si>
  <si>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</si>
  <si>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</si>
  <si>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</si>
  <si>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</si>
  <si>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</si>
  <si>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</si>
  <si>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</si>
  <si>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</si>
  <si>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</si>
  <si>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</si>
  <si>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</si>
  <si>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</si>
  <si>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</si>
  <si>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</si>
  <si>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</si>
  <si>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</si>
  <si>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</si>
  <si>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</si>
  <si>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</si>
  <si>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</si>
  <si>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</si>
  <si>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</si>
  <si>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</si>
  <si>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</si>
  <si>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</si>
  <si>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</si>
  <si>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</si>
  <si>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</si>
  <si>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</si>
  <si>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</si>
  <si>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</si>
  <si>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</si>
  <si>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</si>
  <si>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</si>
  <si>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</si>
  <si>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</si>
  <si>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</si>
  <si>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</si>
  <si>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</si>
  <si>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</si>
  <si>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</si>
  <si>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</si>
  <si>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</si>
  <si>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</si>
  <si>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</si>
  <si>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</si>
  <si>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</si>
  <si>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</si>
  <si>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</si>
  <si>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</si>
  <si>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</si>
  <si>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</si>
  <si>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</si>
  <si>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</si>
  <si>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</si>
  <si>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</si>
  <si>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</si>
  <si>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</si>
  <si>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</si>
  <si>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</si>
  <si>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</si>
  <si>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</si>
  <si>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</si>
  <si>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</si>
  <si>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</si>
  <si>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</si>
  <si>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</si>
  <si>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</si>
  <si>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</si>
  <si>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</si>
  <si>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</si>
  <si>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</si>
  <si>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</si>
  <si>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</si>
  <si>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gennaio-novembre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</si>
</sst>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65024</v>
      </c>
      <c r="E10" s="29">
        <v>1564</v>
      </c>
      <c r="F10" s="29">
        <v>0</v>
      </c>
      <c r="G10" s="29">
        <v>0</v>
      </c>
      <c r="H10" s="29">
        <v>0</v>
      </c>
      <c r="I10" s="29">
        <v>0</v>
      </c>
      <c r="J10" s="29">
        <v>5228</v>
      </c>
      <c r="K10" s="29">
        <v>346</v>
      </c>
      <c r="L10" s="29">
        <v>60618</v>
      </c>
      <c r="M10" s="29">
        <v>270</v>
      </c>
      <c r="N10" s="30">
        <f t="shared" ref="N10:N42" si="0">SUM(C10:M10)</f>
        <v>133050</v>
      </c>
      <c r="O10" s="29">
        <v>0</v>
      </c>
      <c r="P10" s="30">
        <f t="shared" ref="P10:P42" si="1">SUM(N10:O10)</f>
        <v>133050</v>
      </c>
    </row>
    <row r="11" spans="1:16" ht="15" customHeight="1">
      <c r="A11" s="11" t="s">
        <v>26</v>
      </c>
      <c r="B11" s="12" t="s">
        <v>27</v>
      </c>
      <c r="C11" s="29">
        <v>66288</v>
      </c>
      <c r="D11" s="29">
        <v>5364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60746</v>
      </c>
      <c r="M11" s="29">
        <v>1329</v>
      </c>
      <c r="N11" s="30">
        <f t="shared" si="0"/>
        <v>133727</v>
      </c>
      <c r="O11" s="29">
        <v>0</v>
      </c>
      <c r="P11" s="30">
        <f t="shared" si="1"/>
        <v>133727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1434</v>
      </c>
      <c r="K12" s="29">
        <v>0</v>
      </c>
      <c r="L12" s="29">
        <v>0</v>
      </c>
      <c r="M12" s="29">
        <v>2499</v>
      </c>
      <c r="N12" s="30">
        <f t="shared" si="0"/>
        <v>3933</v>
      </c>
      <c r="O12" s="29">
        <v>0</v>
      </c>
      <c r="P12" s="30">
        <f t="shared" si="1"/>
        <v>3933</v>
      </c>
    </row>
    <row r="13" spans="1:16" ht="15" customHeight="1">
      <c r="A13" s="11" t="s">
        <v>30</v>
      </c>
      <c r="B13" s="12" t="s">
        <v>31</v>
      </c>
      <c r="C13" s="29">
        <v>461702</v>
      </c>
      <c r="D13" s="29">
        <v>8652</v>
      </c>
      <c r="E13" s="29">
        <v>58</v>
      </c>
      <c r="F13" s="29">
        <v>0</v>
      </c>
      <c r="G13" s="29">
        <v>0</v>
      </c>
      <c r="H13" s="29">
        <v>0</v>
      </c>
      <c r="I13" s="29">
        <v>0</v>
      </c>
      <c r="J13" s="29">
        <v>946</v>
      </c>
      <c r="K13" s="29">
        <v>132</v>
      </c>
      <c r="L13" s="29">
        <v>135177</v>
      </c>
      <c r="M13" s="29">
        <v>2304</v>
      </c>
      <c r="N13" s="30">
        <f t="shared" si="0"/>
        <v>608971</v>
      </c>
      <c r="O13" s="29">
        <v>0</v>
      </c>
      <c r="P13" s="30">
        <f t="shared" si="1"/>
        <v>608971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117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117</v>
      </c>
      <c r="O14" s="29">
        <v>0</v>
      </c>
      <c r="P14" s="30">
        <f t="shared" si="1"/>
        <v>117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56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56</v>
      </c>
      <c r="O15" s="29">
        <v>0</v>
      </c>
      <c r="P15" s="30">
        <f t="shared" si="1"/>
        <v>56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133</v>
      </c>
      <c r="F16" s="29">
        <v>0</v>
      </c>
      <c r="G16" s="29">
        <v>0</v>
      </c>
      <c r="H16" s="29">
        <v>0</v>
      </c>
      <c r="I16" s="29">
        <v>0</v>
      </c>
      <c r="J16" s="29">
        <v>524</v>
      </c>
      <c r="K16" s="29">
        <v>0</v>
      </c>
      <c r="L16" s="29">
        <v>0</v>
      </c>
      <c r="M16" s="29">
        <v>0</v>
      </c>
      <c r="N16" s="30">
        <f t="shared" si="0"/>
        <v>657</v>
      </c>
      <c r="O16" s="29">
        <v>0</v>
      </c>
      <c r="P16" s="30">
        <f t="shared" si="1"/>
        <v>657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515</v>
      </c>
      <c r="M17" s="29">
        <v>0</v>
      </c>
      <c r="N17" s="30">
        <f t="shared" si="0"/>
        <v>527</v>
      </c>
      <c r="O17" s="29">
        <v>0</v>
      </c>
      <c r="P17" s="30">
        <f t="shared" si="1"/>
        <v>527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258939</v>
      </c>
      <c r="I18" s="29">
        <v>0</v>
      </c>
      <c r="J18" s="29">
        <v>0</v>
      </c>
      <c r="K18" s="29">
        <v>19176</v>
      </c>
      <c r="L18" s="29">
        <v>0</v>
      </c>
      <c r="M18" s="29">
        <v>0</v>
      </c>
      <c r="N18" s="30">
        <f t="shared" si="0"/>
        <v>278115</v>
      </c>
      <c r="O18" s="29">
        <v>0</v>
      </c>
      <c r="P18" s="30">
        <f t="shared" si="1"/>
        <v>278115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4</v>
      </c>
      <c r="O19" s="29">
        <v>0</v>
      </c>
      <c r="P19" s="30">
        <f t="shared" si="1"/>
        <v>4</v>
      </c>
    </row>
    <row r="20" spans="1:16" ht="15" customHeight="1">
      <c r="A20" s="11" t="s">
        <v>44</v>
      </c>
      <c r="B20" s="12" t="s">
        <v>45</v>
      </c>
      <c r="C20" s="29">
        <v>1040993</v>
      </c>
      <c r="D20" s="29">
        <v>77407</v>
      </c>
      <c r="E20" s="29">
        <v>151642</v>
      </c>
      <c r="F20" s="29">
        <v>2632</v>
      </c>
      <c r="G20" s="29">
        <v>21839</v>
      </c>
      <c r="H20" s="29">
        <v>0</v>
      </c>
      <c r="I20" s="29">
        <v>602</v>
      </c>
      <c r="J20" s="29">
        <v>6594</v>
      </c>
      <c r="K20" s="29">
        <v>2596</v>
      </c>
      <c r="L20" s="29">
        <v>711857</v>
      </c>
      <c r="M20" s="29">
        <v>38041</v>
      </c>
      <c r="N20" s="30">
        <f t="shared" si="0"/>
        <v>2054203</v>
      </c>
      <c r="O20" s="29">
        <v>29741</v>
      </c>
      <c r="P20" s="30">
        <f t="shared" si="1"/>
        <v>2083944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6243</v>
      </c>
      <c r="E21" s="29">
        <v>97</v>
      </c>
      <c r="F21" s="29">
        <v>0</v>
      </c>
      <c r="G21" s="29">
        <v>97</v>
      </c>
      <c r="H21" s="29">
        <v>0</v>
      </c>
      <c r="I21" s="29">
        <v>1180</v>
      </c>
      <c r="J21" s="29">
        <v>444</v>
      </c>
      <c r="K21" s="29">
        <v>6867</v>
      </c>
      <c r="L21" s="29">
        <v>109327</v>
      </c>
      <c r="M21" s="29">
        <v>2140</v>
      </c>
      <c r="N21" s="30">
        <f t="shared" si="0"/>
        <v>126395</v>
      </c>
      <c r="O21" s="29">
        <v>5316</v>
      </c>
      <c r="P21" s="30">
        <f t="shared" si="1"/>
        <v>131711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514</v>
      </c>
      <c r="E22" s="29">
        <v>0</v>
      </c>
      <c r="F22" s="29">
        <v>0</v>
      </c>
      <c r="G22" s="29">
        <v>0</v>
      </c>
      <c r="H22" s="29">
        <v>0</v>
      </c>
      <c r="I22" s="29">
        <v>3246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3760</v>
      </c>
      <c r="O22" s="29">
        <v>0</v>
      </c>
      <c r="P22" s="30">
        <f t="shared" si="1"/>
        <v>3760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93925</v>
      </c>
      <c r="J23" s="29">
        <v>0</v>
      </c>
      <c r="K23" s="29">
        <v>0</v>
      </c>
      <c r="L23" s="29">
        <v>689</v>
      </c>
      <c r="M23" s="29">
        <v>354</v>
      </c>
      <c r="N23" s="30">
        <f t="shared" si="0"/>
        <v>94968</v>
      </c>
      <c r="O23" s="29">
        <v>102750</v>
      </c>
      <c r="P23" s="30">
        <f t="shared" si="1"/>
        <v>197718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2026</v>
      </c>
      <c r="E24" s="29">
        <v>244</v>
      </c>
      <c r="F24" s="29">
        <v>0</v>
      </c>
      <c r="G24" s="29">
        <v>0</v>
      </c>
      <c r="H24" s="29">
        <v>0</v>
      </c>
      <c r="I24" s="29">
        <v>2494</v>
      </c>
      <c r="J24" s="29">
        <v>2119</v>
      </c>
      <c r="K24" s="29">
        <v>63</v>
      </c>
      <c r="L24" s="29">
        <v>28374</v>
      </c>
      <c r="M24" s="29">
        <v>17293</v>
      </c>
      <c r="N24" s="30">
        <f t="shared" si="0"/>
        <v>52613</v>
      </c>
      <c r="O24" s="29">
        <v>54086</v>
      </c>
      <c r="P24" s="30">
        <f t="shared" si="1"/>
        <v>106699</v>
      </c>
    </row>
    <row r="25" spans="1:16" ht="15" customHeight="1">
      <c r="A25" s="11" t="s">
        <v>54</v>
      </c>
      <c r="B25" s="12" t="s">
        <v>55</v>
      </c>
      <c r="C25" s="29">
        <v>156</v>
      </c>
      <c r="D25" s="29">
        <v>6523</v>
      </c>
      <c r="E25" s="29">
        <v>673</v>
      </c>
      <c r="F25" s="29">
        <v>25</v>
      </c>
      <c r="G25" s="29">
        <v>152</v>
      </c>
      <c r="H25" s="29">
        <v>6</v>
      </c>
      <c r="I25" s="29">
        <v>61</v>
      </c>
      <c r="J25" s="29">
        <v>2199</v>
      </c>
      <c r="K25" s="29">
        <v>35</v>
      </c>
      <c r="L25" s="29">
        <v>5498</v>
      </c>
      <c r="M25" s="29">
        <v>918</v>
      </c>
      <c r="N25" s="30">
        <f t="shared" si="0"/>
        <v>16246</v>
      </c>
      <c r="O25" s="29">
        <v>3314</v>
      </c>
      <c r="P25" s="30">
        <f t="shared" si="1"/>
        <v>19560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2931</v>
      </c>
      <c r="E26" s="29">
        <v>138</v>
      </c>
      <c r="F26" s="29">
        <v>1</v>
      </c>
      <c r="G26" s="29">
        <v>65</v>
      </c>
      <c r="H26" s="29">
        <v>36</v>
      </c>
      <c r="I26" s="29">
        <v>32</v>
      </c>
      <c r="J26" s="29">
        <v>8261</v>
      </c>
      <c r="K26" s="29">
        <v>8</v>
      </c>
      <c r="L26" s="29">
        <v>2552</v>
      </c>
      <c r="M26" s="29">
        <v>74</v>
      </c>
      <c r="N26" s="30">
        <f t="shared" si="0"/>
        <v>14102</v>
      </c>
      <c r="O26" s="29">
        <v>261</v>
      </c>
      <c r="P26" s="30">
        <f t="shared" si="1"/>
        <v>14363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643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532</v>
      </c>
      <c r="K27" s="29">
        <v>0</v>
      </c>
      <c r="L27" s="29">
        <v>17</v>
      </c>
      <c r="M27" s="29">
        <v>846</v>
      </c>
      <c r="N27" s="30">
        <f t="shared" si="0"/>
        <v>2038</v>
      </c>
      <c r="O27" s="29">
        <v>0</v>
      </c>
      <c r="P27" s="30">
        <f t="shared" si="1"/>
        <v>2038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</v>
      </c>
      <c r="E28" s="29">
        <v>0</v>
      </c>
      <c r="F28" s="29">
        <v>0</v>
      </c>
      <c r="G28" s="29">
        <v>0</v>
      </c>
      <c r="H28" s="29">
        <v>0</v>
      </c>
      <c r="I28" s="29">
        <v>37</v>
      </c>
      <c r="J28" s="29">
        <v>91</v>
      </c>
      <c r="K28" s="29">
        <v>0</v>
      </c>
      <c r="L28" s="29">
        <v>55</v>
      </c>
      <c r="M28" s="29">
        <v>0</v>
      </c>
      <c r="N28" s="30">
        <f t="shared" si="0"/>
        <v>186</v>
      </c>
      <c r="O28" s="29">
        <v>0</v>
      </c>
      <c r="P28" s="30">
        <f t="shared" si="1"/>
        <v>186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199</v>
      </c>
      <c r="K29" s="29">
        <v>0</v>
      </c>
      <c r="L29" s="29">
        <v>56</v>
      </c>
      <c r="M29" s="29">
        <v>8025</v>
      </c>
      <c r="N29" s="30">
        <f t="shared" si="0"/>
        <v>8280</v>
      </c>
      <c r="O29" s="29">
        <v>0</v>
      </c>
      <c r="P29" s="30">
        <f t="shared" si="1"/>
        <v>8280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3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0</v>
      </c>
      <c r="M31" s="29">
        <v>0</v>
      </c>
      <c r="N31" s="30">
        <f t="shared" si="0"/>
        <v>4</v>
      </c>
      <c r="O31" s="29">
        <v>0</v>
      </c>
      <c r="P31" s="30">
        <f t="shared" si="1"/>
        <v>4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7180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78325</v>
      </c>
      <c r="K32" s="29">
        <v>0</v>
      </c>
      <c r="L32" s="29">
        <v>66945</v>
      </c>
      <c r="M32" s="29">
        <v>3777</v>
      </c>
      <c r="N32" s="30">
        <f t="shared" si="0"/>
        <v>156227</v>
      </c>
      <c r="O32" s="29">
        <v>0</v>
      </c>
      <c r="P32" s="30">
        <f t="shared" si="1"/>
        <v>156227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6358</v>
      </c>
      <c r="K33" s="29">
        <v>0</v>
      </c>
      <c r="L33" s="29">
        <v>0</v>
      </c>
      <c r="M33" s="29">
        <v>0</v>
      </c>
      <c r="N33" s="30">
        <f t="shared" si="0"/>
        <v>6358</v>
      </c>
      <c r="O33" s="29">
        <v>0</v>
      </c>
      <c r="P33" s="30">
        <f t="shared" si="1"/>
        <v>6358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7</v>
      </c>
      <c r="D35" s="29">
        <v>137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5244</v>
      </c>
      <c r="K35" s="29">
        <v>0</v>
      </c>
      <c r="L35" s="29">
        <v>104</v>
      </c>
      <c r="M35" s="29">
        <v>0</v>
      </c>
      <c r="N35" s="30">
        <f t="shared" si="0"/>
        <v>5492</v>
      </c>
      <c r="O35" s="29">
        <v>0</v>
      </c>
      <c r="P35" s="30">
        <f t="shared" si="1"/>
        <v>5492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30603</v>
      </c>
      <c r="K36" s="29">
        <v>0</v>
      </c>
      <c r="L36" s="29">
        <v>10338</v>
      </c>
      <c r="M36" s="29">
        <v>11283</v>
      </c>
      <c r="N36" s="30">
        <f t="shared" si="0"/>
        <v>52224</v>
      </c>
      <c r="O36" s="29">
        <v>0</v>
      </c>
      <c r="P36" s="30">
        <f t="shared" si="1"/>
        <v>52224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2992</v>
      </c>
      <c r="K37" s="29">
        <v>0</v>
      </c>
      <c r="L37" s="29">
        <v>319</v>
      </c>
      <c r="M37" s="29">
        <v>0</v>
      </c>
      <c r="N37" s="30">
        <f t="shared" si="0"/>
        <v>3311</v>
      </c>
      <c r="O37" s="29">
        <v>0</v>
      </c>
      <c r="P37" s="30">
        <f t="shared" si="1"/>
        <v>3311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8</v>
      </c>
      <c r="K38" s="29">
        <v>0</v>
      </c>
      <c r="L38" s="29">
        <v>0</v>
      </c>
      <c r="M38" s="29">
        <v>0</v>
      </c>
      <c r="N38" s="30">
        <f t="shared" si="0"/>
        <v>8</v>
      </c>
      <c r="O38" s="29">
        <v>0</v>
      </c>
      <c r="P38" s="30">
        <f t="shared" si="1"/>
        <v>8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46</v>
      </c>
      <c r="J39" s="29">
        <v>67</v>
      </c>
      <c r="K39" s="29">
        <v>0</v>
      </c>
      <c r="L39" s="29">
        <v>4889</v>
      </c>
      <c r="M39" s="29">
        <v>0</v>
      </c>
      <c r="N39" s="30">
        <f t="shared" si="0"/>
        <v>5002</v>
      </c>
      <c r="O39" s="29">
        <v>0</v>
      </c>
      <c r="P39" s="30">
        <f t="shared" si="1"/>
        <v>5002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1569150</v>
      </c>
      <c r="D43" s="31">
        <f t="shared" si="2"/>
        <v>182662</v>
      </c>
      <c r="E43" s="31">
        <f t="shared" si="2"/>
        <v>154549</v>
      </c>
      <c r="F43" s="31">
        <f t="shared" si="2"/>
        <v>2658</v>
      </c>
      <c r="G43" s="31">
        <f t="shared" si="2"/>
        <v>22153</v>
      </c>
      <c r="H43" s="31">
        <f t="shared" si="2"/>
        <v>259154</v>
      </c>
      <c r="I43" s="31">
        <f t="shared" si="2"/>
        <v>101623</v>
      </c>
      <c r="J43" s="31">
        <f t="shared" si="2"/>
        <v>152173</v>
      </c>
      <c r="K43" s="31">
        <f t="shared" si="2"/>
        <v>29223</v>
      </c>
      <c r="L43" s="31">
        <f t="shared" si="2"/>
        <v>1198076</v>
      </c>
      <c r="M43" s="31">
        <f t="shared" si="2"/>
        <v>89153</v>
      </c>
      <c r="N43" s="31">
        <f t="shared" si="2"/>
        <v>3760574</v>
      </c>
      <c r="O43" s="31">
        <f t="shared" si="2"/>
        <v>195468</v>
      </c>
      <c r="P43" s="31">
        <f t="shared" si="2"/>
        <v>3956042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3" width="8.6640625" customWidth="1"/>
    <col min="14" max="14" width="10.109375" bestFit="1" customWidth="1"/>
    <col min="15" max="15" width="9.109375" customWidth="1"/>
    <col min="16" max="16" width="9.88671875" bestFit="1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720079</v>
      </c>
      <c r="E10" s="29">
        <v>16031</v>
      </c>
      <c r="F10" s="29">
        <v>0</v>
      </c>
      <c r="G10" s="29">
        <v>0</v>
      </c>
      <c r="H10" s="29">
        <v>0</v>
      </c>
      <c r="I10" s="29">
        <v>0</v>
      </c>
      <c r="J10" s="29">
        <v>59656</v>
      </c>
      <c r="K10" s="29">
        <v>3914</v>
      </c>
      <c r="L10" s="29">
        <v>596447</v>
      </c>
      <c r="M10" s="29">
        <v>3757</v>
      </c>
      <c r="N10" s="30">
        <f t="shared" ref="N10:N42" si="0">SUM(C10:M10)</f>
        <v>1399884</v>
      </c>
      <c r="O10" s="29">
        <v>0</v>
      </c>
      <c r="P10" s="30">
        <f t="shared" ref="P10:P42" si="1">SUM(N10:O10)</f>
        <v>1399884</v>
      </c>
    </row>
    <row r="11" spans="1:16" ht="15" customHeight="1">
      <c r="A11" s="11" t="s">
        <v>26</v>
      </c>
      <c r="B11" s="12" t="s">
        <v>27</v>
      </c>
      <c r="C11" s="29">
        <v>753264</v>
      </c>
      <c r="D11" s="29">
        <v>55271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685015</v>
      </c>
      <c r="M11" s="29">
        <v>11230</v>
      </c>
      <c r="N11" s="30">
        <f t="shared" si="0"/>
        <v>1504780</v>
      </c>
      <c r="O11" s="29">
        <v>0</v>
      </c>
      <c r="P11" s="30">
        <f t="shared" si="1"/>
        <v>1504780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3931</v>
      </c>
      <c r="K12" s="29">
        <v>0</v>
      </c>
      <c r="L12" s="29">
        <v>0</v>
      </c>
      <c r="M12" s="29">
        <v>2499</v>
      </c>
      <c r="N12" s="30">
        <f t="shared" si="0"/>
        <v>6430</v>
      </c>
      <c r="O12" s="29">
        <v>0</v>
      </c>
      <c r="P12" s="30">
        <f t="shared" si="1"/>
        <v>6430</v>
      </c>
    </row>
    <row r="13" spans="1:16" ht="15" customHeight="1">
      <c r="A13" s="11" t="s">
        <v>30</v>
      </c>
      <c r="B13" s="12" t="s">
        <v>31</v>
      </c>
      <c r="C13" s="29">
        <v>5470934</v>
      </c>
      <c r="D13" s="29">
        <v>178649</v>
      </c>
      <c r="E13" s="29">
        <v>1192</v>
      </c>
      <c r="F13" s="29">
        <v>0</v>
      </c>
      <c r="G13" s="29">
        <v>0</v>
      </c>
      <c r="H13" s="29">
        <v>0</v>
      </c>
      <c r="I13" s="29">
        <v>0</v>
      </c>
      <c r="J13" s="29">
        <v>12181</v>
      </c>
      <c r="K13" s="29">
        <v>881</v>
      </c>
      <c r="L13" s="29">
        <v>1438516</v>
      </c>
      <c r="M13" s="29">
        <v>37009</v>
      </c>
      <c r="N13" s="30">
        <f t="shared" si="0"/>
        <v>7139362</v>
      </c>
      <c r="O13" s="29">
        <v>0</v>
      </c>
      <c r="P13" s="30">
        <f t="shared" si="1"/>
        <v>7139362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1384</v>
      </c>
      <c r="I14" s="29">
        <v>0</v>
      </c>
      <c r="J14" s="29">
        <v>0</v>
      </c>
      <c r="K14" s="29">
        <v>206</v>
      </c>
      <c r="L14" s="29">
        <v>0</v>
      </c>
      <c r="M14" s="29">
        <v>0</v>
      </c>
      <c r="N14" s="30">
        <f t="shared" si="0"/>
        <v>1590</v>
      </c>
      <c r="O14" s="29">
        <v>0</v>
      </c>
      <c r="P14" s="30">
        <f t="shared" si="1"/>
        <v>1590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904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904</v>
      </c>
      <c r="O15" s="29">
        <v>0</v>
      </c>
      <c r="P15" s="30">
        <f t="shared" si="1"/>
        <v>904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1138</v>
      </c>
      <c r="F16" s="29">
        <v>0</v>
      </c>
      <c r="G16" s="29">
        <v>0</v>
      </c>
      <c r="H16" s="29">
        <v>0</v>
      </c>
      <c r="I16" s="29">
        <v>0</v>
      </c>
      <c r="J16" s="29">
        <v>2161</v>
      </c>
      <c r="K16" s="29">
        <v>0</v>
      </c>
      <c r="L16" s="29">
        <v>0</v>
      </c>
      <c r="M16" s="29">
        <v>0</v>
      </c>
      <c r="N16" s="30">
        <f t="shared" si="0"/>
        <v>3299</v>
      </c>
      <c r="O16" s="29">
        <v>0</v>
      </c>
      <c r="P16" s="30">
        <f t="shared" si="1"/>
        <v>3299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48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224</v>
      </c>
      <c r="K17" s="29">
        <v>0</v>
      </c>
      <c r="L17" s="29">
        <v>3924</v>
      </c>
      <c r="M17" s="29">
        <v>0</v>
      </c>
      <c r="N17" s="30">
        <f t="shared" si="0"/>
        <v>4196</v>
      </c>
      <c r="O17" s="29">
        <v>0</v>
      </c>
      <c r="P17" s="30">
        <f t="shared" si="1"/>
        <v>4196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3507047</v>
      </c>
      <c r="I18" s="29">
        <v>0</v>
      </c>
      <c r="J18" s="29">
        <v>0</v>
      </c>
      <c r="K18" s="29">
        <v>117733</v>
      </c>
      <c r="L18" s="29">
        <v>0</v>
      </c>
      <c r="M18" s="29">
        <v>0</v>
      </c>
      <c r="N18" s="30">
        <f t="shared" si="0"/>
        <v>3624780</v>
      </c>
      <c r="O18" s="29">
        <v>0</v>
      </c>
      <c r="P18" s="30">
        <f t="shared" si="1"/>
        <v>3624780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64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50</v>
      </c>
      <c r="M19" s="29">
        <v>0</v>
      </c>
      <c r="N19" s="30">
        <f t="shared" si="0"/>
        <v>114</v>
      </c>
      <c r="O19" s="29">
        <v>0</v>
      </c>
      <c r="P19" s="30">
        <f t="shared" si="1"/>
        <v>114</v>
      </c>
    </row>
    <row r="20" spans="1:16" ht="15" customHeight="1">
      <c r="A20" s="11" t="s">
        <v>44</v>
      </c>
      <c r="B20" s="12" t="s">
        <v>45</v>
      </c>
      <c r="C20" s="29">
        <v>11882023</v>
      </c>
      <c r="D20" s="29">
        <v>979494</v>
      </c>
      <c r="E20" s="29">
        <v>1761064</v>
      </c>
      <c r="F20" s="29">
        <v>11699</v>
      </c>
      <c r="G20" s="29">
        <v>246635</v>
      </c>
      <c r="H20" s="29">
        <v>0</v>
      </c>
      <c r="I20" s="29">
        <v>15261</v>
      </c>
      <c r="J20" s="29">
        <v>73842</v>
      </c>
      <c r="K20" s="29">
        <v>24619</v>
      </c>
      <c r="L20" s="29">
        <v>7732203</v>
      </c>
      <c r="M20" s="29">
        <v>500566</v>
      </c>
      <c r="N20" s="30">
        <f t="shared" si="0"/>
        <v>23227406</v>
      </c>
      <c r="O20" s="29">
        <v>388319</v>
      </c>
      <c r="P20" s="30">
        <f t="shared" si="1"/>
        <v>23615725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59725</v>
      </c>
      <c r="E21" s="29">
        <v>525</v>
      </c>
      <c r="F21" s="29">
        <v>62</v>
      </c>
      <c r="G21" s="29">
        <v>592</v>
      </c>
      <c r="H21" s="29">
        <v>0</v>
      </c>
      <c r="I21" s="29">
        <v>8396</v>
      </c>
      <c r="J21" s="29">
        <v>3636</v>
      </c>
      <c r="K21" s="29">
        <v>29146</v>
      </c>
      <c r="L21" s="29">
        <v>870479</v>
      </c>
      <c r="M21" s="29">
        <v>25926</v>
      </c>
      <c r="N21" s="30">
        <f t="shared" si="0"/>
        <v>998487</v>
      </c>
      <c r="O21" s="29">
        <v>61443</v>
      </c>
      <c r="P21" s="30">
        <f t="shared" si="1"/>
        <v>1059930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1783</v>
      </c>
      <c r="E22" s="29">
        <v>0</v>
      </c>
      <c r="F22" s="29">
        <v>0</v>
      </c>
      <c r="G22" s="29">
        <v>0</v>
      </c>
      <c r="H22" s="29">
        <v>0</v>
      </c>
      <c r="I22" s="29">
        <v>37657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39440</v>
      </c>
      <c r="O22" s="29">
        <v>0</v>
      </c>
      <c r="P22" s="30">
        <f t="shared" si="1"/>
        <v>39440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1073018</v>
      </c>
      <c r="J23" s="29">
        <v>0</v>
      </c>
      <c r="K23" s="29">
        <v>0</v>
      </c>
      <c r="L23" s="29">
        <v>19130</v>
      </c>
      <c r="M23" s="29">
        <v>5971</v>
      </c>
      <c r="N23" s="30">
        <f t="shared" si="0"/>
        <v>1098147</v>
      </c>
      <c r="O23" s="29">
        <v>1275441</v>
      </c>
      <c r="P23" s="30">
        <f t="shared" si="1"/>
        <v>2373588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21793</v>
      </c>
      <c r="E24" s="29">
        <v>2666</v>
      </c>
      <c r="F24" s="29">
        <v>0</v>
      </c>
      <c r="G24" s="29">
        <v>0</v>
      </c>
      <c r="H24" s="29">
        <v>0</v>
      </c>
      <c r="I24" s="29">
        <v>113057</v>
      </c>
      <c r="J24" s="29">
        <v>19345</v>
      </c>
      <c r="K24" s="29">
        <v>488</v>
      </c>
      <c r="L24" s="29">
        <v>303882</v>
      </c>
      <c r="M24" s="29">
        <v>169748</v>
      </c>
      <c r="N24" s="30">
        <f t="shared" si="0"/>
        <v>630979</v>
      </c>
      <c r="O24" s="29">
        <v>671229</v>
      </c>
      <c r="P24" s="30">
        <f t="shared" si="1"/>
        <v>1302208</v>
      </c>
    </row>
    <row r="25" spans="1:16" ht="15" customHeight="1">
      <c r="A25" s="11" t="s">
        <v>54</v>
      </c>
      <c r="B25" s="12" t="s">
        <v>55</v>
      </c>
      <c r="C25" s="29">
        <v>1532</v>
      </c>
      <c r="D25" s="29">
        <v>68605</v>
      </c>
      <c r="E25" s="29">
        <v>8134</v>
      </c>
      <c r="F25" s="29">
        <v>474</v>
      </c>
      <c r="G25" s="29">
        <v>2266</v>
      </c>
      <c r="H25" s="29">
        <v>52</v>
      </c>
      <c r="I25" s="29">
        <v>677</v>
      </c>
      <c r="J25" s="29">
        <v>21796</v>
      </c>
      <c r="K25" s="29">
        <v>497</v>
      </c>
      <c r="L25" s="29">
        <v>60092</v>
      </c>
      <c r="M25" s="29">
        <v>7046</v>
      </c>
      <c r="N25" s="30">
        <f t="shared" si="0"/>
        <v>171171</v>
      </c>
      <c r="O25" s="29">
        <v>32450</v>
      </c>
      <c r="P25" s="30">
        <f t="shared" si="1"/>
        <v>203621</v>
      </c>
    </row>
    <row r="26" spans="1:16" ht="15" customHeight="1">
      <c r="A26" s="11" t="s">
        <v>56</v>
      </c>
      <c r="B26" s="12" t="s">
        <v>57</v>
      </c>
      <c r="C26" s="29">
        <v>104</v>
      </c>
      <c r="D26" s="29">
        <v>29091</v>
      </c>
      <c r="E26" s="29">
        <v>1656</v>
      </c>
      <c r="F26" s="29">
        <v>38</v>
      </c>
      <c r="G26" s="29">
        <v>706</v>
      </c>
      <c r="H26" s="29">
        <v>385</v>
      </c>
      <c r="I26" s="29">
        <v>360</v>
      </c>
      <c r="J26" s="29">
        <v>92285</v>
      </c>
      <c r="K26" s="29">
        <v>239</v>
      </c>
      <c r="L26" s="29">
        <v>27890</v>
      </c>
      <c r="M26" s="29">
        <v>773</v>
      </c>
      <c r="N26" s="30">
        <f t="shared" si="0"/>
        <v>153527</v>
      </c>
      <c r="O26" s="29">
        <v>2567</v>
      </c>
      <c r="P26" s="30">
        <f t="shared" si="1"/>
        <v>156094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8395</v>
      </c>
      <c r="E27" s="29">
        <v>5</v>
      </c>
      <c r="F27" s="29">
        <v>0</v>
      </c>
      <c r="G27" s="29">
        <v>0</v>
      </c>
      <c r="H27" s="29">
        <v>0</v>
      </c>
      <c r="I27" s="29">
        <v>1</v>
      </c>
      <c r="J27" s="29">
        <v>4729</v>
      </c>
      <c r="K27" s="29">
        <v>0</v>
      </c>
      <c r="L27" s="29">
        <v>161</v>
      </c>
      <c r="M27" s="29">
        <v>8299</v>
      </c>
      <c r="N27" s="30">
        <f t="shared" si="0"/>
        <v>21590</v>
      </c>
      <c r="O27" s="29">
        <v>0</v>
      </c>
      <c r="P27" s="30">
        <f t="shared" si="1"/>
        <v>21590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60</v>
      </c>
      <c r="E28" s="29">
        <v>2</v>
      </c>
      <c r="F28" s="29">
        <v>0</v>
      </c>
      <c r="G28" s="29">
        <v>0</v>
      </c>
      <c r="H28" s="29">
        <v>0</v>
      </c>
      <c r="I28" s="29">
        <v>172</v>
      </c>
      <c r="J28" s="29">
        <v>1335</v>
      </c>
      <c r="K28" s="29">
        <v>0</v>
      </c>
      <c r="L28" s="29">
        <v>569</v>
      </c>
      <c r="M28" s="29">
        <v>0</v>
      </c>
      <c r="N28" s="30">
        <f t="shared" si="0"/>
        <v>2138</v>
      </c>
      <c r="O28" s="29">
        <v>0</v>
      </c>
      <c r="P28" s="30">
        <f t="shared" si="1"/>
        <v>2138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4008</v>
      </c>
      <c r="K29" s="29">
        <v>0</v>
      </c>
      <c r="L29" s="29">
        <v>437</v>
      </c>
      <c r="M29" s="29">
        <v>87040</v>
      </c>
      <c r="N29" s="30">
        <f t="shared" si="0"/>
        <v>91485</v>
      </c>
      <c r="O29" s="29">
        <v>0</v>
      </c>
      <c r="P29" s="30">
        <f t="shared" si="1"/>
        <v>91485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31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7</v>
      </c>
      <c r="K31" s="29">
        <v>0</v>
      </c>
      <c r="L31" s="29">
        <v>1</v>
      </c>
      <c r="M31" s="29">
        <v>0</v>
      </c>
      <c r="N31" s="30">
        <f t="shared" si="0"/>
        <v>39</v>
      </c>
      <c r="O31" s="29">
        <v>0</v>
      </c>
      <c r="P31" s="30">
        <f t="shared" si="1"/>
        <v>39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73666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746631</v>
      </c>
      <c r="K32" s="29">
        <v>0</v>
      </c>
      <c r="L32" s="29">
        <v>593653</v>
      </c>
      <c r="M32" s="29">
        <v>27086</v>
      </c>
      <c r="N32" s="30">
        <f t="shared" si="0"/>
        <v>1441036</v>
      </c>
      <c r="O32" s="29">
        <v>0</v>
      </c>
      <c r="P32" s="30">
        <f t="shared" si="1"/>
        <v>1441036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90886</v>
      </c>
      <c r="K33" s="29">
        <v>0</v>
      </c>
      <c r="L33" s="29">
        <v>0</v>
      </c>
      <c r="M33" s="29">
        <v>0</v>
      </c>
      <c r="N33" s="30">
        <f t="shared" si="0"/>
        <v>90886</v>
      </c>
      <c r="O33" s="29">
        <v>0</v>
      </c>
      <c r="P33" s="30">
        <f t="shared" si="1"/>
        <v>90886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67</v>
      </c>
      <c r="D35" s="29">
        <v>776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51215</v>
      </c>
      <c r="K35" s="29">
        <v>0</v>
      </c>
      <c r="L35" s="29">
        <v>781</v>
      </c>
      <c r="M35" s="29">
        <v>0</v>
      </c>
      <c r="N35" s="30">
        <f t="shared" si="0"/>
        <v>52839</v>
      </c>
      <c r="O35" s="29">
        <v>0</v>
      </c>
      <c r="P35" s="30">
        <f t="shared" si="1"/>
        <v>52839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373</v>
      </c>
      <c r="J36" s="29">
        <v>266752</v>
      </c>
      <c r="K36" s="29">
        <v>0</v>
      </c>
      <c r="L36" s="29">
        <v>133669</v>
      </c>
      <c r="M36" s="29">
        <v>115838</v>
      </c>
      <c r="N36" s="30">
        <f t="shared" si="0"/>
        <v>516632</v>
      </c>
      <c r="O36" s="29">
        <v>0</v>
      </c>
      <c r="P36" s="30">
        <f t="shared" si="1"/>
        <v>516632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34664</v>
      </c>
      <c r="K37" s="29">
        <v>0</v>
      </c>
      <c r="L37" s="29">
        <v>2719</v>
      </c>
      <c r="M37" s="29">
        <v>0</v>
      </c>
      <c r="N37" s="30">
        <f t="shared" si="0"/>
        <v>37383</v>
      </c>
      <c r="O37" s="29">
        <v>0</v>
      </c>
      <c r="P37" s="30">
        <f t="shared" si="1"/>
        <v>37383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839</v>
      </c>
      <c r="K38" s="29">
        <v>0</v>
      </c>
      <c r="L38" s="29">
        <v>0</v>
      </c>
      <c r="M38" s="29">
        <v>0</v>
      </c>
      <c r="N38" s="30">
        <f t="shared" si="0"/>
        <v>839</v>
      </c>
      <c r="O38" s="29">
        <v>0</v>
      </c>
      <c r="P38" s="30">
        <f t="shared" si="1"/>
        <v>839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652</v>
      </c>
      <c r="J39" s="29">
        <v>6914</v>
      </c>
      <c r="K39" s="29">
        <v>0</v>
      </c>
      <c r="L39" s="29">
        <v>99808</v>
      </c>
      <c r="M39" s="29">
        <v>0</v>
      </c>
      <c r="N39" s="30">
        <f t="shared" si="0"/>
        <v>107374</v>
      </c>
      <c r="O39" s="29">
        <v>0</v>
      </c>
      <c r="P39" s="30">
        <f t="shared" si="1"/>
        <v>107374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18107924</v>
      </c>
      <c r="D43" s="31">
        <f t="shared" si="2"/>
        <v>2197558</v>
      </c>
      <c r="E43" s="31">
        <f t="shared" si="2"/>
        <v>1792413</v>
      </c>
      <c r="F43" s="31">
        <f t="shared" si="2"/>
        <v>12273</v>
      </c>
      <c r="G43" s="31">
        <f t="shared" si="2"/>
        <v>250199</v>
      </c>
      <c r="H43" s="31">
        <f t="shared" si="2"/>
        <v>3509772</v>
      </c>
      <c r="I43" s="31">
        <f t="shared" si="2"/>
        <v>1249624</v>
      </c>
      <c r="J43" s="31">
        <f t="shared" si="2"/>
        <v>1497037</v>
      </c>
      <c r="K43" s="31">
        <f t="shared" si="2"/>
        <v>177723</v>
      </c>
      <c r="L43" s="31">
        <f t="shared" si="2"/>
        <v>12569426</v>
      </c>
      <c r="M43" s="31">
        <f t="shared" si="2"/>
        <v>1002788</v>
      </c>
      <c r="N43" s="31">
        <f t="shared" si="2"/>
        <v>42366737</v>
      </c>
      <c r="O43" s="31">
        <f t="shared" si="2"/>
        <v>2431449</v>
      </c>
      <c r="P43" s="31">
        <f t="shared" si="2"/>
        <v>44798186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2016-04-27T11:27:47Z</dcterms:modified>
</cp:coreProperties>
</file>