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/>
  <c r="P43" s="1"/>
  <c r="N12"/>
  <c r="P12"/>
  <c r="N13"/>
  <c r="P13"/>
  <c r="N14"/>
  <c r="P14"/>
  <c r="N15"/>
  <c r="P15"/>
  <c r="N16"/>
  <c r="P16"/>
  <c r="N17"/>
  <c r="P17"/>
  <c r="N18"/>
  <c r="P18"/>
  <c r="N19"/>
  <c r="P19"/>
  <c r="N20"/>
  <c r="P20"/>
  <c r="N21"/>
  <c r="P21"/>
  <c r="N22"/>
  <c r="P22"/>
  <c r="N23"/>
  <c r="P23"/>
  <c r="N24"/>
  <c r="P24"/>
  <c r="N25"/>
  <c r="P25"/>
  <c r="N26"/>
  <c r="P26"/>
  <c r="N27"/>
  <c r="P27"/>
  <c r="N28"/>
  <c r="P28"/>
  <c r="N29"/>
  <c r="P29"/>
  <c r="N30"/>
  <c r="P30"/>
  <c r="N31"/>
  <c r="P31"/>
  <c r="N32"/>
  <c r="P32"/>
  <c r="N33"/>
  <c r="P33"/>
  <c r="N34"/>
  <c r="P34"/>
  <c r="N35"/>
  <c r="P35"/>
  <c r="N36"/>
  <c r="P36"/>
  <c r="N37"/>
  <c r="P37"/>
  <c r="N38"/>
  <c r="P38"/>
  <c r="N39"/>
  <c r="P39"/>
  <c r="N40"/>
  <c r="P40"/>
  <c r="N41"/>
  <c r="P4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N43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 s="1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O43"/>
  <c r="P11" l="1"/>
  <c r="P43" s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<sst xmlns="http://schemas.openxmlformats.org/spreadsheetml/2006/main" count="182" uniqueCount="91">
  <si>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</si>
  <si>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</si>
  <si>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</si>
  <si>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</si>
  <si>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</si>
  <si>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</si>
  <si>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</si>
  <si>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aprile 2015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</si>
  <si>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</si>
  <si>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</si>
  <si>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</si>
  <si>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</si>
  <si>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</si>
  <si>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</si>
  <si>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</si>
  <si>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</si>
  <si>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</si>
  <si>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</si>
  <si>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</si>
  <si>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</si>
  <si>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</si>
  <si>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</si>
  <si>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</si>
  <si>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</si>
  <si>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</si>
  <si>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</si>
  <si>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</si>
  <si>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</si>
  <si>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</si>
  <si>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</si>
  <si>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</si>
  <si>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</si>
  <si>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</si>
  <si>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</si>
  <si>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</si>
  <si>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</si>
  <si>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</si>
  <si>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</si>
  <si>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</si>
  <si>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</si>
  <si>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</si>
  <si>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</si>
  <si>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</si>
  <si>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</si>
  <si>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</si>
  <si>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</si>
  <si>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</si>
  <si>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</si>
  <si>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</si>
  <si>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</si>
  <si>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</si>
  <si>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</si>
  <si>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</si>
  <si>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</si>
  <si>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</si>
  <si>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</si>
  <si>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</si>
  <si>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</si>
  <si>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</si>
  <si>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</si>
  <si>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</si>
  <si>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</si>
  <si>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</si>
  <si>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</si>
  <si>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</si>
  <si>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</si>
  <si>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</si>
  <si>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</si>
  <si>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</si>
  <si>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</si>
  <si>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</si>
  <si>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</si>
  <si>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</si>
  <si>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</si>
  <si>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</si>
  <si>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</si>
  <si>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</si>
  <si>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</si>
  <si>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</si>
  <si>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</si>
  <si>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</si>
  <si>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</si>
  <si>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</si>
  <si>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</si>
  <si>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</si>
  <si>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</si>
  <si>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</si>
  <si>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</si>
  <si>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</si>
  <si>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</si>
  <si>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gennaio-aprile 2015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</si>
</sst>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tabSelected="1" zoomScale="85" workbookViewId="0">
      <selection activeCell="U12" sqref="U1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68310</v>
      </c>
      <c r="E10" s="29">
        <v>1111</v>
      </c>
      <c r="F10" s="29">
        <v>0</v>
      </c>
      <c r="G10" s="29">
        <v>0</v>
      </c>
      <c r="H10" s="29">
        <v>0</v>
      </c>
      <c r="I10" s="29">
        <v>0</v>
      </c>
      <c r="J10" s="29">
        <v>4119</v>
      </c>
      <c r="K10" s="29">
        <v>295</v>
      </c>
      <c r="L10" s="29">
        <v>49257</v>
      </c>
      <c r="M10" s="29">
        <v>215</v>
      </c>
      <c r="N10" s="30">
        <f t="shared" ref="N10:N42" si="0">SUM(C10:M10)</f>
        <v>123307</v>
      </c>
      <c r="O10" s="29">
        <v>0</v>
      </c>
      <c r="P10" s="30">
        <f t="shared" ref="P10:P42" si="1">SUM(N10:O10)</f>
        <v>123307</v>
      </c>
    </row>
    <row r="11" spans="1:16" ht="15" customHeight="1">
      <c r="A11" s="11" t="s">
        <v>26</v>
      </c>
      <c r="B11" s="12" t="s">
        <v>27</v>
      </c>
      <c r="C11" s="29">
        <v>71053</v>
      </c>
      <c r="D11" s="29">
        <v>4867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60904</v>
      </c>
      <c r="M11" s="29">
        <v>877</v>
      </c>
      <c r="N11" s="30">
        <f t="shared" si="0"/>
        <v>137701</v>
      </c>
      <c r="O11" s="29">
        <v>0</v>
      </c>
      <c r="P11" s="30">
        <f t="shared" si="1"/>
        <v>137701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512580</v>
      </c>
      <c r="D13" s="29">
        <v>22263</v>
      </c>
      <c r="E13" s="29">
        <v>103</v>
      </c>
      <c r="F13" s="29">
        <v>0</v>
      </c>
      <c r="G13" s="29">
        <v>0</v>
      </c>
      <c r="H13" s="29">
        <v>0</v>
      </c>
      <c r="I13" s="29">
        <v>0</v>
      </c>
      <c r="J13" s="29">
        <v>1417</v>
      </c>
      <c r="K13" s="29">
        <v>41</v>
      </c>
      <c r="L13" s="29">
        <v>134411</v>
      </c>
      <c r="M13" s="29">
        <v>5434</v>
      </c>
      <c r="N13" s="30">
        <f t="shared" si="0"/>
        <v>676249</v>
      </c>
      <c r="O13" s="29">
        <v>0</v>
      </c>
      <c r="P13" s="30">
        <f t="shared" si="1"/>
        <v>676249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92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92</v>
      </c>
      <c r="O14" s="29">
        <v>0</v>
      </c>
      <c r="P14" s="30">
        <f t="shared" si="1"/>
        <v>92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113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113</v>
      </c>
      <c r="O15" s="29">
        <v>0</v>
      </c>
      <c r="P15" s="30">
        <f t="shared" si="1"/>
        <v>113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75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30">
        <f t="shared" si="0"/>
        <v>75</v>
      </c>
      <c r="O16" s="29">
        <v>0</v>
      </c>
      <c r="P16" s="30">
        <f t="shared" si="1"/>
        <v>75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1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146</v>
      </c>
      <c r="M17" s="29">
        <v>0</v>
      </c>
      <c r="N17" s="30">
        <f t="shared" si="0"/>
        <v>147</v>
      </c>
      <c r="O17" s="29">
        <v>0</v>
      </c>
      <c r="P17" s="30">
        <f t="shared" si="1"/>
        <v>147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310669</v>
      </c>
      <c r="I18" s="29">
        <v>0</v>
      </c>
      <c r="J18" s="29">
        <v>0</v>
      </c>
      <c r="K18" s="29">
        <v>6140</v>
      </c>
      <c r="L18" s="29">
        <v>0</v>
      </c>
      <c r="M18" s="29">
        <v>0</v>
      </c>
      <c r="N18" s="30">
        <f t="shared" si="0"/>
        <v>316809</v>
      </c>
      <c r="O18" s="29">
        <v>0</v>
      </c>
      <c r="P18" s="30">
        <f t="shared" si="1"/>
        <v>316809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16</v>
      </c>
      <c r="M19" s="29">
        <v>0</v>
      </c>
      <c r="N19" s="30">
        <f t="shared" si="0"/>
        <v>17</v>
      </c>
      <c r="O19" s="29">
        <v>0</v>
      </c>
      <c r="P19" s="30">
        <f t="shared" si="1"/>
        <v>17</v>
      </c>
    </row>
    <row r="20" spans="1:16" ht="15" customHeight="1">
      <c r="A20" s="11" t="s">
        <v>44</v>
      </c>
      <c r="B20" s="12" t="s">
        <v>45</v>
      </c>
      <c r="C20" s="29">
        <v>1099174</v>
      </c>
      <c r="D20" s="29">
        <v>94447</v>
      </c>
      <c r="E20" s="29">
        <v>167261</v>
      </c>
      <c r="F20" s="29">
        <v>464</v>
      </c>
      <c r="G20" s="29">
        <v>22500</v>
      </c>
      <c r="H20" s="29">
        <v>0</v>
      </c>
      <c r="I20" s="29">
        <v>1097</v>
      </c>
      <c r="J20" s="29">
        <v>6560</v>
      </c>
      <c r="K20" s="29">
        <v>1951</v>
      </c>
      <c r="L20" s="29">
        <v>726105</v>
      </c>
      <c r="M20" s="29">
        <v>46158</v>
      </c>
      <c r="N20" s="30">
        <f t="shared" si="0"/>
        <v>2165717</v>
      </c>
      <c r="O20" s="29">
        <v>35544</v>
      </c>
      <c r="P20" s="30">
        <f t="shared" si="1"/>
        <v>2201261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3253</v>
      </c>
      <c r="E21" s="29">
        <v>34</v>
      </c>
      <c r="F21" s="29">
        <v>0</v>
      </c>
      <c r="G21" s="29">
        <v>0</v>
      </c>
      <c r="H21" s="29">
        <v>0</v>
      </c>
      <c r="I21" s="29">
        <v>1108</v>
      </c>
      <c r="J21" s="29">
        <v>173</v>
      </c>
      <c r="K21" s="29">
        <v>1006</v>
      </c>
      <c r="L21" s="29">
        <v>42908</v>
      </c>
      <c r="M21" s="29">
        <v>1919</v>
      </c>
      <c r="N21" s="30">
        <f t="shared" si="0"/>
        <v>50401</v>
      </c>
      <c r="O21" s="29">
        <v>5223</v>
      </c>
      <c r="P21" s="30">
        <f t="shared" si="1"/>
        <v>55624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3417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3417</v>
      </c>
      <c r="O22" s="29">
        <v>0</v>
      </c>
      <c r="P22" s="30">
        <f t="shared" si="1"/>
        <v>3417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88846</v>
      </c>
      <c r="J23" s="29">
        <v>0</v>
      </c>
      <c r="K23" s="29">
        <v>0</v>
      </c>
      <c r="L23" s="29">
        <v>3778</v>
      </c>
      <c r="M23" s="29">
        <v>472</v>
      </c>
      <c r="N23" s="30">
        <f t="shared" si="0"/>
        <v>93096</v>
      </c>
      <c r="O23" s="29">
        <v>129247</v>
      </c>
      <c r="P23" s="30">
        <f t="shared" si="1"/>
        <v>222343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1804</v>
      </c>
      <c r="E24" s="29">
        <v>464</v>
      </c>
      <c r="F24" s="29">
        <v>0</v>
      </c>
      <c r="G24" s="29">
        <v>0</v>
      </c>
      <c r="H24" s="29">
        <v>0</v>
      </c>
      <c r="I24" s="29">
        <v>6023</v>
      </c>
      <c r="J24" s="29">
        <v>2037</v>
      </c>
      <c r="K24" s="29">
        <v>0</v>
      </c>
      <c r="L24" s="29">
        <v>25461</v>
      </c>
      <c r="M24" s="29">
        <v>15792</v>
      </c>
      <c r="N24" s="30">
        <f t="shared" si="0"/>
        <v>51581</v>
      </c>
      <c r="O24" s="29">
        <v>55329</v>
      </c>
      <c r="P24" s="30">
        <f t="shared" si="1"/>
        <v>106910</v>
      </c>
    </row>
    <row r="25" spans="1:16" ht="15" customHeight="1">
      <c r="A25" s="11" t="s">
        <v>54</v>
      </c>
      <c r="B25" s="12" t="s">
        <v>55</v>
      </c>
      <c r="C25" s="29">
        <v>112</v>
      </c>
      <c r="D25" s="29">
        <v>6130</v>
      </c>
      <c r="E25" s="29">
        <v>840</v>
      </c>
      <c r="F25" s="29">
        <v>13</v>
      </c>
      <c r="G25" s="29">
        <v>204</v>
      </c>
      <c r="H25" s="29">
        <v>1</v>
      </c>
      <c r="I25" s="29">
        <v>57</v>
      </c>
      <c r="J25" s="29">
        <v>2066</v>
      </c>
      <c r="K25" s="29">
        <v>45</v>
      </c>
      <c r="L25" s="29">
        <v>5634</v>
      </c>
      <c r="M25" s="29">
        <v>549</v>
      </c>
      <c r="N25" s="30">
        <f t="shared" si="0"/>
        <v>15651</v>
      </c>
      <c r="O25" s="29">
        <v>3388</v>
      </c>
      <c r="P25" s="30">
        <f t="shared" si="1"/>
        <v>19039</v>
      </c>
    </row>
    <row r="26" spans="1:16" ht="15" customHeight="1">
      <c r="A26" s="11" t="s">
        <v>56</v>
      </c>
      <c r="B26" s="12" t="s">
        <v>57</v>
      </c>
      <c r="C26" s="29">
        <v>3</v>
      </c>
      <c r="D26" s="29">
        <v>2494</v>
      </c>
      <c r="E26" s="29">
        <v>148</v>
      </c>
      <c r="F26" s="29">
        <v>4</v>
      </c>
      <c r="G26" s="29">
        <v>71</v>
      </c>
      <c r="H26" s="29">
        <v>52</v>
      </c>
      <c r="I26" s="29">
        <v>54</v>
      </c>
      <c r="J26" s="29">
        <v>7528</v>
      </c>
      <c r="K26" s="29">
        <v>3</v>
      </c>
      <c r="L26" s="29">
        <v>2393</v>
      </c>
      <c r="M26" s="29">
        <v>62</v>
      </c>
      <c r="N26" s="30">
        <f t="shared" si="0"/>
        <v>12812</v>
      </c>
      <c r="O26" s="29">
        <v>214</v>
      </c>
      <c r="P26" s="30">
        <f t="shared" si="1"/>
        <v>13026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890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390</v>
      </c>
      <c r="K27" s="29">
        <v>0</v>
      </c>
      <c r="L27" s="29">
        <v>26</v>
      </c>
      <c r="M27" s="29">
        <v>430</v>
      </c>
      <c r="N27" s="30">
        <f t="shared" si="0"/>
        <v>1737</v>
      </c>
      <c r="O27" s="29">
        <v>0</v>
      </c>
      <c r="P27" s="30">
        <f t="shared" si="1"/>
        <v>1737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17</v>
      </c>
      <c r="J28" s="29">
        <v>134</v>
      </c>
      <c r="K28" s="29">
        <v>0</v>
      </c>
      <c r="L28" s="29">
        <v>53</v>
      </c>
      <c r="M28" s="29">
        <v>0</v>
      </c>
      <c r="N28" s="30">
        <f t="shared" si="0"/>
        <v>209</v>
      </c>
      <c r="O28" s="29">
        <v>0</v>
      </c>
      <c r="P28" s="30">
        <f t="shared" si="1"/>
        <v>209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360</v>
      </c>
      <c r="K29" s="29">
        <v>0</v>
      </c>
      <c r="L29" s="29">
        <v>28</v>
      </c>
      <c r="M29" s="29">
        <v>8887</v>
      </c>
      <c r="N29" s="30">
        <f t="shared" si="0"/>
        <v>9275</v>
      </c>
      <c r="O29" s="29">
        <v>0</v>
      </c>
      <c r="P29" s="30">
        <f t="shared" si="1"/>
        <v>9275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8567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72249</v>
      </c>
      <c r="K32" s="29">
        <v>0</v>
      </c>
      <c r="L32" s="29">
        <v>66052</v>
      </c>
      <c r="M32" s="29">
        <v>3375</v>
      </c>
      <c r="N32" s="30">
        <f t="shared" si="0"/>
        <v>150243</v>
      </c>
      <c r="O32" s="29">
        <v>0</v>
      </c>
      <c r="P32" s="30">
        <f t="shared" si="1"/>
        <v>150243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9907</v>
      </c>
      <c r="K33" s="29">
        <v>0</v>
      </c>
      <c r="L33" s="29">
        <v>0</v>
      </c>
      <c r="M33" s="29">
        <v>0</v>
      </c>
      <c r="N33" s="30">
        <f t="shared" si="0"/>
        <v>9907</v>
      </c>
      <c r="O33" s="29">
        <v>0</v>
      </c>
      <c r="P33" s="30">
        <f t="shared" si="1"/>
        <v>9907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</v>
      </c>
      <c r="D35" s="29">
        <v>33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4538</v>
      </c>
      <c r="K35" s="29">
        <v>0</v>
      </c>
      <c r="L35" s="29">
        <v>59</v>
      </c>
      <c r="M35" s="29">
        <v>0</v>
      </c>
      <c r="N35" s="30">
        <f t="shared" si="0"/>
        <v>4634</v>
      </c>
      <c r="O35" s="29">
        <v>0</v>
      </c>
      <c r="P35" s="30">
        <f t="shared" si="1"/>
        <v>4634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23832</v>
      </c>
      <c r="K36" s="29">
        <v>0</v>
      </c>
      <c r="L36" s="29">
        <v>14256</v>
      </c>
      <c r="M36" s="29">
        <v>10257</v>
      </c>
      <c r="N36" s="30">
        <f t="shared" si="0"/>
        <v>48345</v>
      </c>
      <c r="O36" s="29">
        <v>0</v>
      </c>
      <c r="P36" s="30">
        <f t="shared" si="1"/>
        <v>48345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4382</v>
      </c>
      <c r="K37" s="29">
        <v>0</v>
      </c>
      <c r="L37" s="29">
        <v>212</v>
      </c>
      <c r="M37" s="29">
        <v>0</v>
      </c>
      <c r="N37" s="30">
        <f t="shared" si="0"/>
        <v>4594</v>
      </c>
      <c r="O37" s="29">
        <v>0</v>
      </c>
      <c r="P37" s="30">
        <f t="shared" si="1"/>
        <v>4594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10</v>
      </c>
      <c r="K38" s="29">
        <v>0</v>
      </c>
      <c r="L38" s="29">
        <v>0</v>
      </c>
      <c r="M38" s="29">
        <v>0</v>
      </c>
      <c r="N38" s="30">
        <f t="shared" si="0"/>
        <v>10</v>
      </c>
      <c r="O38" s="29">
        <v>0</v>
      </c>
      <c r="P38" s="30">
        <f t="shared" si="1"/>
        <v>10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54</v>
      </c>
      <c r="J39" s="29">
        <v>0</v>
      </c>
      <c r="K39" s="29">
        <v>0</v>
      </c>
      <c r="L39" s="29">
        <v>6520</v>
      </c>
      <c r="M39" s="29">
        <v>0</v>
      </c>
      <c r="N39" s="30">
        <f t="shared" si="0"/>
        <v>6574</v>
      </c>
      <c r="O39" s="29">
        <v>0</v>
      </c>
      <c r="P39" s="30">
        <f t="shared" si="1"/>
        <v>6574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1682926</v>
      </c>
      <c r="D43" s="31">
        <f t="shared" si="2"/>
        <v>213065</v>
      </c>
      <c r="E43" s="31">
        <f t="shared" si="2"/>
        <v>170037</v>
      </c>
      <c r="F43" s="31">
        <f t="shared" si="2"/>
        <v>481</v>
      </c>
      <c r="G43" s="31">
        <f t="shared" si="2"/>
        <v>22775</v>
      </c>
      <c r="H43" s="31">
        <f t="shared" si="2"/>
        <v>310927</v>
      </c>
      <c r="I43" s="31">
        <f t="shared" si="2"/>
        <v>100673</v>
      </c>
      <c r="J43" s="31">
        <f t="shared" si="2"/>
        <v>139702</v>
      </c>
      <c r="K43" s="31">
        <f t="shared" si="2"/>
        <v>9481</v>
      </c>
      <c r="L43" s="31">
        <f t="shared" si="2"/>
        <v>1138219</v>
      </c>
      <c r="M43" s="31">
        <f t="shared" si="2"/>
        <v>94427</v>
      </c>
      <c r="N43" s="31">
        <f t="shared" si="2"/>
        <v>3882713</v>
      </c>
      <c r="O43" s="31">
        <f t="shared" si="2"/>
        <v>228945</v>
      </c>
      <c r="P43" s="31">
        <f t="shared" si="2"/>
        <v>4111658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352531</v>
      </c>
      <c r="E10" s="29">
        <v>7149</v>
      </c>
      <c r="F10" s="29">
        <v>0</v>
      </c>
      <c r="G10" s="29">
        <v>0</v>
      </c>
      <c r="H10" s="29">
        <v>0</v>
      </c>
      <c r="I10" s="29">
        <v>0</v>
      </c>
      <c r="J10" s="29">
        <v>25216</v>
      </c>
      <c r="K10" s="29">
        <v>1811</v>
      </c>
      <c r="L10" s="29">
        <v>274320</v>
      </c>
      <c r="M10" s="29">
        <v>2396</v>
      </c>
      <c r="N10" s="30">
        <f t="shared" ref="N10:N42" si="0">SUM(C10:M10)</f>
        <v>663423</v>
      </c>
      <c r="O10" s="29">
        <v>0</v>
      </c>
      <c r="P10" s="30">
        <f t="shared" ref="P10:P42" si="1">SUM(N10:O10)</f>
        <v>663423</v>
      </c>
    </row>
    <row r="11" spans="1:16" ht="15" customHeight="1">
      <c r="A11" s="11" t="s">
        <v>26</v>
      </c>
      <c r="B11" s="12" t="s">
        <v>27</v>
      </c>
      <c r="C11" s="29">
        <v>264271</v>
      </c>
      <c r="D11" s="29">
        <v>21446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238664</v>
      </c>
      <c r="M11" s="29">
        <v>2562</v>
      </c>
      <c r="N11" s="30">
        <f t="shared" si="0"/>
        <v>526943</v>
      </c>
      <c r="O11" s="29">
        <v>0</v>
      </c>
      <c r="P11" s="30">
        <f t="shared" si="1"/>
        <v>526943</v>
      </c>
    </row>
    <row r="12" spans="1:16" ht="15" customHeight="1">
      <c r="A12" s="11" t="s">
        <v>28</v>
      </c>
      <c r="B12" s="12" t="s">
        <v>29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>
        <f t="shared" si="0"/>
        <v>0</v>
      </c>
      <c r="O12" s="29"/>
      <c r="P12" s="30">
        <f t="shared" si="1"/>
        <v>0</v>
      </c>
    </row>
    <row r="13" spans="1:16" ht="15" customHeight="1">
      <c r="A13" s="11" t="s">
        <v>30</v>
      </c>
      <c r="B13" s="12" t="s">
        <v>31</v>
      </c>
      <c r="C13" s="29">
        <v>1879356</v>
      </c>
      <c r="D13" s="29">
        <v>73615</v>
      </c>
      <c r="E13" s="29">
        <v>398</v>
      </c>
      <c r="F13" s="29">
        <v>0</v>
      </c>
      <c r="G13" s="29">
        <v>0</v>
      </c>
      <c r="H13" s="29">
        <v>0</v>
      </c>
      <c r="I13" s="29">
        <v>0</v>
      </c>
      <c r="J13" s="29">
        <v>5102</v>
      </c>
      <c r="K13" s="29">
        <v>180</v>
      </c>
      <c r="L13" s="29">
        <v>469138</v>
      </c>
      <c r="M13" s="29">
        <v>14370</v>
      </c>
      <c r="N13" s="30">
        <f t="shared" si="0"/>
        <v>2442159</v>
      </c>
      <c r="O13" s="29">
        <v>0</v>
      </c>
      <c r="P13" s="30">
        <f t="shared" si="1"/>
        <v>2442159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378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378</v>
      </c>
      <c r="O14" s="29">
        <v>0</v>
      </c>
      <c r="P14" s="30">
        <f t="shared" si="1"/>
        <v>378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271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271</v>
      </c>
      <c r="O15" s="29">
        <v>0</v>
      </c>
      <c r="P15" s="30">
        <f t="shared" si="1"/>
        <v>271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243</v>
      </c>
      <c r="F16" s="29">
        <v>0</v>
      </c>
      <c r="G16" s="29">
        <v>0</v>
      </c>
      <c r="H16" s="29">
        <v>0</v>
      </c>
      <c r="I16" s="29">
        <v>0</v>
      </c>
      <c r="J16" s="29">
        <v>75</v>
      </c>
      <c r="K16" s="29">
        <v>0</v>
      </c>
      <c r="L16" s="29">
        <v>0</v>
      </c>
      <c r="M16" s="29">
        <v>0</v>
      </c>
      <c r="N16" s="30">
        <f t="shared" si="0"/>
        <v>318</v>
      </c>
      <c r="O16" s="29">
        <v>0</v>
      </c>
      <c r="P16" s="30">
        <f t="shared" si="1"/>
        <v>318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24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108</v>
      </c>
      <c r="K17" s="29">
        <v>0</v>
      </c>
      <c r="L17" s="29">
        <v>1937</v>
      </c>
      <c r="M17" s="29">
        <v>0</v>
      </c>
      <c r="N17" s="30">
        <f t="shared" si="0"/>
        <v>2069</v>
      </c>
      <c r="O17" s="29">
        <v>0</v>
      </c>
      <c r="P17" s="30">
        <f t="shared" si="1"/>
        <v>2069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1064204</v>
      </c>
      <c r="I18" s="29">
        <v>0</v>
      </c>
      <c r="J18" s="29">
        <v>0</v>
      </c>
      <c r="K18" s="29">
        <v>28991</v>
      </c>
      <c r="L18" s="29">
        <v>0</v>
      </c>
      <c r="M18" s="29">
        <v>0</v>
      </c>
      <c r="N18" s="30">
        <f t="shared" si="0"/>
        <v>1093195</v>
      </c>
      <c r="O18" s="29">
        <v>0</v>
      </c>
      <c r="P18" s="30">
        <f t="shared" si="1"/>
        <v>1093195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16</v>
      </c>
      <c r="M19" s="29">
        <v>0</v>
      </c>
      <c r="N19" s="30">
        <f t="shared" si="0"/>
        <v>43</v>
      </c>
      <c r="O19" s="29">
        <v>0</v>
      </c>
      <c r="P19" s="30">
        <f t="shared" si="1"/>
        <v>43</v>
      </c>
    </row>
    <row r="20" spans="1:16" ht="15" customHeight="1">
      <c r="A20" s="11" t="s">
        <v>44</v>
      </c>
      <c r="B20" s="12" t="s">
        <v>45</v>
      </c>
      <c r="C20" s="29">
        <v>4135550</v>
      </c>
      <c r="D20" s="29">
        <v>348822</v>
      </c>
      <c r="E20" s="29">
        <v>468500</v>
      </c>
      <c r="F20" s="29">
        <v>5679</v>
      </c>
      <c r="G20" s="29">
        <v>78801</v>
      </c>
      <c r="H20" s="29">
        <v>0</v>
      </c>
      <c r="I20" s="29">
        <v>5539</v>
      </c>
      <c r="J20" s="29">
        <v>26646</v>
      </c>
      <c r="K20" s="29">
        <v>7852</v>
      </c>
      <c r="L20" s="29">
        <v>2704000</v>
      </c>
      <c r="M20" s="29">
        <v>180113</v>
      </c>
      <c r="N20" s="30">
        <f t="shared" si="0"/>
        <v>7961502</v>
      </c>
      <c r="O20" s="29">
        <v>126133</v>
      </c>
      <c r="P20" s="30">
        <f t="shared" si="1"/>
        <v>8087635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37691</v>
      </c>
      <c r="E21" s="29">
        <v>257</v>
      </c>
      <c r="F21" s="29">
        <v>62</v>
      </c>
      <c r="G21" s="29">
        <v>0</v>
      </c>
      <c r="H21" s="29">
        <v>0</v>
      </c>
      <c r="I21" s="29">
        <v>4203</v>
      </c>
      <c r="J21" s="29">
        <v>1874</v>
      </c>
      <c r="K21" s="29">
        <v>11391</v>
      </c>
      <c r="L21" s="29">
        <v>427800</v>
      </c>
      <c r="M21" s="29">
        <v>9793</v>
      </c>
      <c r="N21" s="30">
        <f t="shared" si="0"/>
        <v>493071</v>
      </c>
      <c r="O21" s="29">
        <v>19679</v>
      </c>
      <c r="P21" s="30">
        <f t="shared" si="1"/>
        <v>512750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14304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14304</v>
      </c>
      <c r="O22" s="29">
        <v>0</v>
      </c>
      <c r="P22" s="30">
        <f t="shared" si="1"/>
        <v>14304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28</v>
      </c>
      <c r="E23" s="29">
        <v>0</v>
      </c>
      <c r="F23" s="29">
        <v>0</v>
      </c>
      <c r="G23" s="29">
        <v>0</v>
      </c>
      <c r="H23" s="29">
        <v>0</v>
      </c>
      <c r="I23" s="29">
        <v>429247</v>
      </c>
      <c r="J23" s="29">
        <v>0</v>
      </c>
      <c r="K23" s="29">
        <v>0</v>
      </c>
      <c r="L23" s="29">
        <v>13854</v>
      </c>
      <c r="M23" s="29">
        <v>2207</v>
      </c>
      <c r="N23" s="30">
        <f t="shared" si="0"/>
        <v>445336</v>
      </c>
      <c r="O23" s="29">
        <v>419456</v>
      </c>
      <c r="P23" s="30">
        <f t="shared" si="1"/>
        <v>864792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10325</v>
      </c>
      <c r="E24" s="29">
        <v>868</v>
      </c>
      <c r="F24" s="29">
        <v>0</v>
      </c>
      <c r="G24" s="29">
        <v>0</v>
      </c>
      <c r="H24" s="29">
        <v>0</v>
      </c>
      <c r="I24" s="29">
        <v>25372</v>
      </c>
      <c r="J24" s="29">
        <v>5953</v>
      </c>
      <c r="K24" s="29">
        <v>29</v>
      </c>
      <c r="L24" s="29">
        <v>118029</v>
      </c>
      <c r="M24" s="29">
        <v>47103</v>
      </c>
      <c r="N24" s="30">
        <f t="shared" si="0"/>
        <v>207679</v>
      </c>
      <c r="O24" s="29">
        <v>184974</v>
      </c>
      <c r="P24" s="30">
        <f t="shared" si="1"/>
        <v>392653</v>
      </c>
    </row>
    <row r="25" spans="1:16" ht="15" customHeight="1">
      <c r="A25" s="11" t="s">
        <v>54</v>
      </c>
      <c r="B25" s="12" t="s">
        <v>55</v>
      </c>
      <c r="C25" s="29">
        <v>405</v>
      </c>
      <c r="D25" s="29">
        <v>23666</v>
      </c>
      <c r="E25" s="29">
        <v>2587</v>
      </c>
      <c r="F25" s="29">
        <v>205</v>
      </c>
      <c r="G25" s="29">
        <v>840</v>
      </c>
      <c r="H25" s="29">
        <v>9</v>
      </c>
      <c r="I25" s="29">
        <v>247</v>
      </c>
      <c r="J25" s="29">
        <v>7688</v>
      </c>
      <c r="K25" s="29">
        <v>125</v>
      </c>
      <c r="L25" s="29">
        <v>21171</v>
      </c>
      <c r="M25" s="29">
        <v>2344</v>
      </c>
      <c r="N25" s="30">
        <f t="shared" si="0"/>
        <v>59287</v>
      </c>
      <c r="O25" s="29">
        <v>10685</v>
      </c>
      <c r="P25" s="30">
        <f t="shared" si="1"/>
        <v>69972</v>
      </c>
    </row>
    <row r="26" spans="1:16" ht="15" customHeight="1">
      <c r="A26" s="11" t="s">
        <v>56</v>
      </c>
      <c r="B26" s="12" t="s">
        <v>57</v>
      </c>
      <c r="C26" s="29">
        <v>15</v>
      </c>
      <c r="D26" s="29">
        <v>9453</v>
      </c>
      <c r="E26" s="29">
        <v>528</v>
      </c>
      <c r="F26" s="29">
        <v>18</v>
      </c>
      <c r="G26" s="29">
        <v>220</v>
      </c>
      <c r="H26" s="29">
        <v>133</v>
      </c>
      <c r="I26" s="29">
        <v>155</v>
      </c>
      <c r="J26" s="29">
        <v>31209</v>
      </c>
      <c r="K26" s="29">
        <v>52</v>
      </c>
      <c r="L26" s="29">
        <v>9456</v>
      </c>
      <c r="M26" s="29">
        <v>286</v>
      </c>
      <c r="N26" s="30">
        <f t="shared" si="0"/>
        <v>51525</v>
      </c>
      <c r="O26" s="29">
        <v>856</v>
      </c>
      <c r="P26" s="30">
        <f t="shared" si="1"/>
        <v>52381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3273</v>
      </c>
      <c r="E27" s="29">
        <v>2</v>
      </c>
      <c r="F27" s="29">
        <v>0</v>
      </c>
      <c r="G27" s="29">
        <v>0</v>
      </c>
      <c r="H27" s="29">
        <v>0</v>
      </c>
      <c r="I27" s="29">
        <v>0</v>
      </c>
      <c r="J27" s="29">
        <v>1818</v>
      </c>
      <c r="K27" s="29">
        <v>0</v>
      </c>
      <c r="L27" s="29">
        <v>57</v>
      </c>
      <c r="M27" s="29">
        <v>3180</v>
      </c>
      <c r="N27" s="30">
        <f t="shared" si="0"/>
        <v>8330</v>
      </c>
      <c r="O27" s="29">
        <v>0</v>
      </c>
      <c r="P27" s="30">
        <f t="shared" si="1"/>
        <v>8330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19</v>
      </c>
      <c r="E28" s="29">
        <v>1</v>
      </c>
      <c r="F28" s="29">
        <v>0</v>
      </c>
      <c r="G28" s="29">
        <v>0</v>
      </c>
      <c r="H28" s="29">
        <v>0</v>
      </c>
      <c r="I28" s="29">
        <v>32</v>
      </c>
      <c r="J28" s="29">
        <v>512</v>
      </c>
      <c r="K28" s="29">
        <v>0</v>
      </c>
      <c r="L28" s="29">
        <v>203</v>
      </c>
      <c r="M28" s="29">
        <v>0</v>
      </c>
      <c r="N28" s="30">
        <f t="shared" si="0"/>
        <v>767</v>
      </c>
      <c r="O28" s="29">
        <v>0</v>
      </c>
      <c r="P28" s="30">
        <f t="shared" si="1"/>
        <v>767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1899</v>
      </c>
      <c r="K29" s="29">
        <v>0</v>
      </c>
      <c r="L29" s="29">
        <v>221</v>
      </c>
      <c r="M29" s="29">
        <v>31846</v>
      </c>
      <c r="N29" s="30">
        <f t="shared" si="0"/>
        <v>33966</v>
      </c>
      <c r="O29" s="29">
        <v>0</v>
      </c>
      <c r="P29" s="30">
        <f t="shared" si="1"/>
        <v>33966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2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</v>
      </c>
      <c r="N31" s="30">
        <f t="shared" si="0"/>
        <v>3</v>
      </c>
      <c r="O31" s="29">
        <v>0</v>
      </c>
      <c r="P31" s="30">
        <f t="shared" si="1"/>
        <v>3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26599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203083</v>
      </c>
      <c r="K32" s="29">
        <v>0</v>
      </c>
      <c r="L32" s="29">
        <v>168722</v>
      </c>
      <c r="M32" s="29">
        <v>7899</v>
      </c>
      <c r="N32" s="30">
        <f t="shared" si="0"/>
        <v>406303</v>
      </c>
      <c r="O32" s="29">
        <v>0</v>
      </c>
      <c r="P32" s="30">
        <f t="shared" si="1"/>
        <v>406303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36097</v>
      </c>
      <c r="K33" s="29">
        <v>0</v>
      </c>
      <c r="L33" s="29">
        <v>0</v>
      </c>
      <c r="M33" s="29">
        <v>0</v>
      </c>
      <c r="N33" s="30">
        <f t="shared" si="0"/>
        <v>36097</v>
      </c>
      <c r="O33" s="29">
        <v>0</v>
      </c>
      <c r="P33" s="30">
        <f t="shared" si="1"/>
        <v>36097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25</v>
      </c>
      <c r="D35" s="29">
        <v>202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17360</v>
      </c>
      <c r="K35" s="29">
        <v>0</v>
      </c>
      <c r="L35" s="29">
        <v>276</v>
      </c>
      <c r="M35" s="29">
        <v>0</v>
      </c>
      <c r="N35" s="30">
        <f t="shared" si="0"/>
        <v>17863</v>
      </c>
      <c r="O35" s="29">
        <v>0</v>
      </c>
      <c r="P35" s="30">
        <f t="shared" si="1"/>
        <v>17863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96029</v>
      </c>
      <c r="K36" s="29">
        <v>0</v>
      </c>
      <c r="L36" s="29">
        <v>51856</v>
      </c>
      <c r="M36" s="29">
        <v>40377</v>
      </c>
      <c r="N36" s="30">
        <f t="shared" si="0"/>
        <v>188262</v>
      </c>
      <c r="O36" s="29">
        <v>0</v>
      </c>
      <c r="P36" s="30">
        <f t="shared" si="1"/>
        <v>188262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11906</v>
      </c>
      <c r="K37" s="29">
        <v>0</v>
      </c>
      <c r="L37" s="29">
        <v>212</v>
      </c>
      <c r="M37" s="29">
        <v>0</v>
      </c>
      <c r="N37" s="30">
        <f t="shared" si="0"/>
        <v>12118</v>
      </c>
      <c r="O37" s="29">
        <v>0</v>
      </c>
      <c r="P37" s="30">
        <f t="shared" si="1"/>
        <v>12118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372</v>
      </c>
      <c r="K38" s="29">
        <v>0</v>
      </c>
      <c r="L38" s="29">
        <v>0</v>
      </c>
      <c r="M38" s="29">
        <v>0</v>
      </c>
      <c r="N38" s="30">
        <f t="shared" si="0"/>
        <v>372</v>
      </c>
      <c r="O38" s="29">
        <v>0</v>
      </c>
      <c r="P38" s="30">
        <f t="shared" si="1"/>
        <v>372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194</v>
      </c>
      <c r="J39" s="29">
        <v>0</v>
      </c>
      <c r="K39" s="29">
        <v>0</v>
      </c>
      <c r="L39" s="29">
        <v>32712</v>
      </c>
      <c r="M39" s="29">
        <v>0</v>
      </c>
      <c r="N39" s="30">
        <f t="shared" si="0"/>
        <v>32906</v>
      </c>
      <c r="O39" s="29">
        <v>0</v>
      </c>
      <c r="P39" s="30">
        <f t="shared" si="1"/>
        <v>32906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6279622</v>
      </c>
      <c r="D43" s="31">
        <f t="shared" si="2"/>
        <v>907723</v>
      </c>
      <c r="E43" s="31">
        <f t="shared" si="2"/>
        <v>480533</v>
      </c>
      <c r="F43" s="31">
        <f t="shared" si="2"/>
        <v>5964</v>
      </c>
      <c r="G43" s="31">
        <f t="shared" si="2"/>
        <v>79861</v>
      </c>
      <c r="H43" s="31">
        <f t="shared" si="2"/>
        <v>1064995</v>
      </c>
      <c r="I43" s="31">
        <f t="shared" si="2"/>
        <v>479293</v>
      </c>
      <c r="J43" s="31">
        <f t="shared" si="2"/>
        <v>472948</v>
      </c>
      <c r="K43" s="31">
        <f t="shared" si="2"/>
        <v>50431</v>
      </c>
      <c r="L43" s="31">
        <f t="shared" si="2"/>
        <v>4532644</v>
      </c>
      <c r="M43" s="31">
        <f t="shared" si="2"/>
        <v>344476</v>
      </c>
      <c r="N43" s="31">
        <f t="shared" si="2"/>
        <v>14698490</v>
      </c>
      <c r="O43" s="31">
        <f t="shared" si="2"/>
        <v>761783</v>
      </c>
      <c r="P43" s="31">
        <f t="shared" si="2"/>
        <v>15460273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2015-08-25T14:58:17Z</dcterms:modified>
</cp:coreProperties>
</file>