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<sst xmlns="http://schemas.openxmlformats.org/spreadsheetml/2006/main" count="182" uniqueCount="91">
  <si>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</si>
  <si>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</si>
  <si>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</si>
  <si>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</si>
  <si>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</si>
  <si>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</si>
  <si>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</si>
  <si>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marzo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</si>
  <si>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</si>
  <si>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</si>
  <si>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</si>
  <si>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</si>
  <si>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</si>
  <si>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</si>
  <si>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</si>
  <si>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</si>
  <si>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</si>
  <si>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</si>
  <si>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</si>
  <si>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</si>
  <si>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</si>
  <si>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</si>
  <si>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</si>
  <si>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</si>
  <si>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</si>
  <si>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</si>
  <si>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</si>
  <si>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</si>
  <si>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</si>
  <si>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</si>
  <si>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</si>
  <si>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</si>
  <si>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</si>
  <si>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</si>
  <si>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</si>
  <si>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</si>
  <si>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</si>
  <si>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</si>
  <si>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</si>
  <si>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</si>
  <si>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</si>
  <si>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</si>
  <si>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</si>
  <si>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</si>
  <si>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</si>
  <si>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</si>
  <si>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</si>
  <si>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</si>
  <si>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</si>
  <si>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</si>
  <si>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</si>
  <si>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</si>
  <si>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</si>
  <si>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</si>
  <si>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</si>
  <si>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</si>
  <si>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</si>
  <si>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</si>
  <si>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</si>
  <si>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</si>
  <si>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</si>
  <si>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</si>
  <si>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</si>
  <si>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</si>
  <si>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</si>
  <si>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</si>
  <si>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</si>
  <si>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</si>
  <si>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</si>
  <si>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</si>
  <si>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</si>
  <si>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</si>
  <si>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</si>
  <si>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</si>
  <si>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</si>
  <si>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</si>
  <si>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</si>
  <si>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</si>
  <si>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</si>
  <si>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</si>
  <si>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</si>
  <si>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</si>
  <si>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</si>
  <si>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</si>
  <si>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</si>
  <si>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</si>
  <si>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</si>
  <si>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</si>
  <si>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</si>
  <si>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</si>
  <si>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gennaio-marzo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</si>
</sst>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78600</v>
      </c>
      <c r="E10" s="29">
        <v>1936</v>
      </c>
      <c r="F10" s="29">
        <v>0</v>
      </c>
      <c r="G10" s="29">
        <v>0</v>
      </c>
      <c r="H10" s="29">
        <v>0</v>
      </c>
      <c r="I10" s="29">
        <v>0</v>
      </c>
      <c r="J10" s="29">
        <v>4967</v>
      </c>
      <c r="K10" s="29">
        <v>448</v>
      </c>
      <c r="L10" s="29">
        <v>68579</v>
      </c>
      <c r="M10" s="29">
        <v>619</v>
      </c>
      <c r="N10" s="30">
        <f t="shared" ref="N10:N42" si="0">SUM(C10:M10)</f>
        <v>155149</v>
      </c>
      <c r="O10" s="29">
        <v>0</v>
      </c>
      <c r="P10" s="30">
        <f t="shared" ref="P10:P42" si="1">SUM(N10:O10)</f>
        <v>155149</v>
      </c>
    </row>
    <row r="11" spans="1:16" ht="15" customHeight="1">
      <c r="A11" s="11" t="s">
        <v>26</v>
      </c>
      <c r="B11" s="12" t="s">
        <v>27</v>
      </c>
      <c r="C11" s="29">
        <v>69556</v>
      </c>
      <c r="D11" s="29">
        <v>4820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62762</v>
      </c>
      <c r="M11" s="29">
        <v>490</v>
      </c>
      <c r="N11" s="30">
        <f t="shared" si="0"/>
        <v>137628</v>
      </c>
      <c r="O11" s="29">
        <v>0</v>
      </c>
      <c r="P11" s="30">
        <f t="shared" si="1"/>
        <v>137628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487131</v>
      </c>
      <c r="D13" s="29">
        <v>17883</v>
      </c>
      <c r="E13" s="29">
        <v>129</v>
      </c>
      <c r="F13" s="29">
        <v>0</v>
      </c>
      <c r="G13" s="29">
        <v>0</v>
      </c>
      <c r="H13" s="29">
        <v>0</v>
      </c>
      <c r="I13" s="29">
        <v>0</v>
      </c>
      <c r="J13" s="29">
        <v>1282</v>
      </c>
      <c r="K13" s="29">
        <v>34</v>
      </c>
      <c r="L13" s="29">
        <v>120222</v>
      </c>
      <c r="M13" s="29">
        <v>3872</v>
      </c>
      <c r="N13" s="30">
        <f t="shared" si="0"/>
        <v>630553</v>
      </c>
      <c r="O13" s="29">
        <v>0</v>
      </c>
      <c r="P13" s="30">
        <f t="shared" si="1"/>
        <v>630553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151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151</v>
      </c>
      <c r="O14" s="29">
        <v>0</v>
      </c>
      <c r="P14" s="30">
        <f t="shared" si="1"/>
        <v>151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52</v>
      </c>
      <c r="O15" s="29">
        <v>0</v>
      </c>
      <c r="P15" s="30">
        <f t="shared" si="1"/>
        <v>52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65</v>
      </c>
      <c r="F16" s="29">
        <v>0</v>
      </c>
      <c r="G16" s="29">
        <v>0</v>
      </c>
      <c r="H16" s="29">
        <v>0</v>
      </c>
      <c r="I16" s="29">
        <v>0</v>
      </c>
      <c r="J16" s="29">
        <v>25</v>
      </c>
      <c r="K16" s="29">
        <v>0</v>
      </c>
      <c r="L16" s="29">
        <v>0</v>
      </c>
      <c r="M16" s="29">
        <v>0</v>
      </c>
      <c r="N16" s="30">
        <f t="shared" si="0"/>
        <v>90</v>
      </c>
      <c r="O16" s="29">
        <v>0</v>
      </c>
      <c r="P16" s="30">
        <f t="shared" si="1"/>
        <v>90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47</v>
      </c>
      <c r="K17" s="29">
        <v>0</v>
      </c>
      <c r="L17" s="29">
        <v>430</v>
      </c>
      <c r="M17" s="29">
        <v>0</v>
      </c>
      <c r="N17" s="30">
        <f t="shared" si="0"/>
        <v>481</v>
      </c>
      <c r="O17" s="29">
        <v>0</v>
      </c>
      <c r="P17" s="30">
        <f t="shared" si="1"/>
        <v>481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271175</v>
      </c>
      <c r="I18" s="29">
        <v>0</v>
      </c>
      <c r="J18" s="29">
        <v>0</v>
      </c>
      <c r="K18" s="29">
        <v>8290</v>
      </c>
      <c r="L18" s="29">
        <v>0</v>
      </c>
      <c r="M18" s="29">
        <v>0</v>
      </c>
      <c r="N18" s="30">
        <f t="shared" si="0"/>
        <v>279465</v>
      </c>
      <c r="O18" s="29">
        <v>0</v>
      </c>
      <c r="P18" s="30">
        <f t="shared" si="1"/>
        <v>279465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</v>
      </c>
      <c r="O19" s="29">
        <v>0</v>
      </c>
      <c r="P19" s="30">
        <f t="shared" si="1"/>
        <v>1</v>
      </c>
    </row>
    <row r="20" spans="1:16" ht="15" customHeight="1">
      <c r="A20" s="11" t="s">
        <v>44</v>
      </c>
      <c r="B20" s="12" t="s">
        <v>45</v>
      </c>
      <c r="C20" s="29">
        <v>1086185</v>
      </c>
      <c r="D20" s="29">
        <v>88137</v>
      </c>
      <c r="E20" s="29">
        <v>128937</v>
      </c>
      <c r="F20" s="29">
        <v>953</v>
      </c>
      <c r="G20" s="29">
        <v>19947</v>
      </c>
      <c r="H20" s="29">
        <v>0</v>
      </c>
      <c r="I20" s="29">
        <v>1638</v>
      </c>
      <c r="J20" s="29">
        <v>6737</v>
      </c>
      <c r="K20" s="29">
        <v>1906</v>
      </c>
      <c r="L20" s="29">
        <v>707371</v>
      </c>
      <c r="M20" s="29">
        <v>46555</v>
      </c>
      <c r="N20" s="30">
        <f t="shared" si="0"/>
        <v>2088366</v>
      </c>
      <c r="O20" s="29">
        <v>30992</v>
      </c>
      <c r="P20" s="30">
        <f t="shared" si="1"/>
        <v>2119358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5981</v>
      </c>
      <c r="E21" s="29">
        <v>58</v>
      </c>
      <c r="F21" s="29">
        <v>0</v>
      </c>
      <c r="G21" s="29">
        <v>0</v>
      </c>
      <c r="H21" s="29">
        <v>0</v>
      </c>
      <c r="I21" s="29">
        <v>1379</v>
      </c>
      <c r="J21" s="29">
        <v>410</v>
      </c>
      <c r="K21" s="29">
        <v>2171</v>
      </c>
      <c r="L21" s="29">
        <v>94508</v>
      </c>
      <c r="M21" s="29">
        <v>2488</v>
      </c>
      <c r="N21" s="30">
        <f t="shared" si="0"/>
        <v>106995</v>
      </c>
      <c r="O21" s="29">
        <v>4756</v>
      </c>
      <c r="P21" s="30">
        <f t="shared" si="1"/>
        <v>111751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3451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3451</v>
      </c>
      <c r="O22" s="29">
        <v>0</v>
      </c>
      <c r="P22" s="30">
        <f t="shared" si="1"/>
        <v>3451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114117</v>
      </c>
      <c r="J23" s="29">
        <v>0</v>
      </c>
      <c r="K23" s="29">
        <v>0</v>
      </c>
      <c r="L23" s="29">
        <v>2784</v>
      </c>
      <c r="M23" s="29">
        <v>586</v>
      </c>
      <c r="N23" s="30">
        <f t="shared" si="0"/>
        <v>117487</v>
      </c>
      <c r="O23" s="29">
        <v>110554</v>
      </c>
      <c r="P23" s="30">
        <f t="shared" si="1"/>
        <v>228041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2398</v>
      </c>
      <c r="E24" s="29">
        <v>0</v>
      </c>
      <c r="F24" s="29">
        <v>0</v>
      </c>
      <c r="G24" s="29">
        <v>0</v>
      </c>
      <c r="H24" s="29">
        <v>0</v>
      </c>
      <c r="I24" s="29">
        <v>10299</v>
      </c>
      <c r="J24" s="29">
        <v>1141</v>
      </c>
      <c r="K24" s="29">
        <v>29</v>
      </c>
      <c r="L24" s="29">
        <v>30633</v>
      </c>
      <c r="M24" s="29">
        <v>14186</v>
      </c>
      <c r="N24" s="30">
        <f t="shared" si="0"/>
        <v>58686</v>
      </c>
      <c r="O24" s="29">
        <v>42032</v>
      </c>
      <c r="P24" s="30">
        <f t="shared" si="1"/>
        <v>100718</v>
      </c>
    </row>
    <row r="25" spans="1:16" ht="15" customHeight="1">
      <c r="A25" s="11" t="s">
        <v>54</v>
      </c>
      <c r="B25" s="12" t="s">
        <v>55</v>
      </c>
      <c r="C25" s="29">
        <v>134</v>
      </c>
      <c r="D25" s="29">
        <v>6328</v>
      </c>
      <c r="E25" s="29">
        <v>766</v>
      </c>
      <c r="F25" s="29">
        <v>81</v>
      </c>
      <c r="G25" s="29">
        <v>236</v>
      </c>
      <c r="H25" s="29">
        <v>2</v>
      </c>
      <c r="I25" s="29">
        <v>70</v>
      </c>
      <c r="J25" s="29">
        <v>2203</v>
      </c>
      <c r="K25" s="29">
        <v>17</v>
      </c>
      <c r="L25" s="29">
        <v>5879</v>
      </c>
      <c r="M25" s="29">
        <v>798</v>
      </c>
      <c r="N25" s="30">
        <f t="shared" si="0"/>
        <v>16514</v>
      </c>
      <c r="O25" s="29">
        <v>2434</v>
      </c>
      <c r="P25" s="30">
        <f t="shared" si="1"/>
        <v>18948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2780</v>
      </c>
      <c r="E26" s="29">
        <v>140</v>
      </c>
      <c r="F26" s="29">
        <v>4</v>
      </c>
      <c r="G26" s="29">
        <v>52</v>
      </c>
      <c r="H26" s="29">
        <v>29</v>
      </c>
      <c r="I26" s="29">
        <v>25</v>
      </c>
      <c r="J26" s="29">
        <v>8080</v>
      </c>
      <c r="K26" s="29">
        <v>16</v>
      </c>
      <c r="L26" s="29">
        <v>2757</v>
      </c>
      <c r="M26" s="29">
        <v>96</v>
      </c>
      <c r="N26" s="30">
        <f t="shared" si="0"/>
        <v>13984</v>
      </c>
      <c r="O26" s="29">
        <v>236</v>
      </c>
      <c r="P26" s="30">
        <f t="shared" si="1"/>
        <v>14220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759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542</v>
      </c>
      <c r="K27" s="29">
        <v>0</v>
      </c>
      <c r="L27" s="29">
        <v>8</v>
      </c>
      <c r="M27" s="29">
        <v>856</v>
      </c>
      <c r="N27" s="30">
        <f t="shared" si="0"/>
        <v>2165</v>
      </c>
      <c r="O27" s="29">
        <v>0</v>
      </c>
      <c r="P27" s="30">
        <f t="shared" si="1"/>
        <v>2165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10</v>
      </c>
      <c r="J28" s="29">
        <v>108</v>
      </c>
      <c r="K28" s="29">
        <v>0</v>
      </c>
      <c r="L28" s="29">
        <v>56</v>
      </c>
      <c r="M28" s="29">
        <v>0</v>
      </c>
      <c r="N28" s="30">
        <f t="shared" si="0"/>
        <v>179</v>
      </c>
      <c r="O28" s="29">
        <v>0</v>
      </c>
      <c r="P28" s="30">
        <f t="shared" si="1"/>
        <v>179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433</v>
      </c>
      <c r="K29" s="29">
        <v>0</v>
      </c>
      <c r="L29" s="29">
        <v>68</v>
      </c>
      <c r="M29" s="29">
        <v>8726</v>
      </c>
      <c r="N29" s="30">
        <f t="shared" si="0"/>
        <v>9227</v>
      </c>
      <c r="O29" s="29">
        <v>0</v>
      </c>
      <c r="P29" s="30">
        <f t="shared" si="1"/>
        <v>9227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7268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60969</v>
      </c>
      <c r="K32" s="29">
        <v>0</v>
      </c>
      <c r="L32" s="29">
        <v>51058</v>
      </c>
      <c r="M32" s="29">
        <v>1955</v>
      </c>
      <c r="N32" s="30">
        <f t="shared" si="0"/>
        <v>121250</v>
      </c>
      <c r="O32" s="29">
        <v>0</v>
      </c>
      <c r="P32" s="30">
        <f t="shared" si="1"/>
        <v>121250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7695</v>
      </c>
      <c r="K33" s="29">
        <v>0</v>
      </c>
      <c r="L33" s="29">
        <v>0</v>
      </c>
      <c r="M33" s="29">
        <v>0</v>
      </c>
      <c r="N33" s="30">
        <f t="shared" si="0"/>
        <v>7695</v>
      </c>
      <c r="O33" s="29">
        <v>0</v>
      </c>
      <c r="P33" s="30">
        <f t="shared" si="1"/>
        <v>7695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8</v>
      </c>
      <c r="D35" s="29">
        <v>43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4921</v>
      </c>
      <c r="K35" s="29">
        <v>0</v>
      </c>
      <c r="L35" s="29">
        <v>41</v>
      </c>
      <c r="M35" s="29">
        <v>0</v>
      </c>
      <c r="N35" s="30">
        <f t="shared" si="0"/>
        <v>5013</v>
      </c>
      <c r="O35" s="29">
        <v>0</v>
      </c>
      <c r="P35" s="30">
        <f t="shared" si="1"/>
        <v>5013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22879</v>
      </c>
      <c r="K36" s="29">
        <v>0</v>
      </c>
      <c r="L36" s="29">
        <v>13952</v>
      </c>
      <c r="M36" s="29">
        <v>11849</v>
      </c>
      <c r="N36" s="30">
        <f t="shared" si="0"/>
        <v>48680</v>
      </c>
      <c r="O36" s="29">
        <v>0</v>
      </c>
      <c r="P36" s="30">
        <f t="shared" si="1"/>
        <v>48680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1971</v>
      </c>
      <c r="K37" s="29">
        <v>0</v>
      </c>
      <c r="L37" s="29">
        <v>0</v>
      </c>
      <c r="M37" s="29">
        <v>0</v>
      </c>
      <c r="N37" s="30">
        <f t="shared" si="0"/>
        <v>1971</v>
      </c>
      <c r="O37" s="29">
        <v>0</v>
      </c>
      <c r="P37" s="30">
        <f t="shared" si="1"/>
        <v>1971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24</v>
      </c>
      <c r="K38" s="29">
        <v>0</v>
      </c>
      <c r="L38" s="29">
        <v>0</v>
      </c>
      <c r="M38" s="29">
        <v>0</v>
      </c>
      <c r="N38" s="30">
        <f t="shared" si="0"/>
        <v>24</v>
      </c>
      <c r="O38" s="29">
        <v>0</v>
      </c>
      <c r="P38" s="30">
        <f t="shared" si="1"/>
        <v>24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49</v>
      </c>
      <c r="J39" s="29">
        <v>0</v>
      </c>
      <c r="K39" s="29">
        <v>0</v>
      </c>
      <c r="L39" s="29">
        <v>13291</v>
      </c>
      <c r="M39" s="29">
        <v>0</v>
      </c>
      <c r="N39" s="30">
        <f t="shared" si="0"/>
        <v>13340</v>
      </c>
      <c r="O39" s="29">
        <v>0</v>
      </c>
      <c r="P39" s="30">
        <f t="shared" si="1"/>
        <v>13340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1643019</v>
      </c>
      <c r="D43" s="31">
        <f t="shared" si="2"/>
        <v>215007</v>
      </c>
      <c r="E43" s="31">
        <f t="shared" si="2"/>
        <v>132031</v>
      </c>
      <c r="F43" s="31">
        <f t="shared" si="2"/>
        <v>1038</v>
      </c>
      <c r="G43" s="31">
        <f t="shared" si="2"/>
        <v>20235</v>
      </c>
      <c r="H43" s="31">
        <f t="shared" si="2"/>
        <v>271409</v>
      </c>
      <c r="I43" s="31">
        <f t="shared" si="2"/>
        <v>131038</v>
      </c>
      <c r="J43" s="31">
        <f t="shared" si="2"/>
        <v>124434</v>
      </c>
      <c r="K43" s="31">
        <f t="shared" si="2"/>
        <v>12911</v>
      </c>
      <c r="L43" s="31">
        <f t="shared" si="2"/>
        <v>1174399</v>
      </c>
      <c r="M43" s="31">
        <f t="shared" si="2"/>
        <v>93076</v>
      </c>
      <c r="N43" s="31">
        <f t="shared" si="2"/>
        <v>3818597</v>
      </c>
      <c r="O43" s="31">
        <f t="shared" si="2"/>
        <v>191004</v>
      </c>
      <c r="P43" s="31">
        <f t="shared" si="2"/>
        <v>4009601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284221</v>
      </c>
      <c r="E10" s="29">
        <v>6037</v>
      </c>
      <c r="F10" s="29">
        <v>0</v>
      </c>
      <c r="G10" s="29">
        <v>0</v>
      </c>
      <c r="H10" s="29">
        <v>0</v>
      </c>
      <c r="I10" s="29">
        <v>0</v>
      </c>
      <c r="J10" s="29">
        <v>21098</v>
      </c>
      <c r="K10" s="29">
        <v>1517</v>
      </c>
      <c r="L10" s="29">
        <v>225063</v>
      </c>
      <c r="M10" s="29">
        <v>2182</v>
      </c>
      <c r="N10" s="30">
        <f t="shared" ref="N10:N42" si="0">SUM(C10:M10)</f>
        <v>540118</v>
      </c>
      <c r="O10" s="29">
        <v>0</v>
      </c>
      <c r="P10" s="30">
        <f t="shared" ref="P10:P42" si="1">SUM(N10:O10)</f>
        <v>540118</v>
      </c>
    </row>
    <row r="11" spans="1:16" ht="15" customHeight="1">
      <c r="A11" s="11" t="s">
        <v>26</v>
      </c>
      <c r="B11" s="12" t="s">
        <v>27</v>
      </c>
      <c r="C11" s="29">
        <v>193218</v>
      </c>
      <c r="D11" s="29">
        <v>16579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177760</v>
      </c>
      <c r="M11" s="29">
        <v>1685</v>
      </c>
      <c r="N11" s="30">
        <f t="shared" si="0"/>
        <v>389242</v>
      </c>
      <c r="O11" s="29">
        <v>0</v>
      </c>
      <c r="P11" s="30">
        <f t="shared" si="1"/>
        <v>389242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1366776</v>
      </c>
      <c r="D13" s="29">
        <v>51352</v>
      </c>
      <c r="E13" s="29">
        <v>295</v>
      </c>
      <c r="F13" s="29">
        <v>0</v>
      </c>
      <c r="G13" s="29">
        <v>0</v>
      </c>
      <c r="H13" s="29">
        <v>0</v>
      </c>
      <c r="I13" s="29">
        <v>0</v>
      </c>
      <c r="J13" s="29">
        <v>3686</v>
      </c>
      <c r="K13" s="29">
        <v>139</v>
      </c>
      <c r="L13" s="29">
        <v>334727</v>
      </c>
      <c r="M13" s="29">
        <v>8936</v>
      </c>
      <c r="N13" s="30">
        <f t="shared" si="0"/>
        <v>1765911</v>
      </c>
      <c r="O13" s="29">
        <v>0</v>
      </c>
      <c r="P13" s="30">
        <f t="shared" si="1"/>
        <v>1765911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286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286</v>
      </c>
      <c r="O14" s="29">
        <v>0</v>
      </c>
      <c r="P14" s="30">
        <f t="shared" si="1"/>
        <v>286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158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158</v>
      </c>
      <c r="O15" s="29">
        <v>0</v>
      </c>
      <c r="P15" s="30">
        <f t="shared" si="1"/>
        <v>158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168</v>
      </c>
      <c r="F16" s="29">
        <v>0</v>
      </c>
      <c r="G16" s="29">
        <v>0</v>
      </c>
      <c r="H16" s="29">
        <v>0</v>
      </c>
      <c r="I16" s="29">
        <v>0</v>
      </c>
      <c r="J16" s="29">
        <v>75</v>
      </c>
      <c r="K16" s="29">
        <v>0</v>
      </c>
      <c r="L16" s="29">
        <v>0</v>
      </c>
      <c r="M16" s="29">
        <v>0</v>
      </c>
      <c r="N16" s="30">
        <f t="shared" si="0"/>
        <v>243</v>
      </c>
      <c r="O16" s="29">
        <v>0</v>
      </c>
      <c r="P16" s="30">
        <f t="shared" si="1"/>
        <v>243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108</v>
      </c>
      <c r="K17" s="29">
        <v>0</v>
      </c>
      <c r="L17" s="29">
        <v>1791</v>
      </c>
      <c r="M17" s="29">
        <v>0</v>
      </c>
      <c r="N17" s="30">
        <f t="shared" si="0"/>
        <v>1922</v>
      </c>
      <c r="O17" s="29">
        <v>0</v>
      </c>
      <c r="P17" s="30">
        <f t="shared" si="1"/>
        <v>1922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753535</v>
      </c>
      <c r="I18" s="29">
        <v>0</v>
      </c>
      <c r="J18" s="29">
        <v>0</v>
      </c>
      <c r="K18" s="29">
        <v>22851</v>
      </c>
      <c r="L18" s="29">
        <v>0</v>
      </c>
      <c r="M18" s="29">
        <v>0</v>
      </c>
      <c r="N18" s="30">
        <f t="shared" si="0"/>
        <v>776386</v>
      </c>
      <c r="O18" s="29">
        <v>0</v>
      </c>
      <c r="P18" s="30">
        <f t="shared" si="1"/>
        <v>776386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26</v>
      </c>
      <c r="O19" s="29">
        <v>0</v>
      </c>
      <c r="P19" s="30">
        <f t="shared" si="1"/>
        <v>26</v>
      </c>
    </row>
    <row r="20" spans="1:16" ht="15" customHeight="1">
      <c r="A20" s="11" t="s">
        <v>44</v>
      </c>
      <c r="B20" s="12" t="s">
        <v>45</v>
      </c>
      <c r="C20" s="29">
        <v>3036376</v>
      </c>
      <c r="D20" s="29">
        <v>254375</v>
      </c>
      <c r="E20" s="29">
        <v>301239</v>
      </c>
      <c r="F20" s="29">
        <v>5215</v>
      </c>
      <c r="G20" s="29">
        <v>56301</v>
      </c>
      <c r="H20" s="29">
        <v>0</v>
      </c>
      <c r="I20" s="29">
        <v>4442</v>
      </c>
      <c r="J20" s="29">
        <v>20086</v>
      </c>
      <c r="K20" s="29">
        <v>5901</v>
      </c>
      <c r="L20" s="29">
        <v>1977895</v>
      </c>
      <c r="M20" s="29">
        <v>133955</v>
      </c>
      <c r="N20" s="30">
        <f t="shared" si="0"/>
        <v>5795785</v>
      </c>
      <c r="O20" s="29">
        <v>90589</v>
      </c>
      <c r="P20" s="30">
        <f t="shared" si="1"/>
        <v>5886374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34438</v>
      </c>
      <c r="E21" s="29">
        <v>223</v>
      </c>
      <c r="F21" s="29">
        <v>62</v>
      </c>
      <c r="G21" s="29">
        <v>0</v>
      </c>
      <c r="H21" s="29">
        <v>0</v>
      </c>
      <c r="I21" s="29">
        <v>3095</v>
      </c>
      <c r="J21" s="29">
        <v>1701</v>
      </c>
      <c r="K21" s="29">
        <v>10385</v>
      </c>
      <c r="L21" s="29">
        <v>384892</v>
      </c>
      <c r="M21" s="29">
        <v>7875</v>
      </c>
      <c r="N21" s="30">
        <f t="shared" si="0"/>
        <v>442671</v>
      </c>
      <c r="O21" s="29">
        <v>14456</v>
      </c>
      <c r="P21" s="30">
        <f t="shared" si="1"/>
        <v>457127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10887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10887</v>
      </c>
      <c r="O22" s="29">
        <v>0</v>
      </c>
      <c r="P22" s="30">
        <f t="shared" si="1"/>
        <v>10887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340400</v>
      </c>
      <c r="J23" s="29">
        <v>0</v>
      </c>
      <c r="K23" s="29">
        <v>0</v>
      </c>
      <c r="L23" s="29">
        <v>10076</v>
      </c>
      <c r="M23" s="29">
        <v>1735</v>
      </c>
      <c r="N23" s="30">
        <f t="shared" si="0"/>
        <v>352239</v>
      </c>
      <c r="O23" s="29">
        <v>290210</v>
      </c>
      <c r="P23" s="30">
        <f t="shared" si="1"/>
        <v>642449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8521</v>
      </c>
      <c r="E24" s="29">
        <v>403</v>
      </c>
      <c r="F24" s="29">
        <v>0</v>
      </c>
      <c r="G24" s="29">
        <v>0</v>
      </c>
      <c r="H24" s="29">
        <v>0</v>
      </c>
      <c r="I24" s="29">
        <v>19348</v>
      </c>
      <c r="J24" s="29">
        <v>3916</v>
      </c>
      <c r="K24" s="29">
        <v>29</v>
      </c>
      <c r="L24" s="29">
        <v>92567</v>
      </c>
      <c r="M24" s="29">
        <v>31311</v>
      </c>
      <c r="N24" s="30">
        <f t="shared" si="0"/>
        <v>156095</v>
      </c>
      <c r="O24" s="29">
        <v>129645</v>
      </c>
      <c r="P24" s="30">
        <f t="shared" si="1"/>
        <v>285740</v>
      </c>
    </row>
    <row r="25" spans="1:16" ht="15" customHeight="1">
      <c r="A25" s="11" t="s">
        <v>54</v>
      </c>
      <c r="B25" s="12" t="s">
        <v>55</v>
      </c>
      <c r="C25" s="29">
        <v>292</v>
      </c>
      <c r="D25" s="29">
        <v>17536</v>
      </c>
      <c r="E25" s="29">
        <v>1747</v>
      </c>
      <c r="F25" s="29">
        <v>192</v>
      </c>
      <c r="G25" s="29">
        <v>636</v>
      </c>
      <c r="H25" s="29">
        <v>7</v>
      </c>
      <c r="I25" s="29">
        <v>190</v>
      </c>
      <c r="J25" s="29">
        <v>5622</v>
      </c>
      <c r="K25" s="29">
        <v>80</v>
      </c>
      <c r="L25" s="29">
        <v>15536</v>
      </c>
      <c r="M25" s="29">
        <v>1796</v>
      </c>
      <c r="N25" s="30">
        <f t="shared" si="0"/>
        <v>43634</v>
      </c>
      <c r="O25" s="29">
        <v>7298</v>
      </c>
      <c r="P25" s="30">
        <f t="shared" si="1"/>
        <v>50932</v>
      </c>
    </row>
    <row r="26" spans="1:16" ht="15" customHeight="1">
      <c r="A26" s="11" t="s">
        <v>56</v>
      </c>
      <c r="B26" s="12" t="s">
        <v>57</v>
      </c>
      <c r="C26" s="29">
        <v>12</v>
      </c>
      <c r="D26" s="29">
        <v>6959</v>
      </c>
      <c r="E26" s="29">
        <v>380</v>
      </c>
      <c r="F26" s="29">
        <v>14</v>
      </c>
      <c r="G26" s="29">
        <v>149</v>
      </c>
      <c r="H26" s="29">
        <v>81</v>
      </c>
      <c r="I26" s="29">
        <v>101</v>
      </c>
      <c r="J26" s="29">
        <v>23681</v>
      </c>
      <c r="K26" s="29">
        <v>49</v>
      </c>
      <c r="L26" s="29">
        <v>7063</v>
      </c>
      <c r="M26" s="29">
        <v>224</v>
      </c>
      <c r="N26" s="30">
        <f t="shared" si="0"/>
        <v>38713</v>
      </c>
      <c r="O26" s="29">
        <v>642</v>
      </c>
      <c r="P26" s="30">
        <f t="shared" si="1"/>
        <v>39355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2383</v>
      </c>
      <c r="E27" s="29">
        <v>2</v>
      </c>
      <c r="F27" s="29">
        <v>0</v>
      </c>
      <c r="G27" s="29">
        <v>0</v>
      </c>
      <c r="H27" s="29">
        <v>0</v>
      </c>
      <c r="I27" s="29">
        <v>0</v>
      </c>
      <c r="J27" s="29">
        <v>1428</v>
      </c>
      <c r="K27" s="29">
        <v>0</v>
      </c>
      <c r="L27" s="29">
        <v>31</v>
      </c>
      <c r="M27" s="29">
        <v>2750</v>
      </c>
      <c r="N27" s="30">
        <f t="shared" si="0"/>
        <v>6594</v>
      </c>
      <c r="O27" s="29">
        <v>0</v>
      </c>
      <c r="P27" s="30">
        <f t="shared" si="1"/>
        <v>6594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14</v>
      </c>
      <c r="E28" s="29">
        <v>1</v>
      </c>
      <c r="F28" s="29">
        <v>0</v>
      </c>
      <c r="G28" s="29">
        <v>0</v>
      </c>
      <c r="H28" s="29">
        <v>0</v>
      </c>
      <c r="I28" s="29">
        <v>15</v>
      </c>
      <c r="J28" s="29">
        <v>378</v>
      </c>
      <c r="K28" s="29">
        <v>0</v>
      </c>
      <c r="L28" s="29">
        <v>150</v>
      </c>
      <c r="M28" s="29">
        <v>0</v>
      </c>
      <c r="N28" s="30">
        <f t="shared" si="0"/>
        <v>558</v>
      </c>
      <c r="O28" s="29">
        <v>0</v>
      </c>
      <c r="P28" s="30">
        <f t="shared" si="1"/>
        <v>558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1538</v>
      </c>
      <c r="K29" s="29">
        <v>0</v>
      </c>
      <c r="L29" s="29">
        <v>192</v>
      </c>
      <c r="M29" s="29">
        <v>22958</v>
      </c>
      <c r="N29" s="30">
        <f t="shared" si="0"/>
        <v>24688</v>
      </c>
      <c r="O29" s="29">
        <v>0</v>
      </c>
      <c r="P29" s="30">
        <f t="shared" si="1"/>
        <v>24688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3</v>
      </c>
      <c r="O31" s="29">
        <v>0</v>
      </c>
      <c r="P31" s="30">
        <f t="shared" si="1"/>
        <v>3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18031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130834</v>
      </c>
      <c r="K32" s="29">
        <v>0</v>
      </c>
      <c r="L32" s="29">
        <v>102671</v>
      </c>
      <c r="M32" s="29">
        <v>4523</v>
      </c>
      <c r="N32" s="30">
        <f t="shared" si="0"/>
        <v>256059</v>
      </c>
      <c r="O32" s="29">
        <v>0</v>
      </c>
      <c r="P32" s="30">
        <f t="shared" si="1"/>
        <v>256059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26190</v>
      </c>
      <c r="K33" s="29">
        <v>0</v>
      </c>
      <c r="L33" s="29">
        <v>0</v>
      </c>
      <c r="M33" s="29">
        <v>0</v>
      </c>
      <c r="N33" s="30">
        <f t="shared" si="0"/>
        <v>26190</v>
      </c>
      <c r="O33" s="29">
        <v>0</v>
      </c>
      <c r="P33" s="30">
        <f t="shared" si="1"/>
        <v>26190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21</v>
      </c>
      <c r="D35" s="29">
        <v>170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12822</v>
      </c>
      <c r="K35" s="29">
        <v>0</v>
      </c>
      <c r="L35" s="29">
        <v>216</v>
      </c>
      <c r="M35" s="29">
        <v>0</v>
      </c>
      <c r="N35" s="30">
        <f t="shared" si="0"/>
        <v>13229</v>
      </c>
      <c r="O35" s="29">
        <v>0</v>
      </c>
      <c r="P35" s="30">
        <f t="shared" si="1"/>
        <v>13229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72197</v>
      </c>
      <c r="K36" s="29">
        <v>0</v>
      </c>
      <c r="L36" s="29">
        <v>37600</v>
      </c>
      <c r="M36" s="29">
        <v>30120</v>
      </c>
      <c r="N36" s="30">
        <f t="shared" si="0"/>
        <v>139917</v>
      </c>
      <c r="O36" s="29">
        <v>0</v>
      </c>
      <c r="P36" s="30">
        <f t="shared" si="1"/>
        <v>139917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7524</v>
      </c>
      <c r="K37" s="29">
        <v>0</v>
      </c>
      <c r="L37" s="29">
        <v>0</v>
      </c>
      <c r="M37" s="29">
        <v>0</v>
      </c>
      <c r="N37" s="30">
        <f t="shared" si="0"/>
        <v>7524</v>
      </c>
      <c r="O37" s="29">
        <v>0</v>
      </c>
      <c r="P37" s="30">
        <f t="shared" si="1"/>
        <v>7524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362</v>
      </c>
      <c r="K38" s="29">
        <v>0</v>
      </c>
      <c r="L38" s="29">
        <v>0</v>
      </c>
      <c r="M38" s="29">
        <v>0</v>
      </c>
      <c r="N38" s="30">
        <f t="shared" si="0"/>
        <v>362</v>
      </c>
      <c r="O38" s="29">
        <v>0</v>
      </c>
      <c r="P38" s="30">
        <f t="shared" si="1"/>
        <v>362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140</v>
      </c>
      <c r="J39" s="29">
        <v>0</v>
      </c>
      <c r="K39" s="29">
        <v>0</v>
      </c>
      <c r="L39" s="29">
        <v>26193</v>
      </c>
      <c r="M39" s="29">
        <v>0</v>
      </c>
      <c r="N39" s="30">
        <f t="shared" si="0"/>
        <v>26333</v>
      </c>
      <c r="O39" s="29">
        <v>0</v>
      </c>
      <c r="P39" s="30">
        <f t="shared" si="1"/>
        <v>26333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4596695</v>
      </c>
      <c r="D43" s="31">
        <f t="shared" si="2"/>
        <v>694658</v>
      </c>
      <c r="E43" s="31">
        <f t="shared" si="2"/>
        <v>310495</v>
      </c>
      <c r="F43" s="31">
        <f t="shared" si="2"/>
        <v>5483</v>
      </c>
      <c r="G43" s="31">
        <f t="shared" si="2"/>
        <v>57086</v>
      </c>
      <c r="H43" s="31">
        <f t="shared" si="2"/>
        <v>754067</v>
      </c>
      <c r="I43" s="31">
        <f t="shared" si="2"/>
        <v>378618</v>
      </c>
      <c r="J43" s="31">
        <f t="shared" si="2"/>
        <v>333247</v>
      </c>
      <c r="K43" s="31">
        <f t="shared" si="2"/>
        <v>40951</v>
      </c>
      <c r="L43" s="31">
        <f t="shared" si="2"/>
        <v>3394423</v>
      </c>
      <c r="M43" s="31">
        <f t="shared" si="2"/>
        <v>250050</v>
      </c>
      <c r="N43" s="31">
        <f t="shared" si="2"/>
        <v>10815773</v>
      </c>
      <c r="O43" s="31">
        <f t="shared" si="2"/>
        <v>532840</v>
      </c>
      <c r="P43" s="31">
        <f t="shared" si="2"/>
        <v>11348613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2015-07-28T14:49:23Z</dcterms:modified>
</cp:coreProperties>
</file>