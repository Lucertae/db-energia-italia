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5" s="1"/>
  <c r="D135"/>
  <c r="E135"/>
  <c r="F135"/>
  <c r="G135"/>
  <c r="G145" s="1"/>
  <c r="H135"/>
  <c r="I135"/>
  <c r="J135"/>
  <c r="K135"/>
  <c r="K145" s="1"/>
  <c r="L135"/>
  <c r="M135"/>
  <c r="N135"/>
  <c r="O135"/>
  <c r="O145" s="1"/>
  <c r="F136"/>
  <c r="J136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E144"/>
  <c r="E145" s="1"/>
  <c r="G144"/>
  <c r="H144"/>
  <c r="I144"/>
  <c r="I145" s="1"/>
  <c r="J144"/>
  <c r="K144"/>
  <c r="L144"/>
  <c r="M144"/>
  <c r="M145" s="1"/>
  <c r="N144"/>
  <c r="N145" s="1"/>
  <c r="O144"/>
  <c r="D145"/>
  <c r="H145"/>
  <c r="L145"/>
  <c r="F15" i="2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J145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45" l="1"/>
  <c r="F145" i="1"/>
  <c r="J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<sst xmlns="http://schemas.openxmlformats.org/spreadsheetml/2006/main" count="544" uniqueCount="271">
  <si>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</si>
  <si>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</si>
  <si>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</si>
  <si>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</si>
  <si>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</si>
  <si>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</si>
  <si>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</si>
  <si>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aprile 2015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</si>
  <si>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</si>
  <si>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</si>
  <si>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</si>
  <si>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</si>
  <si>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</si>
  <si>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</si>
  <si>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</si>
  <si>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</si>
  <si>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</si>
  <si>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</si>
  <si>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</si>
  <si>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</si>
  <si>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</si>
  <si>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</si>
  <si>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</si>
  <si>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</si>
  <si>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</si>
  <si>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</si>
  <si>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</si>
  <si>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</si>
  <si>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</si>
  <si>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</si>
  <si>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</si>
  <si>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</si>
  <si>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</si>
  <si>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</si>
  <si>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</si>
  <si>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</si>
  <si>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</si>
  <si>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</si>
  <si>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</si>
  <si>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</si>
  <si>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</si>
  <si>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</si>
  <si>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</si>
  <si>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</si>
  <si>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</si>
  <si>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</si>
  <si>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</si>
  <si>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</si>
  <si>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</si>
  <si>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</si>
  <si>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</si>
  <si>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</si>
  <si>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</si>
  <si>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</si>
  <si>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</si>
  <si>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</si>
  <si>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</si>
  <si>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</si>
  <si>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</si>
  <si>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</si>
  <si>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</si>
  <si>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</si>
  <si>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</si>
  <si>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</si>
  <si>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</si>
  <si>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</si>
  <si>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</si>
  <si>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</si>
  <si>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</si>
  <si>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</si>
  <si>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</si>
  <si>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</si>
  <si>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</si>
  <si>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</si>
  <si>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</si>
  <si>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</si>
  <si>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</si>
  <si>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</si>
  <si>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</si>
  <si>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</si>
  <si>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</si>
  <si>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</si>
  <si>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</si>
  <si>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</si>
  <si>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</si>
  <si>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</si>
  <si>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</si>
  <si>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</si>
  <si>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</si>
  <si>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</si>
  <si>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</si>
  <si>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</si>
  <si>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</si>
  <si>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</si>
  <si>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</si>
  <si>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</si>
  <si>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</si>
  <si>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</si>
  <si>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</si>
  <si>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</si>
  <si>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</si>
  <si>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</si>
  <si>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</si>
  <si>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</si>
  <si>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</si>
  <si>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</si>
  <si>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</si>
  <si>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</si>
  <si>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</si>
  <si>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</si>
  <si>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</si>
  <si>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</si>
  <si>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</si>
  <si>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</si>
  <si>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</si>
  <si>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</si>
  <si>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</si>
  <si>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</si>
  <si>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</si>
  <si>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</si>
  <si>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</si>
  <si>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</si>
  <si>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</si>
  <si>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</si>
  <si>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</si>
  <si>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</si>
  <si>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</si>
  <si>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</si>
  <si>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</si>
  <si>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</si>
  <si>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</si>
  <si>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</si>
  <si>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</si>
  <si>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</si>
  <si>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</si>
  <si>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</si>
  <si>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</si>
  <si>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</si>
  <si>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</si>
  <si>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</si>
  <si>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</si>
  <si>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</si>
  <si>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</si>
  <si>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</si>
  <si>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</si>
  <si>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</si>
  <si>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</si>
  <si>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</si>
  <si>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</si>
  <si>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</si>
  <si>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</si>
  <si>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</si>
  <si>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</si>
  <si>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</si>
  <si>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</si>
  <si>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</si>
  <si>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</si>
  <si>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</si>
  <si>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</si>
  <si>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</si>
  <si>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</si>
  <si>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</si>
  <si>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</si>
  <si>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</si>
  <si>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</si>
  <si>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</si>
  <si>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</si>
  <si>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</si>
  <si>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</si>
  <si>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</si>
  <si>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</si>
  <si>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</si>
  <si>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</si>
  <si>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</si>
  <si>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</si>
  <si>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</si>
  <si>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</si>
  <si>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</si>
  <si>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</si>
  <si>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</si>
  <si>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</si>
  <si>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</si>
  <si>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</si>
  <si>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</si>
  <si>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</si>
  <si>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</si>
  <si>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</si>
  <si>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</si>
  <si>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</si>
  <si>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</si>
  <si>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</si>
  <si>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</si>
  <si>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</si>
  <si>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</si>
  <si>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</si>
  <si>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</si>
  <si>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</si>
  <si>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</si>
  <si>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</si>
  <si>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</si>
  <si>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</si>
  <si>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</si>
  <si>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</si>
  <si>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</si>
  <si>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</si>
  <si>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</si>
  <si>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</si>
  <si>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</si>
  <si>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</si>
  <si>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</si>
  <si>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</si>
  <si>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</si>
  <si>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</si>
  <si>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</si>
  <si>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</si>
  <si>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</si>
  <si>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</si>
  <si>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</si>
  <si>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</si>
  <si>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</si>
  <si>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</si>
  <si>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</si>
  <si>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</si>
  <si>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</si>
  <si>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</si>
  <si>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</si>
  <si>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</si>
  <si>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</si>
  <si>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</si>
  <si>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</si>
  <si>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</si>
  <si>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</si>
  <si>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</si>
  <si>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</si>
  <si>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</si>
  <si>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</si>
  <si>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</si>
  <si>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</si>
  <si>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</si>
  <si>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</si>
  <si>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</si>
  <si>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</si>
  <si>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</si>
  <si>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</si>
  <si>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</si>
  <si>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</si>
  <si>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</si>
  <si>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</si>
  <si>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</si>
  <si>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</si>
  <si>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</si>
  <si>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</si>
  <si>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</si>
  <si>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</si>
  <si>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</si>
  <si>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</si>
  <si>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</si>
  <si>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</si>
  <si>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</si>
  <si>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</si>
  <si>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</si>
  <si>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</si>
  <si>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</si>
  <si>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</si>
  <si>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</si>
  <si>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</si>
  <si>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</si>
  <si>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</si>
  <si>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</si>
  <si>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</si>
  <si>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gennaio-aprile 2015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</si>
</sst>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7839</v>
      </c>
      <c r="D15" s="28">
        <v>3939</v>
      </c>
      <c r="E15" s="28">
        <v>578</v>
      </c>
      <c r="F15" s="28">
        <f t="shared" ref="F15:F22" si="0">SUM(C15-D15-E15)</f>
        <v>3322</v>
      </c>
      <c r="G15" s="28">
        <v>28748</v>
      </c>
      <c r="H15" s="28">
        <v>9499</v>
      </c>
      <c r="I15" s="28">
        <v>2880</v>
      </c>
      <c r="J15" s="28">
        <f t="shared" ref="J15:J22" si="1">SUM(G15-H15-I15)</f>
        <v>16369</v>
      </c>
      <c r="K15" s="28">
        <v>686</v>
      </c>
      <c r="L15" s="28">
        <v>0</v>
      </c>
      <c r="M15" s="28">
        <v>3341</v>
      </c>
      <c r="N15" s="28">
        <v>1149</v>
      </c>
      <c r="O15" s="28">
        <v>1149</v>
      </c>
    </row>
    <row r="16" spans="1:15" ht="12.75" customHeight="1">
      <c r="A16" s="4" t="s">
        <v>29</v>
      </c>
      <c r="B16" s="5" t="s">
        <v>30</v>
      </c>
      <c r="C16" s="28">
        <v>3920</v>
      </c>
      <c r="D16" s="28">
        <v>1934</v>
      </c>
      <c r="E16" s="28">
        <v>111</v>
      </c>
      <c r="F16" s="28">
        <f t="shared" si="0"/>
        <v>1875</v>
      </c>
      <c r="G16" s="28">
        <v>25203</v>
      </c>
      <c r="H16" s="28">
        <v>4049</v>
      </c>
      <c r="I16" s="28">
        <v>588</v>
      </c>
      <c r="J16" s="28">
        <f t="shared" si="1"/>
        <v>20566</v>
      </c>
      <c r="K16" s="28">
        <v>258</v>
      </c>
      <c r="L16" s="28">
        <v>0</v>
      </c>
      <c r="M16" s="28">
        <v>3153</v>
      </c>
      <c r="N16" s="28">
        <v>0</v>
      </c>
      <c r="O16" s="28">
        <v>0</v>
      </c>
    </row>
    <row r="17" spans="1:15" ht="12.75" customHeight="1">
      <c r="A17" s="4" t="s">
        <v>31</v>
      </c>
      <c r="B17" s="5" t="s">
        <v>32</v>
      </c>
      <c r="C17" s="28">
        <v>1961</v>
      </c>
      <c r="D17" s="28">
        <v>1783</v>
      </c>
      <c r="E17" s="28">
        <v>0</v>
      </c>
      <c r="F17" s="28">
        <f t="shared" si="0"/>
        <v>178</v>
      </c>
      <c r="G17" s="28">
        <v>3863</v>
      </c>
      <c r="H17" s="28">
        <v>3070</v>
      </c>
      <c r="I17" s="28">
        <v>0</v>
      </c>
      <c r="J17" s="28">
        <f t="shared" si="1"/>
        <v>793</v>
      </c>
      <c r="K17" s="28">
        <v>161</v>
      </c>
      <c r="L17" s="28">
        <v>0</v>
      </c>
      <c r="M17" s="28">
        <v>164</v>
      </c>
      <c r="N17" s="28">
        <v>149</v>
      </c>
      <c r="O17" s="28">
        <v>149</v>
      </c>
    </row>
    <row r="18" spans="1:15" ht="12.75" customHeight="1">
      <c r="A18" s="4" t="s">
        <v>33</v>
      </c>
      <c r="B18" s="5" t="s">
        <v>34</v>
      </c>
      <c r="C18" s="28">
        <v>4903</v>
      </c>
      <c r="D18" s="28">
        <v>4434</v>
      </c>
      <c r="E18" s="28">
        <v>117</v>
      </c>
      <c r="F18" s="28">
        <f t="shared" si="0"/>
        <v>352</v>
      </c>
      <c r="G18" s="28">
        <v>13735</v>
      </c>
      <c r="H18" s="28">
        <v>9888</v>
      </c>
      <c r="I18" s="28">
        <v>460</v>
      </c>
      <c r="J18" s="28">
        <f t="shared" si="1"/>
        <v>3387</v>
      </c>
      <c r="K18" s="28">
        <v>445</v>
      </c>
      <c r="L18" s="28">
        <v>0</v>
      </c>
      <c r="M18" s="28">
        <v>2173</v>
      </c>
      <c r="N18" s="28">
        <v>146</v>
      </c>
      <c r="O18" s="28">
        <v>146</v>
      </c>
    </row>
    <row r="19" spans="1:15" ht="12.75" customHeight="1">
      <c r="A19" s="4" t="s">
        <v>35</v>
      </c>
      <c r="B19" s="5" t="s">
        <v>36</v>
      </c>
      <c r="C19" s="28">
        <v>4077</v>
      </c>
      <c r="D19" s="28">
        <v>3877</v>
      </c>
      <c r="E19" s="28">
        <v>195</v>
      </c>
      <c r="F19" s="28">
        <f t="shared" si="0"/>
        <v>5</v>
      </c>
      <c r="G19" s="28">
        <v>9518</v>
      </c>
      <c r="H19" s="28">
        <v>7908</v>
      </c>
      <c r="I19" s="28">
        <v>972</v>
      </c>
      <c r="J19" s="28">
        <f t="shared" si="1"/>
        <v>638</v>
      </c>
      <c r="K19" s="28">
        <v>15</v>
      </c>
      <c r="L19" s="28">
        <v>0</v>
      </c>
      <c r="M19" s="28">
        <v>0</v>
      </c>
      <c r="N19" s="28">
        <v>81</v>
      </c>
      <c r="O19" s="28">
        <v>81</v>
      </c>
    </row>
    <row r="20" spans="1:15" ht="12.75" customHeight="1">
      <c r="A20" s="4" t="s">
        <v>37</v>
      </c>
      <c r="B20" s="5" t="s">
        <v>38</v>
      </c>
      <c r="C20" s="28">
        <v>22492</v>
      </c>
      <c r="D20" s="28">
        <v>20744</v>
      </c>
      <c r="E20" s="28">
        <v>662</v>
      </c>
      <c r="F20" s="28">
        <f t="shared" si="0"/>
        <v>1086</v>
      </c>
      <c r="G20" s="28">
        <v>49917</v>
      </c>
      <c r="H20" s="28">
        <v>38353</v>
      </c>
      <c r="I20" s="28">
        <v>3444</v>
      </c>
      <c r="J20" s="28">
        <f t="shared" si="1"/>
        <v>8120</v>
      </c>
      <c r="K20" s="28">
        <v>892</v>
      </c>
      <c r="L20" s="28">
        <v>0</v>
      </c>
      <c r="M20" s="28">
        <v>1825</v>
      </c>
      <c r="N20" s="28">
        <v>1918</v>
      </c>
      <c r="O20" s="28">
        <v>1640</v>
      </c>
    </row>
    <row r="21" spans="1:15" ht="12.75" customHeight="1">
      <c r="A21" s="4" t="s">
        <v>39</v>
      </c>
      <c r="B21" s="5" t="s">
        <v>40</v>
      </c>
      <c r="C21" s="28">
        <v>1838</v>
      </c>
      <c r="D21" s="28">
        <v>1792</v>
      </c>
      <c r="E21" s="28">
        <v>0</v>
      </c>
      <c r="F21" s="28">
        <f t="shared" si="0"/>
        <v>46</v>
      </c>
      <c r="G21" s="28">
        <v>3002</v>
      </c>
      <c r="H21" s="28">
        <v>2853</v>
      </c>
      <c r="I21" s="28">
        <v>0</v>
      </c>
      <c r="J21" s="28">
        <f t="shared" si="1"/>
        <v>149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</row>
    <row r="22" spans="1:15" ht="12.75" customHeight="1">
      <c r="A22" s="4" t="s">
        <v>41</v>
      </c>
      <c r="B22" s="5" t="s">
        <v>42</v>
      </c>
      <c r="C22" s="28">
        <v>1737</v>
      </c>
      <c r="D22" s="28">
        <v>1446</v>
      </c>
      <c r="E22" s="28">
        <v>210</v>
      </c>
      <c r="F22" s="28">
        <f t="shared" si="0"/>
        <v>81</v>
      </c>
      <c r="G22" s="28">
        <v>4584</v>
      </c>
      <c r="H22" s="28">
        <v>2847</v>
      </c>
      <c r="I22" s="28">
        <v>929</v>
      </c>
      <c r="J22" s="28">
        <f t="shared" si="1"/>
        <v>808</v>
      </c>
      <c r="K22" s="28">
        <v>123</v>
      </c>
      <c r="L22" s="28">
        <v>0</v>
      </c>
      <c r="M22" s="28">
        <v>1027</v>
      </c>
      <c r="N22" s="28">
        <v>15</v>
      </c>
      <c r="O22" s="28">
        <v>15</v>
      </c>
    </row>
    <row r="23" spans="1:15" ht="12.75" customHeight="1">
      <c r="A23" s="8"/>
      <c r="B23" s="9" t="s">
        <v>43</v>
      </c>
      <c r="C23" s="29">
        <f t="shared" ref="C23:O23" si="2">SUM(C15:C22)</f>
        <v>48767</v>
      </c>
      <c r="D23" s="29">
        <f t="shared" si="2"/>
        <v>39949</v>
      </c>
      <c r="E23" s="29">
        <f t="shared" si="2"/>
        <v>1873</v>
      </c>
      <c r="F23" s="29">
        <f t="shared" si="2"/>
        <v>6945</v>
      </c>
      <c r="G23" s="29">
        <f t="shared" si="2"/>
        <v>138570</v>
      </c>
      <c r="H23" s="29">
        <f t="shared" si="2"/>
        <v>78467</v>
      </c>
      <c r="I23" s="29">
        <f t="shared" si="2"/>
        <v>9273</v>
      </c>
      <c r="J23" s="29">
        <f t="shared" si="2"/>
        <v>50830</v>
      </c>
      <c r="K23" s="29">
        <f t="shared" si="2"/>
        <v>2580</v>
      </c>
      <c r="L23" s="29">
        <f t="shared" si="2"/>
        <v>0</v>
      </c>
      <c r="M23" s="29">
        <f t="shared" si="2"/>
        <v>11683</v>
      </c>
      <c r="N23" s="29">
        <f t="shared" si="2"/>
        <v>3458</v>
      </c>
      <c r="O23" s="29">
        <f t="shared" si="2"/>
        <v>3180</v>
      </c>
    </row>
    <row r="24" spans="1:15" ht="14.25" customHeight="1">
      <c r="A24" s="4" t="s">
        <v>44</v>
      </c>
      <c r="B24" s="5" t="s">
        <v>45</v>
      </c>
      <c r="C24" s="28">
        <v>7037</v>
      </c>
      <c r="D24" s="28">
        <v>1864</v>
      </c>
      <c r="E24" s="28">
        <v>143</v>
      </c>
      <c r="F24" s="28">
        <f>SUM(C24-D24-E24)</f>
        <v>5030</v>
      </c>
      <c r="G24" s="28">
        <v>19808</v>
      </c>
      <c r="H24" s="28">
        <v>2487</v>
      </c>
      <c r="I24" s="28">
        <v>478</v>
      </c>
      <c r="J24" s="28">
        <f>SUM(G24-H24-I24)</f>
        <v>16843</v>
      </c>
      <c r="K24" s="28">
        <v>2639</v>
      </c>
      <c r="L24" s="28">
        <v>0</v>
      </c>
      <c r="M24" s="28">
        <v>1245</v>
      </c>
      <c r="N24" s="28">
        <v>426</v>
      </c>
      <c r="O24" s="28">
        <v>426</v>
      </c>
    </row>
    <row r="25" spans="1:15" ht="14.25" customHeight="1">
      <c r="A25" s="10"/>
      <c r="B25" s="9" t="s">
        <v>46</v>
      </c>
      <c r="C25" s="29">
        <f t="shared" ref="C25:O25" si="3">SUM(C24)</f>
        <v>7037</v>
      </c>
      <c r="D25" s="29">
        <f t="shared" si="3"/>
        <v>1864</v>
      </c>
      <c r="E25" s="29">
        <f t="shared" si="3"/>
        <v>143</v>
      </c>
      <c r="F25" s="29">
        <f t="shared" si="3"/>
        <v>5030</v>
      </c>
      <c r="G25" s="29">
        <f t="shared" si="3"/>
        <v>19808</v>
      </c>
      <c r="H25" s="29">
        <f t="shared" si="3"/>
        <v>2487</v>
      </c>
      <c r="I25" s="29">
        <f t="shared" si="3"/>
        <v>478</v>
      </c>
      <c r="J25" s="29">
        <f t="shared" si="3"/>
        <v>16843</v>
      </c>
      <c r="K25" s="29">
        <f t="shared" si="3"/>
        <v>2639</v>
      </c>
      <c r="L25" s="29">
        <f t="shared" si="3"/>
        <v>0</v>
      </c>
      <c r="M25" s="29">
        <f t="shared" si="3"/>
        <v>1245</v>
      </c>
      <c r="N25" s="29">
        <f t="shared" si="3"/>
        <v>426</v>
      </c>
      <c r="O25" s="29">
        <f t="shared" si="3"/>
        <v>426</v>
      </c>
    </row>
    <row r="26" spans="1:15" ht="12.75" customHeight="1">
      <c r="A26" s="4" t="s">
        <v>47</v>
      </c>
      <c r="B26" s="5" t="s">
        <v>48</v>
      </c>
      <c r="C26" s="28">
        <v>15196</v>
      </c>
      <c r="D26" s="28">
        <v>7361</v>
      </c>
      <c r="E26" s="28">
        <v>519</v>
      </c>
      <c r="F26" s="28">
        <f>SUM(C26-D26-E26)</f>
        <v>7316</v>
      </c>
      <c r="G26" s="28">
        <v>33411</v>
      </c>
      <c r="H26" s="28">
        <v>11053</v>
      </c>
      <c r="I26" s="28">
        <v>1579</v>
      </c>
      <c r="J26" s="28">
        <f>SUM(G26-H26-I26)</f>
        <v>20779</v>
      </c>
      <c r="K26" s="28">
        <v>574</v>
      </c>
      <c r="L26" s="28">
        <v>38</v>
      </c>
      <c r="M26" s="28">
        <v>1573</v>
      </c>
      <c r="N26" s="28">
        <v>394</v>
      </c>
      <c r="O26" s="28">
        <v>394</v>
      </c>
    </row>
    <row r="27" spans="1:15" ht="12.75" customHeight="1">
      <c r="A27" s="4" t="s">
        <v>49</v>
      </c>
      <c r="B27" s="5" t="s">
        <v>50</v>
      </c>
      <c r="C27" s="28">
        <v>2598</v>
      </c>
      <c r="D27" s="28">
        <v>2395</v>
      </c>
      <c r="E27" s="28">
        <v>181</v>
      </c>
      <c r="F27" s="28">
        <f>SUM(C27-D27-E27)</f>
        <v>22</v>
      </c>
      <c r="G27" s="28">
        <v>5204</v>
      </c>
      <c r="H27" s="28">
        <v>3028</v>
      </c>
      <c r="I27" s="28">
        <v>659</v>
      </c>
      <c r="J27" s="28">
        <f>SUM(G27-H27-I27)</f>
        <v>1517</v>
      </c>
      <c r="K27" s="28">
        <v>290</v>
      </c>
      <c r="L27" s="28">
        <v>0</v>
      </c>
      <c r="M27" s="28">
        <v>107</v>
      </c>
      <c r="N27" s="28">
        <v>26</v>
      </c>
      <c r="O27" s="28">
        <v>26</v>
      </c>
    </row>
    <row r="28" spans="1:15" ht="12.75" customHeight="1">
      <c r="A28" s="4" t="s">
        <v>51</v>
      </c>
      <c r="B28" s="5" t="s">
        <v>52</v>
      </c>
      <c r="C28" s="28">
        <v>2739</v>
      </c>
      <c r="D28" s="28">
        <v>1897</v>
      </c>
      <c r="E28" s="28">
        <v>265</v>
      </c>
      <c r="F28" s="28">
        <f>SUM(C28-D28-E28)</f>
        <v>577</v>
      </c>
      <c r="G28" s="28">
        <v>7268</v>
      </c>
      <c r="H28" s="28">
        <v>3569</v>
      </c>
      <c r="I28" s="28">
        <v>1365</v>
      </c>
      <c r="J28" s="28">
        <f>SUM(G28-H28-I28)</f>
        <v>2334</v>
      </c>
      <c r="K28" s="28">
        <v>198</v>
      </c>
      <c r="L28" s="28">
        <v>252</v>
      </c>
      <c r="M28" s="28">
        <v>15</v>
      </c>
      <c r="N28" s="28">
        <v>239</v>
      </c>
      <c r="O28" s="28">
        <v>239</v>
      </c>
    </row>
    <row r="29" spans="1:15" ht="12.75" customHeight="1">
      <c r="A29" s="4" t="s">
        <v>53</v>
      </c>
      <c r="B29" s="5" t="s">
        <v>54</v>
      </c>
      <c r="C29" s="28">
        <v>3484</v>
      </c>
      <c r="D29" s="28">
        <v>3014</v>
      </c>
      <c r="E29" s="28">
        <v>387</v>
      </c>
      <c r="F29" s="28">
        <f>SUM(C29-D29-E29)</f>
        <v>83</v>
      </c>
      <c r="G29" s="28">
        <v>7105</v>
      </c>
      <c r="H29" s="28">
        <v>5513</v>
      </c>
      <c r="I29" s="28">
        <v>1458</v>
      </c>
      <c r="J29" s="28">
        <f>SUM(G29-H29-I29)</f>
        <v>134</v>
      </c>
      <c r="K29" s="28">
        <v>0</v>
      </c>
      <c r="L29" s="28">
        <v>29</v>
      </c>
      <c r="M29" s="28">
        <v>15</v>
      </c>
      <c r="N29" s="28">
        <v>24</v>
      </c>
      <c r="O29" s="28">
        <v>24</v>
      </c>
    </row>
    <row r="30" spans="1:15" ht="12.75" customHeight="1">
      <c r="A30" s="8"/>
      <c r="B30" s="9" t="s">
        <v>55</v>
      </c>
      <c r="C30" s="29">
        <f t="shared" ref="C30:O30" si="4">SUM(C26:C29)</f>
        <v>24017</v>
      </c>
      <c r="D30" s="29">
        <f t="shared" si="4"/>
        <v>14667</v>
      </c>
      <c r="E30" s="29">
        <f t="shared" si="4"/>
        <v>1352</v>
      </c>
      <c r="F30" s="29">
        <f t="shared" si="4"/>
        <v>7998</v>
      </c>
      <c r="G30" s="29">
        <f t="shared" si="4"/>
        <v>52988</v>
      </c>
      <c r="H30" s="29">
        <f t="shared" si="4"/>
        <v>23163</v>
      </c>
      <c r="I30" s="29">
        <f t="shared" si="4"/>
        <v>5061</v>
      </c>
      <c r="J30" s="29">
        <f t="shared" si="4"/>
        <v>24764</v>
      </c>
      <c r="K30" s="29">
        <f t="shared" si="4"/>
        <v>1062</v>
      </c>
      <c r="L30" s="29">
        <f t="shared" si="4"/>
        <v>319</v>
      </c>
      <c r="M30" s="29">
        <f t="shared" si="4"/>
        <v>1710</v>
      </c>
      <c r="N30" s="29">
        <f t="shared" si="4"/>
        <v>683</v>
      </c>
      <c r="O30" s="29">
        <f t="shared" si="4"/>
        <v>683</v>
      </c>
    </row>
    <row r="31" spans="1:15" ht="12.75" customHeight="1">
      <c r="A31" s="4" t="s">
        <v>56</v>
      </c>
      <c r="B31" s="5" t="s">
        <v>57</v>
      </c>
      <c r="C31" s="28">
        <v>10834</v>
      </c>
      <c r="D31" s="28">
        <v>10167</v>
      </c>
      <c r="E31" s="28">
        <v>226</v>
      </c>
      <c r="F31" s="28">
        <f t="shared" ref="F31:F42" si="5">SUM(C31-D31-E31)</f>
        <v>441</v>
      </c>
      <c r="G31" s="28">
        <v>26463</v>
      </c>
      <c r="H31" s="28">
        <v>19181</v>
      </c>
      <c r="I31" s="28">
        <v>921</v>
      </c>
      <c r="J31" s="28">
        <f t="shared" ref="J31:J42" si="6">SUM(G31-H31-I31)</f>
        <v>6361</v>
      </c>
      <c r="K31" s="28">
        <v>185</v>
      </c>
      <c r="L31" s="28">
        <v>0</v>
      </c>
      <c r="M31" s="28">
        <v>454</v>
      </c>
      <c r="N31" s="28">
        <v>194</v>
      </c>
      <c r="O31" s="28">
        <v>194</v>
      </c>
    </row>
    <row r="32" spans="1:15" ht="12.75" customHeight="1">
      <c r="A32" s="4" t="s">
        <v>58</v>
      </c>
      <c r="B32" s="5" t="s">
        <v>59</v>
      </c>
      <c r="C32" s="28">
        <v>13519</v>
      </c>
      <c r="D32" s="28">
        <v>11779</v>
      </c>
      <c r="E32" s="28">
        <v>580</v>
      </c>
      <c r="F32" s="28">
        <f t="shared" si="5"/>
        <v>1160</v>
      </c>
      <c r="G32" s="28">
        <v>49831</v>
      </c>
      <c r="H32" s="28">
        <v>25993</v>
      </c>
      <c r="I32" s="28">
        <v>3061</v>
      </c>
      <c r="J32" s="28">
        <f t="shared" si="6"/>
        <v>20777</v>
      </c>
      <c r="K32" s="28">
        <v>838</v>
      </c>
      <c r="L32" s="28">
        <v>0</v>
      </c>
      <c r="M32" s="28">
        <v>6949</v>
      </c>
      <c r="N32" s="28">
        <v>751</v>
      </c>
      <c r="O32" s="28">
        <v>751</v>
      </c>
    </row>
    <row r="33" spans="1:256" ht="12.75" customHeight="1">
      <c r="A33" s="4" t="s">
        <v>60</v>
      </c>
      <c r="B33" s="5" t="s">
        <v>61</v>
      </c>
      <c r="C33" s="28">
        <v>7046</v>
      </c>
      <c r="D33" s="28">
        <v>5876</v>
      </c>
      <c r="E33" s="28">
        <v>206</v>
      </c>
      <c r="F33" s="28">
        <f t="shared" si="5"/>
        <v>964</v>
      </c>
      <c r="G33" s="28">
        <v>25597</v>
      </c>
      <c r="H33" s="28">
        <v>7379</v>
      </c>
      <c r="I33" s="28">
        <v>606</v>
      </c>
      <c r="J33" s="28">
        <f t="shared" si="6"/>
        <v>17612</v>
      </c>
      <c r="K33" s="28">
        <v>999</v>
      </c>
      <c r="L33" s="28">
        <v>0</v>
      </c>
      <c r="M33" s="28">
        <v>3123</v>
      </c>
      <c r="N33" s="28">
        <v>519</v>
      </c>
      <c r="O33" s="28">
        <v>519</v>
      </c>
    </row>
    <row r="34" spans="1:256" ht="12.75" customHeight="1">
      <c r="A34" s="4" t="s">
        <v>62</v>
      </c>
      <c r="B34" s="5" t="s">
        <v>63</v>
      </c>
      <c r="C34" s="28">
        <v>7841</v>
      </c>
      <c r="D34" s="28">
        <v>2883</v>
      </c>
      <c r="E34" s="28">
        <v>44</v>
      </c>
      <c r="F34" s="28">
        <f t="shared" si="5"/>
        <v>4914</v>
      </c>
      <c r="G34" s="28">
        <v>18126</v>
      </c>
      <c r="H34" s="28">
        <v>6356</v>
      </c>
      <c r="I34" s="28">
        <v>219</v>
      </c>
      <c r="J34" s="28">
        <f t="shared" si="6"/>
        <v>11551</v>
      </c>
      <c r="K34" s="28">
        <v>160</v>
      </c>
      <c r="L34" s="28">
        <v>0</v>
      </c>
      <c r="M34" s="28">
        <v>5431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3459</v>
      </c>
      <c r="D35" s="28">
        <v>3448</v>
      </c>
      <c r="E35" s="28">
        <v>0</v>
      </c>
      <c r="F35" s="28">
        <f t="shared" si="5"/>
        <v>11</v>
      </c>
      <c r="G35" s="28">
        <v>5716</v>
      </c>
      <c r="H35" s="28">
        <v>5519</v>
      </c>
      <c r="I35" s="28">
        <v>0</v>
      </c>
      <c r="J35" s="28">
        <f t="shared" si="6"/>
        <v>197</v>
      </c>
      <c r="K35" s="28">
        <v>13</v>
      </c>
      <c r="L35" s="28">
        <v>0</v>
      </c>
      <c r="M35" s="28">
        <v>67</v>
      </c>
      <c r="N35" s="28">
        <v>140</v>
      </c>
      <c r="O35" s="28">
        <v>140</v>
      </c>
    </row>
    <row r="36" spans="1:256" ht="12.75" customHeight="1">
      <c r="A36" s="4" t="s">
        <v>66</v>
      </c>
      <c r="B36" s="5" t="s">
        <v>67</v>
      </c>
      <c r="C36" s="28">
        <v>2075</v>
      </c>
      <c r="D36" s="28">
        <v>1804</v>
      </c>
      <c r="E36" s="28">
        <v>178</v>
      </c>
      <c r="F36" s="28">
        <f t="shared" si="5"/>
        <v>93</v>
      </c>
      <c r="G36" s="28">
        <v>6006</v>
      </c>
      <c r="H36" s="28">
        <v>4395</v>
      </c>
      <c r="I36" s="28">
        <v>1162</v>
      </c>
      <c r="J36" s="28">
        <f t="shared" si="6"/>
        <v>449</v>
      </c>
      <c r="K36" s="28">
        <v>2</v>
      </c>
      <c r="L36" s="28">
        <v>0</v>
      </c>
      <c r="M36" s="28">
        <v>145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3928</v>
      </c>
      <c r="D37" s="28">
        <v>3355</v>
      </c>
      <c r="E37" s="28">
        <v>58</v>
      </c>
      <c r="F37" s="28">
        <f t="shared" si="5"/>
        <v>515</v>
      </c>
      <c r="G37" s="28">
        <v>17612</v>
      </c>
      <c r="H37" s="28">
        <v>7821</v>
      </c>
      <c r="I37" s="28">
        <v>260</v>
      </c>
      <c r="J37" s="28">
        <f t="shared" si="6"/>
        <v>9531</v>
      </c>
      <c r="K37" s="28">
        <v>474</v>
      </c>
      <c r="L37" s="28">
        <v>0</v>
      </c>
      <c r="M37" s="28">
        <v>3017</v>
      </c>
      <c r="N37" s="28">
        <v>198</v>
      </c>
      <c r="O37" s="28">
        <v>198</v>
      </c>
    </row>
    <row r="38" spans="1:256" ht="12.75" customHeight="1">
      <c r="A38" s="4" t="s">
        <v>70</v>
      </c>
      <c r="B38" s="5" t="s">
        <v>71</v>
      </c>
      <c r="C38" s="28">
        <v>53314</v>
      </c>
      <c r="D38" s="28">
        <v>39201</v>
      </c>
      <c r="E38" s="28">
        <v>1675</v>
      </c>
      <c r="F38" s="28">
        <f t="shared" si="5"/>
        <v>12438</v>
      </c>
      <c r="G38" s="28">
        <v>142046</v>
      </c>
      <c r="H38" s="28">
        <v>62927</v>
      </c>
      <c r="I38" s="28">
        <v>6644</v>
      </c>
      <c r="J38" s="28">
        <f t="shared" si="6"/>
        <v>72475</v>
      </c>
      <c r="K38" s="28">
        <v>5799</v>
      </c>
      <c r="L38" s="28">
        <v>19</v>
      </c>
      <c r="M38" s="28">
        <v>11391</v>
      </c>
      <c r="N38" s="28">
        <v>34932</v>
      </c>
      <c r="O38" s="28">
        <v>7335</v>
      </c>
    </row>
    <row r="39" spans="1:256" ht="12.75" customHeight="1">
      <c r="A39" s="4" t="s">
        <v>72</v>
      </c>
      <c r="B39" s="5" t="s">
        <v>73</v>
      </c>
      <c r="C39" s="28">
        <v>5177</v>
      </c>
      <c r="D39" s="28">
        <v>4812</v>
      </c>
      <c r="E39" s="28">
        <v>263</v>
      </c>
      <c r="F39" s="28">
        <f t="shared" si="5"/>
        <v>102</v>
      </c>
      <c r="G39" s="28">
        <v>9563</v>
      </c>
      <c r="H39" s="28">
        <v>7679</v>
      </c>
      <c r="I39" s="28">
        <v>1330</v>
      </c>
      <c r="J39" s="28">
        <f t="shared" si="6"/>
        <v>554</v>
      </c>
      <c r="K39" s="28">
        <v>0</v>
      </c>
      <c r="L39" s="28">
        <v>0</v>
      </c>
      <c r="M39" s="28">
        <v>17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5623</v>
      </c>
      <c r="D40" s="28">
        <v>5135</v>
      </c>
      <c r="E40" s="28">
        <v>287</v>
      </c>
      <c r="F40" s="28">
        <f t="shared" si="5"/>
        <v>201</v>
      </c>
      <c r="G40" s="28">
        <v>15077</v>
      </c>
      <c r="H40" s="28">
        <v>9704</v>
      </c>
      <c r="I40" s="28">
        <v>1198</v>
      </c>
      <c r="J40" s="28">
        <f t="shared" si="6"/>
        <v>4175</v>
      </c>
      <c r="K40" s="28">
        <v>37</v>
      </c>
      <c r="L40" s="28">
        <v>0</v>
      </c>
      <c r="M40" s="28">
        <v>3691</v>
      </c>
      <c r="N40" s="28">
        <v>29</v>
      </c>
      <c r="O40" s="28">
        <v>29</v>
      </c>
    </row>
    <row r="41" spans="1:256" ht="12.75" customHeight="1">
      <c r="A41" s="4" t="s">
        <v>76</v>
      </c>
      <c r="B41" s="5" t="s">
        <v>77</v>
      </c>
      <c r="C41" s="28">
        <v>2253</v>
      </c>
      <c r="D41" s="28">
        <v>1709</v>
      </c>
      <c r="E41" s="28">
        <v>0</v>
      </c>
      <c r="F41" s="28">
        <f t="shared" si="5"/>
        <v>544</v>
      </c>
      <c r="G41" s="28">
        <v>6073</v>
      </c>
      <c r="H41" s="28">
        <v>3708</v>
      </c>
      <c r="I41" s="28">
        <v>0</v>
      </c>
      <c r="J41" s="28">
        <f t="shared" si="6"/>
        <v>2365</v>
      </c>
      <c r="K41" s="28">
        <v>215</v>
      </c>
      <c r="L41" s="28">
        <v>0</v>
      </c>
      <c r="M41" s="28">
        <v>139</v>
      </c>
      <c r="N41" s="28">
        <v>54</v>
      </c>
      <c r="O41" s="28">
        <v>54</v>
      </c>
    </row>
    <row r="42" spans="1:256" ht="12.75" customHeight="1">
      <c r="A42" s="4" t="s">
        <v>78</v>
      </c>
      <c r="B42" s="5" t="s">
        <v>79</v>
      </c>
      <c r="C42" s="28">
        <v>11499</v>
      </c>
      <c r="D42" s="28">
        <v>9738</v>
      </c>
      <c r="E42" s="28">
        <v>319</v>
      </c>
      <c r="F42" s="28">
        <f t="shared" si="5"/>
        <v>1442</v>
      </c>
      <c r="G42" s="28">
        <v>18390</v>
      </c>
      <c r="H42" s="28">
        <v>13801</v>
      </c>
      <c r="I42" s="28">
        <v>752</v>
      </c>
      <c r="J42" s="28">
        <f t="shared" si="6"/>
        <v>3837</v>
      </c>
      <c r="K42" s="28">
        <v>250</v>
      </c>
      <c r="L42" s="28">
        <v>0</v>
      </c>
      <c r="M42" s="28">
        <v>8</v>
      </c>
      <c r="N42" s="28">
        <v>36</v>
      </c>
      <c r="O42" s="28">
        <v>36</v>
      </c>
    </row>
    <row r="43" spans="1:256" ht="12.75" customHeight="1">
      <c r="A43" s="8"/>
      <c r="B43" s="9" t="s">
        <v>80</v>
      </c>
      <c r="C43" s="29">
        <f t="shared" ref="C43:O43" si="7">SUM(C31:C42)</f>
        <v>126568</v>
      </c>
      <c r="D43" s="29">
        <f t="shared" si="7"/>
        <v>99907</v>
      </c>
      <c r="E43" s="29">
        <f t="shared" si="7"/>
        <v>3836</v>
      </c>
      <c r="F43" s="29">
        <f t="shared" si="7"/>
        <v>22825</v>
      </c>
      <c r="G43" s="29">
        <f t="shared" si="7"/>
        <v>340500</v>
      </c>
      <c r="H43" s="29">
        <f t="shared" si="7"/>
        <v>174463</v>
      </c>
      <c r="I43" s="29">
        <f t="shared" si="7"/>
        <v>16153</v>
      </c>
      <c r="J43" s="29">
        <f t="shared" si="7"/>
        <v>149884</v>
      </c>
      <c r="K43" s="29">
        <f t="shared" si="7"/>
        <v>8972</v>
      </c>
      <c r="L43" s="29">
        <f t="shared" si="7"/>
        <v>19</v>
      </c>
      <c r="M43" s="29">
        <f t="shared" si="7"/>
        <v>34432</v>
      </c>
      <c r="N43" s="29">
        <f t="shared" si="7"/>
        <v>36853</v>
      </c>
      <c r="O43" s="29">
        <f t="shared" si="7"/>
        <v>9256</v>
      </c>
    </row>
    <row r="44" spans="1:256" ht="12.75" customHeight="1">
      <c r="A44" s="4" t="s">
        <v>81</v>
      </c>
      <c r="B44" s="5" t="s">
        <v>82</v>
      </c>
      <c r="C44" s="28">
        <v>5883</v>
      </c>
      <c r="D44" s="28">
        <v>4557</v>
      </c>
      <c r="E44" s="28">
        <v>116</v>
      </c>
      <c r="F44" s="28">
        <f>SUM(C44-D44-E44)</f>
        <v>1210</v>
      </c>
      <c r="G44" s="28">
        <v>21881</v>
      </c>
      <c r="H44" s="28">
        <v>11101</v>
      </c>
      <c r="I44" s="28">
        <v>512</v>
      </c>
      <c r="J44" s="28">
        <f>SUM(G44-H44-I44)</f>
        <v>10268</v>
      </c>
      <c r="K44" s="28">
        <v>2118</v>
      </c>
      <c r="L44" s="28">
        <v>0</v>
      </c>
      <c r="M44" s="28">
        <v>2002</v>
      </c>
      <c r="N44" s="28">
        <v>139</v>
      </c>
      <c r="O44" s="28">
        <v>139</v>
      </c>
    </row>
    <row r="45" spans="1:256" ht="12.75" customHeight="1">
      <c r="A45" s="4" t="s">
        <v>83</v>
      </c>
      <c r="B45" s="5" t="s">
        <v>84</v>
      </c>
      <c r="C45" s="28">
        <v>6654</v>
      </c>
      <c r="D45" s="28">
        <v>5349</v>
      </c>
      <c r="E45" s="28">
        <v>178</v>
      </c>
      <c r="F45" s="28">
        <f>SUM(C45-D45-E45)</f>
        <v>1127</v>
      </c>
      <c r="G45" s="28">
        <v>25287</v>
      </c>
      <c r="H45" s="28">
        <v>11640</v>
      </c>
      <c r="I45" s="28">
        <v>826</v>
      </c>
      <c r="J45" s="28">
        <f>SUM(G45-H45-I45)</f>
        <v>12821</v>
      </c>
      <c r="K45" s="28">
        <v>2963</v>
      </c>
      <c r="L45" s="28">
        <v>0</v>
      </c>
      <c r="M45" s="28">
        <v>2306</v>
      </c>
      <c r="N45" s="28">
        <v>0</v>
      </c>
      <c r="O45" s="28">
        <v>0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12537</v>
      </c>
      <c r="D46" s="29">
        <f t="shared" si="8"/>
        <v>9906</v>
      </c>
      <c r="E46" s="29">
        <f t="shared" si="8"/>
        <v>294</v>
      </c>
      <c r="F46" s="29">
        <f t="shared" si="8"/>
        <v>2337</v>
      </c>
      <c r="G46" s="29">
        <f t="shared" si="8"/>
        <v>47168</v>
      </c>
      <c r="H46" s="29">
        <f t="shared" si="8"/>
        <v>22741</v>
      </c>
      <c r="I46" s="29">
        <f t="shared" si="8"/>
        <v>1338</v>
      </c>
      <c r="J46" s="29">
        <f t="shared" si="8"/>
        <v>23089</v>
      </c>
      <c r="K46" s="29">
        <f t="shared" si="8"/>
        <v>5081</v>
      </c>
      <c r="L46" s="29">
        <f t="shared" si="8"/>
        <v>0</v>
      </c>
      <c r="M46" s="29">
        <f t="shared" si="8"/>
        <v>4308</v>
      </c>
      <c r="N46" s="29">
        <f t="shared" si="8"/>
        <v>139</v>
      </c>
      <c r="O46" s="29">
        <f t="shared" si="8"/>
        <v>139</v>
      </c>
    </row>
    <row r="47" spans="1:256" ht="12.75" customHeight="1">
      <c r="A47" s="4" t="s">
        <v>86</v>
      </c>
      <c r="B47" s="5" t="s">
        <v>87</v>
      </c>
      <c r="C47" s="28">
        <v>1466</v>
      </c>
      <c r="D47" s="28">
        <v>1341</v>
      </c>
      <c r="E47" s="28">
        <v>0</v>
      </c>
      <c r="F47" s="28">
        <f>SUM(C47-D47-E47)</f>
        <v>125</v>
      </c>
      <c r="G47" s="28">
        <v>1735</v>
      </c>
      <c r="H47" s="28">
        <v>906</v>
      </c>
      <c r="I47" s="28">
        <v>0</v>
      </c>
      <c r="J47" s="28">
        <f>SUM(G47-H47-I47)</f>
        <v>829</v>
      </c>
      <c r="K47" s="28">
        <v>18</v>
      </c>
      <c r="L47" s="28">
        <v>8</v>
      </c>
      <c r="M47" s="28">
        <v>65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3209</v>
      </c>
      <c r="D48" s="28">
        <v>3036</v>
      </c>
      <c r="E48" s="28">
        <v>36</v>
      </c>
      <c r="F48" s="28">
        <f>SUM(C48-D48-E48)</f>
        <v>137</v>
      </c>
      <c r="G48" s="28">
        <v>5426</v>
      </c>
      <c r="H48" s="28">
        <v>5019</v>
      </c>
      <c r="I48" s="28">
        <v>121</v>
      </c>
      <c r="J48" s="28">
        <f>SUM(G48-H48-I48)</f>
        <v>286</v>
      </c>
      <c r="K48" s="28">
        <v>221</v>
      </c>
      <c r="L48" s="28">
        <v>0</v>
      </c>
      <c r="M48" s="28">
        <v>18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1710</v>
      </c>
      <c r="D49" s="28">
        <v>1551</v>
      </c>
      <c r="E49" s="28">
        <v>112</v>
      </c>
      <c r="F49" s="28">
        <f>SUM(C49-D49-E49)</f>
        <v>47</v>
      </c>
      <c r="G49" s="28">
        <v>1559</v>
      </c>
      <c r="H49" s="28">
        <v>1162</v>
      </c>
      <c r="I49" s="28">
        <v>243</v>
      </c>
      <c r="J49" s="28">
        <f>SUM(G49-H49-I49)</f>
        <v>154</v>
      </c>
      <c r="K49" s="28">
        <v>1165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9077</v>
      </c>
      <c r="D50" s="28">
        <v>8389</v>
      </c>
      <c r="E50" s="28">
        <v>150</v>
      </c>
      <c r="F50" s="28">
        <f>SUM(C50-D50-E50)</f>
        <v>538</v>
      </c>
      <c r="G50" s="28">
        <v>19180</v>
      </c>
      <c r="H50" s="28">
        <v>12818</v>
      </c>
      <c r="I50" s="28">
        <v>655</v>
      </c>
      <c r="J50" s="28">
        <f>SUM(G50-H50-I50)</f>
        <v>5707</v>
      </c>
      <c r="K50" s="28">
        <v>1214</v>
      </c>
      <c r="L50" s="28">
        <v>113</v>
      </c>
      <c r="M50" s="28">
        <v>2017</v>
      </c>
      <c r="N50" s="28">
        <v>148</v>
      </c>
      <c r="O50" s="28">
        <v>148</v>
      </c>
    </row>
    <row r="51" spans="1:15" ht="12.75" customHeight="1">
      <c r="A51" s="8"/>
      <c r="B51" s="9" t="s">
        <v>94</v>
      </c>
      <c r="C51" s="29">
        <f t="shared" ref="C51:O51" si="9">SUM(C47:C50)</f>
        <v>15462</v>
      </c>
      <c r="D51" s="29">
        <f t="shared" si="9"/>
        <v>14317</v>
      </c>
      <c r="E51" s="29">
        <f t="shared" si="9"/>
        <v>298</v>
      </c>
      <c r="F51" s="29">
        <f t="shared" si="9"/>
        <v>847</v>
      </c>
      <c r="G51" s="29">
        <f t="shared" si="9"/>
        <v>27900</v>
      </c>
      <c r="H51" s="29">
        <f t="shared" si="9"/>
        <v>19905</v>
      </c>
      <c r="I51" s="29">
        <f t="shared" si="9"/>
        <v>1019</v>
      </c>
      <c r="J51" s="29">
        <f t="shared" si="9"/>
        <v>6976</v>
      </c>
      <c r="K51" s="29">
        <f t="shared" si="9"/>
        <v>2618</v>
      </c>
      <c r="L51" s="29">
        <f t="shared" si="9"/>
        <v>121</v>
      </c>
      <c r="M51" s="29">
        <f t="shared" si="9"/>
        <v>2100</v>
      </c>
      <c r="N51" s="29">
        <f t="shared" si="9"/>
        <v>148</v>
      </c>
      <c r="O51" s="29">
        <f t="shared" si="9"/>
        <v>148</v>
      </c>
    </row>
    <row r="52" spans="1:15" ht="12.75" customHeight="1">
      <c r="A52" s="4" t="s">
        <v>95</v>
      </c>
      <c r="B52" s="5" t="s">
        <v>96</v>
      </c>
      <c r="C52" s="28">
        <v>1677</v>
      </c>
      <c r="D52" s="28">
        <v>1536</v>
      </c>
      <c r="E52" s="28">
        <v>4</v>
      </c>
      <c r="F52" s="28">
        <f t="shared" ref="F52:F58" si="10">SUM(C52-D52-E52)</f>
        <v>137</v>
      </c>
      <c r="G52" s="28">
        <v>4654</v>
      </c>
      <c r="H52" s="28">
        <v>3123</v>
      </c>
      <c r="I52" s="28">
        <v>5</v>
      </c>
      <c r="J52" s="28">
        <f t="shared" ref="J52:J58" si="11">SUM(G52-H52-I52)</f>
        <v>1526</v>
      </c>
      <c r="K52" s="28">
        <v>1247</v>
      </c>
      <c r="L52" s="28">
        <v>0</v>
      </c>
      <c r="M52" s="28">
        <v>81</v>
      </c>
      <c r="N52" s="28">
        <v>56</v>
      </c>
      <c r="O52" s="28">
        <v>56</v>
      </c>
    </row>
    <row r="53" spans="1:15" ht="12.75" customHeight="1">
      <c r="A53" s="4" t="s">
        <v>97</v>
      </c>
      <c r="B53" s="5" t="s">
        <v>98</v>
      </c>
      <c r="C53" s="28">
        <v>10738</v>
      </c>
      <c r="D53" s="28">
        <v>7746</v>
      </c>
      <c r="E53" s="28">
        <v>145</v>
      </c>
      <c r="F53" s="28">
        <f t="shared" si="10"/>
        <v>2847</v>
      </c>
      <c r="G53" s="28">
        <v>29450</v>
      </c>
      <c r="H53" s="28">
        <v>18113</v>
      </c>
      <c r="I53" s="28">
        <v>806</v>
      </c>
      <c r="J53" s="28">
        <f t="shared" si="11"/>
        <v>10531</v>
      </c>
      <c r="K53" s="28">
        <v>559</v>
      </c>
      <c r="L53" s="28">
        <v>0</v>
      </c>
      <c r="M53" s="28">
        <v>817</v>
      </c>
      <c r="N53" s="28">
        <v>330</v>
      </c>
      <c r="O53" s="28">
        <v>330</v>
      </c>
    </row>
    <row r="54" spans="1:15" ht="12.75" customHeight="1">
      <c r="A54" s="4" t="s">
        <v>99</v>
      </c>
      <c r="B54" s="5" t="s">
        <v>100</v>
      </c>
      <c r="C54" s="28">
        <v>1944</v>
      </c>
      <c r="D54" s="28">
        <v>1089</v>
      </c>
      <c r="E54" s="28">
        <v>62</v>
      </c>
      <c r="F54" s="28">
        <f t="shared" si="10"/>
        <v>793</v>
      </c>
      <c r="G54" s="28">
        <v>5870</v>
      </c>
      <c r="H54" s="28">
        <v>2824</v>
      </c>
      <c r="I54" s="28">
        <v>368</v>
      </c>
      <c r="J54" s="28">
        <f t="shared" si="11"/>
        <v>2678</v>
      </c>
      <c r="K54" s="28">
        <v>24</v>
      </c>
      <c r="L54" s="28">
        <v>0</v>
      </c>
      <c r="M54" s="28">
        <v>189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7964</v>
      </c>
      <c r="D55" s="28">
        <v>5405</v>
      </c>
      <c r="E55" s="28">
        <v>147</v>
      </c>
      <c r="F55" s="28">
        <f t="shared" si="10"/>
        <v>2412</v>
      </c>
      <c r="G55" s="28">
        <v>22148</v>
      </c>
      <c r="H55" s="28">
        <v>11345</v>
      </c>
      <c r="I55" s="28">
        <v>531</v>
      </c>
      <c r="J55" s="28">
        <f t="shared" si="11"/>
        <v>10272</v>
      </c>
      <c r="K55" s="28">
        <v>1443</v>
      </c>
      <c r="L55" s="28">
        <v>0</v>
      </c>
      <c r="M55" s="28">
        <v>1542</v>
      </c>
      <c r="N55" s="28">
        <v>1304</v>
      </c>
      <c r="O55" s="28">
        <v>1304</v>
      </c>
    </row>
    <row r="56" spans="1:15" ht="12.75" customHeight="1">
      <c r="A56" s="4" t="s">
        <v>103</v>
      </c>
      <c r="B56" s="5" t="s">
        <v>104</v>
      </c>
      <c r="C56" s="28">
        <v>10618</v>
      </c>
      <c r="D56" s="28">
        <v>4358</v>
      </c>
      <c r="E56" s="28">
        <v>461</v>
      </c>
      <c r="F56" s="28">
        <f t="shared" si="10"/>
        <v>5799</v>
      </c>
      <c r="G56" s="28">
        <v>32498</v>
      </c>
      <c r="H56" s="28">
        <v>9353</v>
      </c>
      <c r="I56" s="28">
        <v>2464</v>
      </c>
      <c r="J56" s="28">
        <f t="shared" si="11"/>
        <v>20681</v>
      </c>
      <c r="K56" s="28">
        <v>1474</v>
      </c>
      <c r="L56" s="28">
        <v>194</v>
      </c>
      <c r="M56" s="28">
        <v>4732</v>
      </c>
      <c r="N56" s="28">
        <v>325</v>
      </c>
      <c r="O56" s="28">
        <v>325</v>
      </c>
    </row>
    <row r="57" spans="1:15" ht="12.75" customHeight="1">
      <c r="A57" s="4" t="s">
        <v>105</v>
      </c>
      <c r="B57" s="5" t="s">
        <v>106</v>
      </c>
      <c r="C57" s="28">
        <v>10609</v>
      </c>
      <c r="D57" s="28">
        <v>5109</v>
      </c>
      <c r="E57" s="28">
        <v>511</v>
      </c>
      <c r="F57" s="28">
        <f t="shared" si="10"/>
        <v>4989</v>
      </c>
      <c r="G57" s="28">
        <v>32008</v>
      </c>
      <c r="H57" s="28">
        <v>14198</v>
      </c>
      <c r="I57" s="28">
        <v>2460</v>
      </c>
      <c r="J57" s="28">
        <f t="shared" si="11"/>
        <v>15350</v>
      </c>
      <c r="K57" s="28">
        <v>303</v>
      </c>
      <c r="L57" s="28">
        <v>0</v>
      </c>
      <c r="M57" s="28">
        <v>3218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9818</v>
      </c>
      <c r="D58" s="28">
        <v>5187</v>
      </c>
      <c r="E58" s="28">
        <v>185</v>
      </c>
      <c r="F58" s="28">
        <f t="shared" si="10"/>
        <v>4446</v>
      </c>
      <c r="G58" s="28">
        <v>29312</v>
      </c>
      <c r="H58" s="28">
        <v>11076</v>
      </c>
      <c r="I58" s="28">
        <v>848</v>
      </c>
      <c r="J58" s="28">
        <f t="shared" si="11"/>
        <v>17388</v>
      </c>
      <c r="K58" s="28">
        <v>435</v>
      </c>
      <c r="L58" s="28">
        <v>38</v>
      </c>
      <c r="M58" s="28">
        <v>1697</v>
      </c>
      <c r="N58" s="28">
        <v>2409</v>
      </c>
      <c r="O58" s="28">
        <v>2409</v>
      </c>
    </row>
    <row r="59" spans="1:15" ht="12.75" customHeight="1">
      <c r="A59" s="8"/>
      <c r="B59" s="9" t="s">
        <v>109</v>
      </c>
      <c r="C59" s="29">
        <f t="shared" ref="C59:O59" si="12">SUM(C52:C58)</f>
        <v>53368</v>
      </c>
      <c r="D59" s="29">
        <f t="shared" si="12"/>
        <v>30430</v>
      </c>
      <c r="E59" s="29">
        <f t="shared" si="12"/>
        <v>1515</v>
      </c>
      <c r="F59" s="29">
        <f t="shared" si="12"/>
        <v>21423</v>
      </c>
      <c r="G59" s="29">
        <f t="shared" si="12"/>
        <v>155940</v>
      </c>
      <c r="H59" s="29">
        <f t="shared" si="12"/>
        <v>70032</v>
      </c>
      <c r="I59" s="29">
        <f t="shared" si="12"/>
        <v>7482</v>
      </c>
      <c r="J59" s="29">
        <f t="shared" si="12"/>
        <v>78426</v>
      </c>
      <c r="K59" s="29">
        <f t="shared" si="12"/>
        <v>5485</v>
      </c>
      <c r="L59" s="29">
        <f t="shared" si="12"/>
        <v>232</v>
      </c>
      <c r="M59" s="29">
        <f t="shared" si="12"/>
        <v>12276</v>
      </c>
      <c r="N59" s="29">
        <f t="shared" si="12"/>
        <v>4424</v>
      </c>
      <c r="O59" s="29">
        <f t="shared" si="12"/>
        <v>4424</v>
      </c>
    </row>
    <row r="60" spans="1:15" ht="12.75" customHeight="1">
      <c r="A60" s="4" t="s">
        <v>110</v>
      </c>
      <c r="B60" s="5" t="s">
        <v>111</v>
      </c>
      <c r="C60" s="28">
        <v>10968</v>
      </c>
      <c r="D60" s="28">
        <v>8279</v>
      </c>
      <c r="E60" s="28">
        <v>718</v>
      </c>
      <c r="F60" s="28">
        <f t="shared" ref="F60:F68" si="13">SUM(C60-D60-E60)</f>
        <v>1971</v>
      </c>
      <c r="G60" s="28">
        <v>31430</v>
      </c>
      <c r="H60" s="28">
        <v>17763</v>
      </c>
      <c r="I60" s="28">
        <v>4592</v>
      </c>
      <c r="J60" s="28">
        <f t="shared" ref="J60:J68" si="14">SUM(G60-H60-I60)</f>
        <v>9075</v>
      </c>
      <c r="K60" s="28">
        <v>93</v>
      </c>
      <c r="L60" s="28">
        <v>0</v>
      </c>
      <c r="M60" s="28">
        <v>1450</v>
      </c>
      <c r="N60" s="28">
        <v>267</v>
      </c>
      <c r="O60" s="28">
        <v>267</v>
      </c>
    </row>
    <row r="61" spans="1:15" ht="12.75" customHeight="1">
      <c r="A61" s="4" t="s">
        <v>112</v>
      </c>
      <c r="B61" s="5" t="s">
        <v>113</v>
      </c>
      <c r="C61" s="28">
        <v>2744</v>
      </c>
      <c r="D61" s="28">
        <v>2217</v>
      </c>
      <c r="E61" s="28">
        <v>36</v>
      </c>
      <c r="F61" s="28">
        <f t="shared" si="13"/>
        <v>491</v>
      </c>
      <c r="G61" s="28">
        <v>5917</v>
      </c>
      <c r="H61" s="28">
        <v>4837</v>
      </c>
      <c r="I61" s="28">
        <v>176</v>
      </c>
      <c r="J61" s="28">
        <f t="shared" si="14"/>
        <v>904</v>
      </c>
      <c r="K61" s="28">
        <v>0</v>
      </c>
      <c r="L61" s="28">
        <v>115</v>
      </c>
      <c r="M61" s="28">
        <v>736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4713</v>
      </c>
      <c r="D62" s="28">
        <v>2888</v>
      </c>
      <c r="E62" s="28">
        <v>205</v>
      </c>
      <c r="F62" s="28">
        <f t="shared" si="13"/>
        <v>1620</v>
      </c>
      <c r="G62" s="28">
        <v>17723</v>
      </c>
      <c r="H62" s="28">
        <v>7408</v>
      </c>
      <c r="I62" s="28">
        <v>1399</v>
      </c>
      <c r="J62" s="28">
        <f t="shared" si="14"/>
        <v>8916</v>
      </c>
      <c r="K62" s="28">
        <v>1161</v>
      </c>
      <c r="L62" s="28">
        <v>81</v>
      </c>
      <c r="M62" s="28">
        <v>1586</v>
      </c>
      <c r="N62" s="28">
        <v>1265</v>
      </c>
      <c r="O62" s="28">
        <v>1265</v>
      </c>
    </row>
    <row r="63" spans="1:15" ht="12.75" customHeight="1">
      <c r="A63" s="4" t="s">
        <v>116</v>
      </c>
      <c r="B63" s="5" t="s">
        <v>117</v>
      </c>
      <c r="C63" s="28">
        <v>7593</v>
      </c>
      <c r="D63" s="28">
        <v>5152</v>
      </c>
      <c r="E63" s="28">
        <v>324</v>
      </c>
      <c r="F63" s="28">
        <f t="shared" si="13"/>
        <v>2117</v>
      </c>
      <c r="G63" s="28">
        <v>23205</v>
      </c>
      <c r="H63" s="28">
        <v>13717</v>
      </c>
      <c r="I63" s="28">
        <v>2387</v>
      </c>
      <c r="J63" s="28">
        <f t="shared" si="14"/>
        <v>7101</v>
      </c>
      <c r="K63" s="28">
        <v>62</v>
      </c>
      <c r="L63" s="28">
        <v>0</v>
      </c>
      <c r="M63" s="28">
        <v>1502</v>
      </c>
      <c r="N63" s="28">
        <v>0</v>
      </c>
      <c r="O63" s="28">
        <v>0</v>
      </c>
    </row>
    <row r="64" spans="1:15" ht="12.75" customHeight="1">
      <c r="A64" s="4" t="s">
        <v>118</v>
      </c>
      <c r="B64" s="5" t="s">
        <v>119</v>
      </c>
      <c r="C64" s="28">
        <v>6070</v>
      </c>
      <c r="D64" s="28">
        <v>3418</v>
      </c>
      <c r="E64" s="28">
        <v>401</v>
      </c>
      <c r="F64" s="28">
        <f t="shared" si="13"/>
        <v>2251</v>
      </c>
      <c r="G64" s="28">
        <v>22066</v>
      </c>
      <c r="H64" s="28">
        <v>8804</v>
      </c>
      <c r="I64" s="28">
        <v>2337</v>
      </c>
      <c r="J64" s="28">
        <f t="shared" si="14"/>
        <v>10925</v>
      </c>
      <c r="K64" s="28">
        <v>78</v>
      </c>
      <c r="L64" s="28">
        <v>7</v>
      </c>
      <c r="M64" s="28">
        <v>553</v>
      </c>
      <c r="N64" s="28">
        <v>27</v>
      </c>
      <c r="O64" s="28">
        <v>27</v>
      </c>
    </row>
    <row r="65" spans="1:15" ht="12.75" customHeight="1">
      <c r="A65" s="4" t="s">
        <v>120</v>
      </c>
      <c r="B65" s="5" t="s">
        <v>121</v>
      </c>
      <c r="C65" s="28">
        <v>3315</v>
      </c>
      <c r="D65" s="28">
        <v>2623</v>
      </c>
      <c r="E65" s="28">
        <v>304</v>
      </c>
      <c r="F65" s="28">
        <f t="shared" si="13"/>
        <v>388</v>
      </c>
      <c r="G65" s="28">
        <v>13311</v>
      </c>
      <c r="H65" s="28">
        <v>6436</v>
      </c>
      <c r="I65" s="28">
        <v>1720</v>
      </c>
      <c r="J65" s="28">
        <f t="shared" si="14"/>
        <v>5155</v>
      </c>
      <c r="K65" s="28">
        <v>582</v>
      </c>
      <c r="L65" s="28">
        <v>0</v>
      </c>
      <c r="M65" s="28">
        <v>894</v>
      </c>
      <c r="N65" s="28">
        <v>28</v>
      </c>
      <c r="O65" s="28">
        <v>28</v>
      </c>
    </row>
    <row r="66" spans="1:15" ht="12.75" customHeight="1">
      <c r="A66" s="4" t="s">
        <v>122</v>
      </c>
      <c r="B66" s="5" t="s">
        <v>123</v>
      </c>
      <c r="C66" s="28">
        <v>5926</v>
      </c>
      <c r="D66" s="28">
        <v>2210</v>
      </c>
      <c r="E66" s="28">
        <v>152</v>
      </c>
      <c r="F66" s="28">
        <f t="shared" si="13"/>
        <v>3564</v>
      </c>
      <c r="G66" s="28">
        <v>34511</v>
      </c>
      <c r="H66" s="28">
        <v>5484</v>
      </c>
      <c r="I66" s="28">
        <v>911</v>
      </c>
      <c r="J66" s="28">
        <f t="shared" si="14"/>
        <v>28116</v>
      </c>
      <c r="K66" s="28">
        <v>1602</v>
      </c>
      <c r="L66" s="28">
        <v>0</v>
      </c>
      <c r="M66" s="28">
        <v>6015</v>
      </c>
      <c r="N66" s="28">
        <v>61</v>
      </c>
      <c r="O66" s="28">
        <v>61</v>
      </c>
    </row>
    <row r="67" spans="1:15" ht="12.75" customHeight="1">
      <c r="A67" s="4" t="s">
        <v>124</v>
      </c>
      <c r="B67" s="5" t="s">
        <v>125</v>
      </c>
      <c r="C67" s="28">
        <v>9945</v>
      </c>
      <c r="D67" s="28">
        <v>3711</v>
      </c>
      <c r="E67" s="28">
        <v>0</v>
      </c>
      <c r="F67" s="28">
        <f t="shared" si="13"/>
        <v>6234</v>
      </c>
      <c r="G67" s="28">
        <v>43821</v>
      </c>
      <c r="H67" s="28">
        <v>8098</v>
      </c>
      <c r="I67" s="28">
        <v>0</v>
      </c>
      <c r="J67" s="28">
        <f t="shared" si="14"/>
        <v>35723</v>
      </c>
      <c r="K67" s="28">
        <v>1539</v>
      </c>
      <c r="L67" s="28">
        <v>0</v>
      </c>
      <c r="M67" s="28">
        <v>12341</v>
      </c>
      <c r="N67" s="28">
        <v>210</v>
      </c>
      <c r="O67" s="28">
        <v>210</v>
      </c>
    </row>
    <row r="68" spans="1:15" ht="12.75" customHeight="1">
      <c r="A68" s="4" t="s">
        <v>126</v>
      </c>
      <c r="B68" s="5" t="s">
        <v>127</v>
      </c>
      <c r="C68" s="28">
        <v>4605</v>
      </c>
      <c r="D68" s="28">
        <v>3115</v>
      </c>
      <c r="E68" s="28">
        <v>57</v>
      </c>
      <c r="F68" s="28">
        <f t="shared" si="13"/>
        <v>1433</v>
      </c>
      <c r="G68" s="28">
        <v>16827</v>
      </c>
      <c r="H68" s="28">
        <v>6432</v>
      </c>
      <c r="I68" s="28">
        <v>460</v>
      </c>
      <c r="J68" s="28">
        <f t="shared" si="14"/>
        <v>9935</v>
      </c>
      <c r="K68" s="28">
        <v>21</v>
      </c>
      <c r="L68" s="28">
        <v>12</v>
      </c>
      <c r="M68" s="28">
        <v>487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55879</v>
      </c>
      <c r="D69" s="29">
        <f t="shared" si="15"/>
        <v>33613</v>
      </c>
      <c r="E69" s="29">
        <f t="shared" si="15"/>
        <v>2197</v>
      </c>
      <c r="F69" s="29">
        <f t="shared" si="15"/>
        <v>20069</v>
      </c>
      <c r="G69" s="29">
        <f t="shared" si="15"/>
        <v>208811</v>
      </c>
      <c r="H69" s="29">
        <f t="shared" si="15"/>
        <v>78979</v>
      </c>
      <c r="I69" s="29">
        <f t="shared" si="15"/>
        <v>13982</v>
      </c>
      <c r="J69" s="29">
        <f t="shared" si="15"/>
        <v>115850</v>
      </c>
      <c r="K69" s="29">
        <f t="shared" si="15"/>
        <v>5138</v>
      </c>
      <c r="L69" s="29">
        <f t="shared" si="15"/>
        <v>215</v>
      </c>
      <c r="M69" s="29">
        <f t="shared" si="15"/>
        <v>25564</v>
      </c>
      <c r="N69" s="29">
        <f t="shared" si="15"/>
        <v>1861</v>
      </c>
      <c r="O69" s="29">
        <f t="shared" si="15"/>
        <v>1861</v>
      </c>
    </row>
    <row r="70" spans="1:15" ht="12.75" customHeight="1">
      <c r="A70" s="4" t="s">
        <v>129</v>
      </c>
      <c r="B70" s="5" t="s">
        <v>130</v>
      </c>
      <c r="C70" s="28">
        <v>3558</v>
      </c>
      <c r="D70" s="28">
        <v>3024</v>
      </c>
      <c r="E70" s="28">
        <v>247</v>
      </c>
      <c r="F70" s="28">
        <f t="shared" ref="F70:F79" si="16">SUM(C70-D70-E70)</f>
        <v>287</v>
      </c>
      <c r="G70" s="28">
        <v>10586</v>
      </c>
      <c r="H70" s="28">
        <v>6648</v>
      </c>
      <c r="I70" s="28">
        <v>1719</v>
      </c>
      <c r="J70" s="28">
        <f t="shared" ref="J70:J79" si="17">SUM(G70-H70-I70)</f>
        <v>2219</v>
      </c>
      <c r="K70" s="28">
        <v>162</v>
      </c>
      <c r="L70" s="28">
        <v>8</v>
      </c>
      <c r="M70" s="28">
        <v>353</v>
      </c>
      <c r="N70" s="28">
        <v>57</v>
      </c>
      <c r="O70" s="28">
        <v>57</v>
      </c>
    </row>
    <row r="71" spans="1:15" ht="12.75" customHeight="1">
      <c r="A71" s="4" t="s">
        <v>131</v>
      </c>
      <c r="B71" s="5" t="s">
        <v>132</v>
      </c>
      <c r="C71" s="28">
        <v>16072</v>
      </c>
      <c r="D71" s="28">
        <v>9274</v>
      </c>
      <c r="E71" s="28">
        <v>590</v>
      </c>
      <c r="F71" s="28">
        <f t="shared" si="16"/>
        <v>6208</v>
      </c>
      <c r="G71" s="28">
        <v>35028</v>
      </c>
      <c r="H71" s="28">
        <v>15357</v>
      </c>
      <c r="I71" s="28">
        <v>3057</v>
      </c>
      <c r="J71" s="28">
        <f t="shared" si="17"/>
        <v>16614</v>
      </c>
      <c r="K71" s="28">
        <v>476</v>
      </c>
      <c r="L71" s="28">
        <v>0</v>
      </c>
      <c r="M71" s="28">
        <v>1002</v>
      </c>
      <c r="N71" s="28">
        <v>2103</v>
      </c>
      <c r="O71" s="28">
        <v>2103</v>
      </c>
    </row>
    <row r="72" spans="1:15" ht="12.75" customHeight="1">
      <c r="A72" s="4" t="s">
        <v>133</v>
      </c>
      <c r="B72" s="5" t="s">
        <v>134</v>
      </c>
      <c r="C72" s="28">
        <v>2666</v>
      </c>
      <c r="D72" s="28">
        <v>2194</v>
      </c>
      <c r="E72" s="28">
        <v>0</v>
      </c>
      <c r="F72" s="28">
        <f t="shared" si="16"/>
        <v>472</v>
      </c>
      <c r="G72" s="28">
        <v>7137</v>
      </c>
      <c r="H72" s="28">
        <v>5236</v>
      </c>
      <c r="I72" s="28">
        <v>0</v>
      </c>
      <c r="J72" s="28">
        <f t="shared" si="17"/>
        <v>1901</v>
      </c>
      <c r="K72" s="28">
        <v>271</v>
      </c>
      <c r="L72" s="28">
        <v>174</v>
      </c>
      <c r="M72" s="28">
        <v>840</v>
      </c>
      <c r="N72" s="28">
        <v>40</v>
      </c>
      <c r="O72" s="28">
        <v>40</v>
      </c>
    </row>
    <row r="73" spans="1:15" ht="12.75" customHeight="1">
      <c r="A73" s="4" t="s">
        <v>135</v>
      </c>
      <c r="B73" s="5" t="s">
        <v>136</v>
      </c>
      <c r="C73" s="28">
        <v>6520</v>
      </c>
      <c r="D73" s="28">
        <v>4324</v>
      </c>
      <c r="E73" s="28">
        <v>52</v>
      </c>
      <c r="F73" s="28">
        <f t="shared" si="16"/>
        <v>2144</v>
      </c>
      <c r="G73" s="28">
        <v>18122</v>
      </c>
      <c r="H73" s="28">
        <v>8705</v>
      </c>
      <c r="I73" s="28">
        <v>191</v>
      </c>
      <c r="J73" s="28">
        <f t="shared" si="17"/>
        <v>9226</v>
      </c>
      <c r="K73" s="28">
        <v>652</v>
      </c>
      <c r="L73" s="28">
        <v>0</v>
      </c>
      <c r="M73" s="28">
        <v>2323</v>
      </c>
      <c r="N73" s="28">
        <v>6615</v>
      </c>
      <c r="O73" s="28">
        <v>6512</v>
      </c>
    </row>
    <row r="74" spans="1:15" ht="12.75" customHeight="1">
      <c r="A74" s="4" t="s">
        <v>137</v>
      </c>
      <c r="B74" s="5" t="s">
        <v>138</v>
      </c>
      <c r="C74" s="28">
        <v>5038</v>
      </c>
      <c r="D74" s="28">
        <v>4180</v>
      </c>
      <c r="E74" s="28">
        <v>181</v>
      </c>
      <c r="F74" s="28">
        <f t="shared" si="16"/>
        <v>677</v>
      </c>
      <c r="G74" s="28">
        <v>10908</v>
      </c>
      <c r="H74" s="28">
        <v>6938</v>
      </c>
      <c r="I74" s="28">
        <v>798</v>
      </c>
      <c r="J74" s="28">
        <f t="shared" si="17"/>
        <v>3172</v>
      </c>
      <c r="K74" s="28">
        <v>223</v>
      </c>
      <c r="L74" s="28">
        <v>0</v>
      </c>
      <c r="M74" s="28">
        <v>230</v>
      </c>
      <c r="N74" s="28">
        <v>177</v>
      </c>
      <c r="O74" s="28">
        <v>177</v>
      </c>
    </row>
    <row r="75" spans="1:15" ht="12.75" customHeight="1">
      <c r="A75" s="4" t="s">
        <v>139</v>
      </c>
      <c r="B75" s="5" t="s">
        <v>140</v>
      </c>
      <c r="C75" s="28">
        <v>2595</v>
      </c>
      <c r="D75" s="28">
        <v>2460</v>
      </c>
      <c r="E75" s="28">
        <v>52</v>
      </c>
      <c r="F75" s="28">
        <f t="shared" si="16"/>
        <v>83</v>
      </c>
      <c r="G75" s="28">
        <v>4856</v>
      </c>
      <c r="H75" s="28">
        <v>3859</v>
      </c>
      <c r="I75" s="28">
        <v>418</v>
      </c>
      <c r="J75" s="28">
        <f t="shared" si="17"/>
        <v>579</v>
      </c>
      <c r="K75" s="28">
        <v>15</v>
      </c>
      <c r="L75" s="28">
        <v>0</v>
      </c>
      <c r="M75" s="28">
        <v>7</v>
      </c>
      <c r="N75" s="28">
        <v>56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5446</v>
      </c>
      <c r="D76" s="28">
        <v>4003</v>
      </c>
      <c r="E76" s="28">
        <v>116</v>
      </c>
      <c r="F76" s="28">
        <f t="shared" si="16"/>
        <v>1327</v>
      </c>
      <c r="G76" s="28">
        <v>14259</v>
      </c>
      <c r="H76" s="28">
        <v>8493</v>
      </c>
      <c r="I76" s="28">
        <v>438</v>
      </c>
      <c r="J76" s="28">
        <f t="shared" si="17"/>
        <v>5328</v>
      </c>
      <c r="K76" s="28">
        <v>168</v>
      </c>
      <c r="L76" s="28">
        <v>86</v>
      </c>
      <c r="M76" s="28">
        <v>674</v>
      </c>
      <c r="N76" s="28">
        <v>155</v>
      </c>
      <c r="O76" s="28">
        <v>155</v>
      </c>
    </row>
    <row r="77" spans="1:15" ht="12.75" customHeight="1">
      <c r="A77" s="4" t="s">
        <v>143</v>
      </c>
      <c r="B77" s="5" t="s">
        <v>144</v>
      </c>
      <c r="C77" s="28">
        <v>4724</v>
      </c>
      <c r="D77" s="28">
        <v>3173</v>
      </c>
      <c r="E77" s="28">
        <v>70</v>
      </c>
      <c r="F77" s="28">
        <f t="shared" si="16"/>
        <v>1481</v>
      </c>
      <c r="G77" s="28">
        <v>11037</v>
      </c>
      <c r="H77" s="28">
        <v>5905</v>
      </c>
      <c r="I77" s="28">
        <v>307</v>
      </c>
      <c r="J77" s="28">
        <f t="shared" si="17"/>
        <v>4825</v>
      </c>
      <c r="K77" s="28">
        <v>251</v>
      </c>
      <c r="L77" s="28">
        <v>0</v>
      </c>
      <c r="M77" s="28">
        <v>489</v>
      </c>
      <c r="N77" s="28">
        <v>79</v>
      </c>
      <c r="O77" s="28">
        <v>79</v>
      </c>
    </row>
    <row r="78" spans="1:15" ht="12.75" customHeight="1">
      <c r="A78" s="4" t="s">
        <v>145</v>
      </c>
      <c r="B78" s="5" t="s">
        <v>146</v>
      </c>
      <c r="C78" s="28">
        <v>2609</v>
      </c>
      <c r="D78" s="28">
        <v>2083</v>
      </c>
      <c r="E78" s="28">
        <v>0</v>
      </c>
      <c r="F78" s="28">
        <f t="shared" si="16"/>
        <v>526</v>
      </c>
      <c r="G78" s="28">
        <v>5175</v>
      </c>
      <c r="H78" s="28">
        <v>3543</v>
      </c>
      <c r="I78" s="28">
        <v>0</v>
      </c>
      <c r="J78" s="28">
        <f t="shared" si="17"/>
        <v>1632</v>
      </c>
      <c r="K78" s="28">
        <v>58</v>
      </c>
      <c r="L78" s="28">
        <v>0</v>
      </c>
      <c r="M78" s="28">
        <v>0</v>
      </c>
      <c r="N78" s="28">
        <v>53</v>
      </c>
      <c r="O78" s="28">
        <v>53</v>
      </c>
    </row>
    <row r="79" spans="1:15" ht="12.75" customHeight="1">
      <c r="A79" s="4" t="s">
        <v>147</v>
      </c>
      <c r="B79" s="5" t="s">
        <v>148</v>
      </c>
      <c r="C79" s="28">
        <v>2910</v>
      </c>
      <c r="D79" s="28">
        <v>2727</v>
      </c>
      <c r="E79" s="28">
        <v>83</v>
      </c>
      <c r="F79" s="28">
        <f t="shared" si="16"/>
        <v>100</v>
      </c>
      <c r="G79" s="28">
        <v>8574</v>
      </c>
      <c r="H79" s="28">
        <v>6225</v>
      </c>
      <c r="I79" s="28">
        <v>442</v>
      </c>
      <c r="J79" s="28">
        <f t="shared" si="17"/>
        <v>1907</v>
      </c>
      <c r="K79" s="28">
        <v>190</v>
      </c>
      <c r="L79" s="28">
        <v>96</v>
      </c>
      <c r="M79" s="28">
        <v>1831</v>
      </c>
      <c r="N79" s="28">
        <v>107</v>
      </c>
      <c r="O79" s="28">
        <v>107</v>
      </c>
    </row>
    <row r="80" spans="1:15" ht="12.75" customHeight="1">
      <c r="A80" s="8"/>
      <c r="B80" s="9" t="s">
        <v>149</v>
      </c>
      <c r="C80" s="29">
        <f t="shared" ref="C80:O80" si="18">SUM(C70:C79)</f>
        <v>52138</v>
      </c>
      <c r="D80" s="29">
        <f t="shared" si="18"/>
        <v>37442</v>
      </c>
      <c r="E80" s="29">
        <f t="shared" si="18"/>
        <v>1391</v>
      </c>
      <c r="F80" s="29">
        <f t="shared" si="18"/>
        <v>13305</v>
      </c>
      <c r="G80" s="29">
        <f t="shared" si="18"/>
        <v>125682</v>
      </c>
      <c r="H80" s="29">
        <f t="shared" si="18"/>
        <v>70909</v>
      </c>
      <c r="I80" s="29">
        <f t="shared" si="18"/>
        <v>7370</v>
      </c>
      <c r="J80" s="29">
        <f t="shared" si="18"/>
        <v>47403</v>
      </c>
      <c r="K80" s="29">
        <f t="shared" si="18"/>
        <v>2466</v>
      </c>
      <c r="L80" s="29">
        <f t="shared" si="18"/>
        <v>364</v>
      </c>
      <c r="M80" s="29">
        <f t="shared" si="18"/>
        <v>7749</v>
      </c>
      <c r="N80" s="29">
        <f t="shared" si="18"/>
        <v>9442</v>
      </c>
      <c r="O80" s="29">
        <f t="shared" si="18"/>
        <v>9283</v>
      </c>
    </row>
    <row r="81" spans="1:15" ht="12.75" customHeight="1">
      <c r="A81" s="4" t="s">
        <v>150</v>
      </c>
      <c r="B81" s="5" t="s">
        <v>151</v>
      </c>
      <c r="C81" s="28">
        <v>5100</v>
      </c>
      <c r="D81" s="28">
        <v>2805</v>
      </c>
      <c r="E81" s="28">
        <v>141</v>
      </c>
      <c r="F81" s="28">
        <f>SUM(C81-D81-E81)</f>
        <v>2154</v>
      </c>
      <c r="G81" s="28">
        <v>19298</v>
      </c>
      <c r="H81" s="28">
        <v>8756</v>
      </c>
      <c r="I81" s="28">
        <v>1131</v>
      </c>
      <c r="J81" s="28">
        <f>SUM(G81-H81-I81)</f>
        <v>9411</v>
      </c>
      <c r="K81" s="28">
        <v>103</v>
      </c>
      <c r="L81" s="28">
        <v>0</v>
      </c>
      <c r="M81" s="28">
        <v>1351</v>
      </c>
      <c r="N81" s="28">
        <v>250</v>
      </c>
      <c r="O81" s="28">
        <v>250</v>
      </c>
    </row>
    <row r="82" spans="1:15" ht="12.75" customHeight="1">
      <c r="A82" s="4" t="s">
        <v>152</v>
      </c>
      <c r="B82" s="5" t="s">
        <v>153</v>
      </c>
      <c r="C82" s="28">
        <v>2383</v>
      </c>
      <c r="D82" s="28">
        <v>1794</v>
      </c>
      <c r="E82" s="28">
        <v>36</v>
      </c>
      <c r="F82" s="28">
        <f>SUM(C82-D82-E82)</f>
        <v>553</v>
      </c>
      <c r="G82" s="28">
        <v>10189</v>
      </c>
      <c r="H82" s="28">
        <v>5133</v>
      </c>
      <c r="I82" s="28">
        <v>291</v>
      </c>
      <c r="J82" s="28">
        <f>SUM(G82-H82-I82)</f>
        <v>4765</v>
      </c>
      <c r="K82" s="28">
        <v>30</v>
      </c>
      <c r="L82" s="28">
        <v>0</v>
      </c>
      <c r="M82" s="28">
        <v>940</v>
      </c>
      <c r="N82" s="28">
        <v>75</v>
      </c>
      <c r="O82" s="28">
        <v>75</v>
      </c>
    </row>
    <row r="83" spans="1:15" ht="12.75" customHeight="1">
      <c r="A83" s="4" t="s">
        <v>154</v>
      </c>
      <c r="B83" s="5" t="s">
        <v>155</v>
      </c>
      <c r="C83" s="28">
        <v>716</v>
      </c>
      <c r="D83" s="28">
        <v>654</v>
      </c>
      <c r="E83" s="28">
        <v>56</v>
      </c>
      <c r="F83" s="28">
        <f>SUM(C83-D83-E83)</f>
        <v>6</v>
      </c>
      <c r="G83" s="28">
        <v>2281</v>
      </c>
      <c r="H83" s="28">
        <v>1889</v>
      </c>
      <c r="I83" s="28">
        <v>362</v>
      </c>
      <c r="J83" s="28">
        <f>SUM(G83-H83-I83)</f>
        <v>30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2239</v>
      </c>
      <c r="D84" s="28">
        <v>2022</v>
      </c>
      <c r="E84" s="28">
        <v>31</v>
      </c>
      <c r="F84" s="28">
        <f>SUM(C84-D84-E84)</f>
        <v>186</v>
      </c>
      <c r="G84" s="28">
        <v>8370</v>
      </c>
      <c r="H84" s="28">
        <v>5727</v>
      </c>
      <c r="I84" s="28">
        <v>262</v>
      </c>
      <c r="J84" s="28">
        <f>SUM(G84-H84-I84)</f>
        <v>2381</v>
      </c>
      <c r="K84" s="28">
        <v>70</v>
      </c>
      <c r="L84" s="28">
        <v>0</v>
      </c>
      <c r="M84" s="28">
        <v>796</v>
      </c>
      <c r="N84" s="28">
        <v>25</v>
      </c>
      <c r="O84" s="28">
        <v>25</v>
      </c>
    </row>
    <row r="85" spans="1:15" ht="12.75" customHeight="1">
      <c r="A85" s="4" t="s">
        <v>158</v>
      </c>
      <c r="B85" s="5" t="s">
        <v>159</v>
      </c>
      <c r="C85" s="28">
        <v>3607</v>
      </c>
      <c r="D85" s="28">
        <v>3138</v>
      </c>
      <c r="E85" s="28">
        <v>163</v>
      </c>
      <c r="F85" s="28">
        <f>SUM(C85-D85-E85)</f>
        <v>306</v>
      </c>
      <c r="G85" s="28">
        <v>9955</v>
      </c>
      <c r="H85" s="28">
        <v>7364</v>
      </c>
      <c r="I85" s="28">
        <v>825</v>
      </c>
      <c r="J85" s="28">
        <f>SUM(G85-H85-I85)</f>
        <v>1766</v>
      </c>
      <c r="K85" s="28">
        <v>88</v>
      </c>
      <c r="L85" s="28">
        <v>0</v>
      </c>
      <c r="M85" s="28">
        <v>489</v>
      </c>
      <c r="N85" s="28">
        <v>1657</v>
      </c>
      <c r="O85" s="28">
        <v>1657</v>
      </c>
    </row>
    <row r="86" spans="1:15" ht="12.75" customHeight="1">
      <c r="A86" s="8"/>
      <c r="B86" s="9" t="s">
        <v>160</v>
      </c>
      <c r="C86" s="29">
        <f t="shared" ref="C86:O86" si="19">SUM(C81:C85)</f>
        <v>14045</v>
      </c>
      <c r="D86" s="29">
        <f t="shared" si="19"/>
        <v>10413</v>
      </c>
      <c r="E86" s="29">
        <f t="shared" si="19"/>
        <v>427</v>
      </c>
      <c r="F86" s="29">
        <f t="shared" si="19"/>
        <v>3205</v>
      </c>
      <c r="G86" s="29">
        <f t="shared" si="19"/>
        <v>50093</v>
      </c>
      <c r="H86" s="29">
        <f t="shared" si="19"/>
        <v>28869</v>
      </c>
      <c r="I86" s="29">
        <f t="shared" si="19"/>
        <v>2871</v>
      </c>
      <c r="J86" s="29">
        <f t="shared" si="19"/>
        <v>18353</v>
      </c>
      <c r="K86" s="29">
        <f t="shared" si="19"/>
        <v>291</v>
      </c>
      <c r="L86" s="29">
        <f t="shared" si="19"/>
        <v>0</v>
      </c>
      <c r="M86" s="29">
        <f t="shared" si="19"/>
        <v>3576</v>
      </c>
      <c r="N86" s="29">
        <f t="shared" si="19"/>
        <v>2007</v>
      </c>
      <c r="O86" s="29">
        <f t="shared" si="19"/>
        <v>2007</v>
      </c>
    </row>
    <row r="87" spans="1:15" ht="12.75" customHeight="1">
      <c r="A87" s="4" t="s">
        <v>161</v>
      </c>
      <c r="B87" s="5" t="s">
        <v>162</v>
      </c>
      <c r="C87" s="28">
        <v>6290</v>
      </c>
      <c r="D87" s="28">
        <v>5256</v>
      </c>
      <c r="E87" s="28">
        <v>0</v>
      </c>
      <c r="F87" s="28">
        <f>SUM(C87-D87-E87)</f>
        <v>1034</v>
      </c>
      <c r="G87" s="28">
        <v>23178</v>
      </c>
      <c r="H87" s="28">
        <v>13679</v>
      </c>
      <c r="I87" s="28">
        <v>0</v>
      </c>
      <c r="J87" s="28">
        <f>SUM(G87-H87-I87)</f>
        <v>9499</v>
      </c>
      <c r="K87" s="28">
        <v>112</v>
      </c>
      <c r="L87" s="28">
        <v>0</v>
      </c>
      <c r="M87" s="28">
        <v>1280</v>
      </c>
      <c r="N87" s="28">
        <v>95</v>
      </c>
      <c r="O87" s="28">
        <v>95</v>
      </c>
    </row>
    <row r="88" spans="1:15" ht="12.75" customHeight="1">
      <c r="A88" s="4" t="s">
        <v>163</v>
      </c>
      <c r="B88" s="5" t="s">
        <v>164</v>
      </c>
      <c r="C88" s="28">
        <v>5335</v>
      </c>
      <c r="D88" s="28">
        <v>2290</v>
      </c>
      <c r="E88" s="28">
        <v>190</v>
      </c>
      <c r="F88" s="28">
        <f>SUM(C88-D88-E88)</f>
        <v>2855</v>
      </c>
      <c r="G88" s="28">
        <v>14334</v>
      </c>
      <c r="H88" s="28">
        <v>5577</v>
      </c>
      <c r="I88" s="28">
        <v>1468</v>
      </c>
      <c r="J88" s="28">
        <f>SUM(G88-H88-I88)</f>
        <v>7289</v>
      </c>
      <c r="K88" s="28">
        <v>22</v>
      </c>
      <c r="L88" s="28">
        <v>0</v>
      </c>
      <c r="M88" s="28">
        <v>525</v>
      </c>
      <c r="N88" s="28">
        <v>23</v>
      </c>
      <c r="O88" s="28">
        <v>23</v>
      </c>
    </row>
    <row r="89" spans="1:15" ht="12.75" customHeight="1">
      <c r="A89" s="8"/>
      <c r="B89" s="9" t="s">
        <v>165</v>
      </c>
      <c r="C89" s="29">
        <f t="shared" ref="C89:O89" si="20">SUM(C87:C88)</f>
        <v>11625</v>
      </c>
      <c r="D89" s="29">
        <f t="shared" si="20"/>
        <v>7546</v>
      </c>
      <c r="E89" s="29">
        <f t="shared" si="20"/>
        <v>190</v>
      </c>
      <c r="F89" s="29">
        <f t="shared" si="20"/>
        <v>3889</v>
      </c>
      <c r="G89" s="29">
        <f t="shared" si="20"/>
        <v>37512</v>
      </c>
      <c r="H89" s="29">
        <f t="shared" si="20"/>
        <v>19256</v>
      </c>
      <c r="I89" s="29">
        <f t="shared" si="20"/>
        <v>1468</v>
      </c>
      <c r="J89" s="29">
        <f t="shared" si="20"/>
        <v>16788</v>
      </c>
      <c r="K89" s="29">
        <f t="shared" si="20"/>
        <v>134</v>
      </c>
      <c r="L89" s="29">
        <f t="shared" si="20"/>
        <v>0</v>
      </c>
      <c r="M89" s="29">
        <f t="shared" si="20"/>
        <v>1805</v>
      </c>
      <c r="N89" s="29">
        <f t="shared" si="20"/>
        <v>118</v>
      </c>
      <c r="O89" s="29">
        <f t="shared" si="20"/>
        <v>118</v>
      </c>
    </row>
    <row r="90" spans="1:15" ht="12.75" customHeight="1">
      <c r="A90" s="4" t="s">
        <v>166</v>
      </c>
      <c r="B90" s="5" t="s">
        <v>167</v>
      </c>
      <c r="C90" s="28">
        <v>5328</v>
      </c>
      <c r="D90" s="28">
        <v>3559</v>
      </c>
      <c r="E90" s="28">
        <v>371</v>
      </c>
      <c r="F90" s="28">
        <f>SUM(C90-D90-E90)</f>
        <v>1398</v>
      </c>
      <c r="G90" s="28">
        <v>21820</v>
      </c>
      <c r="H90" s="28">
        <v>9468</v>
      </c>
      <c r="I90" s="28">
        <v>2599</v>
      </c>
      <c r="J90" s="28">
        <f>SUM(G90-H90-I90)</f>
        <v>9753</v>
      </c>
      <c r="K90" s="28">
        <v>29</v>
      </c>
      <c r="L90" s="28">
        <v>18</v>
      </c>
      <c r="M90" s="28">
        <v>474</v>
      </c>
      <c r="N90" s="28">
        <v>0</v>
      </c>
      <c r="O90" s="28">
        <v>0</v>
      </c>
    </row>
    <row r="91" spans="1:15" ht="12.75" customHeight="1">
      <c r="A91" s="4" t="s">
        <v>168</v>
      </c>
      <c r="B91" s="5" t="s">
        <v>169</v>
      </c>
      <c r="C91" s="28">
        <v>6103</v>
      </c>
      <c r="D91" s="28">
        <v>4979</v>
      </c>
      <c r="E91" s="28">
        <v>0</v>
      </c>
      <c r="F91" s="28">
        <f>SUM(C91-D91-E91)</f>
        <v>1124</v>
      </c>
      <c r="G91" s="28">
        <v>21791</v>
      </c>
      <c r="H91" s="28">
        <v>11950</v>
      </c>
      <c r="I91" s="28">
        <v>0</v>
      </c>
      <c r="J91" s="28">
        <f>SUM(G91-H91-I91)</f>
        <v>9841</v>
      </c>
      <c r="K91" s="28">
        <v>29</v>
      </c>
      <c r="L91" s="28">
        <v>42</v>
      </c>
      <c r="M91" s="28">
        <v>2156</v>
      </c>
      <c r="N91" s="28">
        <v>64</v>
      </c>
      <c r="O91" s="28">
        <v>64</v>
      </c>
    </row>
    <row r="92" spans="1:15" ht="12.75" customHeight="1">
      <c r="A92" s="4" t="s">
        <v>170</v>
      </c>
      <c r="B92" s="5" t="s">
        <v>171</v>
      </c>
      <c r="C92" s="28">
        <v>1453</v>
      </c>
      <c r="D92" s="28">
        <v>822</v>
      </c>
      <c r="E92" s="28">
        <v>162</v>
      </c>
      <c r="F92" s="28">
        <f>SUM(C92-D92-E92)</f>
        <v>469</v>
      </c>
      <c r="G92" s="28">
        <v>4222</v>
      </c>
      <c r="H92" s="28">
        <v>2023</v>
      </c>
      <c r="I92" s="28">
        <v>1423</v>
      </c>
      <c r="J92" s="28">
        <f>SUM(G92-H92-I92)</f>
        <v>776</v>
      </c>
      <c r="K92" s="28">
        <v>27</v>
      </c>
      <c r="L92" s="28">
        <v>0</v>
      </c>
      <c r="M92" s="28">
        <v>189</v>
      </c>
      <c r="N92" s="28">
        <v>14</v>
      </c>
      <c r="O92" s="28">
        <v>14</v>
      </c>
    </row>
    <row r="93" spans="1:15" ht="12.75" customHeight="1">
      <c r="A93" s="4" t="s">
        <v>172</v>
      </c>
      <c r="B93" s="5" t="s">
        <v>173</v>
      </c>
      <c r="C93" s="28">
        <v>54627</v>
      </c>
      <c r="D93" s="28">
        <v>41032</v>
      </c>
      <c r="E93" s="28">
        <v>2682</v>
      </c>
      <c r="F93" s="28">
        <f>SUM(C93-D93-E93)</f>
        <v>10913</v>
      </c>
      <c r="G93" s="28">
        <v>153683</v>
      </c>
      <c r="H93" s="28">
        <v>68485</v>
      </c>
      <c r="I93" s="28">
        <v>8628</v>
      </c>
      <c r="J93" s="28">
        <f>SUM(G93-H93-I93)</f>
        <v>76570</v>
      </c>
      <c r="K93" s="28">
        <v>2802</v>
      </c>
      <c r="L93" s="28">
        <v>13</v>
      </c>
      <c r="M93" s="28">
        <v>13722</v>
      </c>
      <c r="N93" s="28">
        <v>5042</v>
      </c>
      <c r="O93" s="28">
        <v>4516</v>
      </c>
    </row>
    <row r="94" spans="1:15" ht="12.75" customHeight="1">
      <c r="A94" s="4" t="s">
        <v>174</v>
      </c>
      <c r="B94" s="5" t="s">
        <v>175</v>
      </c>
      <c r="C94" s="28">
        <v>4569</v>
      </c>
      <c r="D94" s="28">
        <v>1612</v>
      </c>
      <c r="E94" s="28">
        <v>92</v>
      </c>
      <c r="F94" s="28">
        <f>SUM(C94-D94-E94)</f>
        <v>2865</v>
      </c>
      <c r="G94" s="28">
        <v>14533</v>
      </c>
      <c r="H94" s="28">
        <v>4372</v>
      </c>
      <c r="I94" s="28">
        <v>658</v>
      </c>
      <c r="J94" s="28">
        <f>SUM(G94-H94-I94)</f>
        <v>9503</v>
      </c>
      <c r="K94" s="28">
        <v>125</v>
      </c>
      <c r="L94" s="28">
        <v>430</v>
      </c>
      <c r="M94" s="28">
        <v>1866</v>
      </c>
      <c r="N94" s="28">
        <v>26</v>
      </c>
      <c r="O94" s="28">
        <v>26</v>
      </c>
    </row>
    <row r="95" spans="1:15" ht="12.75" customHeight="1">
      <c r="A95" s="8"/>
      <c r="B95" s="9" t="s">
        <v>176</v>
      </c>
      <c r="C95" s="29">
        <f t="shared" ref="C95:O95" si="21">SUM(C90:C94)</f>
        <v>72080</v>
      </c>
      <c r="D95" s="29">
        <f t="shared" si="21"/>
        <v>52004</v>
      </c>
      <c r="E95" s="29">
        <f t="shared" si="21"/>
        <v>3307</v>
      </c>
      <c r="F95" s="29">
        <f t="shared" si="21"/>
        <v>16769</v>
      </c>
      <c r="G95" s="29">
        <f t="shared" si="21"/>
        <v>216049</v>
      </c>
      <c r="H95" s="29">
        <f t="shared" si="21"/>
        <v>96298</v>
      </c>
      <c r="I95" s="29">
        <f t="shared" si="21"/>
        <v>13308</v>
      </c>
      <c r="J95" s="29">
        <f t="shared" si="21"/>
        <v>106443</v>
      </c>
      <c r="K95" s="29">
        <f t="shared" si="21"/>
        <v>3012</v>
      </c>
      <c r="L95" s="29">
        <f t="shared" si="21"/>
        <v>503</v>
      </c>
      <c r="M95" s="29">
        <f t="shared" si="21"/>
        <v>18407</v>
      </c>
      <c r="N95" s="29">
        <f t="shared" si="21"/>
        <v>5146</v>
      </c>
      <c r="O95" s="29">
        <f t="shared" si="21"/>
        <v>4620</v>
      </c>
    </row>
    <row r="96" spans="1:15" ht="12.75" customHeight="1">
      <c r="A96" s="4" t="s">
        <v>177</v>
      </c>
      <c r="B96" s="5" t="s">
        <v>178</v>
      </c>
      <c r="C96" s="28">
        <v>1215</v>
      </c>
      <c r="D96" s="28">
        <v>1013</v>
      </c>
      <c r="E96" s="28">
        <v>42</v>
      </c>
      <c r="F96" s="28">
        <f>SUM(C96-D96-E96)</f>
        <v>160</v>
      </c>
      <c r="G96" s="28">
        <v>6320</v>
      </c>
      <c r="H96" s="28">
        <v>3604</v>
      </c>
      <c r="I96" s="28">
        <v>335</v>
      </c>
      <c r="J96" s="28">
        <f>SUM(G96-H96-I96)</f>
        <v>2381</v>
      </c>
      <c r="K96" s="28">
        <v>3</v>
      </c>
      <c r="L96" s="28">
        <v>0</v>
      </c>
      <c r="M96" s="28">
        <v>1108</v>
      </c>
      <c r="N96" s="28">
        <v>5</v>
      </c>
      <c r="O96" s="28">
        <v>5</v>
      </c>
    </row>
    <row r="97" spans="1:15" ht="12.75" customHeight="1">
      <c r="A97" s="4" t="s">
        <v>179</v>
      </c>
      <c r="B97" s="5" t="s">
        <v>180</v>
      </c>
      <c r="C97" s="28">
        <v>479</v>
      </c>
      <c r="D97" s="28">
        <v>423</v>
      </c>
      <c r="E97" s="28">
        <v>0</v>
      </c>
      <c r="F97" s="28">
        <f>SUM(C97-D97-E97)</f>
        <v>56</v>
      </c>
      <c r="G97" s="28">
        <v>1427</v>
      </c>
      <c r="H97" s="28">
        <v>1202</v>
      </c>
      <c r="I97" s="28">
        <v>0</v>
      </c>
      <c r="J97" s="28">
        <f>SUM(G97-H97-I97)</f>
        <v>225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1694</v>
      </c>
      <c r="D98" s="29">
        <f t="shared" si="22"/>
        <v>1436</v>
      </c>
      <c r="E98" s="29">
        <f t="shared" si="22"/>
        <v>42</v>
      </c>
      <c r="F98" s="29">
        <f t="shared" si="22"/>
        <v>216</v>
      </c>
      <c r="G98" s="29">
        <f t="shared" si="22"/>
        <v>7747</v>
      </c>
      <c r="H98" s="29">
        <f t="shared" si="22"/>
        <v>4806</v>
      </c>
      <c r="I98" s="29">
        <f t="shared" si="22"/>
        <v>335</v>
      </c>
      <c r="J98" s="29">
        <f t="shared" si="22"/>
        <v>2606</v>
      </c>
      <c r="K98" s="29">
        <f t="shared" si="22"/>
        <v>3</v>
      </c>
      <c r="L98" s="29">
        <f t="shared" si="22"/>
        <v>0</v>
      </c>
      <c r="M98" s="29">
        <f t="shared" si="22"/>
        <v>1108</v>
      </c>
      <c r="N98" s="29">
        <f t="shared" si="22"/>
        <v>5</v>
      </c>
      <c r="O98" s="29">
        <f t="shared" si="22"/>
        <v>5</v>
      </c>
    </row>
    <row r="99" spans="1:15" ht="12.75" customHeight="1">
      <c r="A99" s="4" t="s">
        <v>182</v>
      </c>
      <c r="B99" s="5" t="s">
        <v>183</v>
      </c>
      <c r="C99" s="28">
        <v>3061</v>
      </c>
      <c r="D99" s="28">
        <v>2823</v>
      </c>
      <c r="E99" s="28">
        <v>98</v>
      </c>
      <c r="F99" s="28">
        <f>SUM(C99-D99-E99)</f>
        <v>140</v>
      </c>
      <c r="G99" s="28">
        <v>12798</v>
      </c>
      <c r="H99" s="28">
        <v>8290</v>
      </c>
      <c r="I99" s="28">
        <v>749</v>
      </c>
      <c r="J99" s="28">
        <f>SUM(G99-H99-I99)</f>
        <v>3759</v>
      </c>
      <c r="K99" s="28">
        <v>34</v>
      </c>
      <c r="L99" s="28">
        <v>0</v>
      </c>
      <c r="M99" s="28">
        <v>633</v>
      </c>
      <c r="N99" s="28">
        <v>40</v>
      </c>
      <c r="O99" s="28">
        <v>40</v>
      </c>
    </row>
    <row r="100" spans="1:15" ht="12.75" customHeight="1">
      <c r="A100" s="4" t="s">
        <v>184</v>
      </c>
      <c r="B100" s="5" t="s">
        <v>185</v>
      </c>
      <c r="C100" s="28">
        <v>3431</v>
      </c>
      <c r="D100" s="28">
        <v>2043</v>
      </c>
      <c r="E100" s="28">
        <v>161</v>
      </c>
      <c r="F100" s="28">
        <f>SUM(C100-D100-E100)</f>
        <v>1227</v>
      </c>
      <c r="G100" s="28">
        <v>10024</v>
      </c>
      <c r="H100" s="28">
        <v>5358</v>
      </c>
      <c r="I100" s="28">
        <v>795</v>
      </c>
      <c r="J100" s="28">
        <f>SUM(G100-H100-I100)</f>
        <v>3871</v>
      </c>
      <c r="K100" s="28">
        <v>34</v>
      </c>
      <c r="L100" s="28">
        <v>0</v>
      </c>
      <c r="M100" s="28">
        <v>491</v>
      </c>
      <c r="N100" s="28">
        <v>430</v>
      </c>
      <c r="O100" s="28">
        <v>430</v>
      </c>
    </row>
    <row r="101" spans="1:15" ht="12.75" customHeight="1">
      <c r="A101" s="4" t="s">
        <v>186</v>
      </c>
      <c r="B101" s="5" t="s">
        <v>187</v>
      </c>
      <c r="C101" s="28">
        <v>1647</v>
      </c>
      <c r="D101" s="28">
        <v>1476</v>
      </c>
      <c r="E101" s="28">
        <v>0</v>
      </c>
      <c r="F101" s="28">
        <f>SUM(C101-D101-E101)</f>
        <v>171</v>
      </c>
      <c r="G101" s="28">
        <v>5455</v>
      </c>
      <c r="H101" s="28">
        <v>3865</v>
      </c>
      <c r="I101" s="28">
        <v>0</v>
      </c>
      <c r="J101" s="28">
        <f>SUM(G101-H101-I101)</f>
        <v>1590</v>
      </c>
      <c r="K101" s="28">
        <v>4</v>
      </c>
      <c r="L101" s="28">
        <v>0</v>
      </c>
      <c r="M101" s="28">
        <v>204</v>
      </c>
      <c r="N101" s="28">
        <v>29</v>
      </c>
      <c r="O101" s="28">
        <v>29</v>
      </c>
    </row>
    <row r="102" spans="1:15" ht="12.75" customHeight="1">
      <c r="A102" s="4" t="s">
        <v>188</v>
      </c>
      <c r="B102" s="5" t="s">
        <v>189</v>
      </c>
      <c r="C102" s="28">
        <v>2877</v>
      </c>
      <c r="D102" s="28">
        <v>2446</v>
      </c>
      <c r="E102" s="28">
        <v>157</v>
      </c>
      <c r="F102" s="28">
        <f>SUM(C102-D102-E102)</f>
        <v>274</v>
      </c>
      <c r="G102" s="28">
        <v>10031</v>
      </c>
      <c r="H102" s="28">
        <v>5290</v>
      </c>
      <c r="I102" s="28">
        <v>1439</v>
      </c>
      <c r="J102" s="28">
        <f>SUM(G102-H102-I102)</f>
        <v>3302</v>
      </c>
      <c r="K102" s="28">
        <v>69</v>
      </c>
      <c r="L102" s="28">
        <v>0</v>
      </c>
      <c r="M102" s="28">
        <v>603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11016</v>
      </c>
      <c r="D103" s="29">
        <f t="shared" si="23"/>
        <v>8788</v>
      </c>
      <c r="E103" s="29">
        <f t="shared" si="23"/>
        <v>416</v>
      </c>
      <c r="F103" s="29">
        <f t="shared" si="23"/>
        <v>1812</v>
      </c>
      <c r="G103" s="29">
        <f t="shared" si="23"/>
        <v>38308</v>
      </c>
      <c r="H103" s="29">
        <f t="shared" si="23"/>
        <v>22803</v>
      </c>
      <c r="I103" s="29">
        <f t="shared" si="23"/>
        <v>2983</v>
      </c>
      <c r="J103" s="29">
        <f t="shared" si="23"/>
        <v>12522</v>
      </c>
      <c r="K103" s="29">
        <f t="shared" si="23"/>
        <v>141</v>
      </c>
      <c r="L103" s="29">
        <f t="shared" si="23"/>
        <v>0</v>
      </c>
      <c r="M103" s="29">
        <f t="shared" si="23"/>
        <v>1931</v>
      </c>
      <c r="N103" s="29">
        <f t="shared" si="23"/>
        <v>499</v>
      </c>
      <c r="O103" s="29">
        <f t="shared" si="23"/>
        <v>499</v>
      </c>
    </row>
    <row r="104" spans="1:15" ht="12.75" customHeight="1">
      <c r="A104" s="4" t="s">
        <v>191</v>
      </c>
      <c r="B104" s="5" t="s">
        <v>192</v>
      </c>
      <c r="C104" s="28">
        <v>2247</v>
      </c>
      <c r="D104" s="28">
        <v>1797</v>
      </c>
      <c r="E104" s="28">
        <v>84</v>
      </c>
      <c r="F104" s="28">
        <f>SUM(C104-D104-E104)</f>
        <v>366</v>
      </c>
      <c r="G104" s="28">
        <v>8662</v>
      </c>
      <c r="H104" s="28">
        <v>5439</v>
      </c>
      <c r="I104" s="28">
        <v>677</v>
      </c>
      <c r="J104" s="28">
        <f>SUM(G104-H104-I104)</f>
        <v>2546</v>
      </c>
      <c r="K104" s="28">
        <v>53</v>
      </c>
      <c r="L104" s="28">
        <v>0</v>
      </c>
      <c r="M104" s="28">
        <v>329</v>
      </c>
      <c r="N104" s="28">
        <v>44</v>
      </c>
      <c r="O104" s="28">
        <v>44</v>
      </c>
    </row>
    <row r="105" spans="1:15" ht="12.75" customHeight="1">
      <c r="A105" s="4" t="s">
        <v>193</v>
      </c>
      <c r="B105" s="5" t="s">
        <v>194</v>
      </c>
      <c r="C105" s="28">
        <v>1496</v>
      </c>
      <c r="D105" s="28">
        <v>1028</v>
      </c>
      <c r="E105" s="28">
        <v>0</v>
      </c>
      <c r="F105" s="28">
        <f>SUM(C105-D105-E105)</f>
        <v>468</v>
      </c>
      <c r="G105" s="28">
        <v>7019</v>
      </c>
      <c r="H105" s="28">
        <v>3040</v>
      </c>
      <c r="I105" s="28">
        <v>0</v>
      </c>
      <c r="J105" s="28">
        <f>SUM(G105-H105-I105)</f>
        <v>3979</v>
      </c>
      <c r="K105" s="28">
        <v>23</v>
      </c>
      <c r="L105" s="28">
        <v>0</v>
      </c>
      <c r="M105" s="28">
        <v>806</v>
      </c>
      <c r="N105" s="28">
        <v>0</v>
      </c>
      <c r="O105" s="28">
        <v>0</v>
      </c>
    </row>
    <row r="106" spans="1:15" ht="12.75" customHeight="1">
      <c r="A106" s="4" t="s">
        <v>195</v>
      </c>
      <c r="B106" s="5" t="s">
        <v>196</v>
      </c>
      <c r="C106" s="28">
        <v>7526</v>
      </c>
      <c r="D106" s="28">
        <v>4767</v>
      </c>
      <c r="E106" s="28">
        <v>223</v>
      </c>
      <c r="F106" s="28">
        <f>SUM(C106-D106-E106)</f>
        <v>2536</v>
      </c>
      <c r="G106" s="28">
        <v>33179</v>
      </c>
      <c r="H106" s="28">
        <v>13430</v>
      </c>
      <c r="I106" s="28">
        <v>1357</v>
      </c>
      <c r="J106" s="28">
        <f>SUM(G106-H106-I106)</f>
        <v>18392</v>
      </c>
      <c r="K106" s="28">
        <v>43</v>
      </c>
      <c r="L106" s="28">
        <v>0</v>
      </c>
      <c r="M106" s="28">
        <v>6736</v>
      </c>
      <c r="N106" s="28">
        <v>302</v>
      </c>
      <c r="O106" s="28">
        <v>302</v>
      </c>
    </row>
    <row r="107" spans="1:15" ht="12.75" customHeight="1">
      <c r="A107" s="4" t="s">
        <v>197</v>
      </c>
      <c r="B107" s="5" t="s">
        <v>198</v>
      </c>
      <c r="C107" s="28">
        <v>25468</v>
      </c>
      <c r="D107" s="28">
        <v>15504</v>
      </c>
      <c r="E107" s="28">
        <v>729</v>
      </c>
      <c r="F107" s="28">
        <f>SUM(C107-D107-E107)</f>
        <v>9235</v>
      </c>
      <c r="G107" s="28">
        <v>69550</v>
      </c>
      <c r="H107" s="28">
        <v>27473</v>
      </c>
      <c r="I107" s="28">
        <v>1910</v>
      </c>
      <c r="J107" s="28">
        <f>SUM(G107-H107-I107)</f>
        <v>40167</v>
      </c>
      <c r="K107" s="28">
        <v>1860</v>
      </c>
      <c r="L107" s="28">
        <v>0</v>
      </c>
      <c r="M107" s="28">
        <v>1005</v>
      </c>
      <c r="N107" s="28">
        <v>1180</v>
      </c>
      <c r="O107" s="28">
        <v>1180</v>
      </c>
    </row>
    <row r="108" spans="1:15" ht="12.75" customHeight="1">
      <c r="A108" s="4" t="s">
        <v>199</v>
      </c>
      <c r="B108" s="5" t="s">
        <v>200</v>
      </c>
      <c r="C108" s="28">
        <v>6280</v>
      </c>
      <c r="D108" s="28">
        <v>4486</v>
      </c>
      <c r="E108" s="28">
        <v>194</v>
      </c>
      <c r="F108" s="28">
        <f>SUM(C108-D108-E108)</f>
        <v>1600</v>
      </c>
      <c r="G108" s="28">
        <v>33793</v>
      </c>
      <c r="H108" s="28">
        <v>13510</v>
      </c>
      <c r="I108" s="28">
        <v>1447</v>
      </c>
      <c r="J108" s="28">
        <f>SUM(G108-H108-I108)</f>
        <v>18836</v>
      </c>
      <c r="K108" s="28">
        <v>134</v>
      </c>
      <c r="L108" s="28">
        <v>0</v>
      </c>
      <c r="M108" s="28">
        <v>1953</v>
      </c>
      <c r="N108" s="28">
        <v>366</v>
      </c>
      <c r="O108" s="28">
        <v>366</v>
      </c>
    </row>
    <row r="109" spans="1:15" ht="12.75" customHeight="1">
      <c r="A109" s="8"/>
      <c r="B109" s="9" t="s">
        <v>201</v>
      </c>
      <c r="C109" s="29">
        <f t="shared" ref="C109:O109" si="24">SUM(C104:C108)</f>
        <v>43017</v>
      </c>
      <c r="D109" s="29">
        <f t="shared" si="24"/>
        <v>27582</v>
      </c>
      <c r="E109" s="29">
        <f t="shared" si="24"/>
        <v>1230</v>
      </c>
      <c r="F109" s="29">
        <f t="shared" si="24"/>
        <v>14205</v>
      </c>
      <c r="G109" s="29">
        <f t="shared" si="24"/>
        <v>152203</v>
      </c>
      <c r="H109" s="29">
        <f t="shared" si="24"/>
        <v>62892</v>
      </c>
      <c r="I109" s="29">
        <f t="shared" si="24"/>
        <v>5391</v>
      </c>
      <c r="J109" s="29">
        <f t="shared" si="24"/>
        <v>83920</v>
      </c>
      <c r="K109" s="29">
        <f t="shared" si="24"/>
        <v>2113</v>
      </c>
      <c r="L109" s="29">
        <f t="shared" si="24"/>
        <v>0</v>
      </c>
      <c r="M109" s="29">
        <f t="shared" si="24"/>
        <v>10829</v>
      </c>
      <c r="N109" s="29">
        <f t="shared" si="24"/>
        <v>1892</v>
      </c>
      <c r="O109" s="29">
        <f t="shared" si="24"/>
        <v>1892</v>
      </c>
    </row>
    <row r="110" spans="1:15" ht="12.75" customHeight="1">
      <c r="A110" s="4" t="s">
        <v>202</v>
      </c>
      <c r="B110" s="5" t="s">
        <v>203</v>
      </c>
      <c r="C110" s="28">
        <v>10427</v>
      </c>
      <c r="D110" s="28">
        <v>8834</v>
      </c>
      <c r="E110" s="28">
        <v>113</v>
      </c>
      <c r="F110" s="28">
        <f t="shared" ref="F110:F115" si="25">SUM(C110-D110-E110)</f>
        <v>1480</v>
      </c>
      <c r="G110" s="28">
        <v>40252</v>
      </c>
      <c r="H110" s="28">
        <v>25939</v>
      </c>
      <c r="I110" s="28">
        <v>998</v>
      </c>
      <c r="J110" s="28">
        <f t="shared" ref="J110:J115" si="26">SUM(G110-H110-I110)</f>
        <v>13315</v>
      </c>
      <c r="K110" s="28">
        <v>345</v>
      </c>
      <c r="L110" s="28">
        <v>0</v>
      </c>
      <c r="M110" s="28">
        <v>3414</v>
      </c>
      <c r="N110" s="28">
        <v>375</v>
      </c>
      <c r="O110" s="28">
        <v>375</v>
      </c>
    </row>
    <row r="111" spans="1:15" ht="12.75" customHeight="1">
      <c r="A111" s="4" t="s">
        <v>204</v>
      </c>
      <c r="B111" s="5" t="s">
        <v>205</v>
      </c>
      <c r="C111" s="28">
        <v>1185</v>
      </c>
      <c r="D111" s="28">
        <v>1101</v>
      </c>
      <c r="E111" s="28">
        <v>28</v>
      </c>
      <c r="F111" s="28">
        <f t="shared" si="25"/>
        <v>56</v>
      </c>
      <c r="G111" s="28">
        <v>3937</v>
      </c>
      <c r="H111" s="28">
        <v>2920</v>
      </c>
      <c r="I111" s="28">
        <v>207</v>
      </c>
      <c r="J111" s="28">
        <f t="shared" si="26"/>
        <v>810</v>
      </c>
      <c r="K111" s="28">
        <v>9</v>
      </c>
      <c r="L111" s="28">
        <v>0</v>
      </c>
      <c r="M111" s="28">
        <v>398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3221</v>
      </c>
      <c r="D112" s="28">
        <v>2721</v>
      </c>
      <c r="E112" s="28">
        <v>0</v>
      </c>
      <c r="F112" s="28">
        <f t="shared" si="25"/>
        <v>500</v>
      </c>
      <c r="G112" s="28">
        <v>9990</v>
      </c>
      <c r="H112" s="28">
        <v>7826</v>
      </c>
      <c r="I112" s="28">
        <v>0</v>
      </c>
      <c r="J112" s="28">
        <f t="shared" si="26"/>
        <v>2164</v>
      </c>
      <c r="K112" s="28">
        <v>52</v>
      </c>
      <c r="L112" s="28">
        <v>1279</v>
      </c>
      <c r="M112" s="28">
        <v>713</v>
      </c>
      <c r="N112" s="28">
        <v>2170</v>
      </c>
      <c r="O112" s="28">
        <v>2170</v>
      </c>
    </row>
    <row r="113" spans="1:15" ht="12.75" customHeight="1">
      <c r="A113" s="4" t="s">
        <v>208</v>
      </c>
      <c r="B113" s="5" t="s">
        <v>209</v>
      </c>
      <c r="C113" s="28">
        <v>3447</v>
      </c>
      <c r="D113" s="28">
        <v>2399</v>
      </c>
      <c r="E113" s="28">
        <v>111</v>
      </c>
      <c r="F113" s="28">
        <f t="shared" si="25"/>
        <v>937</v>
      </c>
      <c r="G113" s="28">
        <v>12191</v>
      </c>
      <c r="H113" s="28">
        <v>6990</v>
      </c>
      <c r="I113" s="28">
        <v>787</v>
      </c>
      <c r="J113" s="28">
        <f t="shared" si="26"/>
        <v>4414</v>
      </c>
      <c r="K113" s="28">
        <v>144</v>
      </c>
      <c r="L113" s="28">
        <v>0</v>
      </c>
      <c r="M113" s="28">
        <v>2972</v>
      </c>
      <c r="N113" s="28">
        <v>15</v>
      </c>
      <c r="O113" s="28">
        <v>15</v>
      </c>
    </row>
    <row r="114" spans="1:15" ht="12.75" customHeight="1">
      <c r="A114" s="4" t="s">
        <v>210</v>
      </c>
      <c r="B114" s="5" t="s">
        <v>211</v>
      </c>
      <c r="C114" s="28">
        <v>13274</v>
      </c>
      <c r="D114" s="28">
        <v>6452</v>
      </c>
      <c r="E114" s="28">
        <v>0</v>
      </c>
      <c r="F114" s="28">
        <f t="shared" si="25"/>
        <v>6822</v>
      </c>
      <c r="G114" s="28">
        <v>36772</v>
      </c>
      <c r="H114" s="28">
        <v>14440</v>
      </c>
      <c r="I114" s="28">
        <v>0</v>
      </c>
      <c r="J114" s="28">
        <f t="shared" si="26"/>
        <v>22332</v>
      </c>
      <c r="K114" s="28">
        <v>1517</v>
      </c>
      <c r="L114" s="28">
        <v>0</v>
      </c>
      <c r="M114" s="28">
        <v>2969</v>
      </c>
      <c r="N114" s="28">
        <v>1390</v>
      </c>
      <c r="O114" s="28">
        <v>1390</v>
      </c>
    </row>
    <row r="115" spans="1:15" ht="12.75" customHeight="1">
      <c r="A115" s="4" t="s">
        <v>212</v>
      </c>
      <c r="B115" s="5" t="s">
        <v>213</v>
      </c>
      <c r="C115" s="28">
        <v>4021</v>
      </c>
      <c r="D115" s="28">
        <v>3737</v>
      </c>
      <c r="E115" s="28">
        <v>0</v>
      </c>
      <c r="F115" s="28">
        <f t="shared" si="25"/>
        <v>284</v>
      </c>
      <c r="G115" s="28">
        <v>11713</v>
      </c>
      <c r="H115" s="28">
        <v>10016</v>
      </c>
      <c r="I115" s="28">
        <v>0</v>
      </c>
      <c r="J115" s="28">
        <f t="shared" si="26"/>
        <v>1697</v>
      </c>
      <c r="K115" s="28">
        <v>560</v>
      </c>
      <c r="L115" s="28">
        <v>0</v>
      </c>
      <c r="M115" s="28">
        <v>640</v>
      </c>
      <c r="N115" s="28">
        <v>266</v>
      </c>
      <c r="O115" s="28">
        <v>266</v>
      </c>
    </row>
    <row r="116" spans="1:15" ht="12.75" customHeight="1">
      <c r="A116" s="8"/>
      <c r="B116" s="9" t="s">
        <v>214</v>
      </c>
      <c r="C116" s="29">
        <f t="shared" ref="C116:O116" si="27">SUM(C110:C115)</f>
        <v>35575</v>
      </c>
      <c r="D116" s="29">
        <f t="shared" si="27"/>
        <v>25244</v>
      </c>
      <c r="E116" s="29">
        <f t="shared" si="27"/>
        <v>252</v>
      </c>
      <c r="F116" s="29">
        <f t="shared" si="27"/>
        <v>10079</v>
      </c>
      <c r="G116" s="29">
        <f t="shared" si="27"/>
        <v>114855</v>
      </c>
      <c r="H116" s="29">
        <f t="shared" si="27"/>
        <v>68131</v>
      </c>
      <c r="I116" s="29">
        <f t="shared" si="27"/>
        <v>1992</v>
      </c>
      <c r="J116" s="29">
        <f t="shared" si="27"/>
        <v>44732</v>
      </c>
      <c r="K116" s="29">
        <f t="shared" si="27"/>
        <v>2627</v>
      </c>
      <c r="L116" s="29">
        <f t="shared" si="27"/>
        <v>1279</v>
      </c>
      <c r="M116" s="29">
        <f t="shared" si="27"/>
        <v>11106</v>
      </c>
      <c r="N116" s="29">
        <f t="shared" si="27"/>
        <v>4216</v>
      </c>
      <c r="O116" s="29">
        <f t="shared" si="27"/>
        <v>4216</v>
      </c>
    </row>
    <row r="117" spans="1:15" ht="12.75" customHeight="1">
      <c r="A117" s="4" t="s">
        <v>215</v>
      </c>
      <c r="B117" s="5" t="s">
        <v>216</v>
      </c>
      <c r="C117" s="28">
        <v>1170</v>
      </c>
      <c r="D117" s="28">
        <v>921</v>
      </c>
      <c r="E117" s="28">
        <v>0</v>
      </c>
      <c r="F117" s="28">
        <f>SUM(C117-D117-E117)</f>
        <v>249</v>
      </c>
      <c r="G117" s="28">
        <v>4161</v>
      </c>
      <c r="H117" s="28">
        <v>2972</v>
      </c>
      <c r="I117" s="28">
        <v>0</v>
      </c>
      <c r="J117" s="28">
        <f>SUM(G117-H117-I117)</f>
        <v>1189</v>
      </c>
      <c r="K117" s="28">
        <v>0</v>
      </c>
      <c r="L117" s="28">
        <v>0</v>
      </c>
      <c r="M117" s="28">
        <v>1017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2824</v>
      </c>
      <c r="D118" s="28">
        <v>2530</v>
      </c>
      <c r="E118" s="28">
        <v>53</v>
      </c>
      <c r="F118" s="28">
        <f>SUM(C118-D118-E118)</f>
        <v>241</v>
      </c>
      <c r="G118" s="28">
        <v>10961</v>
      </c>
      <c r="H118" s="28">
        <v>7098</v>
      </c>
      <c r="I118" s="28">
        <v>403</v>
      </c>
      <c r="J118" s="28">
        <f>SUM(G118-H118-I118)</f>
        <v>3460</v>
      </c>
      <c r="K118" s="28">
        <v>32</v>
      </c>
      <c r="L118" s="28">
        <v>0</v>
      </c>
      <c r="M118" s="28">
        <v>701</v>
      </c>
      <c r="N118" s="28">
        <v>354</v>
      </c>
      <c r="O118" s="28">
        <v>354</v>
      </c>
    </row>
    <row r="119" spans="1:15" ht="12.75" customHeight="1">
      <c r="A119" s="8"/>
      <c r="B119" s="9" t="s">
        <v>219</v>
      </c>
      <c r="C119" s="29">
        <f t="shared" ref="C119:O119" si="28">SUM(C117:C118)</f>
        <v>3994</v>
      </c>
      <c r="D119" s="29">
        <f t="shared" si="28"/>
        <v>3451</v>
      </c>
      <c r="E119" s="29">
        <f t="shared" si="28"/>
        <v>53</v>
      </c>
      <c r="F119" s="29">
        <f t="shared" si="28"/>
        <v>490</v>
      </c>
      <c r="G119" s="29">
        <f t="shared" si="28"/>
        <v>15122</v>
      </c>
      <c r="H119" s="29">
        <f t="shared" si="28"/>
        <v>10070</v>
      </c>
      <c r="I119" s="29">
        <f t="shared" si="28"/>
        <v>403</v>
      </c>
      <c r="J119" s="29">
        <f t="shared" si="28"/>
        <v>4649</v>
      </c>
      <c r="K119" s="29">
        <f t="shared" si="28"/>
        <v>32</v>
      </c>
      <c r="L119" s="29">
        <f t="shared" si="28"/>
        <v>0</v>
      </c>
      <c r="M119" s="29">
        <f t="shared" si="28"/>
        <v>1718</v>
      </c>
      <c r="N119" s="29">
        <f t="shared" si="28"/>
        <v>354</v>
      </c>
      <c r="O119" s="29">
        <f t="shared" si="28"/>
        <v>354</v>
      </c>
    </row>
    <row r="120" spans="1:15" ht="12.75" customHeight="1">
      <c r="A120" s="4" t="s">
        <v>220</v>
      </c>
      <c r="B120" s="5" t="s">
        <v>221</v>
      </c>
      <c r="C120" s="28">
        <v>3283</v>
      </c>
      <c r="D120" s="28">
        <v>3073</v>
      </c>
      <c r="E120" s="28">
        <v>43</v>
      </c>
      <c r="F120" s="28">
        <f>SUM(C120-D120-E120)</f>
        <v>167</v>
      </c>
      <c r="G120" s="28">
        <v>10010</v>
      </c>
      <c r="H120" s="28">
        <v>7962</v>
      </c>
      <c r="I120" s="28">
        <v>466</v>
      </c>
      <c r="J120" s="28">
        <f>SUM(G120-H120-I120)</f>
        <v>1582</v>
      </c>
      <c r="K120" s="28">
        <v>309</v>
      </c>
      <c r="L120" s="28">
        <v>0</v>
      </c>
      <c r="M120" s="28">
        <v>669</v>
      </c>
      <c r="N120" s="28">
        <v>83</v>
      </c>
      <c r="O120" s="28">
        <v>83</v>
      </c>
    </row>
    <row r="121" spans="1:15" ht="12.75" customHeight="1">
      <c r="A121" s="4" t="s">
        <v>222</v>
      </c>
      <c r="B121" s="5" t="s">
        <v>223</v>
      </c>
      <c r="C121" s="28">
        <v>5537</v>
      </c>
      <c r="D121" s="28">
        <v>5002</v>
      </c>
      <c r="E121" s="28">
        <v>140</v>
      </c>
      <c r="F121" s="28">
        <f>SUM(C121-D121-E121)</f>
        <v>395</v>
      </c>
      <c r="G121" s="28">
        <v>17728</v>
      </c>
      <c r="H121" s="28">
        <v>13371</v>
      </c>
      <c r="I121" s="28">
        <v>932</v>
      </c>
      <c r="J121" s="28">
        <f>SUM(G121-H121-I121)</f>
        <v>3425</v>
      </c>
      <c r="K121" s="28">
        <v>54</v>
      </c>
      <c r="L121" s="28">
        <v>0</v>
      </c>
      <c r="M121" s="28">
        <v>730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1016</v>
      </c>
      <c r="D122" s="28">
        <v>818</v>
      </c>
      <c r="E122" s="28">
        <v>0</v>
      </c>
      <c r="F122" s="28">
        <f>SUM(C122-D122-E122)</f>
        <v>198</v>
      </c>
      <c r="G122" s="28">
        <v>3072</v>
      </c>
      <c r="H122" s="28">
        <v>2040</v>
      </c>
      <c r="I122" s="28">
        <v>0</v>
      </c>
      <c r="J122" s="28">
        <f>SUM(G122-H122-I122)</f>
        <v>1032</v>
      </c>
      <c r="K122" s="28">
        <v>0</v>
      </c>
      <c r="L122" s="28">
        <v>0</v>
      </c>
      <c r="M122" s="28">
        <v>1143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4569</v>
      </c>
      <c r="D123" s="28">
        <v>4150</v>
      </c>
      <c r="E123" s="28">
        <v>57</v>
      </c>
      <c r="F123" s="28">
        <f>SUM(C123-D123-E123)</f>
        <v>362</v>
      </c>
      <c r="G123" s="28">
        <v>12201</v>
      </c>
      <c r="H123" s="28">
        <v>9650</v>
      </c>
      <c r="I123" s="28">
        <v>453</v>
      </c>
      <c r="J123" s="28">
        <f>SUM(G123-H123-I123)</f>
        <v>2098</v>
      </c>
      <c r="K123" s="28">
        <v>209</v>
      </c>
      <c r="L123" s="28">
        <v>0</v>
      </c>
      <c r="M123" s="28">
        <v>504</v>
      </c>
      <c r="N123" s="28">
        <v>0</v>
      </c>
      <c r="O123" s="28">
        <v>0</v>
      </c>
    </row>
    <row r="124" spans="1:15" ht="12.75" customHeight="1">
      <c r="A124" s="4" t="s">
        <v>228</v>
      </c>
      <c r="B124" s="5" t="s">
        <v>229</v>
      </c>
      <c r="C124" s="28">
        <v>1250</v>
      </c>
      <c r="D124" s="28">
        <v>1206</v>
      </c>
      <c r="E124" s="28">
        <v>22</v>
      </c>
      <c r="F124" s="28">
        <f>SUM(C124-D124-E124)</f>
        <v>22</v>
      </c>
      <c r="G124" s="28">
        <v>3436</v>
      </c>
      <c r="H124" s="28">
        <v>2822</v>
      </c>
      <c r="I124" s="28">
        <v>240</v>
      </c>
      <c r="J124" s="28">
        <f>SUM(G124-H124-I124)</f>
        <v>374</v>
      </c>
      <c r="K124" s="28">
        <v>71</v>
      </c>
      <c r="L124" s="28">
        <v>0</v>
      </c>
      <c r="M124" s="28">
        <v>93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15655</v>
      </c>
      <c r="D125" s="29">
        <f t="shared" si="29"/>
        <v>14249</v>
      </c>
      <c r="E125" s="29">
        <f t="shared" si="29"/>
        <v>262</v>
      </c>
      <c r="F125" s="29">
        <f t="shared" si="29"/>
        <v>1144</v>
      </c>
      <c r="G125" s="29">
        <f t="shared" si="29"/>
        <v>46447</v>
      </c>
      <c r="H125" s="29">
        <f t="shared" si="29"/>
        <v>35845</v>
      </c>
      <c r="I125" s="29">
        <f t="shared" si="29"/>
        <v>2091</v>
      </c>
      <c r="J125" s="29">
        <f t="shared" si="29"/>
        <v>8511</v>
      </c>
      <c r="K125" s="29">
        <f t="shared" si="29"/>
        <v>643</v>
      </c>
      <c r="L125" s="29">
        <f t="shared" si="29"/>
        <v>0</v>
      </c>
      <c r="M125" s="29">
        <f t="shared" si="29"/>
        <v>3139</v>
      </c>
      <c r="N125" s="29">
        <f t="shared" si="29"/>
        <v>83</v>
      </c>
      <c r="O125" s="29">
        <f t="shared" si="29"/>
        <v>83</v>
      </c>
    </row>
    <row r="126" spans="1:15" ht="12.75" customHeight="1">
      <c r="A126" s="4" t="s">
        <v>231</v>
      </c>
      <c r="B126" s="5" t="s">
        <v>232</v>
      </c>
      <c r="C126" s="28">
        <v>3460</v>
      </c>
      <c r="D126" s="28">
        <v>2786</v>
      </c>
      <c r="E126" s="28">
        <v>0</v>
      </c>
      <c r="F126" s="28">
        <f t="shared" ref="F126:F134" si="30">SUM(C126-D126-E126)</f>
        <v>674</v>
      </c>
      <c r="G126" s="28">
        <v>8409</v>
      </c>
      <c r="H126" s="28">
        <v>5812</v>
      </c>
      <c r="I126" s="28">
        <v>0</v>
      </c>
      <c r="J126" s="28">
        <f t="shared" ref="J126:J134" si="31">SUM(G126-H126-I126)</f>
        <v>2597</v>
      </c>
      <c r="K126" s="28">
        <v>16</v>
      </c>
      <c r="L126" s="28">
        <v>18</v>
      </c>
      <c r="M126" s="28">
        <v>1192</v>
      </c>
      <c r="N126" s="28">
        <v>1803</v>
      </c>
      <c r="O126" s="28">
        <v>1803</v>
      </c>
    </row>
    <row r="127" spans="1:15" ht="12.75" customHeight="1">
      <c r="A127" s="4" t="s">
        <v>233</v>
      </c>
      <c r="B127" s="5" t="s">
        <v>234</v>
      </c>
      <c r="C127" s="28">
        <v>1908</v>
      </c>
      <c r="D127" s="28">
        <v>1615</v>
      </c>
      <c r="E127" s="28">
        <v>0</v>
      </c>
      <c r="F127" s="28">
        <f t="shared" si="30"/>
        <v>293</v>
      </c>
      <c r="G127" s="28">
        <v>5007</v>
      </c>
      <c r="H127" s="28">
        <v>4200</v>
      </c>
      <c r="I127" s="28">
        <v>0</v>
      </c>
      <c r="J127" s="28">
        <f t="shared" si="31"/>
        <v>807</v>
      </c>
      <c r="K127" s="28">
        <v>0</v>
      </c>
      <c r="L127" s="28">
        <v>0</v>
      </c>
      <c r="M127" s="28">
        <v>357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12382</v>
      </c>
      <c r="D128" s="28">
        <v>10009</v>
      </c>
      <c r="E128" s="28">
        <v>239</v>
      </c>
      <c r="F128" s="28">
        <f t="shared" si="30"/>
        <v>2134</v>
      </c>
      <c r="G128" s="28">
        <v>27820</v>
      </c>
      <c r="H128" s="28">
        <v>19693</v>
      </c>
      <c r="I128" s="28">
        <v>1062</v>
      </c>
      <c r="J128" s="28">
        <f t="shared" si="31"/>
        <v>7065</v>
      </c>
      <c r="K128" s="28">
        <v>140</v>
      </c>
      <c r="L128" s="28">
        <v>0</v>
      </c>
      <c r="M128" s="28">
        <v>1604</v>
      </c>
      <c r="N128" s="28">
        <v>258</v>
      </c>
      <c r="O128" s="28">
        <v>258</v>
      </c>
    </row>
    <row r="129" spans="1:15" ht="12.75" customHeight="1">
      <c r="A129" s="4" t="s">
        <v>237</v>
      </c>
      <c r="B129" s="5" t="s">
        <v>238</v>
      </c>
      <c r="C129" s="28">
        <v>1092</v>
      </c>
      <c r="D129" s="28">
        <v>814</v>
      </c>
      <c r="E129" s="28">
        <v>56</v>
      </c>
      <c r="F129" s="28">
        <f t="shared" si="30"/>
        <v>222</v>
      </c>
      <c r="G129" s="28">
        <v>3979</v>
      </c>
      <c r="H129" s="28">
        <v>1950</v>
      </c>
      <c r="I129" s="28">
        <v>422</v>
      </c>
      <c r="J129" s="28">
        <f t="shared" si="31"/>
        <v>1607</v>
      </c>
      <c r="K129" s="28">
        <v>32</v>
      </c>
      <c r="L129" s="28">
        <v>0</v>
      </c>
      <c r="M129" s="28">
        <v>1010</v>
      </c>
      <c r="N129" s="28">
        <v>0</v>
      </c>
      <c r="O129" s="28">
        <v>0</v>
      </c>
    </row>
    <row r="130" spans="1:15" ht="12.75" customHeight="1">
      <c r="A130" s="4" t="s">
        <v>239</v>
      </c>
      <c r="B130" s="5" t="s">
        <v>240</v>
      </c>
      <c r="C130" s="28">
        <v>6522</v>
      </c>
      <c r="D130" s="28">
        <v>5567</v>
      </c>
      <c r="E130" s="28">
        <v>387</v>
      </c>
      <c r="F130" s="28">
        <f t="shared" si="30"/>
        <v>568</v>
      </c>
      <c r="G130" s="28">
        <v>16923</v>
      </c>
      <c r="H130" s="28">
        <v>8528</v>
      </c>
      <c r="I130" s="28">
        <v>1835</v>
      </c>
      <c r="J130" s="28">
        <f t="shared" si="31"/>
        <v>6560</v>
      </c>
      <c r="K130" s="28">
        <v>114</v>
      </c>
      <c r="L130" s="28">
        <v>504</v>
      </c>
      <c r="M130" s="28">
        <v>63</v>
      </c>
      <c r="N130" s="28">
        <v>64373</v>
      </c>
      <c r="O130" s="28">
        <v>583</v>
      </c>
    </row>
    <row r="131" spans="1:15" ht="12.75" customHeight="1">
      <c r="A131" s="4" t="s">
        <v>241</v>
      </c>
      <c r="B131" s="5" t="s">
        <v>242</v>
      </c>
      <c r="C131" s="28">
        <v>12990</v>
      </c>
      <c r="D131" s="28">
        <v>10841</v>
      </c>
      <c r="E131" s="28">
        <v>86</v>
      </c>
      <c r="F131" s="28">
        <f t="shared" si="30"/>
        <v>2063</v>
      </c>
      <c r="G131" s="28">
        <v>28555</v>
      </c>
      <c r="H131" s="28">
        <v>15640</v>
      </c>
      <c r="I131" s="28">
        <v>460</v>
      </c>
      <c r="J131" s="28">
        <f t="shared" si="31"/>
        <v>12455</v>
      </c>
      <c r="K131" s="28">
        <v>22</v>
      </c>
      <c r="L131" s="28">
        <v>17</v>
      </c>
      <c r="M131" s="28">
        <v>561</v>
      </c>
      <c r="N131" s="28">
        <v>68</v>
      </c>
      <c r="O131" s="28">
        <v>68</v>
      </c>
    </row>
    <row r="132" spans="1:15" ht="12.75" customHeight="1">
      <c r="A132" s="4" t="s">
        <v>243</v>
      </c>
      <c r="B132" s="5" t="s">
        <v>244</v>
      </c>
      <c r="C132" s="28">
        <v>5010</v>
      </c>
      <c r="D132" s="28">
        <v>3968</v>
      </c>
      <c r="E132" s="28">
        <v>0</v>
      </c>
      <c r="F132" s="28">
        <f t="shared" si="30"/>
        <v>1042</v>
      </c>
      <c r="G132" s="28">
        <v>13814</v>
      </c>
      <c r="H132" s="28">
        <v>8073</v>
      </c>
      <c r="I132" s="28">
        <v>0</v>
      </c>
      <c r="J132" s="28">
        <f t="shared" si="31"/>
        <v>5741</v>
      </c>
      <c r="K132" s="28">
        <v>539</v>
      </c>
      <c r="L132" s="28">
        <v>0</v>
      </c>
      <c r="M132" s="28">
        <v>974</v>
      </c>
      <c r="N132" s="28">
        <v>27</v>
      </c>
      <c r="O132" s="28">
        <v>27</v>
      </c>
    </row>
    <row r="133" spans="1:15" ht="12.75" customHeight="1">
      <c r="A133" s="4" t="s">
        <v>245</v>
      </c>
      <c r="B133" s="5" t="s">
        <v>246</v>
      </c>
      <c r="C133" s="28">
        <v>4515</v>
      </c>
      <c r="D133" s="28">
        <v>3978</v>
      </c>
      <c r="E133" s="28">
        <v>0</v>
      </c>
      <c r="F133" s="28">
        <f t="shared" si="30"/>
        <v>537</v>
      </c>
      <c r="G133" s="28">
        <v>12290</v>
      </c>
      <c r="H133" s="28">
        <v>9096</v>
      </c>
      <c r="I133" s="28">
        <v>0</v>
      </c>
      <c r="J133" s="28">
        <f t="shared" si="31"/>
        <v>3194</v>
      </c>
      <c r="K133" s="28">
        <v>41</v>
      </c>
      <c r="L133" s="28">
        <v>49</v>
      </c>
      <c r="M133" s="28">
        <v>752</v>
      </c>
      <c r="N133" s="28">
        <v>1250</v>
      </c>
      <c r="O133" s="28">
        <v>1250</v>
      </c>
    </row>
    <row r="134" spans="1:15" ht="12.75" customHeight="1">
      <c r="A134" s="4" t="s">
        <v>247</v>
      </c>
      <c r="B134" s="5" t="s">
        <v>248</v>
      </c>
      <c r="C134" s="28">
        <v>3761</v>
      </c>
      <c r="D134" s="28">
        <v>2738</v>
      </c>
      <c r="E134" s="28">
        <v>0</v>
      </c>
      <c r="F134" s="28">
        <f t="shared" si="30"/>
        <v>1023</v>
      </c>
      <c r="G134" s="28">
        <v>15105</v>
      </c>
      <c r="H134" s="28">
        <v>4908</v>
      </c>
      <c r="I134" s="28">
        <v>0</v>
      </c>
      <c r="J134" s="28">
        <f t="shared" si="31"/>
        <v>10197</v>
      </c>
      <c r="K134" s="28">
        <v>18</v>
      </c>
      <c r="L134" s="28">
        <v>0</v>
      </c>
      <c r="M134" s="28">
        <v>1643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51640</v>
      </c>
      <c r="D135" s="29">
        <f t="shared" si="32"/>
        <v>42316</v>
      </c>
      <c r="E135" s="29">
        <f t="shared" si="32"/>
        <v>768</v>
      </c>
      <c r="F135" s="29">
        <f t="shared" si="32"/>
        <v>8556</v>
      </c>
      <c r="G135" s="29">
        <f t="shared" si="32"/>
        <v>131902</v>
      </c>
      <c r="H135" s="29">
        <f t="shared" si="32"/>
        <v>77900</v>
      </c>
      <c r="I135" s="29">
        <f t="shared" si="32"/>
        <v>3779</v>
      </c>
      <c r="J135" s="29">
        <f t="shared" si="32"/>
        <v>50223</v>
      </c>
      <c r="K135" s="29">
        <f t="shared" si="32"/>
        <v>922</v>
      </c>
      <c r="L135" s="29">
        <f t="shared" si="32"/>
        <v>588</v>
      </c>
      <c r="M135" s="29">
        <f t="shared" si="32"/>
        <v>8156</v>
      </c>
      <c r="N135" s="29">
        <f t="shared" si="32"/>
        <v>67779</v>
      </c>
      <c r="O135" s="29">
        <f t="shared" si="32"/>
        <v>3989</v>
      </c>
    </row>
    <row r="136" spans="1:15" ht="12.75" customHeight="1">
      <c r="A136" s="4" t="s">
        <v>250</v>
      </c>
      <c r="B136" s="5" t="s">
        <v>251</v>
      </c>
      <c r="C136" s="28">
        <v>7545</v>
      </c>
      <c r="D136" s="28">
        <v>7277</v>
      </c>
      <c r="E136" s="28">
        <v>0</v>
      </c>
      <c r="F136" s="28">
        <f t="shared" ref="F136:F143" si="33">SUM(C136-D136-E136)</f>
        <v>268</v>
      </c>
      <c r="G136" s="28">
        <v>16315</v>
      </c>
      <c r="H136" s="28">
        <v>13639</v>
      </c>
      <c r="I136" s="28">
        <v>0</v>
      </c>
      <c r="J136" s="28">
        <f t="shared" ref="J136:J143" si="34">SUM(G136-H136-I136)</f>
        <v>2676</v>
      </c>
      <c r="K136" s="28">
        <v>709</v>
      </c>
      <c r="L136" s="28">
        <v>444</v>
      </c>
      <c r="M136" s="28">
        <v>1044</v>
      </c>
      <c r="N136" s="28">
        <v>2326</v>
      </c>
      <c r="O136" s="28">
        <v>2040</v>
      </c>
    </row>
    <row r="137" spans="1:15" ht="12.75" customHeight="1">
      <c r="A137" s="4" t="s">
        <v>252</v>
      </c>
      <c r="B137" s="5" t="s">
        <v>253</v>
      </c>
      <c r="C137" s="28">
        <v>1035</v>
      </c>
      <c r="D137" s="28">
        <v>741</v>
      </c>
      <c r="E137" s="28">
        <v>0</v>
      </c>
      <c r="F137" s="28">
        <f t="shared" si="33"/>
        <v>294</v>
      </c>
      <c r="G137" s="28">
        <v>1988</v>
      </c>
      <c r="H137" s="28">
        <v>1438</v>
      </c>
      <c r="I137" s="28">
        <v>0</v>
      </c>
      <c r="J137" s="28">
        <f t="shared" si="34"/>
        <v>550</v>
      </c>
      <c r="K137" s="28">
        <v>16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516</v>
      </c>
      <c r="D138" s="28">
        <v>454</v>
      </c>
      <c r="E138" s="28">
        <v>0</v>
      </c>
      <c r="F138" s="28">
        <f t="shared" si="33"/>
        <v>62</v>
      </c>
      <c r="G138" s="28">
        <v>1117</v>
      </c>
      <c r="H138" s="28">
        <v>1008</v>
      </c>
      <c r="I138" s="28">
        <v>0</v>
      </c>
      <c r="J138" s="28">
        <f t="shared" si="34"/>
        <v>109</v>
      </c>
      <c r="K138" s="28">
        <v>3</v>
      </c>
      <c r="L138" s="28">
        <v>0</v>
      </c>
      <c r="M138" s="28">
        <v>64</v>
      </c>
      <c r="N138" s="28">
        <v>361</v>
      </c>
      <c r="O138" s="28">
        <v>50</v>
      </c>
    </row>
    <row r="139" spans="1:15" ht="12.75" customHeight="1">
      <c r="A139" s="4" t="s">
        <v>256</v>
      </c>
      <c r="B139" s="5" t="s">
        <v>257</v>
      </c>
      <c r="C139" s="28">
        <v>1837</v>
      </c>
      <c r="D139" s="28">
        <v>1805</v>
      </c>
      <c r="E139" s="28">
        <v>0</v>
      </c>
      <c r="F139" s="28">
        <f t="shared" si="33"/>
        <v>32</v>
      </c>
      <c r="G139" s="28">
        <v>4733</v>
      </c>
      <c r="H139" s="28">
        <v>4263</v>
      </c>
      <c r="I139" s="28">
        <v>0</v>
      </c>
      <c r="J139" s="28">
        <f t="shared" si="34"/>
        <v>470</v>
      </c>
      <c r="K139" s="28">
        <v>613</v>
      </c>
      <c r="L139" s="28">
        <v>0</v>
      </c>
      <c r="M139" s="28">
        <v>783</v>
      </c>
      <c r="N139" s="28">
        <v>154</v>
      </c>
      <c r="O139" s="28">
        <v>154</v>
      </c>
    </row>
    <row r="140" spans="1:15" ht="12.75" customHeight="1">
      <c r="A140" s="4" t="s">
        <v>258</v>
      </c>
      <c r="B140" s="5" t="s">
        <v>259</v>
      </c>
      <c r="C140" s="28">
        <v>383</v>
      </c>
      <c r="D140" s="28">
        <v>271</v>
      </c>
      <c r="E140" s="28">
        <v>0</v>
      </c>
      <c r="F140" s="28">
        <f t="shared" si="33"/>
        <v>112</v>
      </c>
      <c r="G140" s="28">
        <v>872</v>
      </c>
      <c r="H140" s="28">
        <v>544</v>
      </c>
      <c r="I140" s="28">
        <v>0</v>
      </c>
      <c r="J140" s="28">
        <f t="shared" si="34"/>
        <v>328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1386</v>
      </c>
      <c r="D141" s="28">
        <v>1229</v>
      </c>
      <c r="E141" s="28">
        <v>0</v>
      </c>
      <c r="F141" s="28">
        <f t="shared" si="33"/>
        <v>157</v>
      </c>
      <c r="G141" s="28">
        <v>3094</v>
      </c>
      <c r="H141" s="28">
        <v>2286</v>
      </c>
      <c r="I141" s="28">
        <v>0</v>
      </c>
      <c r="J141" s="28">
        <f t="shared" si="34"/>
        <v>808</v>
      </c>
      <c r="K141" s="28">
        <v>238</v>
      </c>
      <c r="L141" s="28">
        <v>0</v>
      </c>
      <c r="M141" s="28">
        <v>116</v>
      </c>
      <c r="N141" s="28">
        <v>311</v>
      </c>
      <c r="O141" s="28">
        <v>311</v>
      </c>
    </row>
    <row r="142" spans="1:15" ht="12.75" customHeight="1">
      <c r="A142" s="4" t="s">
        <v>262</v>
      </c>
      <c r="B142" s="5" t="s">
        <v>263</v>
      </c>
      <c r="C142" s="28">
        <v>1840</v>
      </c>
      <c r="D142" s="28">
        <v>1337</v>
      </c>
      <c r="E142" s="28">
        <v>0</v>
      </c>
      <c r="F142" s="28">
        <f t="shared" si="33"/>
        <v>503</v>
      </c>
      <c r="G142" s="28">
        <v>5461</v>
      </c>
      <c r="H142" s="28">
        <v>3919</v>
      </c>
      <c r="I142" s="28">
        <v>0</v>
      </c>
      <c r="J142" s="28">
        <f t="shared" si="34"/>
        <v>1542</v>
      </c>
      <c r="K142" s="28">
        <v>671</v>
      </c>
      <c r="L142" s="28">
        <v>0</v>
      </c>
      <c r="M142" s="28">
        <v>1324</v>
      </c>
      <c r="N142" s="28">
        <v>634</v>
      </c>
      <c r="O142" s="28">
        <v>577</v>
      </c>
    </row>
    <row r="143" spans="1:15" ht="12.75" customHeight="1">
      <c r="A143" s="4" t="s">
        <v>264</v>
      </c>
      <c r="B143" s="5" t="s">
        <v>265</v>
      </c>
      <c r="C143" s="28">
        <v>5489</v>
      </c>
      <c r="D143" s="28">
        <v>4498</v>
      </c>
      <c r="E143" s="28">
        <v>0</v>
      </c>
      <c r="F143" s="28">
        <f t="shared" si="33"/>
        <v>991</v>
      </c>
      <c r="G143" s="28">
        <v>14769</v>
      </c>
      <c r="H143" s="28">
        <v>7278</v>
      </c>
      <c r="I143" s="28">
        <v>0</v>
      </c>
      <c r="J143" s="28">
        <f t="shared" si="34"/>
        <v>7491</v>
      </c>
      <c r="K143" s="28">
        <v>2191</v>
      </c>
      <c r="L143" s="28">
        <v>0</v>
      </c>
      <c r="M143" s="28">
        <v>1089</v>
      </c>
      <c r="N143" s="28">
        <v>1353</v>
      </c>
      <c r="O143" s="28">
        <v>1261</v>
      </c>
    </row>
    <row r="144" spans="1:15" ht="12.75" customHeight="1">
      <c r="A144" s="10"/>
      <c r="B144" s="9" t="s">
        <v>266</v>
      </c>
      <c r="C144" s="30">
        <f t="shared" ref="C144:O144" si="35">SUM(C136:C143)</f>
        <v>20031</v>
      </c>
      <c r="D144" s="30">
        <f t="shared" si="35"/>
        <v>17612</v>
      </c>
      <c r="E144" s="30">
        <f t="shared" si="35"/>
        <v>0</v>
      </c>
      <c r="F144" s="30">
        <f t="shared" si="35"/>
        <v>2419</v>
      </c>
      <c r="G144" s="30">
        <f t="shared" si="35"/>
        <v>48349</v>
      </c>
      <c r="H144" s="30">
        <f t="shared" si="35"/>
        <v>34375</v>
      </c>
      <c r="I144" s="30">
        <f t="shared" si="35"/>
        <v>0</v>
      </c>
      <c r="J144" s="30">
        <f t="shared" si="35"/>
        <v>13974</v>
      </c>
      <c r="K144" s="30">
        <f t="shared" si="35"/>
        <v>4441</v>
      </c>
      <c r="L144" s="30">
        <f t="shared" si="35"/>
        <v>444</v>
      </c>
      <c r="M144" s="30">
        <f t="shared" si="35"/>
        <v>4420</v>
      </c>
      <c r="N144" s="30">
        <f t="shared" si="35"/>
        <v>5139</v>
      </c>
      <c r="O144" s="30">
        <f t="shared" si="35"/>
        <v>4393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676145</v>
      </c>
      <c r="D145" s="31">
        <f t="shared" si="36"/>
        <v>492736</v>
      </c>
      <c r="E145" s="31">
        <f t="shared" si="36"/>
        <v>19846</v>
      </c>
      <c r="F145" s="31">
        <f t="shared" si="36"/>
        <v>163563</v>
      </c>
      <c r="G145" s="31">
        <f t="shared" si="36"/>
        <v>1975954</v>
      </c>
      <c r="H145" s="31">
        <f t="shared" si="36"/>
        <v>1002391</v>
      </c>
      <c r="I145" s="31">
        <f t="shared" si="36"/>
        <v>96777</v>
      </c>
      <c r="J145" s="31">
        <f t="shared" si="36"/>
        <v>876786</v>
      </c>
      <c r="K145" s="31">
        <f t="shared" si="36"/>
        <v>50400</v>
      </c>
      <c r="L145" s="31">
        <f t="shared" si="36"/>
        <v>4084</v>
      </c>
      <c r="M145" s="31">
        <f t="shared" si="36"/>
        <v>167262</v>
      </c>
      <c r="N145" s="31">
        <f t="shared" si="36"/>
        <v>144672</v>
      </c>
      <c r="O145" s="31">
        <f t="shared" si="36"/>
        <v>51576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24190</v>
      </c>
      <c r="D15" s="28">
        <v>14149</v>
      </c>
      <c r="E15" s="28">
        <v>1579</v>
      </c>
      <c r="F15" s="28">
        <f t="shared" ref="F15:F22" si="0">SUM(C15-D15-E15)</f>
        <v>8462</v>
      </c>
      <c r="G15" s="28">
        <v>98374</v>
      </c>
      <c r="H15" s="28">
        <v>35533</v>
      </c>
      <c r="I15" s="28">
        <v>9862</v>
      </c>
      <c r="J15" s="28">
        <f t="shared" ref="J15:J22" si="1">SUM(G15-H15-I15)</f>
        <v>52979</v>
      </c>
      <c r="K15" s="28">
        <v>6602</v>
      </c>
      <c r="L15" s="28">
        <v>0</v>
      </c>
      <c r="M15" s="28">
        <v>7754</v>
      </c>
      <c r="N15" s="28">
        <v>4352</v>
      </c>
      <c r="O15" s="28">
        <v>4352</v>
      </c>
    </row>
    <row r="16" spans="1:15" ht="12.75" customHeight="1">
      <c r="A16" s="4" t="s">
        <v>29</v>
      </c>
      <c r="B16" s="5" t="s">
        <v>30</v>
      </c>
      <c r="C16" s="28">
        <v>11977</v>
      </c>
      <c r="D16" s="28">
        <v>6971</v>
      </c>
      <c r="E16" s="28">
        <v>312</v>
      </c>
      <c r="F16" s="28">
        <f t="shared" si="0"/>
        <v>4694</v>
      </c>
      <c r="G16" s="28">
        <v>93211</v>
      </c>
      <c r="H16" s="28">
        <v>15632</v>
      </c>
      <c r="I16" s="28">
        <v>2141</v>
      </c>
      <c r="J16" s="28">
        <f t="shared" si="1"/>
        <v>75438</v>
      </c>
      <c r="K16" s="28">
        <v>3576</v>
      </c>
      <c r="L16" s="28">
        <v>0</v>
      </c>
      <c r="M16" s="28">
        <v>10065</v>
      </c>
      <c r="N16" s="28">
        <v>22</v>
      </c>
      <c r="O16" s="28">
        <v>22</v>
      </c>
    </row>
    <row r="17" spans="1:15" ht="12.75" customHeight="1">
      <c r="A17" s="4" t="s">
        <v>31</v>
      </c>
      <c r="B17" s="5" t="s">
        <v>32</v>
      </c>
      <c r="C17" s="28">
        <v>7109</v>
      </c>
      <c r="D17" s="28">
        <v>6486</v>
      </c>
      <c r="E17" s="28">
        <v>0</v>
      </c>
      <c r="F17" s="28">
        <f t="shared" si="0"/>
        <v>623</v>
      </c>
      <c r="G17" s="28">
        <v>14516</v>
      </c>
      <c r="H17" s="28">
        <v>11890</v>
      </c>
      <c r="I17" s="28">
        <v>0</v>
      </c>
      <c r="J17" s="28">
        <f t="shared" si="1"/>
        <v>2626</v>
      </c>
      <c r="K17" s="28">
        <v>1434</v>
      </c>
      <c r="L17" s="28">
        <v>0</v>
      </c>
      <c r="M17" s="28">
        <v>418</v>
      </c>
      <c r="N17" s="28">
        <v>570</v>
      </c>
      <c r="O17" s="28">
        <v>570</v>
      </c>
    </row>
    <row r="18" spans="1:15" ht="12.75" customHeight="1">
      <c r="A18" s="4" t="s">
        <v>33</v>
      </c>
      <c r="B18" s="5" t="s">
        <v>34</v>
      </c>
      <c r="C18" s="28">
        <v>17683</v>
      </c>
      <c r="D18" s="28">
        <v>16142</v>
      </c>
      <c r="E18" s="28">
        <v>262</v>
      </c>
      <c r="F18" s="28">
        <f t="shared" si="0"/>
        <v>1279</v>
      </c>
      <c r="G18" s="28">
        <v>53114</v>
      </c>
      <c r="H18" s="28">
        <v>37994</v>
      </c>
      <c r="I18" s="28">
        <v>1545</v>
      </c>
      <c r="J18" s="28">
        <f t="shared" si="1"/>
        <v>13575</v>
      </c>
      <c r="K18" s="28">
        <v>4171</v>
      </c>
      <c r="L18" s="28">
        <v>0</v>
      </c>
      <c r="M18" s="28">
        <v>4582</v>
      </c>
      <c r="N18" s="28">
        <v>731</v>
      </c>
      <c r="O18" s="28">
        <v>731</v>
      </c>
    </row>
    <row r="19" spans="1:15" ht="12.75" customHeight="1">
      <c r="A19" s="4" t="s">
        <v>35</v>
      </c>
      <c r="B19" s="5" t="s">
        <v>36</v>
      </c>
      <c r="C19" s="28">
        <v>15217</v>
      </c>
      <c r="D19" s="28">
        <v>14553</v>
      </c>
      <c r="E19" s="28">
        <v>589</v>
      </c>
      <c r="F19" s="28">
        <f t="shared" si="0"/>
        <v>75</v>
      </c>
      <c r="G19" s="28">
        <v>37138</v>
      </c>
      <c r="H19" s="28">
        <v>30285</v>
      </c>
      <c r="I19" s="28">
        <v>3423</v>
      </c>
      <c r="J19" s="28">
        <f t="shared" si="1"/>
        <v>3430</v>
      </c>
      <c r="K19" s="28">
        <v>653</v>
      </c>
      <c r="L19" s="28">
        <v>0</v>
      </c>
      <c r="M19" s="28">
        <v>57</v>
      </c>
      <c r="N19" s="28">
        <v>197</v>
      </c>
      <c r="O19" s="28">
        <v>197</v>
      </c>
    </row>
    <row r="20" spans="1:15" ht="12.75" customHeight="1">
      <c r="A20" s="4" t="s">
        <v>37</v>
      </c>
      <c r="B20" s="5" t="s">
        <v>38</v>
      </c>
      <c r="C20" s="28">
        <v>84298</v>
      </c>
      <c r="D20" s="28">
        <v>78099</v>
      </c>
      <c r="E20" s="28">
        <v>2256</v>
      </c>
      <c r="F20" s="28">
        <f t="shared" si="0"/>
        <v>3943</v>
      </c>
      <c r="G20" s="28">
        <v>186330</v>
      </c>
      <c r="H20" s="28">
        <v>147076</v>
      </c>
      <c r="I20" s="28">
        <v>12804</v>
      </c>
      <c r="J20" s="28">
        <f t="shared" si="1"/>
        <v>26450</v>
      </c>
      <c r="K20" s="28">
        <v>9877</v>
      </c>
      <c r="L20" s="28">
        <v>0</v>
      </c>
      <c r="M20" s="28">
        <v>5226</v>
      </c>
      <c r="N20" s="28">
        <v>8591</v>
      </c>
      <c r="O20" s="28">
        <v>8229</v>
      </c>
    </row>
    <row r="21" spans="1:15" ht="12.75" customHeight="1">
      <c r="A21" s="4" t="s">
        <v>39</v>
      </c>
      <c r="B21" s="5" t="s">
        <v>40</v>
      </c>
      <c r="C21" s="28">
        <v>6724</v>
      </c>
      <c r="D21" s="28">
        <v>6550</v>
      </c>
      <c r="E21" s="28">
        <v>0</v>
      </c>
      <c r="F21" s="28">
        <f t="shared" si="0"/>
        <v>174</v>
      </c>
      <c r="G21" s="28">
        <v>11273</v>
      </c>
      <c r="H21" s="28">
        <v>10696</v>
      </c>
      <c r="I21" s="28">
        <v>0</v>
      </c>
      <c r="J21" s="28">
        <f t="shared" si="1"/>
        <v>577</v>
      </c>
      <c r="K21" s="28">
        <v>57</v>
      </c>
      <c r="L21" s="28">
        <v>0</v>
      </c>
      <c r="M21" s="28">
        <v>30</v>
      </c>
      <c r="N21" s="28">
        <v>0</v>
      </c>
      <c r="O21" s="28">
        <v>0</v>
      </c>
    </row>
    <row r="22" spans="1:15" ht="12.75" customHeight="1">
      <c r="A22" s="4" t="s">
        <v>41</v>
      </c>
      <c r="B22" s="5" t="s">
        <v>42</v>
      </c>
      <c r="C22" s="28">
        <v>6506</v>
      </c>
      <c r="D22" s="28">
        <v>5486</v>
      </c>
      <c r="E22" s="28">
        <v>681</v>
      </c>
      <c r="F22" s="28">
        <f t="shared" si="0"/>
        <v>339</v>
      </c>
      <c r="G22" s="28">
        <v>17089</v>
      </c>
      <c r="H22" s="28">
        <v>11016</v>
      </c>
      <c r="I22" s="28">
        <v>3324</v>
      </c>
      <c r="J22" s="28">
        <f t="shared" si="1"/>
        <v>2749</v>
      </c>
      <c r="K22" s="28">
        <v>1716</v>
      </c>
      <c r="L22" s="28">
        <v>0</v>
      </c>
      <c r="M22" s="28">
        <v>2914</v>
      </c>
      <c r="N22" s="28">
        <v>870</v>
      </c>
      <c r="O22" s="28">
        <v>870</v>
      </c>
    </row>
    <row r="23" spans="1:15" ht="12.75" customHeight="1">
      <c r="A23" s="8"/>
      <c r="B23" s="9" t="s">
        <v>43</v>
      </c>
      <c r="C23" s="29">
        <f t="shared" ref="C23:O23" si="2">SUM(C15:C22)</f>
        <v>173704</v>
      </c>
      <c r="D23" s="29">
        <f t="shared" si="2"/>
        <v>148436</v>
      </c>
      <c r="E23" s="29">
        <f t="shared" si="2"/>
        <v>5679</v>
      </c>
      <c r="F23" s="29">
        <f t="shared" si="2"/>
        <v>19589</v>
      </c>
      <c r="G23" s="29">
        <f t="shared" si="2"/>
        <v>511045</v>
      </c>
      <c r="H23" s="29">
        <f t="shared" si="2"/>
        <v>300122</v>
      </c>
      <c r="I23" s="29">
        <f t="shared" si="2"/>
        <v>33099</v>
      </c>
      <c r="J23" s="29">
        <f t="shared" si="2"/>
        <v>177824</v>
      </c>
      <c r="K23" s="29">
        <f t="shared" si="2"/>
        <v>28086</v>
      </c>
      <c r="L23" s="29">
        <f t="shared" si="2"/>
        <v>0</v>
      </c>
      <c r="M23" s="29">
        <f t="shared" si="2"/>
        <v>31046</v>
      </c>
      <c r="N23" s="29">
        <f t="shared" si="2"/>
        <v>15333</v>
      </c>
      <c r="O23" s="29">
        <f t="shared" si="2"/>
        <v>14971</v>
      </c>
    </row>
    <row r="24" spans="1:15" ht="14.25" customHeight="1">
      <c r="A24" s="4" t="s">
        <v>44</v>
      </c>
      <c r="B24" s="5" t="s">
        <v>45</v>
      </c>
      <c r="C24" s="28">
        <v>28796</v>
      </c>
      <c r="D24" s="28">
        <v>6814</v>
      </c>
      <c r="E24" s="28">
        <v>432</v>
      </c>
      <c r="F24" s="28">
        <f>SUM(C24-D24-E24)</f>
        <v>21550</v>
      </c>
      <c r="G24" s="28">
        <v>88547</v>
      </c>
      <c r="H24" s="28">
        <v>9809</v>
      </c>
      <c r="I24" s="28">
        <v>1868</v>
      </c>
      <c r="J24" s="28">
        <f>SUM(G24-H24-I24)</f>
        <v>76870</v>
      </c>
      <c r="K24" s="28">
        <v>35084</v>
      </c>
      <c r="L24" s="28">
        <v>0</v>
      </c>
      <c r="M24" s="28">
        <v>6039</v>
      </c>
      <c r="N24" s="28">
        <v>3906</v>
      </c>
      <c r="O24" s="28">
        <v>3906</v>
      </c>
    </row>
    <row r="25" spans="1:15" ht="14.25" customHeight="1">
      <c r="A25" s="10"/>
      <c r="B25" s="9" t="s">
        <v>46</v>
      </c>
      <c r="C25" s="29">
        <f t="shared" ref="C25:O25" si="3">SUM(C24)</f>
        <v>28796</v>
      </c>
      <c r="D25" s="29">
        <f t="shared" si="3"/>
        <v>6814</v>
      </c>
      <c r="E25" s="29">
        <f t="shared" si="3"/>
        <v>432</v>
      </c>
      <c r="F25" s="29">
        <f t="shared" si="3"/>
        <v>21550</v>
      </c>
      <c r="G25" s="29">
        <f t="shared" si="3"/>
        <v>88547</v>
      </c>
      <c r="H25" s="29">
        <f t="shared" si="3"/>
        <v>9809</v>
      </c>
      <c r="I25" s="29">
        <f t="shared" si="3"/>
        <v>1868</v>
      </c>
      <c r="J25" s="29">
        <f t="shared" si="3"/>
        <v>76870</v>
      </c>
      <c r="K25" s="29">
        <f t="shared" si="3"/>
        <v>35084</v>
      </c>
      <c r="L25" s="29">
        <f t="shared" si="3"/>
        <v>0</v>
      </c>
      <c r="M25" s="29">
        <f t="shared" si="3"/>
        <v>6039</v>
      </c>
      <c r="N25" s="29">
        <f t="shared" si="3"/>
        <v>3906</v>
      </c>
      <c r="O25" s="29">
        <f t="shared" si="3"/>
        <v>3906</v>
      </c>
    </row>
    <row r="26" spans="1:15" ht="12.75" customHeight="1">
      <c r="A26" s="4" t="s">
        <v>47</v>
      </c>
      <c r="B26" s="5" t="s">
        <v>48</v>
      </c>
      <c r="C26" s="28">
        <v>53204</v>
      </c>
      <c r="D26" s="28">
        <v>26681</v>
      </c>
      <c r="E26" s="28">
        <v>1512</v>
      </c>
      <c r="F26" s="28">
        <f>SUM(C26-D26-E26)</f>
        <v>25011</v>
      </c>
      <c r="G26" s="28">
        <v>122179</v>
      </c>
      <c r="H26" s="28">
        <v>42001</v>
      </c>
      <c r="I26" s="28">
        <v>5667</v>
      </c>
      <c r="J26" s="28">
        <f>SUM(G26-H26-I26)</f>
        <v>74511</v>
      </c>
      <c r="K26" s="28">
        <v>10912</v>
      </c>
      <c r="L26" s="28">
        <v>99</v>
      </c>
      <c r="M26" s="28">
        <v>4630</v>
      </c>
      <c r="N26" s="28">
        <v>2343</v>
      </c>
      <c r="O26" s="28">
        <v>2343</v>
      </c>
    </row>
    <row r="27" spans="1:15" ht="12.75" customHeight="1">
      <c r="A27" s="4" t="s">
        <v>49</v>
      </c>
      <c r="B27" s="5" t="s">
        <v>50</v>
      </c>
      <c r="C27" s="28">
        <v>8982</v>
      </c>
      <c r="D27" s="28">
        <v>8436</v>
      </c>
      <c r="E27" s="28">
        <v>472</v>
      </c>
      <c r="F27" s="28">
        <f>SUM(C27-D27-E27)</f>
        <v>74</v>
      </c>
      <c r="G27" s="28">
        <v>18954</v>
      </c>
      <c r="H27" s="28">
        <v>11153</v>
      </c>
      <c r="I27" s="28">
        <v>1963</v>
      </c>
      <c r="J27" s="28">
        <f>SUM(G27-H27-I27)</f>
        <v>5838</v>
      </c>
      <c r="K27" s="28">
        <v>4350</v>
      </c>
      <c r="L27" s="28">
        <v>0</v>
      </c>
      <c r="M27" s="28">
        <v>681</v>
      </c>
      <c r="N27" s="28">
        <v>737</v>
      </c>
      <c r="O27" s="28">
        <v>737</v>
      </c>
    </row>
    <row r="28" spans="1:15" ht="12.75" customHeight="1">
      <c r="A28" s="4" t="s">
        <v>51</v>
      </c>
      <c r="B28" s="5" t="s">
        <v>52</v>
      </c>
      <c r="C28" s="28">
        <v>9411</v>
      </c>
      <c r="D28" s="28">
        <v>7430</v>
      </c>
      <c r="E28" s="28">
        <v>641</v>
      </c>
      <c r="F28" s="28">
        <f>SUM(C28-D28-E28)</f>
        <v>1340</v>
      </c>
      <c r="G28" s="28">
        <v>25454</v>
      </c>
      <c r="H28" s="28">
        <v>14673</v>
      </c>
      <c r="I28" s="28">
        <v>4538</v>
      </c>
      <c r="J28" s="28">
        <f>SUM(G28-H28-I28)</f>
        <v>6243</v>
      </c>
      <c r="K28" s="28">
        <v>1693</v>
      </c>
      <c r="L28" s="28">
        <v>1338</v>
      </c>
      <c r="M28" s="28">
        <v>107</v>
      </c>
      <c r="N28" s="28">
        <v>2715</v>
      </c>
      <c r="O28" s="28">
        <v>2715</v>
      </c>
    </row>
    <row r="29" spans="1:15" ht="12.75" customHeight="1">
      <c r="A29" s="4" t="s">
        <v>53</v>
      </c>
      <c r="B29" s="5" t="s">
        <v>54</v>
      </c>
      <c r="C29" s="28">
        <v>12101</v>
      </c>
      <c r="D29" s="28">
        <v>10530</v>
      </c>
      <c r="E29" s="28">
        <v>1152</v>
      </c>
      <c r="F29" s="28">
        <f>SUM(C29-D29-E29)</f>
        <v>419</v>
      </c>
      <c r="G29" s="28">
        <v>25817</v>
      </c>
      <c r="H29" s="28">
        <v>20160</v>
      </c>
      <c r="I29" s="28">
        <v>4944</v>
      </c>
      <c r="J29" s="28">
        <f>SUM(G29-H29-I29)</f>
        <v>713</v>
      </c>
      <c r="K29" s="28">
        <v>299</v>
      </c>
      <c r="L29" s="28">
        <v>106</v>
      </c>
      <c r="M29" s="28">
        <v>15</v>
      </c>
      <c r="N29" s="28">
        <v>143</v>
      </c>
      <c r="O29" s="28">
        <v>143</v>
      </c>
    </row>
    <row r="30" spans="1:15" ht="12.75" customHeight="1">
      <c r="A30" s="8"/>
      <c r="B30" s="9" t="s">
        <v>55</v>
      </c>
      <c r="C30" s="29">
        <f t="shared" ref="C30:O30" si="4">SUM(C26:C29)</f>
        <v>83698</v>
      </c>
      <c r="D30" s="29">
        <f t="shared" si="4"/>
        <v>53077</v>
      </c>
      <c r="E30" s="29">
        <f t="shared" si="4"/>
        <v>3777</v>
      </c>
      <c r="F30" s="29">
        <f t="shared" si="4"/>
        <v>26844</v>
      </c>
      <c r="G30" s="29">
        <f t="shared" si="4"/>
        <v>192404</v>
      </c>
      <c r="H30" s="29">
        <f t="shared" si="4"/>
        <v>87987</v>
      </c>
      <c r="I30" s="29">
        <f t="shared" si="4"/>
        <v>17112</v>
      </c>
      <c r="J30" s="29">
        <f t="shared" si="4"/>
        <v>87305</v>
      </c>
      <c r="K30" s="29">
        <f t="shared" si="4"/>
        <v>17254</v>
      </c>
      <c r="L30" s="29">
        <f t="shared" si="4"/>
        <v>1543</v>
      </c>
      <c r="M30" s="29">
        <f t="shared" si="4"/>
        <v>5433</v>
      </c>
      <c r="N30" s="29">
        <f t="shared" si="4"/>
        <v>5938</v>
      </c>
      <c r="O30" s="29">
        <f t="shared" si="4"/>
        <v>5938</v>
      </c>
    </row>
    <row r="31" spans="1:15" ht="12.75" customHeight="1">
      <c r="A31" s="4" t="s">
        <v>56</v>
      </c>
      <c r="B31" s="5" t="s">
        <v>57</v>
      </c>
      <c r="C31" s="28">
        <v>42516</v>
      </c>
      <c r="D31" s="28">
        <v>39113</v>
      </c>
      <c r="E31" s="28">
        <v>699</v>
      </c>
      <c r="F31" s="28">
        <f t="shared" ref="F31:F42" si="5">SUM(C31-D31-E31)</f>
        <v>2704</v>
      </c>
      <c r="G31" s="28">
        <v>106005</v>
      </c>
      <c r="H31" s="28">
        <v>74693</v>
      </c>
      <c r="I31" s="28">
        <v>3192</v>
      </c>
      <c r="J31" s="28">
        <f t="shared" ref="J31:J42" si="6">SUM(G31-H31-I31)</f>
        <v>28120</v>
      </c>
      <c r="K31" s="28">
        <v>2408</v>
      </c>
      <c r="L31" s="28">
        <v>0</v>
      </c>
      <c r="M31" s="28">
        <v>1405</v>
      </c>
      <c r="N31" s="28">
        <v>884</v>
      </c>
      <c r="O31" s="28">
        <v>884</v>
      </c>
    </row>
    <row r="32" spans="1:15" ht="12.75" customHeight="1">
      <c r="A32" s="4" t="s">
        <v>58</v>
      </c>
      <c r="B32" s="5" t="s">
        <v>59</v>
      </c>
      <c r="C32" s="28">
        <v>50158</v>
      </c>
      <c r="D32" s="28">
        <v>44599</v>
      </c>
      <c r="E32" s="28">
        <v>1785</v>
      </c>
      <c r="F32" s="28">
        <f t="shared" si="5"/>
        <v>3774</v>
      </c>
      <c r="G32" s="28">
        <v>183973</v>
      </c>
      <c r="H32" s="28">
        <v>101319</v>
      </c>
      <c r="I32" s="28">
        <v>11094</v>
      </c>
      <c r="J32" s="28">
        <f t="shared" si="6"/>
        <v>71560</v>
      </c>
      <c r="K32" s="28">
        <v>7013</v>
      </c>
      <c r="L32" s="28">
        <v>0</v>
      </c>
      <c r="M32" s="28">
        <v>18389</v>
      </c>
      <c r="N32" s="28">
        <v>3138</v>
      </c>
      <c r="O32" s="28">
        <v>3138</v>
      </c>
    </row>
    <row r="33" spans="1:256" ht="12.75" customHeight="1">
      <c r="A33" s="4" t="s">
        <v>60</v>
      </c>
      <c r="B33" s="5" t="s">
        <v>61</v>
      </c>
      <c r="C33" s="28">
        <v>26041</v>
      </c>
      <c r="D33" s="28">
        <v>21683</v>
      </c>
      <c r="E33" s="28">
        <v>623</v>
      </c>
      <c r="F33" s="28">
        <f t="shared" si="5"/>
        <v>3735</v>
      </c>
      <c r="G33" s="28">
        <v>94729</v>
      </c>
      <c r="H33" s="28">
        <v>27919</v>
      </c>
      <c r="I33" s="28">
        <v>1915</v>
      </c>
      <c r="J33" s="28">
        <f t="shared" si="6"/>
        <v>64895</v>
      </c>
      <c r="K33" s="28">
        <v>12702</v>
      </c>
      <c r="L33" s="28">
        <v>29</v>
      </c>
      <c r="M33" s="28">
        <v>8062</v>
      </c>
      <c r="N33" s="28">
        <v>2203</v>
      </c>
      <c r="O33" s="28">
        <v>2203</v>
      </c>
    </row>
    <row r="34" spans="1:256" ht="12.75" customHeight="1">
      <c r="A34" s="4" t="s">
        <v>62</v>
      </c>
      <c r="B34" s="5" t="s">
        <v>63</v>
      </c>
      <c r="C34" s="28">
        <v>28704</v>
      </c>
      <c r="D34" s="28">
        <v>10801</v>
      </c>
      <c r="E34" s="28">
        <v>141</v>
      </c>
      <c r="F34" s="28">
        <f t="shared" si="5"/>
        <v>17762</v>
      </c>
      <c r="G34" s="28">
        <v>68814</v>
      </c>
      <c r="H34" s="28">
        <v>24168</v>
      </c>
      <c r="I34" s="28">
        <v>794</v>
      </c>
      <c r="J34" s="28">
        <f t="shared" si="6"/>
        <v>43852</v>
      </c>
      <c r="K34" s="28">
        <v>2577</v>
      </c>
      <c r="L34" s="28">
        <v>0</v>
      </c>
      <c r="M34" s="28">
        <v>11644</v>
      </c>
      <c r="N34" s="28">
        <v>57</v>
      </c>
      <c r="O34" s="28">
        <v>57</v>
      </c>
    </row>
    <row r="35" spans="1:256" ht="12.75" customHeight="1">
      <c r="A35" s="4" t="s">
        <v>64</v>
      </c>
      <c r="B35" s="5" t="s">
        <v>65</v>
      </c>
      <c r="C35" s="28">
        <v>13007</v>
      </c>
      <c r="D35" s="28">
        <v>12849</v>
      </c>
      <c r="E35" s="28">
        <v>0</v>
      </c>
      <c r="F35" s="28">
        <f t="shared" si="5"/>
        <v>158</v>
      </c>
      <c r="G35" s="28">
        <v>22699</v>
      </c>
      <c r="H35" s="28">
        <v>21163</v>
      </c>
      <c r="I35" s="28">
        <v>0</v>
      </c>
      <c r="J35" s="28">
        <f t="shared" si="6"/>
        <v>1536</v>
      </c>
      <c r="K35" s="28">
        <v>266</v>
      </c>
      <c r="L35" s="28">
        <v>0</v>
      </c>
      <c r="M35" s="28">
        <v>82</v>
      </c>
      <c r="N35" s="28">
        <v>1277</v>
      </c>
      <c r="O35" s="28">
        <v>1277</v>
      </c>
    </row>
    <row r="36" spans="1:256" ht="12.75" customHeight="1">
      <c r="A36" s="4" t="s">
        <v>66</v>
      </c>
      <c r="B36" s="5" t="s">
        <v>67</v>
      </c>
      <c r="C36" s="28">
        <v>8000</v>
      </c>
      <c r="D36" s="28">
        <v>6981</v>
      </c>
      <c r="E36" s="28">
        <v>522</v>
      </c>
      <c r="F36" s="28">
        <f t="shared" si="5"/>
        <v>497</v>
      </c>
      <c r="G36" s="28">
        <v>23279</v>
      </c>
      <c r="H36" s="28">
        <v>17408</v>
      </c>
      <c r="I36" s="28">
        <v>3909</v>
      </c>
      <c r="J36" s="28">
        <f t="shared" si="6"/>
        <v>1962</v>
      </c>
      <c r="K36" s="28">
        <v>120</v>
      </c>
      <c r="L36" s="28">
        <v>0</v>
      </c>
      <c r="M36" s="28">
        <v>335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14226</v>
      </c>
      <c r="D37" s="28">
        <v>12338</v>
      </c>
      <c r="E37" s="28">
        <v>209</v>
      </c>
      <c r="F37" s="28">
        <f t="shared" si="5"/>
        <v>1679</v>
      </c>
      <c r="G37" s="28">
        <v>68319</v>
      </c>
      <c r="H37" s="28">
        <v>29803</v>
      </c>
      <c r="I37" s="28">
        <v>1027</v>
      </c>
      <c r="J37" s="28">
        <f t="shared" si="6"/>
        <v>37489</v>
      </c>
      <c r="K37" s="28">
        <v>4124</v>
      </c>
      <c r="L37" s="28">
        <v>3</v>
      </c>
      <c r="M37" s="28">
        <v>9642</v>
      </c>
      <c r="N37" s="28">
        <v>762</v>
      </c>
      <c r="O37" s="28">
        <v>692</v>
      </c>
    </row>
    <row r="38" spans="1:256" ht="12.75" customHeight="1">
      <c r="A38" s="4" t="s">
        <v>70</v>
      </c>
      <c r="B38" s="5" t="s">
        <v>71</v>
      </c>
      <c r="C38" s="28">
        <v>198695</v>
      </c>
      <c r="D38" s="28">
        <v>152678</v>
      </c>
      <c r="E38" s="28">
        <v>5549</v>
      </c>
      <c r="F38" s="28">
        <f t="shared" si="5"/>
        <v>40468</v>
      </c>
      <c r="G38" s="28">
        <v>560424</v>
      </c>
      <c r="H38" s="28">
        <v>248401</v>
      </c>
      <c r="I38" s="28">
        <v>24138</v>
      </c>
      <c r="J38" s="28">
        <f t="shared" si="6"/>
        <v>287885</v>
      </c>
      <c r="K38" s="28">
        <v>68152</v>
      </c>
      <c r="L38" s="28">
        <v>300</v>
      </c>
      <c r="M38" s="28">
        <v>33666</v>
      </c>
      <c r="N38" s="28">
        <v>149434</v>
      </c>
      <c r="O38" s="28">
        <v>24865</v>
      </c>
    </row>
    <row r="39" spans="1:256" ht="12.75" customHeight="1">
      <c r="A39" s="4" t="s">
        <v>72</v>
      </c>
      <c r="B39" s="5" t="s">
        <v>73</v>
      </c>
      <c r="C39" s="28">
        <v>17093</v>
      </c>
      <c r="D39" s="28">
        <v>15434</v>
      </c>
      <c r="E39" s="28">
        <v>972</v>
      </c>
      <c r="F39" s="28">
        <f t="shared" si="5"/>
        <v>687</v>
      </c>
      <c r="G39" s="28">
        <v>33574</v>
      </c>
      <c r="H39" s="28">
        <v>24949</v>
      </c>
      <c r="I39" s="28">
        <v>5304</v>
      </c>
      <c r="J39" s="28">
        <f t="shared" si="6"/>
        <v>3321</v>
      </c>
      <c r="K39" s="28">
        <v>456</v>
      </c>
      <c r="L39" s="28">
        <v>0</v>
      </c>
      <c r="M39" s="28">
        <v>28</v>
      </c>
      <c r="N39" s="28">
        <v>37</v>
      </c>
      <c r="O39" s="28">
        <v>37</v>
      </c>
    </row>
    <row r="40" spans="1:256" ht="12.75" customHeight="1">
      <c r="A40" s="4" t="s">
        <v>74</v>
      </c>
      <c r="B40" s="5" t="s">
        <v>75</v>
      </c>
      <c r="C40" s="28">
        <v>21034</v>
      </c>
      <c r="D40" s="28">
        <v>18887</v>
      </c>
      <c r="E40" s="28">
        <v>730</v>
      </c>
      <c r="F40" s="28">
        <f t="shared" si="5"/>
        <v>1417</v>
      </c>
      <c r="G40" s="28">
        <v>57740</v>
      </c>
      <c r="H40" s="28">
        <v>36980</v>
      </c>
      <c r="I40" s="28">
        <v>3965</v>
      </c>
      <c r="J40" s="28">
        <f t="shared" si="6"/>
        <v>16795</v>
      </c>
      <c r="K40" s="28">
        <v>1584</v>
      </c>
      <c r="L40" s="28">
        <v>0</v>
      </c>
      <c r="M40" s="28">
        <v>9588</v>
      </c>
      <c r="N40" s="28">
        <v>314</v>
      </c>
      <c r="O40" s="28">
        <v>314</v>
      </c>
    </row>
    <row r="41" spans="1:256" ht="12.75" customHeight="1">
      <c r="A41" s="4" t="s">
        <v>76</v>
      </c>
      <c r="B41" s="5" t="s">
        <v>77</v>
      </c>
      <c r="C41" s="28">
        <v>8149</v>
      </c>
      <c r="D41" s="28">
        <v>6694</v>
      </c>
      <c r="E41" s="28">
        <v>0</v>
      </c>
      <c r="F41" s="28">
        <f t="shared" si="5"/>
        <v>1455</v>
      </c>
      <c r="G41" s="28">
        <v>24338</v>
      </c>
      <c r="H41" s="28">
        <v>14924</v>
      </c>
      <c r="I41" s="28">
        <v>0</v>
      </c>
      <c r="J41" s="28">
        <f t="shared" si="6"/>
        <v>9414</v>
      </c>
      <c r="K41" s="28">
        <v>2469</v>
      </c>
      <c r="L41" s="28">
        <v>0</v>
      </c>
      <c r="M41" s="28">
        <v>347</v>
      </c>
      <c r="N41" s="28">
        <v>623</v>
      </c>
      <c r="O41" s="28">
        <v>623</v>
      </c>
    </row>
    <row r="42" spans="1:256" ht="12.75" customHeight="1">
      <c r="A42" s="4" t="s">
        <v>78</v>
      </c>
      <c r="B42" s="5" t="s">
        <v>79</v>
      </c>
      <c r="C42" s="28">
        <v>42290</v>
      </c>
      <c r="D42" s="28">
        <v>36975</v>
      </c>
      <c r="E42" s="28">
        <v>1033</v>
      </c>
      <c r="F42" s="28">
        <f t="shared" si="5"/>
        <v>4282</v>
      </c>
      <c r="G42" s="28">
        <v>69536</v>
      </c>
      <c r="H42" s="28">
        <v>53816</v>
      </c>
      <c r="I42" s="28">
        <v>2557</v>
      </c>
      <c r="J42" s="28">
        <f t="shared" si="6"/>
        <v>13163</v>
      </c>
      <c r="K42" s="28">
        <v>1945</v>
      </c>
      <c r="L42" s="28">
        <v>0</v>
      </c>
      <c r="M42" s="28">
        <v>52</v>
      </c>
      <c r="N42" s="28">
        <v>338</v>
      </c>
      <c r="O42" s="28">
        <v>338</v>
      </c>
    </row>
    <row r="43" spans="1:256" ht="12.75" customHeight="1">
      <c r="A43" s="8"/>
      <c r="B43" s="9" t="s">
        <v>80</v>
      </c>
      <c r="C43" s="29">
        <f t="shared" ref="C43:O43" si="7">SUM(C31:C42)</f>
        <v>469913</v>
      </c>
      <c r="D43" s="29">
        <f t="shared" si="7"/>
        <v>379032</v>
      </c>
      <c r="E43" s="29">
        <f t="shared" si="7"/>
        <v>12263</v>
      </c>
      <c r="F43" s="29">
        <f t="shared" si="7"/>
        <v>78618</v>
      </c>
      <c r="G43" s="29">
        <f t="shared" si="7"/>
        <v>1313430</v>
      </c>
      <c r="H43" s="29">
        <f t="shared" si="7"/>
        <v>675543</v>
      </c>
      <c r="I43" s="29">
        <f t="shared" si="7"/>
        <v>57895</v>
      </c>
      <c r="J43" s="29">
        <f t="shared" si="7"/>
        <v>579992</v>
      </c>
      <c r="K43" s="29">
        <f t="shared" si="7"/>
        <v>103816</v>
      </c>
      <c r="L43" s="29">
        <f t="shared" si="7"/>
        <v>332</v>
      </c>
      <c r="M43" s="29">
        <f t="shared" si="7"/>
        <v>93240</v>
      </c>
      <c r="N43" s="29">
        <f t="shared" si="7"/>
        <v>159067</v>
      </c>
      <c r="O43" s="29">
        <f t="shared" si="7"/>
        <v>34428</v>
      </c>
    </row>
    <row r="44" spans="1:256" ht="12.75" customHeight="1">
      <c r="A44" s="4" t="s">
        <v>81</v>
      </c>
      <c r="B44" s="5" t="s">
        <v>82</v>
      </c>
      <c r="C44" s="28">
        <v>21702</v>
      </c>
      <c r="D44" s="28">
        <v>16595</v>
      </c>
      <c r="E44" s="28">
        <v>371</v>
      </c>
      <c r="F44" s="28">
        <f>SUM(C44-D44-E44)</f>
        <v>4736</v>
      </c>
      <c r="G44" s="28">
        <v>84617</v>
      </c>
      <c r="H44" s="28">
        <v>42345</v>
      </c>
      <c r="I44" s="28">
        <v>1818</v>
      </c>
      <c r="J44" s="28">
        <f>SUM(G44-H44-I44)</f>
        <v>40454</v>
      </c>
      <c r="K44" s="28">
        <v>15705</v>
      </c>
      <c r="L44" s="28">
        <v>0</v>
      </c>
      <c r="M44" s="28">
        <v>6108</v>
      </c>
      <c r="N44" s="28">
        <v>563</v>
      </c>
      <c r="O44" s="28">
        <v>563</v>
      </c>
    </row>
    <row r="45" spans="1:256" ht="12.75" customHeight="1">
      <c r="A45" s="4" t="s">
        <v>83</v>
      </c>
      <c r="B45" s="5" t="s">
        <v>84</v>
      </c>
      <c r="C45" s="28">
        <v>23584</v>
      </c>
      <c r="D45" s="28">
        <v>19578</v>
      </c>
      <c r="E45" s="28">
        <v>577</v>
      </c>
      <c r="F45" s="28">
        <f>SUM(C45-D45-E45)</f>
        <v>3429</v>
      </c>
      <c r="G45" s="28">
        <v>97814</v>
      </c>
      <c r="H45" s="28">
        <v>45834</v>
      </c>
      <c r="I45" s="28">
        <v>3509</v>
      </c>
      <c r="J45" s="28">
        <f>SUM(G45-H45-I45)</f>
        <v>48471</v>
      </c>
      <c r="K45" s="28">
        <v>22518</v>
      </c>
      <c r="L45" s="28">
        <v>0</v>
      </c>
      <c r="M45" s="28">
        <v>7281</v>
      </c>
      <c r="N45" s="28">
        <v>58</v>
      </c>
      <c r="O45" s="28">
        <v>58</v>
      </c>
    </row>
    <row r="46" spans="1:256" ht="12.75" customHeight="1">
      <c r="A46" s="8"/>
      <c r="B46" s="9" t="s">
        <v>85</v>
      </c>
      <c r="C46" s="29">
        <f t="shared" ref="C46:O46" si="8">SUM(C44:C45)</f>
        <v>45286</v>
      </c>
      <c r="D46" s="29">
        <f t="shared" si="8"/>
        <v>36173</v>
      </c>
      <c r="E46" s="29">
        <f t="shared" si="8"/>
        <v>948</v>
      </c>
      <c r="F46" s="29">
        <f t="shared" si="8"/>
        <v>8165</v>
      </c>
      <c r="G46" s="29">
        <f t="shared" si="8"/>
        <v>182431</v>
      </c>
      <c r="H46" s="29">
        <f t="shared" si="8"/>
        <v>88179</v>
      </c>
      <c r="I46" s="29">
        <f t="shared" si="8"/>
        <v>5327</v>
      </c>
      <c r="J46" s="29">
        <f t="shared" si="8"/>
        <v>88925</v>
      </c>
      <c r="K46" s="29">
        <f t="shared" si="8"/>
        <v>38223</v>
      </c>
      <c r="L46" s="29">
        <f t="shared" si="8"/>
        <v>0</v>
      </c>
      <c r="M46" s="29">
        <f t="shared" si="8"/>
        <v>13389</v>
      </c>
      <c r="N46" s="29">
        <f t="shared" si="8"/>
        <v>621</v>
      </c>
      <c r="O46" s="29">
        <f t="shared" si="8"/>
        <v>621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5671</v>
      </c>
      <c r="D47" s="28">
        <v>5120</v>
      </c>
      <c r="E47" s="28">
        <v>0</v>
      </c>
      <c r="F47" s="28">
        <f>SUM(C47-D47-E47)</f>
        <v>551</v>
      </c>
      <c r="G47" s="28">
        <v>5678</v>
      </c>
      <c r="H47" s="28">
        <v>3501</v>
      </c>
      <c r="I47" s="28">
        <v>0</v>
      </c>
      <c r="J47" s="28">
        <f>SUM(G47-H47-I47)</f>
        <v>2177</v>
      </c>
      <c r="K47" s="28">
        <v>577</v>
      </c>
      <c r="L47" s="28">
        <v>21</v>
      </c>
      <c r="M47" s="28">
        <v>152</v>
      </c>
      <c r="N47" s="28">
        <v>164</v>
      </c>
      <c r="O47" s="28">
        <v>164</v>
      </c>
    </row>
    <row r="48" spans="1:256" ht="12.75" customHeight="1">
      <c r="A48" s="4" t="s">
        <v>88</v>
      </c>
      <c r="B48" s="5" t="s">
        <v>89</v>
      </c>
      <c r="C48" s="28">
        <v>12107</v>
      </c>
      <c r="D48" s="28">
        <v>11334</v>
      </c>
      <c r="E48" s="28">
        <v>117</v>
      </c>
      <c r="F48" s="28">
        <f>SUM(C48-D48-E48)</f>
        <v>656</v>
      </c>
      <c r="G48" s="28">
        <v>20854</v>
      </c>
      <c r="H48" s="28">
        <v>18980</v>
      </c>
      <c r="I48" s="28">
        <v>402</v>
      </c>
      <c r="J48" s="28">
        <f>SUM(G48-H48-I48)</f>
        <v>1472</v>
      </c>
      <c r="K48" s="28">
        <v>1165</v>
      </c>
      <c r="L48" s="28">
        <v>0</v>
      </c>
      <c r="M48" s="28">
        <v>80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6316</v>
      </c>
      <c r="D49" s="28">
        <v>5781</v>
      </c>
      <c r="E49" s="28">
        <v>338</v>
      </c>
      <c r="F49" s="28">
        <f>SUM(C49-D49-E49)</f>
        <v>197</v>
      </c>
      <c r="G49" s="28">
        <v>5599</v>
      </c>
      <c r="H49" s="28">
        <v>4492</v>
      </c>
      <c r="I49" s="28">
        <v>783</v>
      </c>
      <c r="J49" s="28">
        <f>SUM(G49-H49-I49)</f>
        <v>324</v>
      </c>
      <c r="K49" s="28">
        <v>5201</v>
      </c>
      <c r="L49" s="28">
        <v>91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33324</v>
      </c>
      <c r="D50" s="28">
        <v>31400</v>
      </c>
      <c r="E50" s="28">
        <v>447</v>
      </c>
      <c r="F50" s="28">
        <f>SUM(C50-D50-E50)</f>
        <v>1477</v>
      </c>
      <c r="G50" s="28">
        <v>71705</v>
      </c>
      <c r="H50" s="28">
        <v>49437</v>
      </c>
      <c r="I50" s="28">
        <v>2168</v>
      </c>
      <c r="J50" s="28">
        <f>SUM(G50-H50-I50)</f>
        <v>20100</v>
      </c>
      <c r="K50" s="28">
        <v>10063</v>
      </c>
      <c r="L50" s="28">
        <v>378</v>
      </c>
      <c r="M50" s="28">
        <v>7349</v>
      </c>
      <c r="N50" s="28">
        <v>767</v>
      </c>
      <c r="O50" s="28">
        <v>767</v>
      </c>
    </row>
    <row r="51" spans="1:15" ht="12.75" customHeight="1">
      <c r="A51" s="8"/>
      <c r="B51" s="9" t="s">
        <v>94</v>
      </c>
      <c r="C51" s="29">
        <f t="shared" ref="C51:O51" si="9">SUM(C47:C50)</f>
        <v>57418</v>
      </c>
      <c r="D51" s="29">
        <f t="shared" si="9"/>
        <v>53635</v>
      </c>
      <c r="E51" s="29">
        <f t="shared" si="9"/>
        <v>902</v>
      </c>
      <c r="F51" s="29">
        <f t="shared" si="9"/>
        <v>2881</v>
      </c>
      <c r="G51" s="29">
        <f t="shared" si="9"/>
        <v>103836</v>
      </c>
      <c r="H51" s="29">
        <f t="shared" si="9"/>
        <v>76410</v>
      </c>
      <c r="I51" s="29">
        <f t="shared" si="9"/>
        <v>3353</v>
      </c>
      <c r="J51" s="29">
        <f t="shared" si="9"/>
        <v>24073</v>
      </c>
      <c r="K51" s="29">
        <f t="shared" si="9"/>
        <v>17006</v>
      </c>
      <c r="L51" s="29">
        <f t="shared" si="9"/>
        <v>490</v>
      </c>
      <c r="M51" s="29">
        <f t="shared" si="9"/>
        <v>7581</v>
      </c>
      <c r="N51" s="29">
        <f t="shared" si="9"/>
        <v>931</v>
      </c>
      <c r="O51" s="29">
        <f t="shared" si="9"/>
        <v>931</v>
      </c>
    </row>
    <row r="52" spans="1:15" ht="12.75" customHeight="1">
      <c r="A52" s="4" t="s">
        <v>95</v>
      </c>
      <c r="B52" s="5" t="s">
        <v>96</v>
      </c>
      <c r="C52" s="28">
        <v>6025</v>
      </c>
      <c r="D52" s="28">
        <v>5531</v>
      </c>
      <c r="E52" s="28">
        <v>45</v>
      </c>
      <c r="F52" s="28">
        <f t="shared" ref="F52:F58" si="10">SUM(C52-D52-E52)</f>
        <v>449</v>
      </c>
      <c r="G52" s="28">
        <v>18574</v>
      </c>
      <c r="H52" s="28">
        <v>12404</v>
      </c>
      <c r="I52" s="28">
        <v>149</v>
      </c>
      <c r="J52" s="28">
        <f t="shared" ref="J52:J58" si="11">SUM(G52-H52-I52)</f>
        <v>6021</v>
      </c>
      <c r="K52" s="28">
        <v>7963</v>
      </c>
      <c r="L52" s="28">
        <v>0</v>
      </c>
      <c r="M52" s="28">
        <v>219</v>
      </c>
      <c r="N52" s="28">
        <v>632</v>
      </c>
      <c r="O52" s="28">
        <v>632</v>
      </c>
    </row>
    <row r="53" spans="1:15" ht="12.75" customHeight="1">
      <c r="A53" s="4" t="s">
        <v>97</v>
      </c>
      <c r="B53" s="5" t="s">
        <v>98</v>
      </c>
      <c r="C53" s="28">
        <v>37460</v>
      </c>
      <c r="D53" s="28">
        <v>28136</v>
      </c>
      <c r="E53" s="28">
        <v>403</v>
      </c>
      <c r="F53" s="28">
        <f t="shared" si="10"/>
        <v>8921</v>
      </c>
      <c r="G53" s="28">
        <v>107272</v>
      </c>
      <c r="H53" s="28">
        <v>68660</v>
      </c>
      <c r="I53" s="28">
        <v>2856</v>
      </c>
      <c r="J53" s="28">
        <f t="shared" si="11"/>
        <v>35756</v>
      </c>
      <c r="K53" s="28">
        <v>5550</v>
      </c>
      <c r="L53" s="28">
        <v>0</v>
      </c>
      <c r="M53" s="28">
        <v>2491</v>
      </c>
      <c r="N53" s="28">
        <v>1987</v>
      </c>
      <c r="O53" s="28">
        <v>1987</v>
      </c>
    </row>
    <row r="54" spans="1:15" ht="12.75" customHeight="1">
      <c r="A54" s="4" t="s">
        <v>99</v>
      </c>
      <c r="B54" s="5" t="s">
        <v>100</v>
      </c>
      <c r="C54" s="28">
        <v>6422</v>
      </c>
      <c r="D54" s="28">
        <v>3685</v>
      </c>
      <c r="E54" s="28">
        <v>170</v>
      </c>
      <c r="F54" s="28">
        <f t="shared" si="10"/>
        <v>2567</v>
      </c>
      <c r="G54" s="28">
        <v>19998</v>
      </c>
      <c r="H54" s="28">
        <v>10383</v>
      </c>
      <c r="I54" s="28">
        <v>1414</v>
      </c>
      <c r="J54" s="28">
        <f t="shared" si="11"/>
        <v>8201</v>
      </c>
      <c r="K54" s="28">
        <v>335</v>
      </c>
      <c r="L54" s="28">
        <v>86</v>
      </c>
      <c r="M54" s="28">
        <v>470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28081</v>
      </c>
      <c r="D55" s="28">
        <v>19633</v>
      </c>
      <c r="E55" s="28">
        <v>381</v>
      </c>
      <c r="F55" s="28">
        <f t="shared" si="10"/>
        <v>8067</v>
      </c>
      <c r="G55" s="28">
        <v>83182</v>
      </c>
      <c r="H55" s="28">
        <v>42597</v>
      </c>
      <c r="I55" s="28">
        <v>1884</v>
      </c>
      <c r="J55" s="28">
        <f t="shared" si="11"/>
        <v>38701</v>
      </c>
      <c r="K55" s="28">
        <v>13784</v>
      </c>
      <c r="L55" s="28">
        <v>0</v>
      </c>
      <c r="M55" s="28">
        <v>5002</v>
      </c>
      <c r="N55" s="28">
        <v>7384</v>
      </c>
      <c r="O55" s="28">
        <v>7384</v>
      </c>
    </row>
    <row r="56" spans="1:15" ht="12.75" customHeight="1">
      <c r="A56" s="4" t="s">
        <v>103</v>
      </c>
      <c r="B56" s="5" t="s">
        <v>104</v>
      </c>
      <c r="C56" s="28">
        <v>36287</v>
      </c>
      <c r="D56" s="28">
        <v>15716</v>
      </c>
      <c r="E56" s="28">
        <v>1503</v>
      </c>
      <c r="F56" s="28">
        <f t="shared" si="10"/>
        <v>19068</v>
      </c>
      <c r="G56" s="28">
        <v>118386</v>
      </c>
      <c r="H56" s="28">
        <v>33968</v>
      </c>
      <c r="I56" s="28">
        <v>8761</v>
      </c>
      <c r="J56" s="28">
        <f t="shared" si="11"/>
        <v>75657</v>
      </c>
      <c r="K56" s="28">
        <v>12072</v>
      </c>
      <c r="L56" s="28">
        <v>581</v>
      </c>
      <c r="M56" s="28">
        <v>13591</v>
      </c>
      <c r="N56" s="28">
        <v>1187</v>
      </c>
      <c r="O56" s="28">
        <v>1187</v>
      </c>
    </row>
    <row r="57" spans="1:15" ht="12.75" customHeight="1">
      <c r="A57" s="4" t="s">
        <v>105</v>
      </c>
      <c r="B57" s="5" t="s">
        <v>106</v>
      </c>
      <c r="C57" s="28">
        <v>33822</v>
      </c>
      <c r="D57" s="28">
        <v>18469</v>
      </c>
      <c r="E57" s="28">
        <v>1600</v>
      </c>
      <c r="F57" s="28">
        <f t="shared" si="10"/>
        <v>13753</v>
      </c>
      <c r="G57" s="28">
        <v>121583</v>
      </c>
      <c r="H57" s="28">
        <v>54956</v>
      </c>
      <c r="I57" s="28">
        <v>9515</v>
      </c>
      <c r="J57" s="28">
        <f t="shared" si="11"/>
        <v>57112</v>
      </c>
      <c r="K57" s="28">
        <v>2815</v>
      </c>
      <c r="L57" s="28">
        <v>0</v>
      </c>
      <c r="M57" s="28">
        <v>7999</v>
      </c>
      <c r="N57" s="28">
        <v>249</v>
      </c>
      <c r="O57" s="28">
        <v>249</v>
      </c>
    </row>
    <row r="58" spans="1:15" ht="12.75" customHeight="1">
      <c r="A58" s="4" t="s">
        <v>107</v>
      </c>
      <c r="B58" s="5" t="s">
        <v>108</v>
      </c>
      <c r="C58" s="28">
        <v>35505</v>
      </c>
      <c r="D58" s="28">
        <v>19834</v>
      </c>
      <c r="E58" s="28">
        <v>546</v>
      </c>
      <c r="F58" s="28">
        <f t="shared" si="10"/>
        <v>15125</v>
      </c>
      <c r="G58" s="28">
        <v>109062</v>
      </c>
      <c r="H58" s="28">
        <v>43633</v>
      </c>
      <c r="I58" s="28">
        <v>3016</v>
      </c>
      <c r="J58" s="28">
        <f t="shared" si="11"/>
        <v>62413</v>
      </c>
      <c r="K58" s="28">
        <v>3976</v>
      </c>
      <c r="L58" s="28">
        <v>139</v>
      </c>
      <c r="M58" s="28">
        <v>4819</v>
      </c>
      <c r="N58" s="28">
        <v>13431</v>
      </c>
      <c r="O58" s="28">
        <v>13431</v>
      </c>
    </row>
    <row r="59" spans="1:15" ht="12.75" customHeight="1">
      <c r="A59" s="8"/>
      <c r="B59" s="9" t="s">
        <v>109</v>
      </c>
      <c r="C59" s="29">
        <f t="shared" ref="C59:O59" si="12">SUM(C52:C58)</f>
        <v>183602</v>
      </c>
      <c r="D59" s="29">
        <f t="shared" si="12"/>
        <v>111004</v>
      </c>
      <c r="E59" s="29">
        <f t="shared" si="12"/>
        <v>4648</v>
      </c>
      <c r="F59" s="29">
        <f t="shared" si="12"/>
        <v>67950</v>
      </c>
      <c r="G59" s="29">
        <f t="shared" si="12"/>
        <v>578057</v>
      </c>
      <c r="H59" s="29">
        <f t="shared" si="12"/>
        <v>266601</v>
      </c>
      <c r="I59" s="29">
        <f t="shared" si="12"/>
        <v>27595</v>
      </c>
      <c r="J59" s="29">
        <f t="shared" si="12"/>
        <v>283861</v>
      </c>
      <c r="K59" s="29">
        <f t="shared" si="12"/>
        <v>46495</v>
      </c>
      <c r="L59" s="29">
        <f t="shared" si="12"/>
        <v>806</v>
      </c>
      <c r="M59" s="29">
        <f t="shared" si="12"/>
        <v>34591</v>
      </c>
      <c r="N59" s="29">
        <f t="shared" si="12"/>
        <v>24870</v>
      </c>
      <c r="O59" s="29">
        <f t="shared" si="12"/>
        <v>24870</v>
      </c>
    </row>
    <row r="60" spans="1:15" ht="12.75" customHeight="1">
      <c r="A60" s="4" t="s">
        <v>110</v>
      </c>
      <c r="B60" s="5" t="s">
        <v>111</v>
      </c>
      <c r="C60" s="28">
        <v>40375</v>
      </c>
      <c r="D60" s="28">
        <v>31101</v>
      </c>
      <c r="E60" s="28">
        <v>2135</v>
      </c>
      <c r="F60" s="28">
        <f t="shared" ref="F60:F68" si="13">SUM(C60-D60-E60)</f>
        <v>7139</v>
      </c>
      <c r="G60" s="28">
        <v>116885</v>
      </c>
      <c r="H60" s="28">
        <v>68739</v>
      </c>
      <c r="I60" s="28">
        <v>16874</v>
      </c>
      <c r="J60" s="28">
        <f t="shared" ref="J60:J68" si="14">SUM(G60-H60-I60)</f>
        <v>31272</v>
      </c>
      <c r="K60" s="28">
        <v>1700</v>
      </c>
      <c r="L60" s="28">
        <v>0</v>
      </c>
      <c r="M60" s="28">
        <v>3101</v>
      </c>
      <c r="N60" s="28">
        <v>849</v>
      </c>
      <c r="O60" s="28">
        <v>849</v>
      </c>
    </row>
    <row r="61" spans="1:15" ht="12.75" customHeight="1">
      <c r="A61" s="4" t="s">
        <v>112</v>
      </c>
      <c r="B61" s="5" t="s">
        <v>113</v>
      </c>
      <c r="C61" s="28">
        <v>10386</v>
      </c>
      <c r="D61" s="28">
        <v>7975</v>
      </c>
      <c r="E61" s="28">
        <v>100</v>
      </c>
      <c r="F61" s="28">
        <f t="shared" si="13"/>
        <v>2311</v>
      </c>
      <c r="G61" s="28">
        <v>23755</v>
      </c>
      <c r="H61" s="28">
        <v>18019</v>
      </c>
      <c r="I61" s="28">
        <v>575</v>
      </c>
      <c r="J61" s="28">
        <f t="shared" si="14"/>
        <v>5161</v>
      </c>
      <c r="K61" s="28">
        <v>65</v>
      </c>
      <c r="L61" s="28">
        <v>514</v>
      </c>
      <c r="M61" s="28">
        <v>1461</v>
      </c>
      <c r="N61" s="28">
        <v>11</v>
      </c>
      <c r="O61" s="28">
        <v>11</v>
      </c>
    </row>
    <row r="62" spans="1:15" ht="12.75" customHeight="1">
      <c r="A62" s="4" t="s">
        <v>114</v>
      </c>
      <c r="B62" s="5" t="s">
        <v>115</v>
      </c>
      <c r="C62" s="28">
        <v>17301</v>
      </c>
      <c r="D62" s="28">
        <v>10522</v>
      </c>
      <c r="E62" s="28">
        <v>602</v>
      </c>
      <c r="F62" s="28">
        <f t="shared" si="13"/>
        <v>6177</v>
      </c>
      <c r="G62" s="28">
        <v>69410</v>
      </c>
      <c r="H62" s="28">
        <v>28222</v>
      </c>
      <c r="I62" s="28">
        <v>5318</v>
      </c>
      <c r="J62" s="28">
        <f t="shared" si="14"/>
        <v>35870</v>
      </c>
      <c r="K62" s="28">
        <v>12416</v>
      </c>
      <c r="L62" s="28">
        <v>251</v>
      </c>
      <c r="M62" s="28">
        <v>5753</v>
      </c>
      <c r="N62" s="28">
        <v>4762</v>
      </c>
      <c r="O62" s="28">
        <v>4762</v>
      </c>
    </row>
    <row r="63" spans="1:15" ht="12.75" customHeight="1">
      <c r="A63" s="4" t="s">
        <v>116</v>
      </c>
      <c r="B63" s="5" t="s">
        <v>117</v>
      </c>
      <c r="C63" s="28">
        <v>27031</v>
      </c>
      <c r="D63" s="28">
        <v>19118</v>
      </c>
      <c r="E63" s="28">
        <v>883</v>
      </c>
      <c r="F63" s="28">
        <f t="shared" si="13"/>
        <v>7030</v>
      </c>
      <c r="G63" s="28">
        <v>84164</v>
      </c>
      <c r="H63" s="28">
        <v>50697</v>
      </c>
      <c r="I63" s="28">
        <v>8887</v>
      </c>
      <c r="J63" s="28">
        <f t="shared" si="14"/>
        <v>24580</v>
      </c>
      <c r="K63" s="28">
        <v>921</v>
      </c>
      <c r="L63" s="28">
        <v>0</v>
      </c>
      <c r="M63" s="28">
        <v>3537</v>
      </c>
      <c r="N63" s="28">
        <v>28</v>
      </c>
      <c r="O63" s="28">
        <v>28</v>
      </c>
    </row>
    <row r="64" spans="1:15" ht="12.75" customHeight="1">
      <c r="A64" s="4" t="s">
        <v>118</v>
      </c>
      <c r="B64" s="5" t="s">
        <v>119</v>
      </c>
      <c r="C64" s="28">
        <v>21700</v>
      </c>
      <c r="D64" s="28">
        <v>12271</v>
      </c>
      <c r="E64" s="28">
        <v>1013</v>
      </c>
      <c r="F64" s="28">
        <f t="shared" si="13"/>
        <v>8416</v>
      </c>
      <c r="G64" s="28">
        <v>80497</v>
      </c>
      <c r="H64" s="28">
        <v>33294</v>
      </c>
      <c r="I64" s="28">
        <v>7882</v>
      </c>
      <c r="J64" s="28">
        <f t="shared" si="14"/>
        <v>39321</v>
      </c>
      <c r="K64" s="28">
        <v>492</v>
      </c>
      <c r="L64" s="28">
        <v>36</v>
      </c>
      <c r="M64" s="28">
        <v>1223</v>
      </c>
      <c r="N64" s="28">
        <v>53</v>
      </c>
      <c r="O64" s="28">
        <v>53</v>
      </c>
    </row>
    <row r="65" spans="1:15" ht="12.75" customHeight="1">
      <c r="A65" s="4" t="s">
        <v>120</v>
      </c>
      <c r="B65" s="5" t="s">
        <v>121</v>
      </c>
      <c r="C65" s="28">
        <v>11116</v>
      </c>
      <c r="D65" s="28">
        <v>9015</v>
      </c>
      <c r="E65" s="28">
        <v>750</v>
      </c>
      <c r="F65" s="28">
        <f t="shared" si="13"/>
        <v>1351</v>
      </c>
      <c r="G65" s="28">
        <v>48325</v>
      </c>
      <c r="H65" s="28">
        <v>23604</v>
      </c>
      <c r="I65" s="28">
        <v>5821</v>
      </c>
      <c r="J65" s="28">
        <f t="shared" si="14"/>
        <v>18900</v>
      </c>
      <c r="K65" s="28">
        <v>2049</v>
      </c>
      <c r="L65" s="28">
        <v>1</v>
      </c>
      <c r="M65" s="28">
        <v>2583</v>
      </c>
      <c r="N65" s="28">
        <v>194</v>
      </c>
      <c r="O65" s="28">
        <v>194</v>
      </c>
    </row>
    <row r="66" spans="1:15" ht="12.75" customHeight="1">
      <c r="A66" s="4" t="s">
        <v>122</v>
      </c>
      <c r="B66" s="5" t="s">
        <v>123</v>
      </c>
      <c r="C66" s="28">
        <v>20997</v>
      </c>
      <c r="D66" s="28">
        <v>8057</v>
      </c>
      <c r="E66" s="28">
        <v>422</v>
      </c>
      <c r="F66" s="28">
        <f t="shared" si="13"/>
        <v>12518</v>
      </c>
      <c r="G66" s="28">
        <v>123473</v>
      </c>
      <c r="H66" s="28">
        <v>20271</v>
      </c>
      <c r="I66" s="28">
        <v>3200</v>
      </c>
      <c r="J66" s="28">
        <f t="shared" si="14"/>
        <v>100002</v>
      </c>
      <c r="K66" s="28">
        <v>13296</v>
      </c>
      <c r="L66" s="28">
        <v>60</v>
      </c>
      <c r="M66" s="28">
        <v>19196</v>
      </c>
      <c r="N66" s="28">
        <v>472</v>
      </c>
      <c r="O66" s="28">
        <v>158</v>
      </c>
    </row>
    <row r="67" spans="1:15" ht="12.75" customHeight="1">
      <c r="A67" s="4" t="s">
        <v>124</v>
      </c>
      <c r="B67" s="5" t="s">
        <v>125</v>
      </c>
      <c r="C67" s="28">
        <v>34708</v>
      </c>
      <c r="D67" s="28">
        <v>13596</v>
      </c>
      <c r="E67" s="28">
        <v>0</v>
      </c>
      <c r="F67" s="28">
        <f t="shared" si="13"/>
        <v>21112</v>
      </c>
      <c r="G67" s="28">
        <v>169438</v>
      </c>
      <c r="H67" s="28">
        <v>30539</v>
      </c>
      <c r="I67" s="28">
        <v>0</v>
      </c>
      <c r="J67" s="28">
        <f t="shared" si="14"/>
        <v>138899</v>
      </c>
      <c r="K67" s="28">
        <v>14589</v>
      </c>
      <c r="L67" s="28">
        <v>0</v>
      </c>
      <c r="M67" s="28">
        <v>34861</v>
      </c>
      <c r="N67" s="28">
        <v>541</v>
      </c>
      <c r="O67" s="28">
        <v>541</v>
      </c>
    </row>
    <row r="68" spans="1:15" ht="12.75" customHeight="1">
      <c r="A68" s="4" t="s">
        <v>126</v>
      </c>
      <c r="B68" s="5" t="s">
        <v>127</v>
      </c>
      <c r="C68" s="28">
        <v>15691</v>
      </c>
      <c r="D68" s="28">
        <v>10889</v>
      </c>
      <c r="E68" s="28">
        <v>222</v>
      </c>
      <c r="F68" s="28">
        <f t="shared" si="13"/>
        <v>4580</v>
      </c>
      <c r="G68" s="28">
        <v>57750</v>
      </c>
      <c r="H68" s="28">
        <v>23324</v>
      </c>
      <c r="I68" s="28">
        <v>1725</v>
      </c>
      <c r="J68" s="28">
        <f t="shared" si="14"/>
        <v>32701</v>
      </c>
      <c r="K68" s="28">
        <v>189</v>
      </c>
      <c r="L68" s="28">
        <v>25</v>
      </c>
      <c r="M68" s="28">
        <v>1110</v>
      </c>
      <c r="N68" s="28">
        <v>94</v>
      </c>
      <c r="O68" s="28">
        <v>94</v>
      </c>
    </row>
    <row r="69" spans="1:15" ht="12.75" customHeight="1">
      <c r="A69" s="8"/>
      <c r="B69" s="9" t="s">
        <v>128</v>
      </c>
      <c r="C69" s="29">
        <f t="shared" ref="C69:O69" si="15">SUM(C60:C68)</f>
        <v>199305</v>
      </c>
      <c r="D69" s="29">
        <f t="shared" si="15"/>
        <v>122544</v>
      </c>
      <c r="E69" s="29">
        <f t="shared" si="15"/>
        <v>6127</v>
      </c>
      <c r="F69" s="29">
        <f t="shared" si="15"/>
        <v>70634</v>
      </c>
      <c r="G69" s="29">
        <f t="shared" si="15"/>
        <v>773697</v>
      </c>
      <c r="H69" s="29">
        <f t="shared" si="15"/>
        <v>296709</v>
      </c>
      <c r="I69" s="29">
        <f t="shared" si="15"/>
        <v>50282</v>
      </c>
      <c r="J69" s="29">
        <f t="shared" si="15"/>
        <v>426706</v>
      </c>
      <c r="K69" s="29">
        <f t="shared" si="15"/>
        <v>45717</v>
      </c>
      <c r="L69" s="29">
        <f t="shared" si="15"/>
        <v>887</v>
      </c>
      <c r="M69" s="29">
        <f t="shared" si="15"/>
        <v>72825</v>
      </c>
      <c r="N69" s="29">
        <f t="shared" si="15"/>
        <v>7004</v>
      </c>
      <c r="O69" s="29">
        <f t="shared" si="15"/>
        <v>6690</v>
      </c>
    </row>
    <row r="70" spans="1:15" ht="12.75" customHeight="1">
      <c r="A70" s="4" t="s">
        <v>129</v>
      </c>
      <c r="B70" s="5" t="s">
        <v>130</v>
      </c>
      <c r="C70" s="28">
        <v>12725</v>
      </c>
      <c r="D70" s="28">
        <v>10979</v>
      </c>
      <c r="E70" s="28">
        <v>715</v>
      </c>
      <c r="F70" s="28">
        <f t="shared" ref="F70:F79" si="16">SUM(C70-D70-E70)</f>
        <v>1031</v>
      </c>
      <c r="G70" s="28">
        <v>40073</v>
      </c>
      <c r="H70" s="28">
        <v>25162</v>
      </c>
      <c r="I70" s="28">
        <v>6357</v>
      </c>
      <c r="J70" s="28">
        <f t="shared" ref="J70:J79" si="17">SUM(G70-H70-I70)</f>
        <v>8554</v>
      </c>
      <c r="K70" s="28">
        <v>1262</v>
      </c>
      <c r="L70" s="28">
        <v>13</v>
      </c>
      <c r="M70" s="28">
        <v>1239</v>
      </c>
      <c r="N70" s="28">
        <v>197</v>
      </c>
      <c r="O70" s="28">
        <v>197</v>
      </c>
    </row>
    <row r="71" spans="1:15" ht="12.75" customHeight="1">
      <c r="A71" s="4" t="s">
        <v>131</v>
      </c>
      <c r="B71" s="5" t="s">
        <v>132</v>
      </c>
      <c r="C71" s="28">
        <v>57543</v>
      </c>
      <c r="D71" s="28">
        <v>33990</v>
      </c>
      <c r="E71" s="28">
        <v>1637</v>
      </c>
      <c r="F71" s="28">
        <f t="shared" si="16"/>
        <v>21916</v>
      </c>
      <c r="G71" s="28">
        <v>131152</v>
      </c>
      <c r="H71" s="28">
        <v>57749</v>
      </c>
      <c r="I71" s="28">
        <v>10334</v>
      </c>
      <c r="J71" s="28">
        <f t="shared" si="17"/>
        <v>63069</v>
      </c>
      <c r="K71" s="28">
        <v>7505</v>
      </c>
      <c r="L71" s="28">
        <v>0</v>
      </c>
      <c r="M71" s="28">
        <v>3306</v>
      </c>
      <c r="N71" s="28">
        <v>7803</v>
      </c>
      <c r="O71" s="28">
        <v>7803</v>
      </c>
    </row>
    <row r="72" spans="1:15" ht="12.75" customHeight="1">
      <c r="A72" s="4" t="s">
        <v>133</v>
      </c>
      <c r="B72" s="5" t="s">
        <v>134</v>
      </c>
      <c r="C72" s="28">
        <v>8813</v>
      </c>
      <c r="D72" s="28">
        <v>7214</v>
      </c>
      <c r="E72" s="28">
        <v>0</v>
      </c>
      <c r="F72" s="28">
        <f t="shared" si="16"/>
        <v>1599</v>
      </c>
      <c r="G72" s="28">
        <v>24968</v>
      </c>
      <c r="H72" s="28">
        <v>17751</v>
      </c>
      <c r="I72" s="28">
        <v>0</v>
      </c>
      <c r="J72" s="28">
        <f t="shared" si="17"/>
        <v>7217</v>
      </c>
      <c r="K72" s="28">
        <v>2067</v>
      </c>
      <c r="L72" s="28">
        <v>733</v>
      </c>
      <c r="M72" s="28">
        <v>3163</v>
      </c>
      <c r="N72" s="28">
        <v>101</v>
      </c>
      <c r="O72" s="28">
        <v>101</v>
      </c>
    </row>
    <row r="73" spans="1:15" ht="12.75" customHeight="1">
      <c r="A73" s="4" t="s">
        <v>135</v>
      </c>
      <c r="B73" s="5" t="s">
        <v>136</v>
      </c>
      <c r="C73" s="28">
        <v>22309</v>
      </c>
      <c r="D73" s="28">
        <v>15061</v>
      </c>
      <c r="E73" s="28">
        <v>135</v>
      </c>
      <c r="F73" s="28">
        <f t="shared" si="16"/>
        <v>7113</v>
      </c>
      <c r="G73" s="28">
        <v>65943</v>
      </c>
      <c r="H73" s="28">
        <v>31625</v>
      </c>
      <c r="I73" s="28">
        <v>636</v>
      </c>
      <c r="J73" s="28">
        <f t="shared" si="17"/>
        <v>33682</v>
      </c>
      <c r="K73" s="28">
        <v>4759</v>
      </c>
      <c r="L73" s="28">
        <v>379</v>
      </c>
      <c r="M73" s="28">
        <v>7009</v>
      </c>
      <c r="N73" s="28">
        <v>17025</v>
      </c>
      <c r="O73" s="28">
        <v>16685</v>
      </c>
    </row>
    <row r="74" spans="1:15" ht="12.75" customHeight="1">
      <c r="A74" s="4" t="s">
        <v>137</v>
      </c>
      <c r="B74" s="5" t="s">
        <v>138</v>
      </c>
      <c r="C74" s="28">
        <v>18460</v>
      </c>
      <c r="D74" s="28">
        <v>15392</v>
      </c>
      <c r="E74" s="28">
        <v>479</v>
      </c>
      <c r="F74" s="28">
        <f t="shared" si="16"/>
        <v>2589</v>
      </c>
      <c r="G74" s="28">
        <v>39593</v>
      </c>
      <c r="H74" s="28">
        <v>26192</v>
      </c>
      <c r="I74" s="28">
        <v>2613</v>
      </c>
      <c r="J74" s="28">
        <f t="shared" si="17"/>
        <v>10788</v>
      </c>
      <c r="K74" s="28">
        <v>1990</v>
      </c>
      <c r="L74" s="28">
        <v>0</v>
      </c>
      <c r="M74" s="28">
        <v>739</v>
      </c>
      <c r="N74" s="28">
        <v>829</v>
      </c>
      <c r="O74" s="28">
        <v>829</v>
      </c>
    </row>
    <row r="75" spans="1:15" ht="12.75" customHeight="1">
      <c r="A75" s="4" t="s">
        <v>139</v>
      </c>
      <c r="B75" s="5" t="s">
        <v>140</v>
      </c>
      <c r="C75" s="28">
        <v>9300</v>
      </c>
      <c r="D75" s="28">
        <v>8908</v>
      </c>
      <c r="E75" s="28">
        <v>129</v>
      </c>
      <c r="F75" s="28">
        <f t="shared" si="16"/>
        <v>263</v>
      </c>
      <c r="G75" s="28">
        <v>18242</v>
      </c>
      <c r="H75" s="28">
        <v>14533</v>
      </c>
      <c r="I75" s="28">
        <v>1501</v>
      </c>
      <c r="J75" s="28">
        <f t="shared" si="17"/>
        <v>2208</v>
      </c>
      <c r="K75" s="28">
        <v>96</v>
      </c>
      <c r="L75" s="28">
        <v>0</v>
      </c>
      <c r="M75" s="28">
        <v>29</v>
      </c>
      <c r="N75" s="28">
        <v>56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19200</v>
      </c>
      <c r="D76" s="28">
        <v>14404</v>
      </c>
      <c r="E76" s="28">
        <v>276</v>
      </c>
      <c r="F76" s="28">
        <f t="shared" si="16"/>
        <v>4520</v>
      </c>
      <c r="G76" s="28">
        <v>51548</v>
      </c>
      <c r="H76" s="28">
        <v>31338</v>
      </c>
      <c r="I76" s="28">
        <v>1333</v>
      </c>
      <c r="J76" s="28">
        <f t="shared" si="17"/>
        <v>18877</v>
      </c>
      <c r="K76" s="28">
        <v>1137</v>
      </c>
      <c r="L76" s="28">
        <v>261</v>
      </c>
      <c r="M76" s="28">
        <v>1495</v>
      </c>
      <c r="N76" s="28">
        <v>763</v>
      </c>
      <c r="O76" s="28">
        <v>763</v>
      </c>
    </row>
    <row r="77" spans="1:15" ht="12.75" customHeight="1">
      <c r="A77" s="4" t="s">
        <v>143</v>
      </c>
      <c r="B77" s="5" t="s">
        <v>144</v>
      </c>
      <c r="C77" s="28">
        <v>17174</v>
      </c>
      <c r="D77" s="28">
        <v>11538</v>
      </c>
      <c r="E77" s="28">
        <v>210</v>
      </c>
      <c r="F77" s="28">
        <f t="shared" si="16"/>
        <v>5426</v>
      </c>
      <c r="G77" s="28">
        <v>40601</v>
      </c>
      <c r="H77" s="28">
        <v>21354</v>
      </c>
      <c r="I77" s="28">
        <v>1047</v>
      </c>
      <c r="J77" s="28">
        <f t="shared" si="17"/>
        <v>18200</v>
      </c>
      <c r="K77" s="28">
        <v>2763</v>
      </c>
      <c r="L77" s="28">
        <v>0</v>
      </c>
      <c r="M77" s="28">
        <v>1871</v>
      </c>
      <c r="N77" s="28">
        <v>544</v>
      </c>
      <c r="O77" s="28">
        <v>544</v>
      </c>
    </row>
    <row r="78" spans="1:15" ht="12.75" customHeight="1">
      <c r="A78" s="4" t="s">
        <v>145</v>
      </c>
      <c r="B78" s="5" t="s">
        <v>146</v>
      </c>
      <c r="C78" s="28">
        <v>10140</v>
      </c>
      <c r="D78" s="28">
        <v>8445</v>
      </c>
      <c r="E78" s="28">
        <v>0</v>
      </c>
      <c r="F78" s="28">
        <f t="shared" si="16"/>
        <v>1695</v>
      </c>
      <c r="G78" s="28">
        <v>19023</v>
      </c>
      <c r="H78" s="28">
        <v>14084</v>
      </c>
      <c r="I78" s="28">
        <v>0</v>
      </c>
      <c r="J78" s="28">
        <f t="shared" si="17"/>
        <v>4939</v>
      </c>
      <c r="K78" s="28">
        <v>507</v>
      </c>
      <c r="L78" s="28">
        <v>0</v>
      </c>
      <c r="M78" s="28">
        <v>9</v>
      </c>
      <c r="N78" s="28">
        <v>115</v>
      </c>
      <c r="O78" s="28">
        <v>115</v>
      </c>
    </row>
    <row r="79" spans="1:15" ht="12.75" customHeight="1">
      <c r="A79" s="4" t="s">
        <v>147</v>
      </c>
      <c r="B79" s="5" t="s">
        <v>148</v>
      </c>
      <c r="C79" s="28">
        <v>9658</v>
      </c>
      <c r="D79" s="28">
        <v>9122</v>
      </c>
      <c r="E79" s="28">
        <v>208</v>
      </c>
      <c r="F79" s="28">
        <f t="shared" si="16"/>
        <v>328</v>
      </c>
      <c r="G79" s="28">
        <v>30817</v>
      </c>
      <c r="H79" s="28">
        <v>21674</v>
      </c>
      <c r="I79" s="28">
        <v>1364</v>
      </c>
      <c r="J79" s="28">
        <f t="shared" si="17"/>
        <v>7779</v>
      </c>
      <c r="K79" s="28">
        <v>1966</v>
      </c>
      <c r="L79" s="28">
        <v>147</v>
      </c>
      <c r="M79" s="28">
        <v>5669</v>
      </c>
      <c r="N79" s="28">
        <v>250</v>
      </c>
      <c r="O79" s="28">
        <v>250</v>
      </c>
    </row>
    <row r="80" spans="1:15" ht="12.75" customHeight="1">
      <c r="A80" s="8"/>
      <c r="B80" s="9" t="s">
        <v>149</v>
      </c>
      <c r="C80" s="29">
        <f t="shared" ref="C80:O80" si="18">SUM(C70:C79)</f>
        <v>185322</v>
      </c>
      <c r="D80" s="29">
        <f t="shared" si="18"/>
        <v>135053</v>
      </c>
      <c r="E80" s="29">
        <f t="shared" si="18"/>
        <v>3789</v>
      </c>
      <c r="F80" s="29">
        <f t="shared" si="18"/>
        <v>46480</v>
      </c>
      <c r="G80" s="29">
        <f t="shared" si="18"/>
        <v>461960</v>
      </c>
      <c r="H80" s="29">
        <f t="shared" si="18"/>
        <v>261462</v>
      </c>
      <c r="I80" s="29">
        <f t="shared" si="18"/>
        <v>25185</v>
      </c>
      <c r="J80" s="29">
        <f t="shared" si="18"/>
        <v>175313</v>
      </c>
      <c r="K80" s="29">
        <f t="shared" si="18"/>
        <v>24052</v>
      </c>
      <c r="L80" s="29">
        <f t="shared" si="18"/>
        <v>1533</v>
      </c>
      <c r="M80" s="29">
        <f t="shared" si="18"/>
        <v>24529</v>
      </c>
      <c r="N80" s="29">
        <f t="shared" si="18"/>
        <v>27683</v>
      </c>
      <c r="O80" s="29">
        <f t="shared" si="18"/>
        <v>27287</v>
      </c>
    </row>
    <row r="81" spans="1:15" ht="12.75" customHeight="1">
      <c r="A81" s="4" t="s">
        <v>150</v>
      </c>
      <c r="B81" s="5" t="s">
        <v>151</v>
      </c>
      <c r="C81" s="28">
        <v>17329</v>
      </c>
      <c r="D81" s="28">
        <v>10176</v>
      </c>
      <c r="E81" s="28">
        <v>345</v>
      </c>
      <c r="F81" s="28">
        <f>SUM(C81-D81-E81)</f>
        <v>6808</v>
      </c>
      <c r="G81" s="28">
        <v>69812</v>
      </c>
      <c r="H81" s="28">
        <v>33601</v>
      </c>
      <c r="I81" s="28">
        <v>4159</v>
      </c>
      <c r="J81" s="28">
        <f>SUM(G81-H81-I81)</f>
        <v>32052</v>
      </c>
      <c r="K81" s="28">
        <v>1276</v>
      </c>
      <c r="L81" s="28">
        <v>0</v>
      </c>
      <c r="M81" s="28">
        <v>3341</v>
      </c>
      <c r="N81" s="28">
        <v>1391</v>
      </c>
      <c r="O81" s="28">
        <v>1391</v>
      </c>
    </row>
    <row r="82" spans="1:15" ht="12.75" customHeight="1">
      <c r="A82" s="4" t="s">
        <v>152</v>
      </c>
      <c r="B82" s="5" t="s">
        <v>153</v>
      </c>
      <c r="C82" s="28">
        <v>8877</v>
      </c>
      <c r="D82" s="28">
        <v>6591</v>
      </c>
      <c r="E82" s="28">
        <v>101</v>
      </c>
      <c r="F82" s="28">
        <f>SUM(C82-D82-E82)</f>
        <v>2185</v>
      </c>
      <c r="G82" s="28">
        <v>39680</v>
      </c>
      <c r="H82" s="28">
        <v>19619</v>
      </c>
      <c r="I82" s="28">
        <v>1111</v>
      </c>
      <c r="J82" s="28">
        <f>SUM(G82-H82-I82)</f>
        <v>18950</v>
      </c>
      <c r="K82" s="28">
        <v>432</v>
      </c>
      <c r="L82" s="28">
        <v>4</v>
      </c>
      <c r="M82" s="28">
        <v>2694</v>
      </c>
      <c r="N82" s="28">
        <v>269</v>
      </c>
      <c r="O82" s="28">
        <v>269</v>
      </c>
    </row>
    <row r="83" spans="1:15" ht="12.75" customHeight="1">
      <c r="A83" s="4" t="s">
        <v>154</v>
      </c>
      <c r="B83" s="5" t="s">
        <v>155</v>
      </c>
      <c r="C83" s="28">
        <v>2204</v>
      </c>
      <c r="D83" s="28">
        <v>2080</v>
      </c>
      <c r="E83" s="28">
        <v>113</v>
      </c>
      <c r="F83" s="28">
        <f>SUM(C83-D83-E83)</f>
        <v>11</v>
      </c>
      <c r="G83" s="28">
        <v>7159</v>
      </c>
      <c r="H83" s="28">
        <v>6209</v>
      </c>
      <c r="I83" s="28">
        <v>857</v>
      </c>
      <c r="J83" s="28">
        <f>SUM(G83-H83-I83)</f>
        <v>93</v>
      </c>
      <c r="K83" s="28">
        <v>0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7957</v>
      </c>
      <c r="D84" s="28">
        <v>7369</v>
      </c>
      <c r="E84" s="28">
        <v>98</v>
      </c>
      <c r="F84" s="28">
        <f>SUM(C84-D84-E84)</f>
        <v>490</v>
      </c>
      <c r="G84" s="28">
        <v>31246</v>
      </c>
      <c r="H84" s="28">
        <v>22028</v>
      </c>
      <c r="I84" s="28">
        <v>1034</v>
      </c>
      <c r="J84" s="28">
        <f>SUM(G84-H84-I84)</f>
        <v>8184</v>
      </c>
      <c r="K84" s="28">
        <v>602</v>
      </c>
      <c r="L84" s="28">
        <v>0</v>
      </c>
      <c r="M84" s="28">
        <v>2078</v>
      </c>
      <c r="N84" s="28">
        <v>115</v>
      </c>
      <c r="O84" s="28">
        <v>115</v>
      </c>
    </row>
    <row r="85" spans="1:15" ht="12.75" customHeight="1">
      <c r="A85" s="4" t="s">
        <v>158</v>
      </c>
      <c r="B85" s="5" t="s">
        <v>159</v>
      </c>
      <c r="C85" s="28">
        <v>12843</v>
      </c>
      <c r="D85" s="28">
        <v>11553</v>
      </c>
      <c r="E85" s="28">
        <v>362</v>
      </c>
      <c r="F85" s="28">
        <f>SUM(C85-D85-E85)</f>
        <v>928</v>
      </c>
      <c r="G85" s="28">
        <v>40060</v>
      </c>
      <c r="H85" s="28">
        <v>28225</v>
      </c>
      <c r="I85" s="28">
        <v>2498</v>
      </c>
      <c r="J85" s="28">
        <f>SUM(G85-H85-I85)</f>
        <v>9337</v>
      </c>
      <c r="K85" s="28">
        <v>1176</v>
      </c>
      <c r="L85" s="28">
        <v>0</v>
      </c>
      <c r="M85" s="28">
        <v>1489</v>
      </c>
      <c r="N85" s="28">
        <v>9968</v>
      </c>
      <c r="O85" s="28">
        <v>9968</v>
      </c>
    </row>
    <row r="86" spans="1:15" ht="12.75" customHeight="1">
      <c r="A86" s="8"/>
      <c r="B86" s="9" t="s">
        <v>160</v>
      </c>
      <c r="C86" s="29">
        <f t="shared" ref="C86:O86" si="19">SUM(C81:C85)</f>
        <v>49210</v>
      </c>
      <c r="D86" s="29">
        <f t="shared" si="19"/>
        <v>37769</v>
      </c>
      <c r="E86" s="29">
        <f t="shared" si="19"/>
        <v>1019</v>
      </c>
      <c r="F86" s="29">
        <f t="shared" si="19"/>
        <v>10422</v>
      </c>
      <c r="G86" s="29">
        <f t="shared" si="19"/>
        <v>187957</v>
      </c>
      <c r="H86" s="29">
        <f t="shared" si="19"/>
        <v>109682</v>
      </c>
      <c r="I86" s="29">
        <f t="shared" si="19"/>
        <v>9659</v>
      </c>
      <c r="J86" s="29">
        <f t="shared" si="19"/>
        <v>68616</v>
      </c>
      <c r="K86" s="29">
        <f t="shared" si="19"/>
        <v>3486</v>
      </c>
      <c r="L86" s="29">
        <f t="shared" si="19"/>
        <v>4</v>
      </c>
      <c r="M86" s="29">
        <f t="shared" si="19"/>
        <v>9617</v>
      </c>
      <c r="N86" s="29">
        <f t="shared" si="19"/>
        <v>11743</v>
      </c>
      <c r="O86" s="29">
        <f t="shared" si="19"/>
        <v>11743</v>
      </c>
    </row>
    <row r="87" spans="1:15" ht="12.75" customHeight="1">
      <c r="A87" s="4" t="s">
        <v>161</v>
      </c>
      <c r="B87" s="5" t="s">
        <v>162</v>
      </c>
      <c r="C87" s="28">
        <v>22552</v>
      </c>
      <c r="D87" s="28">
        <v>19371</v>
      </c>
      <c r="E87" s="28">
        <v>0</v>
      </c>
      <c r="F87" s="28">
        <f>SUM(C87-D87-E87)</f>
        <v>3181</v>
      </c>
      <c r="G87" s="28">
        <v>88078</v>
      </c>
      <c r="H87" s="28">
        <v>52823</v>
      </c>
      <c r="I87" s="28">
        <v>0</v>
      </c>
      <c r="J87" s="28">
        <f>SUM(G87-H87-I87)</f>
        <v>35255</v>
      </c>
      <c r="K87" s="28">
        <v>1751</v>
      </c>
      <c r="L87" s="28">
        <v>142</v>
      </c>
      <c r="M87" s="28">
        <v>4313</v>
      </c>
      <c r="N87" s="28">
        <v>674</v>
      </c>
      <c r="O87" s="28">
        <v>674</v>
      </c>
    </row>
    <row r="88" spans="1:15" ht="12.75" customHeight="1">
      <c r="A88" s="4" t="s">
        <v>163</v>
      </c>
      <c r="B88" s="5" t="s">
        <v>164</v>
      </c>
      <c r="C88" s="28">
        <v>19568</v>
      </c>
      <c r="D88" s="28">
        <v>8257</v>
      </c>
      <c r="E88" s="28">
        <v>517</v>
      </c>
      <c r="F88" s="28">
        <f>SUM(C88-D88-E88)</f>
        <v>10794</v>
      </c>
      <c r="G88" s="28">
        <v>55473</v>
      </c>
      <c r="H88" s="28">
        <v>21261</v>
      </c>
      <c r="I88" s="28">
        <v>5077</v>
      </c>
      <c r="J88" s="28">
        <f>SUM(G88-H88-I88)</f>
        <v>29135</v>
      </c>
      <c r="K88" s="28">
        <v>582</v>
      </c>
      <c r="L88" s="28">
        <v>0</v>
      </c>
      <c r="M88" s="28">
        <v>1522</v>
      </c>
      <c r="N88" s="28">
        <v>149</v>
      </c>
      <c r="O88" s="28">
        <v>149</v>
      </c>
    </row>
    <row r="89" spans="1:15" ht="12.75" customHeight="1">
      <c r="A89" s="8"/>
      <c r="B89" s="9" t="s">
        <v>165</v>
      </c>
      <c r="C89" s="29">
        <f t="shared" ref="C89:O89" si="20">SUM(C87:C88)</f>
        <v>42120</v>
      </c>
      <c r="D89" s="29">
        <f t="shared" si="20"/>
        <v>27628</v>
      </c>
      <c r="E89" s="29">
        <f t="shared" si="20"/>
        <v>517</v>
      </c>
      <c r="F89" s="29">
        <f t="shared" si="20"/>
        <v>13975</v>
      </c>
      <c r="G89" s="29">
        <f t="shared" si="20"/>
        <v>143551</v>
      </c>
      <c r="H89" s="29">
        <f t="shared" si="20"/>
        <v>74084</v>
      </c>
      <c r="I89" s="29">
        <f t="shared" si="20"/>
        <v>5077</v>
      </c>
      <c r="J89" s="29">
        <f t="shared" si="20"/>
        <v>64390</v>
      </c>
      <c r="K89" s="29">
        <f t="shared" si="20"/>
        <v>2333</v>
      </c>
      <c r="L89" s="29">
        <f t="shared" si="20"/>
        <v>142</v>
      </c>
      <c r="M89" s="29">
        <f t="shared" si="20"/>
        <v>5835</v>
      </c>
      <c r="N89" s="29">
        <f t="shared" si="20"/>
        <v>823</v>
      </c>
      <c r="O89" s="29">
        <f t="shared" si="20"/>
        <v>823</v>
      </c>
    </row>
    <row r="90" spans="1:15" ht="12.75" customHeight="1">
      <c r="A90" s="4" t="s">
        <v>166</v>
      </c>
      <c r="B90" s="5" t="s">
        <v>167</v>
      </c>
      <c r="C90" s="28">
        <v>18322</v>
      </c>
      <c r="D90" s="28">
        <v>13225</v>
      </c>
      <c r="E90" s="28">
        <v>974</v>
      </c>
      <c r="F90" s="28">
        <f>SUM(C90-D90-E90)</f>
        <v>4123</v>
      </c>
      <c r="G90" s="28">
        <v>78797</v>
      </c>
      <c r="H90" s="28">
        <v>36408</v>
      </c>
      <c r="I90" s="28">
        <v>8391</v>
      </c>
      <c r="J90" s="28">
        <f>SUM(G90-H90-I90)</f>
        <v>33998</v>
      </c>
      <c r="K90" s="28">
        <v>1078</v>
      </c>
      <c r="L90" s="28">
        <v>61</v>
      </c>
      <c r="M90" s="28">
        <v>1396</v>
      </c>
      <c r="N90" s="28">
        <v>14</v>
      </c>
      <c r="O90" s="28">
        <v>14</v>
      </c>
    </row>
    <row r="91" spans="1:15" ht="12.75" customHeight="1">
      <c r="A91" s="4" t="s">
        <v>168</v>
      </c>
      <c r="B91" s="5" t="s">
        <v>169</v>
      </c>
      <c r="C91" s="28">
        <v>21942</v>
      </c>
      <c r="D91" s="28">
        <v>18003</v>
      </c>
      <c r="E91" s="28">
        <v>0</v>
      </c>
      <c r="F91" s="28">
        <f>SUM(C91-D91-E91)</f>
        <v>3939</v>
      </c>
      <c r="G91" s="28">
        <v>84167</v>
      </c>
      <c r="H91" s="28">
        <v>44425</v>
      </c>
      <c r="I91" s="28">
        <v>0</v>
      </c>
      <c r="J91" s="28">
        <f>SUM(G91-H91-I91)</f>
        <v>39742</v>
      </c>
      <c r="K91" s="28">
        <v>795</v>
      </c>
      <c r="L91" s="28">
        <v>155</v>
      </c>
      <c r="M91" s="28">
        <v>5526</v>
      </c>
      <c r="N91" s="28">
        <v>440</v>
      </c>
      <c r="O91" s="28">
        <v>440</v>
      </c>
    </row>
    <row r="92" spans="1:15" ht="12.75" customHeight="1">
      <c r="A92" s="4" t="s">
        <v>170</v>
      </c>
      <c r="B92" s="5" t="s">
        <v>171</v>
      </c>
      <c r="C92" s="28">
        <v>4522</v>
      </c>
      <c r="D92" s="28">
        <v>2995</v>
      </c>
      <c r="E92" s="28">
        <v>456</v>
      </c>
      <c r="F92" s="28">
        <f>SUM(C92-D92-E92)</f>
        <v>1071</v>
      </c>
      <c r="G92" s="28">
        <v>15095</v>
      </c>
      <c r="H92" s="28">
        <v>7839</v>
      </c>
      <c r="I92" s="28">
        <v>5094</v>
      </c>
      <c r="J92" s="28">
        <f>SUM(G92-H92-I92)</f>
        <v>2162</v>
      </c>
      <c r="K92" s="28">
        <v>440</v>
      </c>
      <c r="L92" s="28">
        <v>0</v>
      </c>
      <c r="M92" s="28">
        <v>464</v>
      </c>
      <c r="N92" s="28">
        <v>14</v>
      </c>
      <c r="O92" s="28">
        <v>14</v>
      </c>
    </row>
    <row r="93" spans="1:15" ht="12.75" customHeight="1">
      <c r="A93" s="4" t="s">
        <v>172</v>
      </c>
      <c r="B93" s="5" t="s">
        <v>173</v>
      </c>
      <c r="C93" s="28">
        <v>194447</v>
      </c>
      <c r="D93" s="28">
        <v>154135</v>
      </c>
      <c r="E93" s="28">
        <v>8611</v>
      </c>
      <c r="F93" s="28">
        <f>SUM(C93-D93-E93)</f>
        <v>31701</v>
      </c>
      <c r="G93" s="28">
        <v>544160</v>
      </c>
      <c r="H93" s="28">
        <v>253913</v>
      </c>
      <c r="I93" s="28">
        <v>29327</v>
      </c>
      <c r="J93" s="28">
        <f>SUM(G93-H93-I93)</f>
        <v>260920</v>
      </c>
      <c r="K93" s="28">
        <v>31892</v>
      </c>
      <c r="L93" s="28">
        <v>37</v>
      </c>
      <c r="M93" s="28">
        <v>35741</v>
      </c>
      <c r="N93" s="28">
        <v>15821</v>
      </c>
      <c r="O93" s="28">
        <v>13506</v>
      </c>
    </row>
    <row r="94" spans="1:15" ht="12.75" customHeight="1">
      <c r="A94" s="4" t="s">
        <v>174</v>
      </c>
      <c r="B94" s="5" t="s">
        <v>175</v>
      </c>
      <c r="C94" s="28">
        <v>16178</v>
      </c>
      <c r="D94" s="28">
        <v>5871</v>
      </c>
      <c r="E94" s="28">
        <v>230</v>
      </c>
      <c r="F94" s="28">
        <f>SUM(C94-D94-E94)</f>
        <v>10077</v>
      </c>
      <c r="G94" s="28">
        <v>52900</v>
      </c>
      <c r="H94" s="28">
        <v>16478</v>
      </c>
      <c r="I94" s="28">
        <v>2245</v>
      </c>
      <c r="J94" s="28">
        <f>SUM(G94-H94-I94)</f>
        <v>34177</v>
      </c>
      <c r="K94" s="28">
        <v>2313</v>
      </c>
      <c r="L94" s="28">
        <v>1239</v>
      </c>
      <c r="M94" s="28">
        <v>5167</v>
      </c>
      <c r="N94" s="28">
        <v>117</v>
      </c>
      <c r="O94" s="28">
        <v>117</v>
      </c>
    </row>
    <row r="95" spans="1:15" ht="12.75" customHeight="1">
      <c r="A95" s="8"/>
      <c r="B95" s="9" t="s">
        <v>176</v>
      </c>
      <c r="C95" s="29">
        <f t="shared" ref="C95:O95" si="21">SUM(C90:C94)</f>
        <v>255411</v>
      </c>
      <c r="D95" s="29">
        <f t="shared" si="21"/>
        <v>194229</v>
      </c>
      <c r="E95" s="29">
        <f t="shared" si="21"/>
        <v>10271</v>
      </c>
      <c r="F95" s="29">
        <f t="shared" si="21"/>
        <v>50911</v>
      </c>
      <c r="G95" s="29">
        <f t="shared" si="21"/>
        <v>775119</v>
      </c>
      <c r="H95" s="29">
        <f t="shared" si="21"/>
        <v>359063</v>
      </c>
      <c r="I95" s="29">
        <f t="shared" si="21"/>
        <v>45057</v>
      </c>
      <c r="J95" s="29">
        <f t="shared" si="21"/>
        <v>370999</v>
      </c>
      <c r="K95" s="29">
        <f t="shared" si="21"/>
        <v>36518</v>
      </c>
      <c r="L95" s="29">
        <f t="shared" si="21"/>
        <v>1492</v>
      </c>
      <c r="M95" s="29">
        <f t="shared" si="21"/>
        <v>48294</v>
      </c>
      <c r="N95" s="29">
        <f t="shared" si="21"/>
        <v>16406</v>
      </c>
      <c r="O95" s="29">
        <f t="shared" si="21"/>
        <v>14091</v>
      </c>
    </row>
    <row r="96" spans="1:15" ht="12.75" customHeight="1">
      <c r="A96" s="4" t="s">
        <v>177</v>
      </c>
      <c r="B96" s="5" t="s">
        <v>178</v>
      </c>
      <c r="C96" s="28">
        <v>4169</v>
      </c>
      <c r="D96" s="28">
        <v>3514</v>
      </c>
      <c r="E96" s="28">
        <v>96</v>
      </c>
      <c r="F96" s="28">
        <f>SUM(C96-D96-E96)</f>
        <v>559</v>
      </c>
      <c r="G96" s="28">
        <v>21783</v>
      </c>
      <c r="H96" s="28">
        <v>12891</v>
      </c>
      <c r="I96" s="28">
        <v>1028</v>
      </c>
      <c r="J96" s="28">
        <f>SUM(G96-H96-I96)</f>
        <v>7864</v>
      </c>
      <c r="K96" s="28">
        <v>31</v>
      </c>
      <c r="L96" s="28">
        <v>0</v>
      </c>
      <c r="M96" s="28">
        <v>3845</v>
      </c>
      <c r="N96" s="28">
        <v>71</v>
      </c>
      <c r="O96" s="28">
        <v>71</v>
      </c>
    </row>
    <row r="97" spans="1:15" ht="12.75" customHeight="1">
      <c r="A97" s="4" t="s">
        <v>179</v>
      </c>
      <c r="B97" s="5" t="s">
        <v>180</v>
      </c>
      <c r="C97" s="28">
        <v>1664</v>
      </c>
      <c r="D97" s="28">
        <v>1463</v>
      </c>
      <c r="E97" s="28">
        <v>0</v>
      </c>
      <c r="F97" s="28">
        <f>SUM(C97-D97-E97)</f>
        <v>201</v>
      </c>
      <c r="G97" s="28">
        <v>5384</v>
      </c>
      <c r="H97" s="28">
        <v>4447</v>
      </c>
      <c r="I97" s="28">
        <v>0</v>
      </c>
      <c r="J97" s="28">
        <f>SUM(G97-H97-I97)</f>
        <v>937</v>
      </c>
      <c r="K97" s="28">
        <v>18</v>
      </c>
      <c r="L97" s="28">
        <v>0</v>
      </c>
      <c r="M97" s="28">
        <v>3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5833</v>
      </c>
      <c r="D98" s="29">
        <f t="shared" si="22"/>
        <v>4977</v>
      </c>
      <c r="E98" s="29">
        <f t="shared" si="22"/>
        <v>96</v>
      </c>
      <c r="F98" s="29">
        <f t="shared" si="22"/>
        <v>760</v>
      </c>
      <c r="G98" s="29">
        <f t="shared" si="22"/>
        <v>27167</v>
      </c>
      <c r="H98" s="29">
        <f t="shared" si="22"/>
        <v>17338</v>
      </c>
      <c r="I98" s="29">
        <f t="shared" si="22"/>
        <v>1028</v>
      </c>
      <c r="J98" s="29">
        <f t="shared" si="22"/>
        <v>8801</v>
      </c>
      <c r="K98" s="29">
        <f t="shared" si="22"/>
        <v>49</v>
      </c>
      <c r="L98" s="29">
        <f t="shared" si="22"/>
        <v>0</v>
      </c>
      <c r="M98" s="29">
        <f t="shared" si="22"/>
        <v>3848</v>
      </c>
      <c r="N98" s="29">
        <f t="shared" si="22"/>
        <v>71</v>
      </c>
      <c r="O98" s="29">
        <f t="shared" si="22"/>
        <v>71</v>
      </c>
    </row>
    <row r="99" spans="1:15" ht="12.75" customHeight="1">
      <c r="A99" s="4" t="s">
        <v>182</v>
      </c>
      <c r="B99" s="5" t="s">
        <v>183</v>
      </c>
      <c r="C99" s="28">
        <v>11372</v>
      </c>
      <c r="D99" s="28">
        <v>10339</v>
      </c>
      <c r="E99" s="28">
        <v>267</v>
      </c>
      <c r="F99" s="28">
        <f>SUM(C99-D99-E99)</f>
        <v>766</v>
      </c>
      <c r="G99" s="28">
        <v>49044</v>
      </c>
      <c r="H99" s="28">
        <v>30974</v>
      </c>
      <c r="I99" s="28">
        <v>2464</v>
      </c>
      <c r="J99" s="28">
        <f>SUM(G99-H99-I99)</f>
        <v>15606</v>
      </c>
      <c r="K99" s="28">
        <v>272</v>
      </c>
      <c r="L99" s="28">
        <v>0</v>
      </c>
      <c r="M99" s="28">
        <v>2382</v>
      </c>
      <c r="N99" s="28">
        <v>143</v>
      </c>
      <c r="O99" s="28">
        <v>143</v>
      </c>
    </row>
    <row r="100" spans="1:15" ht="12.75" customHeight="1">
      <c r="A100" s="4" t="s">
        <v>184</v>
      </c>
      <c r="B100" s="5" t="s">
        <v>185</v>
      </c>
      <c r="C100" s="28">
        <v>12490</v>
      </c>
      <c r="D100" s="28">
        <v>7317</v>
      </c>
      <c r="E100" s="28">
        <v>489</v>
      </c>
      <c r="F100" s="28">
        <f>SUM(C100-D100-E100)</f>
        <v>4684</v>
      </c>
      <c r="G100" s="28">
        <v>39610</v>
      </c>
      <c r="H100" s="28">
        <v>19700</v>
      </c>
      <c r="I100" s="28">
        <v>2898</v>
      </c>
      <c r="J100" s="28">
        <f>SUM(G100-H100-I100)</f>
        <v>17012</v>
      </c>
      <c r="K100" s="28">
        <v>475</v>
      </c>
      <c r="L100" s="28">
        <v>0</v>
      </c>
      <c r="M100" s="28">
        <v>935</v>
      </c>
      <c r="N100" s="28">
        <v>1516</v>
      </c>
      <c r="O100" s="28">
        <v>1516</v>
      </c>
    </row>
    <row r="101" spans="1:15" ht="12.75" customHeight="1">
      <c r="A101" s="4" t="s">
        <v>186</v>
      </c>
      <c r="B101" s="5" t="s">
        <v>187</v>
      </c>
      <c r="C101" s="28">
        <v>6341</v>
      </c>
      <c r="D101" s="28">
        <v>5647</v>
      </c>
      <c r="E101" s="28">
        <v>0</v>
      </c>
      <c r="F101" s="28">
        <f>SUM(C101-D101-E101)</f>
        <v>694</v>
      </c>
      <c r="G101" s="28">
        <v>21496</v>
      </c>
      <c r="H101" s="28">
        <v>14907</v>
      </c>
      <c r="I101" s="28">
        <v>0</v>
      </c>
      <c r="J101" s="28">
        <f>SUM(G101-H101-I101)</f>
        <v>6589</v>
      </c>
      <c r="K101" s="28">
        <v>105</v>
      </c>
      <c r="L101" s="28">
        <v>0</v>
      </c>
      <c r="M101" s="28">
        <v>722</v>
      </c>
      <c r="N101" s="28">
        <v>111</v>
      </c>
      <c r="O101" s="28">
        <v>111</v>
      </c>
    </row>
    <row r="102" spans="1:15" ht="12.75" customHeight="1">
      <c r="A102" s="4" t="s">
        <v>188</v>
      </c>
      <c r="B102" s="5" t="s">
        <v>189</v>
      </c>
      <c r="C102" s="28">
        <v>10080</v>
      </c>
      <c r="D102" s="28">
        <v>8745</v>
      </c>
      <c r="E102" s="28">
        <v>418</v>
      </c>
      <c r="F102" s="28">
        <f>SUM(C102-D102-E102)</f>
        <v>917</v>
      </c>
      <c r="G102" s="28">
        <v>36338</v>
      </c>
      <c r="H102" s="28">
        <v>20607</v>
      </c>
      <c r="I102" s="28">
        <v>4852</v>
      </c>
      <c r="J102" s="28">
        <f>SUM(G102-H102-I102)</f>
        <v>10879</v>
      </c>
      <c r="K102" s="28">
        <v>775</v>
      </c>
      <c r="L102" s="28">
        <v>0</v>
      </c>
      <c r="M102" s="28">
        <v>1854</v>
      </c>
      <c r="N102" s="28">
        <v>20</v>
      </c>
      <c r="O102" s="28">
        <v>20</v>
      </c>
    </row>
    <row r="103" spans="1:15" ht="12.75" customHeight="1">
      <c r="A103" s="8"/>
      <c r="B103" s="9" t="s">
        <v>190</v>
      </c>
      <c r="C103" s="29">
        <f t="shared" ref="C103:O103" si="23">SUM(C99:C102)</f>
        <v>40283</v>
      </c>
      <c r="D103" s="29">
        <f t="shared" si="23"/>
        <v>32048</v>
      </c>
      <c r="E103" s="29">
        <f t="shared" si="23"/>
        <v>1174</v>
      </c>
      <c r="F103" s="29">
        <f t="shared" si="23"/>
        <v>7061</v>
      </c>
      <c r="G103" s="29">
        <f t="shared" si="23"/>
        <v>146488</v>
      </c>
      <c r="H103" s="29">
        <f t="shared" si="23"/>
        <v>86188</v>
      </c>
      <c r="I103" s="29">
        <f t="shared" si="23"/>
        <v>10214</v>
      </c>
      <c r="J103" s="29">
        <f t="shared" si="23"/>
        <v>50086</v>
      </c>
      <c r="K103" s="29">
        <f t="shared" si="23"/>
        <v>1627</v>
      </c>
      <c r="L103" s="29">
        <f t="shared" si="23"/>
        <v>0</v>
      </c>
      <c r="M103" s="29">
        <f t="shared" si="23"/>
        <v>5893</v>
      </c>
      <c r="N103" s="29">
        <f t="shared" si="23"/>
        <v>1790</v>
      </c>
      <c r="O103" s="29">
        <f t="shared" si="23"/>
        <v>1790</v>
      </c>
    </row>
    <row r="104" spans="1:15" ht="12.75" customHeight="1">
      <c r="A104" s="4" t="s">
        <v>191</v>
      </c>
      <c r="B104" s="5" t="s">
        <v>192</v>
      </c>
      <c r="C104" s="28">
        <v>8115</v>
      </c>
      <c r="D104" s="28">
        <v>6492</v>
      </c>
      <c r="E104" s="28">
        <v>235</v>
      </c>
      <c r="F104" s="28">
        <f>SUM(C104-D104-E104)</f>
        <v>1388</v>
      </c>
      <c r="G104" s="28">
        <v>32934</v>
      </c>
      <c r="H104" s="28">
        <v>20030</v>
      </c>
      <c r="I104" s="28">
        <v>2310</v>
      </c>
      <c r="J104" s="28">
        <f>SUM(G104-H104-I104)</f>
        <v>10594</v>
      </c>
      <c r="K104" s="28">
        <v>548</v>
      </c>
      <c r="L104" s="28">
        <v>0</v>
      </c>
      <c r="M104" s="28">
        <v>1224</v>
      </c>
      <c r="N104" s="28">
        <v>162</v>
      </c>
      <c r="O104" s="28">
        <v>162</v>
      </c>
    </row>
    <row r="105" spans="1:15" ht="12.75" customHeight="1">
      <c r="A105" s="4" t="s">
        <v>193</v>
      </c>
      <c r="B105" s="5" t="s">
        <v>194</v>
      </c>
      <c r="C105" s="28">
        <v>5485</v>
      </c>
      <c r="D105" s="28">
        <v>3914</v>
      </c>
      <c r="E105" s="28">
        <v>0</v>
      </c>
      <c r="F105" s="28">
        <f>SUM(C105-D105-E105)</f>
        <v>1571</v>
      </c>
      <c r="G105" s="28">
        <v>25245</v>
      </c>
      <c r="H105" s="28">
        <v>11541</v>
      </c>
      <c r="I105" s="28">
        <v>0</v>
      </c>
      <c r="J105" s="28">
        <f>SUM(G105-H105-I105)</f>
        <v>13704</v>
      </c>
      <c r="K105" s="28">
        <v>179</v>
      </c>
      <c r="L105" s="28">
        <v>0</v>
      </c>
      <c r="M105" s="28">
        <v>2086</v>
      </c>
      <c r="N105" s="28">
        <v>26</v>
      </c>
      <c r="O105" s="28">
        <v>26</v>
      </c>
    </row>
    <row r="106" spans="1:15" ht="12.75" customHeight="1">
      <c r="A106" s="4" t="s">
        <v>195</v>
      </c>
      <c r="B106" s="5" t="s">
        <v>196</v>
      </c>
      <c r="C106" s="28">
        <v>27063</v>
      </c>
      <c r="D106" s="28">
        <v>17835</v>
      </c>
      <c r="E106" s="28">
        <v>621</v>
      </c>
      <c r="F106" s="28">
        <f>SUM(C106-D106-E106)</f>
        <v>8607</v>
      </c>
      <c r="G106" s="28">
        <v>128798</v>
      </c>
      <c r="H106" s="28">
        <v>50846</v>
      </c>
      <c r="I106" s="28">
        <v>4385</v>
      </c>
      <c r="J106" s="28">
        <f>SUM(G106-H106-I106)</f>
        <v>73567</v>
      </c>
      <c r="K106" s="28">
        <v>545</v>
      </c>
      <c r="L106" s="28">
        <v>0</v>
      </c>
      <c r="M106" s="28">
        <v>15765</v>
      </c>
      <c r="N106" s="28">
        <v>1290</v>
      </c>
      <c r="O106" s="28">
        <v>1290</v>
      </c>
    </row>
    <row r="107" spans="1:15" ht="12.75" customHeight="1">
      <c r="A107" s="4" t="s">
        <v>197</v>
      </c>
      <c r="B107" s="5" t="s">
        <v>198</v>
      </c>
      <c r="C107" s="28">
        <v>93930</v>
      </c>
      <c r="D107" s="28">
        <v>57581</v>
      </c>
      <c r="E107" s="28">
        <v>2398</v>
      </c>
      <c r="F107" s="28">
        <f>SUM(C107-D107-E107)</f>
        <v>33951</v>
      </c>
      <c r="G107" s="28">
        <v>257221</v>
      </c>
      <c r="H107" s="28">
        <v>103522</v>
      </c>
      <c r="I107" s="28">
        <v>6665</v>
      </c>
      <c r="J107" s="28">
        <f>SUM(G107-H107-I107)</f>
        <v>147034</v>
      </c>
      <c r="K107" s="28">
        <v>10186</v>
      </c>
      <c r="L107" s="28">
        <v>0</v>
      </c>
      <c r="M107" s="28">
        <v>2404</v>
      </c>
      <c r="N107" s="28">
        <v>5780</v>
      </c>
      <c r="O107" s="28">
        <v>5780</v>
      </c>
    </row>
    <row r="108" spans="1:15" ht="12.75" customHeight="1">
      <c r="A108" s="4" t="s">
        <v>199</v>
      </c>
      <c r="B108" s="5" t="s">
        <v>200</v>
      </c>
      <c r="C108" s="28">
        <v>22992</v>
      </c>
      <c r="D108" s="28">
        <v>16479</v>
      </c>
      <c r="E108" s="28">
        <v>567</v>
      </c>
      <c r="F108" s="28">
        <f>SUM(C108-D108-E108)</f>
        <v>5946</v>
      </c>
      <c r="G108" s="28">
        <v>126415</v>
      </c>
      <c r="H108" s="28">
        <v>50527</v>
      </c>
      <c r="I108" s="28">
        <v>4953</v>
      </c>
      <c r="J108" s="28">
        <f>SUM(G108-H108-I108)</f>
        <v>70935</v>
      </c>
      <c r="K108" s="28">
        <v>1202</v>
      </c>
      <c r="L108" s="28">
        <v>0</v>
      </c>
      <c r="M108" s="28">
        <v>5054</v>
      </c>
      <c r="N108" s="28">
        <v>1809</v>
      </c>
      <c r="O108" s="28">
        <v>1809</v>
      </c>
    </row>
    <row r="109" spans="1:15" ht="12.75" customHeight="1">
      <c r="A109" s="8"/>
      <c r="B109" s="9" t="s">
        <v>201</v>
      </c>
      <c r="C109" s="29">
        <f t="shared" ref="C109:O109" si="24">SUM(C104:C108)</f>
        <v>157585</v>
      </c>
      <c r="D109" s="29">
        <f t="shared" si="24"/>
        <v>102301</v>
      </c>
      <c r="E109" s="29">
        <f t="shared" si="24"/>
        <v>3821</v>
      </c>
      <c r="F109" s="29">
        <f t="shared" si="24"/>
        <v>51463</v>
      </c>
      <c r="G109" s="29">
        <f t="shared" si="24"/>
        <v>570613</v>
      </c>
      <c r="H109" s="29">
        <f t="shared" si="24"/>
        <v>236466</v>
      </c>
      <c r="I109" s="29">
        <f t="shared" si="24"/>
        <v>18313</v>
      </c>
      <c r="J109" s="29">
        <f t="shared" si="24"/>
        <v>315834</v>
      </c>
      <c r="K109" s="29">
        <f t="shared" si="24"/>
        <v>12660</v>
      </c>
      <c r="L109" s="29">
        <f t="shared" si="24"/>
        <v>0</v>
      </c>
      <c r="M109" s="29">
        <f t="shared" si="24"/>
        <v>26533</v>
      </c>
      <c r="N109" s="29">
        <f t="shared" si="24"/>
        <v>9067</v>
      </c>
      <c r="O109" s="29">
        <f t="shared" si="24"/>
        <v>9067</v>
      </c>
    </row>
    <row r="110" spans="1:15" ht="12.75" customHeight="1">
      <c r="A110" s="4" t="s">
        <v>202</v>
      </c>
      <c r="B110" s="5" t="s">
        <v>203</v>
      </c>
      <c r="C110" s="28">
        <v>38635</v>
      </c>
      <c r="D110" s="28">
        <v>33299</v>
      </c>
      <c r="E110" s="28">
        <v>270</v>
      </c>
      <c r="F110" s="28">
        <f t="shared" ref="F110:F115" si="25">SUM(C110-D110-E110)</f>
        <v>5066</v>
      </c>
      <c r="G110" s="28">
        <v>154658</v>
      </c>
      <c r="H110" s="28">
        <v>99592</v>
      </c>
      <c r="I110" s="28">
        <v>3520</v>
      </c>
      <c r="J110" s="28">
        <f t="shared" ref="J110:J115" si="26">SUM(G110-H110-I110)</f>
        <v>51546</v>
      </c>
      <c r="K110" s="28">
        <v>3103</v>
      </c>
      <c r="L110" s="28">
        <v>0</v>
      </c>
      <c r="M110" s="28">
        <v>8825</v>
      </c>
      <c r="N110" s="28">
        <v>1229</v>
      </c>
      <c r="O110" s="28">
        <v>1229</v>
      </c>
    </row>
    <row r="111" spans="1:15" ht="12.75" customHeight="1">
      <c r="A111" s="4" t="s">
        <v>204</v>
      </c>
      <c r="B111" s="5" t="s">
        <v>205</v>
      </c>
      <c r="C111" s="28">
        <v>3778</v>
      </c>
      <c r="D111" s="28">
        <v>3537</v>
      </c>
      <c r="E111" s="28">
        <v>51</v>
      </c>
      <c r="F111" s="28">
        <f t="shared" si="25"/>
        <v>190</v>
      </c>
      <c r="G111" s="28">
        <v>12614</v>
      </c>
      <c r="H111" s="28">
        <v>9380</v>
      </c>
      <c r="I111" s="28">
        <v>442</v>
      </c>
      <c r="J111" s="28">
        <f t="shared" si="26"/>
        <v>2792</v>
      </c>
      <c r="K111" s="28">
        <v>157</v>
      </c>
      <c r="L111" s="28">
        <v>0</v>
      </c>
      <c r="M111" s="28">
        <v>1203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12006</v>
      </c>
      <c r="D112" s="28">
        <v>10185</v>
      </c>
      <c r="E112" s="28">
        <v>0</v>
      </c>
      <c r="F112" s="28">
        <f t="shared" si="25"/>
        <v>1821</v>
      </c>
      <c r="G112" s="28">
        <v>38854</v>
      </c>
      <c r="H112" s="28">
        <v>30465</v>
      </c>
      <c r="I112" s="28">
        <v>0</v>
      </c>
      <c r="J112" s="28">
        <f t="shared" si="26"/>
        <v>8389</v>
      </c>
      <c r="K112" s="28">
        <v>973</v>
      </c>
      <c r="L112" s="28">
        <v>4735</v>
      </c>
      <c r="M112" s="28">
        <v>1561</v>
      </c>
      <c r="N112" s="28">
        <v>9794</v>
      </c>
      <c r="O112" s="28">
        <v>9794</v>
      </c>
    </row>
    <row r="113" spans="1:15" ht="12.75" customHeight="1">
      <c r="A113" s="4" t="s">
        <v>208</v>
      </c>
      <c r="B113" s="5" t="s">
        <v>209</v>
      </c>
      <c r="C113" s="28">
        <v>12203</v>
      </c>
      <c r="D113" s="28">
        <v>8678</v>
      </c>
      <c r="E113" s="28">
        <v>311</v>
      </c>
      <c r="F113" s="28">
        <f t="shared" si="25"/>
        <v>3214</v>
      </c>
      <c r="G113" s="28">
        <v>44119</v>
      </c>
      <c r="H113" s="28">
        <v>25804</v>
      </c>
      <c r="I113" s="28">
        <v>2560</v>
      </c>
      <c r="J113" s="28">
        <f t="shared" si="26"/>
        <v>15755</v>
      </c>
      <c r="K113" s="28">
        <v>1341</v>
      </c>
      <c r="L113" s="28">
        <v>0</v>
      </c>
      <c r="M113" s="28">
        <v>6835</v>
      </c>
      <c r="N113" s="28">
        <v>72</v>
      </c>
      <c r="O113" s="28">
        <v>72</v>
      </c>
    </row>
    <row r="114" spans="1:15" ht="12.75" customHeight="1">
      <c r="A114" s="4" t="s">
        <v>210</v>
      </c>
      <c r="B114" s="5" t="s">
        <v>211</v>
      </c>
      <c r="C114" s="28">
        <v>48394</v>
      </c>
      <c r="D114" s="28">
        <v>23669</v>
      </c>
      <c r="E114" s="28">
        <v>0</v>
      </c>
      <c r="F114" s="28">
        <f t="shared" si="25"/>
        <v>24725</v>
      </c>
      <c r="G114" s="28">
        <v>142132</v>
      </c>
      <c r="H114" s="28">
        <v>55391</v>
      </c>
      <c r="I114" s="28">
        <v>0</v>
      </c>
      <c r="J114" s="28">
        <f t="shared" si="26"/>
        <v>86741</v>
      </c>
      <c r="K114" s="28">
        <v>8903</v>
      </c>
      <c r="L114" s="28">
        <v>0</v>
      </c>
      <c r="M114" s="28">
        <v>9166</v>
      </c>
      <c r="N114" s="28">
        <v>4012</v>
      </c>
      <c r="O114" s="28">
        <v>4012</v>
      </c>
    </row>
    <row r="115" spans="1:15" ht="12.75" customHeight="1">
      <c r="A115" s="4" t="s">
        <v>212</v>
      </c>
      <c r="B115" s="5" t="s">
        <v>213</v>
      </c>
      <c r="C115" s="28">
        <v>14923</v>
      </c>
      <c r="D115" s="28">
        <v>13874</v>
      </c>
      <c r="E115" s="28">
        <v>0</v>
      </c>
      <c r="F115" s="28">
        <f t="shared" si="25"/>
        <v>1049</v>
      </c>
      <c r="G115" s="28">
        <v>43912</v>
      </c>
      <c r="H115" s="28">
        <v>37645</v>
      </c>
      <c r="I115" s="28">
        <v>0</v>
      </c>
      <c r="J115" s="28">
        <f t="shared" si="26"/>
        <v>6267</v>
      </c>
      <c r="K115" s="28">
        <v>1636</v>
      </c>
      <c r="L115" s="28">
        <v>0</v>
      </c>
      <c r="M115" s="28">
        <v>1426</v>
      </c>
      <c r="N115" s="28">
        <v>669</v>
      </c>
      <c r="O115" s="28">
        <v>669</v>
      </c>
    </row>
    <row r="116" spans="1:15" ht="12.75" customHeight="1">
      <c r="A116" s="8"/>
      <c r="B116" s="9" t="s">
        <v>214</v>
      </c>
      <c r="C116" s="29">
        <f t="shared" ref="C116:O116" si="27">SUM(C110:C115)</f>
        <v>129939</v>
      </c>
      <c r="D116" s="29">
        <f t="shared" si="27"/>
        <v>93242</v>
      </c>
      <c r="E116" s="29">
        <f t="shared" si="27"/>
        <v>632</v>
      </c>
      <c r="F116" s="29">
        <f t="shared" si="27"/>
        <v>36065</v>
      </c>
      <c r="G116" s="29">
        <f t="shared" si="27"/>
        <v>436289</v>
      </c>
      <c r="H116" s="29">
        <f t="shared" si="27"/>
        <v>258277</v>
      </c>
      <c r="I116" s="29">
        <f t="shared" si="27"/>
        <v>6522</v>
      </c>
      <c r="J116" s="29">
        <f t="shared" si="27"/>
        <v>171490</v>
      </c>
      <c r="K116" s="29">
        <f t="shared" si="27"/>
        <v>16113</v>
      </c>
      <c r="L116" s="29">
        <f t="shared" si="27"/>
        <v>4735</v>
      </c>
      <c r="M116" s="29">
        <f t="shared" si="27"/>
        <v>29016</v>
      </c>
      <c r="N116" s="29">
        <f t="shared" si="27"/>
        <v>15776</v>
      </c>
      <c r="O116" s="29">
        <f t="shared" si="27"/>
        <v>15776</v>
      </c>
    </row>
    <row r="117" spans="1:15" ht="12.75" customHeight="1">
      <c r="A117" s="4" t="s">
        <v>215</v>
      </c>
      <c r="B117" s="5" t="s">
        <v>216</v>
      </c>
      <c r="C117" s="28">
        <v>4319</v>
      </c>
      <c r="D117" s="28">
        <v>3430</v>
      </c>
      <c r="E117" s="28">
        <v>0</v>
      </c>
      <c r="F117" s="28">
        <f>SUM(C117-D117-E117)</f>
        <v>889</v>
      </c>
      <c r="G117" s="28">
        <v>15881</v>
      </c>
      <c r="H117" s="28">
        <v>11068</v>
      </c>
      <c r="I117" s="28">
        <v>0</v>
      </c>
      <c r="J117" s="28">
        <f>SUM(G117-H117-I117)</f>
        <v>4813</v>
      </c>
      <c r="K117" s="28">
        <v>18</v>
      </c>
      <c r="L117" s="28">
        <v>0</v>
      </c>
      <c r="M117" s="28">
        <v>2569</v>
      </c>
      <c r="N117" s="28">
        <v>27</v>
      </c>
      <c r="O117" s="28">
        <v>27</v>
      </c>
    </row>
    <row r="118" spans="1:15" ht="12.75" customHeight="1">
      <c r="A118" s="4" t="s">
        <v>217</v>
      </c>
      <c r="B118" s="5" t="s">
        <v>218</v>
      </c>
      <c r="C118" s="28">
        <v>10443</v>
      </c>
      <c r="D118" s="28">
        <v>9536</v>
      </c>
      <c r="E118" s="28">
        <v>166</v>
      </c>
      <c r="F118" s="28">
        <f>SUM(C118-D118-E118)</f>
        <v>741</v>
      </c>
      <c r="G118" s="28">
        <v>41640</v>
      </c>
      <c r="H118" s="28">
        <v>26861</v>
      </c>
      <c r="I118" s="28">
        <v>1359</v>
      </c>
      <c r="J118" s="28">
        <f>SUM(G118-H118-I118)</f>
        <v>13420</v>
      </c>
      <c r="K118" s="28">
        <v>337</v>
      </c>
      <c r="L118" s="28">
        <v>0</v>
      </c>
      <c r="M118" s="28">
        <v>2079</v>
      </c>
      <c r="N118" s="28">
        <v>898</v>
      </c>
      <c r="O118" s="28">
        <v>898</v>
      </c>
    </row>
    <row r="119" spans="1:15" ht="12.75" customHeight="1">
      <c r="A119" s="8"/>
      <c r="B119" s="9" t="s">
        <v>219</v>
      </c>
      <c r="C119" s="29">
        <f t="shared" ref="C119:O119" si="28">SUM(C117:C118)</f>
        <v>14762</v>
      </c>
      <c r="D119" s="29">
        <f t="shared" si="28"/>
        <v>12966</v>
      </c>
      <c r="E119" s="29">
        <f t="shared" si="28"/>
        <v>166</v>
      </c>
      <c r="F119" s="29">
        <f t="shared" si="28"/>
        <v>1630</v>
      </c>
      <c r="G119" s="29">
        <f t="shared" si="28"/>
        <v>57521</v>
      </c>
      <c r="H119" s="29">
        <f t="shared" si="28"/>
        <v>37929</v>
      </c>
      <c r="I119" s="29">
        <f t="shared" si="28"/>
        <v>1359</v>
      </c>
      <c r="J119" s="29">
        <f t="shared" si="28"/>
        <v>18233</v>
      </c>
      <c r="K119" s="29">
        <f t="shared" si="28"/>
        <v>355</v>
      </c>
      <c r="L119" s="29">
        <f t="shared" si="28"/>
        <v>0</v>
      </c>
      <c r="M119" s="29">
        <f t="shared" si="28"/>
        <v>4648</v>
      </c>
      <c r="N119" s="29">
        <f t="shared" si="28"/>
        <v>925</v>
      </c>
      <c r="O119" s="29">
        <f t="shared" si="28"/>
        <v>925</v>
      </c>
    </row>
    <row r="120" spans="1:15" ht="12.75" customHeight="1">
      <c r="A120" s="4" t="s">
        <v>220</v>
      </c>
      <c r="B120" s="5" t="s">
        <v>221</v>
      </c>
      <c r="C120" s="28">
        <v>12019</v>
      </c>
      <c r="D120" s="28">
        <v>11254</v>
      </c>
      <c r="E120" s="28">
        <v>146</v>
      </c>
      <c r="F120" s="28">
        <f>SUM(C120-D120-E120)</f>
        <v>619</v>
      </c>
      <c r="G120" s="28">
        <v>37530</v>
      </c>
      <c r="H120" s="28">
        <v>30163</v>
      </c>
      <c r="I120" s="28">
        <v>1909</v>
      </c>
      <c r="J120" s="28">
        <f>SUM(G120-H120-I120)</f>
        <v>5458</v>
      </c>
      <c r="K120" s="28">
        <v>2466</v>
      </c>
      <c r="L120" s="28">
        <v>0</v>
      </c>
      <c r="M120" s="28">
        <v>1587</v>
      </c>
      <c r="N120" s="28">
        <v>1022</v>
      </c>
      <c r="O120" s="28">
        <v>1022</v>
      </c>
    </row>
    <row r="121" spans="1:15" ht="12.75" customHeight="1">
      <c r="A121" s="4" t="s">
        <v>222</v>
      </c>
      <c r="B121" s="5" t="s">
        <v>223</v>
      </c>
      <c r="C121" s="28">
        <v>19758</v>
      </c>
      <c r="D121" s="28">
        <v>18169</v>
      </c>
      <c r="E121" s="28">
        <v>401</v>
      </c>
      <c r="F121" s="28">
        <f>SUM(C121-D121-E121)</f>
        <v>1188</v>
      </c>
      <c r="G121" s="28">
        <v>64794</v>
      </c>
      <c r="H121" s="28">
        <v>49677</v>
      </c>
      <c r="I121" s="28">
        <v>3369</v>
      </c>
      <c r="J121" s="28">
        <f>SUM(G121-H121-I121)</f>
        <v>11748</v>
      </c>
      <c r="K121" s="28">
        <v>365</v>
      </c>
      <c r="L121" s="28">
        <v>1</v>
      </c>
      <c r="M121" s="28">
        <v>1936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3615</v>
      </c>
      <c r="D122" s="28">
        <v>2974</v>
      </c>
      <c r="E122" s="28">
        <v>0</v>
      </c>
      <c r="F122" s="28">
        <f>SUM(C122-D122-E122)</f>
        <v>641</v>
      </c>
      <c r="G122" s="28">
        <v>11690</v>
      </c>
      <c r="H122" s="28">
        <v>7846</v>
      </c>
      <c r="I122" s="28">
        <v>0</v>
      </c>
      <c r="J122" s="28">
        <f>SUM(G122-H122-I122)</f>
        <v>3844</v>
      </c>
      <c r="K122" s="28">
        <v>97</v>
      </c>
      <c r="L122" s="28">
        <v>0</v>
      </c>
      <c r="M122" s="28">
        <v>3378</v>
      </c>
      <c r="N122" s="28">
        <v>15</v>
      </c>
      <c r="O122" s="28">
        <v>15</v>
      </c>
    </row>
    <row r="123" spans="1:15" ht="12.75" customHeight="1">
      <c r="A123" s="4" t="s">
        <v>226</v>
      </c>
      <c r="B123" s="5" t="s">
        <v>227</v>
      </c>
      <c r="C123" s="28">
        <v>17017</v>
      </c>
      <c r="D123" s="28">
        <v>15562</v>
      </c>
      <c r="E123" s="28">
        <v>175</v>
      </c>
      <c r="F123" s="28">
        <f>SUM(C123-D123-E123)</f>
        <v>1280</v>
      </c>
      <c r="G123" s="28">
        <v>46747</v>
      </c>
      <c r="H123" s="28">
        <v>36702</v>
      </c>
      <c r="I123" s="28">
        <v>1547</v>
      </c>
      <c r="J123" s="28">
        <f>SUM(G123-H123-I123)</f>
        <v>8498</v>
      </c>
      <c r="K123" s="28">
        <v>1133</v>
      </c>
      <c r="L123" s="28">
        <v>0</v>
      </c>
      <c r="M123" s="28">
        <v>1581</v>
      </c>
      <c r="N123" s="28">
        <v>337</v>
      </c>
      <c r="O123" s="28">
        <v>337</v>
      </c>
    </row>
    <row r="124" spans="1:15" ht="12.75" customHeight="1">
      <c r="A124" s="4" t="s">
        <v>228</v>
      </c>
      <c r="B124" s="5" t="s">
        <v>229</v>
      </c>
      <c r="C124" s="28">
        <v>4433</v>
      </c>
      <c r="D124" s="28">
        <v>4265</v>
      </c>
      <c r="E124" s="28">
        <v>79</v>
      </c>
      <c r="F124" s="28">
        <f>SUM(C124-D124-E124)</f>
        <v>89</v>
      </c>
      <c r="G124" s="28">
        <v>12194</v>
      </c>
      <c r="H124" s="28">
        <v>9891</v>
      </c>
      <c r="I124" s="28">
        <v>842</v>
      </c>
      <c r="J124" s="28">
        <f>SUM(G124-H124-I124)</f>
        <v>1461</v>
      </c>
      <c r="K124" s="28">
        <v>356</v>
      </c>
      <c r="L124" s="28">
        <v>0</v>
      </c>
      <c r="M124" s="28">
        <v>184</v>
      </c>
      <c r="N124" s="28">
        <v>236</v>
      </c>
      <c r="O124" s="28">
        <v>236</v>
      </c>
    </row>
    <row r="125" spans="1:15" ht="12.75" customHeight="1">
      <c r="A125" s="8"/>
      <c r="B125" s="9" t="s">
        <v>230</v>
      </c>
      <c r="C125" s="29">
        <f t="shared" ref="C125:O125" si="29">SUM(C120:C124)</f>
        <v>56842</v>
      </c>
      <c r="D125" s="29">
        <f t="shared" si="29"/>
        <v>52224</v>
      </c>
      <c r="E125" s="29">
        <f t="shared" si="29"/>
        <v>801</v>
      </c>
      <c r="F125" s="29">
        <f t="shared" si="29"/>
        <v>3817</v>
      </c>
      <c r="G125" s="29">
        <f t="shared" si="29"/>
        <v>172955</v>
      </c>
      <c r="H125" s="29">
        <f t="shared" si="29"/>
        <v>134279</v>
      </c>
      <c r="I125" s="29">
        <f t="shared" si="29"/>
        <v>7667</v>
      </c>
      <c r="J125" s="29">
        <f t="shared" si="29"/>
        <v>31009</v>
      </c>
      <c r="K125" s="29">
        <f t="shared" si="29"/>
        <v>4417</v>
      </c>
      <c r="L125" s="29">
        <f t="shared" si="29"/>
        <v>1</v>
      </c>
      <c r="M125" s="29">
        <f t="shared" si="29"/>
        <v>8666</v>
      </c>
      <c r="N125" s="29">
        <f t="shared" si="29"/>
        <v>1610</v>
      </c>
      <c r="O125" s="29">
        <f t="shared" si="29"/>
        <v>1610</v>
      </c>
    </row>
    <row r="126" spans="1:15" ht="12.75" customHeight="1">
      <c r="A126" s="4" t="s">
        <v>231</v>
      </c>
      <c r="B126" s="5" t="s">
        <v>232</v>
      </c>
      <c r="C126" s="28">
        <v>12099</v>
      </c>
      <c r="D126" s="28">
        <v>10062</v>
      </c>
      <c r="E126" s="28">
        <v>0</v>
      </c>
      <c r="F126" s="28">
        <f t="shared" ref="F126:F134" si="30">SUM(C126-D126-E126)</f>
        <v>2037</v>
      </c>
      <c r="G126" s="28">
        <v>30779</v>
      </c>
      <c r="H126" s="28">
        <v>21983</v>
      </c>
      <c r="I126" s="28">
        <v>0</v>
      </c>
      <c r="J126" s="28">
        <f t="shared" ref="J126:J134" si="31">SUM(G126-H126-I126)</f>
        <v>8796</v>
      </c>
      <c r="K126" s="28">
        <v>208</v>
      </c>
      <c r="L126" s="28">
        <v>77</v>
      </c>
      <c r="M126" s="28">
        <v>3074</v>
      </c>
      <c r="N126" s="28">
        <v>4533</v>
      </c>
      <c r="O126" s="28">
        <v>4533</v>
      </c>
    </row>
    <row r="127" spans="1:15" ht="12.75" customHeight="1">
      <c r="A127" s="4" t="s">
        <v>233</v>
      </c>
      <c r="B127" s="5" t="s">
        <v>234</v>
      </c>
      <c r="C127" s="28">
        <v>7179</v>
      </c>
      <c r="D127" s="28">
        <v>6051</v>
      </c>
      <c r="E127" s="28">
        <v>0</v>
      </c>
      <c r="F127" s="28">
        <f t="shared" si="30"/>
        <v>1128</v>
      </c>
      <c r="G127" s="28">
        <v>19603</v>
      </c>
      <c r="H127" s="28">
        <v>16086</v>
      </c>
      <c r="I127" s="28">
        <v>0</v>
      </c>
      <c r="J127" s="28">
        <f t="shared" si="31"/>
        <v>3517</v>
      </c>
      <c r="K127" s="28">
        <v>194</v>
      </c>
      <c r="L127" s="28">
        <v>0</v>
      </c>
      <c r="M127" s="28">
        <v>831</v>
      </c>
      <c r="N127" s="28">
        <v>186</v>
      </c>
      <c r="O127" s="28">
        <v>186</v>
      </c>
    </row>
    <row r="128" spans="1:15" ht="12.75" customHeight="1">
      <c r="A128" s="4" t="s">
        <v>235</v>
      </c>
      <c r="B128" s="5" t="s">
        <v>236</v>
      </c>
      <c r="C128" s="28">
        <v>51974</v>
      </c>
      <c r="D128" s="28">
        <v>36691</v>
      </c>
      <c r="E128" s="28">
        <v>717</v>
      </c>
      <c r="F128" s="28">
        <f t="shared" si="30"/>
        <v>14566</v>
      </c>
      <c r="G128" s="28">
        <v>135954</v>
      </c>
      <c r="H128" s="28">
        <v>75259</v>
      </c>
      <c r="I128" s="28">
        <v>3660</v>
      </c>
      <c r="J128" s="28">
        <f t="shared" si="31"/>
        <v>57035</v>
      </c>
      <c r="K128" s="28">
        <v>3555</v>
      </c>
      <c r="L128" s="28">
        <v>0</v>
      </c>
      <c r="M128" s="28">
        <v>4987</v>
      </c>
      <c r="N128" s="28">
        <v>1013</v>
      </c>
      <c r="O128" s="28">
        <v>1013</v>
      </c>
    </row>
    <row r="129" spans="1:15" ht="12.75" customHeight="1">
      <c r="A129" s="4" t="s">
        <v>237</v>
      </c>
      <c r="B129" s="5" t="s">
        <v>238</v>
      </c>
      <c r="C129" s="28">
        <v>3855</v>
      </c>
      <c r="D129" s="28">
        <v>3085</v>
      </c>
      <c r="E129" s="28">
        <v>179</v>
      </c>
      <c r="F129" s="28">
        <f t="shared" si="30"/>
        <v>591</v>
      </c>
      <c r="G129" s="28">
        <v>16327</v>
      </c>
      <c r="H129" s="28">
        <v>7760</v>
      </c>
      <c r="I129" s="28">
        <v>1584</v>
      </c>
      <c r="J129" s="28">
        <f t="shared" si="31"/>
        <v>6983</v>
      </c>
      <c r="K129" s="28">
        <v>265</v>
      </c>
      <c r="L129" s="28">
        <v>0</v>
      </c>
      <c r="M129" s="28">
        <v>2424</v>
      </c>
      <c r="N129" s="28">
        <v>54</v>
      </c>
      <c r="O129" s="28">
        <v>54</v>
      </c>
    </row>
    <row r="130" spans="1:15" ht="12.75" customHeight="1">
      <c r="A130" s="4" t="s">
        <v>239</v>
      </c>
      <c r="B130" s="5" t="s">
        <v>240</v>
      </c>
      <c r="C130" s="28">
        <v>23654</v>
      </c>
      <c r="D130" s="28">
        <v>20615</v>
      </c>
      <c r="E130" s="28">
        <v>1308</v>
      </c>
      <c r="F130" s="28">
        <f t="shared" si="30"/>
        <v>1731</v>
      </c>
      <c r="G130" s="28">
        <v>59745</v>
      </c>
      <c r="H130" s="28">
        <v>32078</v>
      </c>
      <c r="I130" s="28">
        <v>6372</v>
      </c>
      <c r="J130" s="28">
        <f t="shared" si="31"/>
        <v>21295</v>
      </c>
      <c r="K130" s="28">
        <v>1166</v>
      </c>
      <c r="L130" s="28">
        <v>1655</v>
      </c>
      <c r="M130" s="28">
        <v>205</v>
      </c>
      <c r="N130" s="28">
        <v>316456</v>
      </c>
      <c r="O130" s="28">
        <v>2089</v>
      </c>
    </row>
    <row r="131" spans="1:15" ht="12.75" customHeight="1">
      <c r="A131" s="4" t="s">
        <v>241</v>
      </c>
      <c r="B131" s="5" t="s">
        <v>242</v>
      </c>
      <c r="C131" s="28">
        <v>46257</v>
      </c>
      <c r="D131" s="28">
        <v>39110</v>
      </c>
      <c r="E131" s="28">
        <v>294</v>
      </c>
      <c r="F131" s="28">
        <f t="shared" si="30"/>
        <v>6853</v>
      </c>
      <c r="G131" s="28">
        <v>102142</v>
      </c>
      <c r="H131" s="28">
        <v>57659</v>
      </c>
      <c r="I131" s="28">
        <v>1895</v>
      </c>
      <c r="J131" s="28">
        <f t="shared" si="31"/>
        <v>42588</v>
      </c>
      <c r="K131" s="28">
        <v>2115</v>
      </c>
      <c r="L131" s="28">
        <v>34</v>
      </c>
      <c r="M131" s="28">
        <v>1340</v>
      </c>
      <c r="N131" s="28">
        <v>385</v>
      </c>
      <c r="O131" s="28">
        <v>385</v>
      </c>
    </row>
    <row r="132" spans="1:15" ht="12.75" customHeight="1">
      <c r="A132" s="4" t="s">
        <v>243</v>
      </c>
      <c r="B132" s="5" t="s">
        <v>244</v>
      </c>
      <c r="C132" s="28">
        <v>18924</v>
      </c>
      <c r="D132" s="28">
        <v>15499</v>
      </c>
      <c r="E132" s="28">
        <v>0</v>
      </c>
      <c r="F132" s="28">
        <f t="shared" si="30"/>
        <v>3425</v>
      </c>
      <c r="G132" s="28">
        <v>56461</v>
      </c>
      <c r="H132" s="28">
        <v>35795</v>
      </c>
      <c r="I132" s="28">
        <v>0</v>
      </c>
      <c r="J132" s="28">
        <f t="shared" si="31"/>
        <v>20666</v>
      </c>
      <c r="K132" s="28">
        <v>3377</v>
      </c>
      <c r="L132" s="28">
        <v>0</v>
      </c>
      <c r="M132" s="28">
        <v>4411</v>
      </c>
      <c r="N132" s="28">
        <v>152</v>
      </c>
      <c r="O132" s="28">
        <v>152</v>
      </c>
    </row>
    <row r="133" spans="1:15" ht="12.75" customHeight="1">
      <c r="A133" s="4" t="s">
        <v>245</v>
      </c>
      <c r="B133" s="5" t="s">
        <v>246</v>
      </c>
      <c r="C133" s="28">
        <v>14766</v>
      </c>
      <c r="D133" s="28">
        <v>13190</v>
      </c>
      <c r="E133" s="28">
        <v>0</v>
      </c>
      <c r="F133" s="28">
        <f t="shared" si="30"/>
        <v>1576</v>
      </c>
      <c r="G133" s="28">
        <v>41075</v>
      </c>
      <c r="H133" s="28">
        <v>28824</v>
      </c>
      <c r="I133" s="28">
        <v>0</v>
      </c>
      <c r="J133" s="28">
        <f t="shared" si="31"/>
        <v>12251</v>
      </c>
      <c r="K133" s="28">
        <v>891</v>
      </c>
      <c r="L133" s="28">
        <v>187</v>
      </c>
      <c r="M133" s="28">
        <v>3007</v>
      </c>
      <c r="N133" s="28">
        <v>5575</v>
      </c>
      <c r="O133" s="28">
        <v>5575</v>
      </c>
    </row>
    <row r="134" spans="1:15" ht="12.75" customHeight="1">
      <c r="A134" s="4" t="s">
        <v>247</v>
      </c>
      <c r="B134" s="5" t="s">
        <v>248</v>
      </c>
      <c r="C134" s="28">
        <v>13079</v>
      </c>
      <c r="D134" s="28">
        <v>9531</v>
      </c>
      <c r="E134" s="28">
        <v>0</v>
      </c>
      <c r="F134" s="28">
        <f t="shared" si="30"/>
        <v>3548</v>
      </c>
      <c r="G134" s="28">
        <v>51692</v>
      </c>
      <c r="H134" s="28">
        <v>17999</v>
      </c>
      <c r="I134" s="28">
        <v>0</v>
      </c>
      <c r="J134" s="28">
        <f t="shared" si="31"/>
        <v>33693</v>
      </c>
      <c r="K134" s="28">
        <v>175</v>
      </c>
      <c r="L134" s="28">
        <v>0</v>
      </c>
      <c r="M134" s="28">
        <v>3441</v>
      </c>
      <c r="N134" s="28">
        <v>30</v>
      </c>
      <c r="O134" s="28">
        <v>30</v>
      </c>
    </row>
    <row r="135" spans="1:15" ht="12.75" customHeight="1">
      <c r="A135" s="10"/>
      <c r="B135" s="9" t="s">
        <v>249</v>
      </c>
      <c r="C135" s="29">
        <f t="shared" ref="C135:O135" si="32">SUM(C126:C134)</f>
        <v>191787</v>
      </c>
      <c r="D135" s="29">
        <f t="shared" si="32"/>
        <v>153834</v>
      </c>
      <c r="E135" s="29">
        <f t="shared" si="32"/>
        <v>2498</v>
      </c>
      <c r="F135" s="29">
        <f t="shared" si="32"/>
        <v>35455</v>
      </c>
      <c r="G135" s="29">
        <f t="shared" si="32"/>
        <v>513778</v>
      </c>
      <c r="H135" s="29">
        <f t="shared" si="32"/>
        <v>293443</v>
      </c>
      <c r="I135" s="29">
        <f t="shared" si="32"/>
        <v>13511</v>
      </c>
      <c r="J135" s="29">
        <f t="shared" si="32"/>
        <v>206824</v>
      </c>
      <c r="K135" s="29">
        <f t="shared" si="32"/>
        <v>11946</v>
      </c>
      <c r="L135" s="29">
        <f t="shared" si="32"/>
        <v>1953</v>
      </c>
      <c r="M135" s="29">
        <f t="shared" si="32"/>
        <v>23720</v>
      </c>
      <c r="N135" s="29">
        <f t="shared" si="32"/>
        <v>328384</v>
      </c>
      <c r="O135" s="29">
        <f t="shared" si="32"/>
        <v>14017</v>
      </c>
    </row>
    <row r="136" spans="1:15" ht="12.75" customHeight="1">
      <c r="A136" s="4" t="s">
        <v>250</v>
      </c>
      <c r="B136" s="5" t="s">
        <v>251</v>
      </c>
      <c r="C136" s="28">
        <v>28857</v>
      </c>
      <c r="D136" s="28">
        <v>27217</v>
      </c>
      <c r="E136" s="28">
        <v>0</v>
      </c>
      <c r="F136" s="28">
        <f t="shared" ref="F136:F143" si="33">SUM(C136-D136-E136)</f>
        <v>1640</v>
      </c>
      <c r="G136" s="28">
        <v>62963</v>
      </c>
      <c r="H136" s="28">
        <v>51688</v>
      </c>
      <c r="I136" s="28">
        <v>0</v>
      </c>
      <c r="J136" s="28">
        <f t="shared" ref="J136:J143" si="34">SUM(G136-H136-I136)</f>
        <v>11275</v>
      </c>
      <c r="K136" s="28">
        <v>10626</v>
      </c>
      <c r="L136" s="28">
        <v>2389</v>
      </c>
      <c r="M136" s="28">
        <v>3067</v>
      </c>
      <c r="N136" s="28">
        <v>11300</v>
      </c>
      <c r="O136" s="28">
        <v>9589</v>
      </c>
    </row>
    <row r="137" spans="1:15" ht="12.75" customHeight="1">
      <c r="A137" s="4" t="s">
        <v>252</v>
      </c>
      <c r="B137" s="5" t="s">
        <v>253</v>
      </c>
      <c r="C137" s="28">
        <v>2773</v>
      </c>
      <c r="D137" s="28">
        <v>2160</v>
      </c>
      <c r="E137" s="28">
        <v>0</v>
      </c>
      <c r="F137" s="28">
        <f t="shared" si="33"/>
        <v>613</v>
      </c>
      <c r="G137" s="28">
        <v>5370</v>
      </c>
      <c r="H137" s="28">
        <v>4223</v>
      </c>
      <c r="I137" s="28">
        <v>0</v>
      </c>
      <c r="J137" s="28">
        <f t="shared" si="34"/>
        <v>1147</v>
      </c>
      <c r="K137" s="28">
        <v>256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1662</v>
      </c>
      <c r="D138" s="28">
        <v>1544</v>
      </c>
      <c r="E138" s="28">
        <v>0</v>
      </c>
      <c r="F138" s="28">
        <f t="shared" si="33"/>
        <v>118</v>
      </c>
      <c r="G138" s="28">
        <v>3683</v>
      </c>
      <c r="H138" s="28">
        <v>3468</v>
      </c>
      <c r="I138" s="28">
        <v>0</v>
      </c>
      <c r="J138" s="28">
        <f t="shared" si="34"/>
        <v>215</v>
      </c>
      <c r="K138" s="28">
        <v>64</v>
      </c>
      <c r="L138" s="28">
        <v>0</v>
      </c>
      <c r="M138" s="28">
        <v>124</v>
      </c>
      <c r="N138" s="28">
        <v>687</v>
      </c>
      <c r="O138" s="28">
        <v>101</v>
      </c>
    </row>
    <row r="139" spans="1:15" ht="12.75" customHeight="1">
      <c r="A139" s="4" t="s">
        <v>256</v>
      </c>
      <c r="B139" s="5" t="s">
        <v>257</v>
      </c>
      <c r="C139" s="28">
        <v>6742</v>
      </c>
      <c r="D139" s="28">
        <v>6477</v>
      </c>
      <c r="E139" s="28">
        <v>0</v>
      </c>
      <c r="F139" s="28">
        <f t="shared" si="33"/>
        <v>265</v>
      </c>
      <c r="G139" s="28">
        <v>18320</v>
      </c>
      <c r="H139" s="28">
        <v>16320</v>
      </c>
      <c r="I139" s="28">
        <v>0</v>
      </c>
      <c r="J139" s="28">
        <f t="shared" si="34"/>
        <v>2000</v>
      </c>
      <c r="K139" s="28">
        <v>6560</v>
      </c>
      <c r="L139" s="28">
        <v>0</v>
      </c>
      <c r="M139" s="28">
        <v>2730</v>
      </c>
      <c r="N139" s="28">
        <v>608</v>
      </c>
      <c r="O139" s="28">
        <v>588</v>
      </c>
    </row>
    <row r="140" spans="1:15" ht="12.75" customHeight="1">
      <c r="A140" s="4" t="s">
        <v>258</v>
      </c>
      <c r="B140" s="5" t="s">
        <v>259</v>
      </c>
      <c r="C140" s="28">
        <v>1027</v>
      </c>
      <c r="D140" s="28">
        <v>803</v>
      </c>
      <c r="E140" s="28">
        <v>0</v>
      </c>
      <c r="F140" s="28">
        <f t="shared" si="33"/>
        <v>224</v>
      </c>
      <c r="G140" s="28">
        <v>2286</v>
      </c>
      <c r="H140" s="28">
        <v>1636</v>
      </c>
      <c r="I140" s="28">
        <v>0</v>
      </c>
      <c r="J140" s="28">
        <f t="shared" si="34"/>
        <v>650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4129</v>
      </c>
      <c r="D141" s="28">
        <v>3737</v>
      </c>
      <c r="E141" s="28">
        <v>0</v>
      </c>
      <c r="F141" s="28">
        <f t="shared" si="33"/>
        <v>392</v>
      </c>
      <c r="G141" s="28">
        <v>9671</v>
      </c>
      <c r="H141" s="28">
        <v>6947</v>
      </c>
      <c r="I141" s="28">
        <v>0</v>
      </c>
      <c r="J141" s="28">
        <f t="shared" si="34"/>
        <v>2724</v>
      </c>
      <c r="K141" s="28">
        <v>2275</v>
      </c>
      <c r="L141" s="28">
        <v>0</v>
      </c>
      <c r="M141" s="28">
        <v>465</v>
      </c>
      <c r="N141" s="28">
        <v>561</v>
      </c>
      <c r="O141" s="28">
        <v>561</v>
      </c>
    </row>
    <row r="142" spans="1:15" ht="12.75" customHeight="1">
      <c r="A142" s="4" t="s">
        <v>262</v>
      </c>
      <c r="B142" s="5" t="s">
        <v>263</v>
      </c>
      <c r="C142" s="28">
        <v>6686</v>
      </c>
      <c r="D142" s="28">
        <v>4703</v>
      </c>
      <c r="E142" s="28">
        <v>0</v>
      </c>
      <c r="F142" s="28">
        <f t="shared" si="33"/>
        <v>1983</v>
      </c>
      <c r="G142" s="28">
        <v>20354</v>
      </c>
      <c r="H142" s="28">
        <v>14449</v>
      </c>
      <c r="I142" s="28">
        <v>0</v>
      </c>
      <c r="J142" s="28">
        <f t="shared" si="34"/>
        <v>5905</v>
      </c>
      <c r="K142" s="28">
        <v>5753</v>
      </c>
      <c r="L142" s="28">
        <v>0</v>
      </c>
      <c r="M142" s="28">
        <v>3578</v>
      </c>
      <c r="N142" s="28">
        <v>2348</v>
      </c>
      <c r="O142" s="28">
        <v>2144</v>
      </c>
    </row>
    <row r="143" spans="1:15" ht="12.75" customHeight="1">
      <c r="A143" s="4" t="s">
        <v>264</v>
      </c>
      <c r="B143" s="5" t="s">
        <v>265</v>
      </c>
      <c r="C143" s="28">
        <v>19072</v>
      </c>
      <c r="D143" s="28">
        <v>16170</v>
      </c>
      <c r="E143" s="28">
        <v>0</v>
      </c>
      <c r="F143" s="28">
        <f t="shared" si="33"/>
        <v>2902</v>
      </c>
      <c r="G143" s="28">
        <v>54713</v>
      </c>
      <c r="H143" s="28">
        <v>27126</v>
      </c>
      <c r="I143" s="28">
        <v>0</v>
      </c>
      <c r="J143" s="28">
        <f t="shared" si="34"/>
        <v>27587</v>
      </c>
      <c r="K143" s="28">
        <v>22299</v>
      </c>
      <c r="L143" s="28">
        <v>0</v>
      </c>
      <c r="M143" s="28">
        <v>3797</v>
      </c>
      <c r="N143" s="28">
        <v>5454</v>
      </c>
      <c r="O143" s="28">
        <v>5033</v>
      </c>
    </row>
    <row r="144" spans="1:15" ht="12.75" customHeight="1">
      <c r="A144" s="10"/>
      <c r="B144" s="9" t="s">
        <v>266</v>
      </c>
      <c r="C144" s="30">
        <f t="shared" ref="C144:O144" si="35">SUM(C136:C143)</f>
        <v>70948</v>
      </c>
      <c r="D144" s="30">
        <f t="shared" si="35"/>
        <v>62811</v>
      </c>
      <c r="E144" s="30">
        <f t="shared" si="35"/>
        <v>0</v>
      </c>
      <c r="F144" s="30">
        <f t="shared" si="35"/>
        <v>8137</v>
      </c>
      <c r="G144" s="30">
        <f t="shared" si="35"/>
        <v>177360</v>
      </c>
      <c r="H144" s="30">
        <f t="shared" si="35"/>
        <v>125857</v>
      </c>
      <c r="I144" s="30">
        <f t="shared" si="35"/>
        <v>0</v>
      </c>
      <c r="J144" s="30">
        <f t="shared" si="35"/>
        <v>51503</v>
      </c>
      <c r="K144" s="30">
        <f t="shared" si="35"/>
        <v>47833</v>
      </c>
      <c r="L144" s="30">
        <f t="shared" si="35"/>
        <v>2389</v>
      </c>
      <c r="M144" s="30">
        <f t="shared" si="35"/>
        <v>13761</v>
      </c>
      <c r="N144" s="30">
        <f t="shared" si="35"/>
        <v>20965</v>
      </c>
      <c r="O144" s="30">
        <f t="shared" si="35"/>
        <v>18023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2441764</v>
      </c>
      <c r="D145" s="31">
        <f t="shared" si="36"/>
        <v>1819797</v>
      </c>
      <c r="E145" s="31">
        <f t="shared" si="36"/>
        <v>59560</v>
      </c>
      <c r="F145" s="31">
        <f t="shared" si="36"/>
        <v>562407</v>
      </c>
      <c r="G145" s="31">
        <f t="shared" si="36"/>
        <v>7414205</v>
      </c>
      <c r="H145" s="31">
        <f t="shared" si="36"/>
        <v>3795428</v>
      </c>
      <c r="I145" s="31">
        <f t="shared" si="36"/>
        <v>340123</v>
      </c>
      <c r="J145" s="31">
        <f t="shared" si="36"/>
        <v>3278654</v>
      </c>
      <c r="K145" s="31">
        <f t="shared" si="36"/>
        <v>493070</v>
      </c>
      <c r="L145" s="31">
        <f t="shared" si="36"/>
        <v>16307</v>
      </c>
      <c r="M145" s="31">
        <f t="shared" si="36"/>
        <v>468504</v>
      </c>
      <c r="N145" s="31">
        <f t="shared" si="36"/>
        <v>652913</v>
      </c>
      <c r="O145" s="31">
        <f t="shared" si="36"/>
        <v>207578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2015-11-27T15:33:36Z</dcterms:modified>
</cp:coreProperties>
</file>