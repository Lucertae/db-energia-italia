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<sst xmlns="http://schemas.openxmlformats.org/spreadsheetml/2006/main" count="182" uniqueCount="91">
  <si>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</si>
  <si>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</si>
  <si>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</si>
  <si>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</si>
  <si>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</si>
  <si>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</si>
  <si>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</si>
  <si>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maggio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</si>
  <si>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</si>
  <si>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</si>
  <si>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</si>
  <si>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</si>
  <si>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</si>
  <si>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</si>
  <si>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</si>
  <si>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</si>
  <si>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</si>
  <si>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</si>
  <si>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</si>
  <si>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</si>
  <si>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</si>
  <si>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</si>
  <si>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</si>
  <si>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</si>
  <si>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</si>
  <si>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</si>
  <si>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</si>
  <si>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</si>
  <si>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</si>
  <si>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</si>
  <si>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</si>
  <si>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</si>
  <si>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</si>
  <si>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</si>
  <si>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</si>
  <si>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</si>
  <si>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</si>
  <si>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</si>
  <si>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</si>
  <si>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</si>
  <si>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</si>
  <si>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</si>
  <si>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</si>
  <si>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</si>
  <si>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</si>
  <si>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</si>
  <si>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</si>
  <si>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</si>
  <si>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</si>
  <si>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</si>
  <si>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</si>
  <si>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</si>
  <si>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</si>
  <si>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</si>
  <si>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</si>
  <si>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</si>
  <si>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</si>
  <si>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</si>
  <si>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</si>
  <si>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</si>
  <si>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</si>
  <si>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</si>
  <si>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</si>
  <si>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</si>
  <si>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</si>
  <si>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</si>
  <si>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</si>
  <si>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</si>
  <si>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</si>
  <si>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</si>
  <si>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</si>
  <si>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</si>
  <si>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</si>
  <si>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</si>
  <si>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</si>
  <si>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</si>
  <si>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</si>
  <si>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</si>
  <si>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</si>
  <si>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</si>
  <si>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</si>
  <si>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</si>
  <si>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</si>
  <si>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</si>
  <si>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</si>
  <si>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</si>
  <si>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</si>
  <si>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</si>
  <si>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</si>
  <si>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</si>
  <si>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gennaio-maggio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</si>
</sst>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abSelected="1"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40785</v>
      </c>
      <c r="E10" s="29">
        <v>952</v>
      </c>
      <c r="F10" s="29">
        <v>0</v>
      </c>
      <c r="G10" s="29">
        <v>0</v>
      </c>
      <c r="H10" s="29">
        <v>0</v>
      </c>
      <c r="I10" s="29">
        <v>0</v>
      </c>
      <c r="J10" s="29">
        <v>3845</v>
      </c>
      <c r="K10" s="29">
        <v>273</v>
      </c>
      <c r="L10" s="29">
        <v>38002</v>
      </c>
      <c r="M10" s="29">
        <v>157</v>
      </c>
      <c r="N10" s="30">
        <f t="shared" ref="N10:N42" si="0">SUM(C10:M10)</f>
        <v>84014</v>
      </c>
      <c r="O10" s="29">
        <v>0</v>
      </c>
      <c r="P10" s="30">
        <f t="shared" ref="P10:P42" si="1">SUM(N10:O10)</f>
        <v>84014</v>
      </c>
    </row>
    <row r="11" spans="1:16" ht="15" customHeight="1">
      <c r="A11" s="11" t="s">
        <v>26</v>
      </c>
      <c r="B11" s="12" t="s">
        <v>27</v>
      </c>
      <c r="C11" s="29">
        <v>66796</v>
      </c>
      <c r="D11" s="29">
        <v>4359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59407</v>
      </c>
      <c r="M11" s="29">
        <v>1032</v>
      </c>
      <c r="N11" s="30">
        <f t="shared" si="0"/>
        <v>131594</v>
      </c>
      <c r="O11" s="29">
        <v>0</v>
      </c>
      <c r="P11" s="30">
        <f t="shared" si="1"/>
        <v>131594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494299</v>
      </c>
      <c r="D13" s="29">
        <v>18129</v>
      </c>
      <c r="E13" s="29">
        <v>145</v>
      </c>
      <c r="F13" s="29">
        <v>0</v>
      </c>
      <c r="G13" s="29">
        <v>0</v>
      </c>
      <c r="H13" s="29">
        <v>0</v>
      </c>
      <c r="I13" s="29">
        <v>0</v>
      </c>
      <c r="J13" s="29">
        <v>1126</v>
      </c>
      <c r="K13" s="29">
        <v>62</v>
      </c>
      <c r="L13" s="29">
        <v>127789</v>
      </c>
      <c r="M13" s="29">
        <v>4629</v>
      </c>
      <c r="N13" s="30">
        <f t="shared" si="0"/>
        <v>646179</v>
      </c>
      <c r="O13" s="29">
        <v>0</v>
      </c>
      <c r="P13" s="30">
        <f t="shared" si="1"/>
        <v>646179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129</v>
      </c>
      <c r="I14" s="29">
        <v>0</v>
      </c>
      <c r="J14" s="29">
        <v>0</v>
      </c>
      <c r="K14" s="29">
        <v>1</v>
      </c>
      <c r="L14" s="29">
        <v>0</v>
      </c>
      <c r="M14" s="29">
        <v>0</v>
      </c>
      <c r="N14" s="30">
        <f t="shared" si="0"/>
        <v>130</v>
      </c>
      <c r="O14" s="29">
        <v>0</v>
      </c>
      <c r="P14" s="30">
        <f t="shared" si="1"/>
        <v>130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127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127</v>
      </c>
      <c r="O15" s="29">
        <v>0</v>
      </c>
      <c r="P15" s="30">
        <f t="shared" si="1"/>
        <v>127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92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30">
        <f t="shared" si="0"/>
        <v>92</v>
      </c>
      <c r="O16" s="29">
        <v>0</v>
      </c>
      <c r="P16" s="30">
        <f t="shared" si="1"/>
        <v>92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157</v>
      </c>
      <c r="M17" s="29">
        <v>0</v>
      </c>
      <c r="N17" s="30">
        <f t="shared" si="0"/>
        <v>157</v>
      </c>
      <c r="O17" s="29">
        <v>0</v>
      </c>
      <c r="P17" s="30">
        <f t="shared" si="1"/>
        <v>157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342850</v>
      </c>
      <c r="I18" s="29">
        <v>0</v>
      </c>
      <c r="J18" s="29">
        <v>0</v>
      </c>
      <c r="K18" s="29">
        <v>19718</v>
      </c>
      <c r="L18" s="29">
        <v>0</v>
      </c>
      <c r="M18" s="29">
        <v>0</v>
      </c>
      <c r="N18" s="30">
        <f t="shared" si="0"/>
        <v>362568</v>
      </c>
      <c r="O18" s="29">
        <v>0</v>
      </c>
      <c r="P18" s="30">
        <f t="shared" si="1"/>
        <v>362568</v>
      </c>
    </row>
    <row r="19" spans="1:16" ht="15" customHeight="1">
      <c r="A19" s="13" t="s">
        <v>42</v>
      </c>
      <c r="B19" s="14" t="s">
        <v>43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>
        <f t="shared" si="0"/>
        <v>0</v>
      </c>
      <c r="O19" s="29"/>
      <c r="P19" s="30">
        <f t="shared" si="1"/>
        <v>0</v>
      </c>
    </row>
    <row r="20" spans="1:16" ht="15" customHeight="1">
      <c r="A20" s="11" t="s">
        <v>44</v>
      </c>
      <c r="B20" s="12" t="s">
        <v>45</v>
      </c>
      <c r="C20" s="29">
        <v>1065349</v>
      </c>
      <c r="D20" s="29">
        <v>92987</v>
      </c>
      <c r="E20" s="29">
        <v>158921</v>
      </c>
      <c r="F20" s="29">
        <v>574</v>
      </c>
      <c r="G20" s="29">
        <v>23789</v>
      </c>
      <c r="H20" s="29">
        <v>0</v>
      </c>
      <c r="I20" s="29">
        <v>1502</v>
      </c>
      <c r="J20" s="29">
        <v>11246</v>
      </c>
      <c r="K20" s="29">
        <v>2607</v>
      </c>
      <c r="L20" s="29">
        <v>687716</v>
      </c>
      <c r="M20" s="29">
        <v>50097</v>
      </c>
      <c r="N20" s="30">
        <f t="shared" si="0"/>
        <v>2094788</v>
      </c>
      <c r="O20" s="29">
        <v>37751</v>
      </c>
      <c r="P20" s="30">
        <f t="shared" si="1"/>
        <v>2132539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1490</v>
      </c>
      <c r="E21" s="29">
        <v>18</v>
      </c>
      <c r="F21" s="29">
        <v>0</v>
      </c>
      <c r="G21" s="29">
        <v>37</v>
      </c>
      <c r="H21" s="29">
        <v>0</v>
      </c>
      <c r="I21" s="29">
        <v>815</v>
      </c>
      <c r="J21" s="29">
        <v>67</v>
      </c>
      <c r="K21" s="29">
        <v>510</v>
      </c>
      <c r="L21" s="29">
        <v>28206</v>
      </c>
      <c r="M21" s="29">
        <v>1685</v>
      </c>
      <c r="N21" s="30">
        <f t="shared" si="0"/>
        <v>32828</v>
      </c>
      <c r="O21" s="29">
        <v>4378</v>
      </c>
      <c r="P21" s="30">
        <f t="shared" si="1"/>
        <v>37206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3277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3277</v>
      </c>
      <c r="O22" s="29">
        <v>0</v>
      </c>
      <c r="P22" s="30">
        <f t="shared" si="1"/>
        <v>3277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91501</v>
      </c>
      <c r="J23" s="29">
        <v>0</v>
      </c>
      <c r="K23" s="29">
        <v>0</v>
      </c>
      <c r="L23" s="29">
        <v>1869</v>
      </c>
      <c r="M23" s="29">
        <v>483</v>
      </c>
      <c r="N23" s="30">
        <f t="shared" si="0"/>
        <v>93853</v>
      </c>
      <c r="O23" s="29">
        <v>117711</v>
      </c>
      <c r="P23" s="30">
        <f t="shared" si="1"/>
        <v>211564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1245</v>
      </c>
      <c r="E24" s="29">
        <v>378</v>
      </c>
      <c r="F24" s="29">
        <v>0</v>
      </c>
      <c r="G24" s="29">
        <v>0</v>
      </c>
      <c r="H24" s="29">
        <v>0</v>
      </c>
      <c r="I24" s="29">
        <v>4869</v>
      </c>
      <c r="J24" s="29">
        <v>1791</v>
      </c>
      <c r="K24" s="29">
        <v>181</v>
      </c>
      <c r="L24" s="29">
        <v>24797</v>
      </c>
      <c r="M24" s="29">
        <v>9713</v>
      </c>
      <c r="N24" s="30">
        <f t="shared" si="0"/>
        <v>42974</v>
      </c>
      <c r="O24" s="29">
        <v>62631</v>
      </c>
      <c r="P24" s="30">
        <f t="shared" si="1"/>
        <v>105605</v>
      </c>
    </row>
    <row r="25" spans="1:16" ht="15" customHeight="1">
      <c r="A25" s="11" t="s">
        <v>54</v>
      </c>
      <c r="B25" s="12" t="s">
        <v>55</v>
      </c>
      <c r="C25" s="29">
        <v>130</v>
      </c>
      <c r="D25" s="29">
        <v>6454</v>
      </c>
      <c r="E25" s="29">
        <v>978</v>
      </c>
      <c r="F25" s="29">
        <v>9</v>
      </c>
      <c r="G25" s="29">
        <v>220</v>
      </c>
      <c r="H25" s="29">
        <v>10</v>
      </c>
      <c r="I25" s="29">
        <v>54</v>
      </c>
      <c r="J25" s="29">
        <v>1851</v>
      </c>
      <c r="K25" s="29">
        <v>108</v>
      </c>
      <c r="L25" s="29">
        <v>5702</v>
      </c>
      <c r="M25" s="29">
        <v>730</v>
      </c>
      <c r="N25" s="30">
        <f t="shared" si="0"/>
        <v>16246</v>
      </c>
      <c r="O25" s="29">
        <v>3190</v>
      </c>
      <c r="P25" s="30">
        <f t="shared" si="1"/>
        <v>19436</v>
      </c>
    </row>
    <row r="26" spans="1:16" ht="15" customHeight="1">
      <c r="A26" s="11" t="s">
        <v>56</v>
      </c>
      <c r="B26" s="12" t="s">
        <v>57</v>
      </c>
      <c r="C26" s="29">
        <v>7</v>
      </c>
      <c r="D26" s="29">
        <v>2826</v>
      </c>
      <c r="E26" s="29">
        <v>192</v>
      </c>
      <c r="F26" s="29">
        <v>0</v>
      </c>
      <c r="G26" s="29">
        <v>91</v>
      </c>
      <c r="H26" s="29">
        <v>17</v>
      </c>
      <c r="I26" s="29">
        <v>55</v>
      </c>
      <c r="J26" s="29">
        <v>9076</v>
      </c>
      <c r="K26" s="29">
        <v>39</v>
      </c>
      <c r="L26" s="29">
        <v>2515</v>
      </c>
      <c r="M26" s="29">
        <v>47</v>
      </c>
      <c r="N26" s="30">
        <f t="shared" si="0"/>
        <v>14865</v>
      </c>
      <c r="O26" s="29">
        <v>181</v>
      </c>
      <c r="P26" s="30">
        <f t="shared" si="1"/>
        <v>15046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794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370</v>
      </c>
      <c r="K27" s="29">
        <v>0</v>
      </c>
      <c r="L27" s="29">
        <v>6</v>
      </c>
      <c r="M27" s="29">
        <v>389</v>
      </c>
      <c r="N27" s="30">
        <f t="shared" si="0"/>
        <v>1560</v>
      </c>
      <c r="O27" s="29">
        <v>0</v>
      </c>
      <c r="P27" s="30">
        <f t="shared" si="1"/>
        <v>1560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</v>
      </c>
      <c r="E28" s="29">
        <v>0</v>
      </c>
      <c r="F28" s="29">
        <v>0</v>
      </c>
      <c r="G28" s="29">
        <v>0</v>
      </c>
      <c r="H28" s="29">
        <v>0</v>
      </c>
      <c r="I28" s="29">
        <v>38</v>
      </c>
      <c r="J28" s="29">
        <v>72</v>
      </c>
      <c r="K28" s="29">
        <v>0</v>
      </c>
      <c r="L28" s="29">
        <v>49</v>
      </c>
      <c r="M28" s="29">
        <v>0</v>
      </c>
      <c r="N28" s="30">
        <f t="shared" si="0"/>
        <v>163</v>
      </c>
      <c r="O28" s="29">
        <v>0</v>
      </c>
      <c r="P28" s="30">
        <f t="shared" si="1"/>
        <v>163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251</v>
      </c>
      <c r="K29" s="29">
        <v>0</v>
      </c>
      <c r="L29" s="29">
        <v>52</v>
      </c>
      <c r="M29" s="29">
        <v>7558</v>
      </c>
      <c r="N29" s="30">
        <f t="shared" si="0"/>
        <v>7861</v>
      </c>
      <c r="O29" s="29">
        <v>0</v>
      </c>
      <c r="P29" s="30">
        <f t="shared" si="1"/>
        <v>7861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6213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78587</v>
      </c>
      <c r="K32" s="29">
        <v>0</v>
      </c>
      <c r="L32" s="29">
        <v>58919</v>
      </c>
      <c r="M32" s="29">
        <v>2200</v>
      </c>
      <c r="N32" s="30">
        <f t="shared" si="0"/>
        <v>145919</v>
      </c>
      <c r="O32" s="29">
        <v>0</v>
      </c>
      <c r="P32" s="30">
        <f t="shared" si="1"/>
        <v>145919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3621</v>
      </c>
      <c r="K33" s="29">
        <v>0</v>
      </c>
      <c r="L33" s="29">
        <v>0</v>
      </c>
      <c r="M33" s="29">
        <v>0</v>
      </c>
      <c r="N33" s="30">
        <f t="shared" si="0"/>
        <v>3621</v>
      </c>
      <c r="O33" s="29">
        <v>0</v>
      </c>
      <c r="P33" s="30">
        <f t="shared" si="1"/>
        <v>3621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38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5431</v>
      </c>
      <c r="K35" s="29">
        <v>0</v>
      </c>
      <c r="L35" s="29">
        <v>37</v>
      </c>
      <c r="M35" s="29">
        <v>0</v>
      </c>
      <c r="N35" s="30">
        <f t="shared" si="0"/>
        <v>5511</v>
      </c>
      <c r="O35" s="29">
        <v>0</v>
      </c>
      <c r="P35" s="30">
        <f t="shared" si="1"/>
        <v>5511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23212</v>
      </c>
      <c r="K36" s="29">
        <v>0</v>
      </c>
      <c r="L36" s="29">
        <v>13322</v>
      </c>
      <c r="M36" s="29">
        <v>9917</v>
      </c>
      <c r="N36" s="30">
        <f t="shared" si="0"/>
        <v>46451</v>
      </c>
      <c r="O36" s="29">
        <v>0</v>
      </c>
      <c r="P36" s="30">
        <f t="shared" si="1"/>
        <v>46451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2202</v>
      </c>
      <c r="K37" s="29">
        <v>0</v>
      </c>
      <c r="L37" s="29">
        <v>212</v>
      </c>
      <c r="M37" s="29">
        <v>0</v>
      </c>
      <c r="N37" s="30">
        <f t="shared" si="0"/>
        <v>2414</v>
      </c>
      <c r="O37" s="29">
        <v>0</v>
      </c>
      <c r="P37" s="30">
        <f t="shared" si="1"/>
        <v>2414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281</v>
      </c>
      <c r="K38" s="29">
        <v>0</v>
      </c>
      <c r="L38" s="29">
        <v>0</v>
      </c>
      <c r="M38" s="29">
        <v>0</v>
      </c>
      <c r="N38" s="30">
        <f t="shared" si="0"/>
        <v>281</v>
      </c>
      <c r="O38" s="29">
        <v>0</v>
      </c>
      <c r="P38" s="30">
        <f t="shared" si="1"/>
        <v>281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55</v>
      </c>
      <c r="J39" s="29">
        <v>0</v>
      </c>
      <c r="K39" s="29">
        <v>0</v>
      </c>
      <c r="L39" s="29">
        <v>13649</v>
      </c>
      <c r="M39" s="29">
        <v>0</v>
      </c>
      <c r="N39" s="30">
        <f t="shared" si="0"/>
        <v>13704</v>
      </c>
      <c r="O39" s="29">
        <v>0</v>
      </c>
      <c r="P39" s="30">
        <f t="shared" si="1"/>
        <v>13704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1626586</v>
      </c>
      <c r="D43" s="31">
        <f t="shared" si="2"/>
        <v>175324</v>
      </c>
      <c r="E43" s="31">
        <f t="shared" si="2"/>
        <v>161677</v>
      </c>
      <c r="F43" s="31">
        <f t="shared" si="2"/>
        <v>583</v>
      </c>
      <c r="G43" s="31">
        <f t="shared" si="2"/>
        <v>24137</v>
      </c>
      <c r="H43" s="31">
        <f t="shared" si="2"/>
        <v>343133</v>
      </c>
      <c r="I43" s="31">
        <f t="shared" si="2"/>
        <v>102166</v>
      </c>
      <c r="J43" s="31">
        <f t="shared" si="2"/>
        <v>143029</v>
      </c>
      <c r="K43" s="31">
        <f t="shared" si="2"/>
        <v>23499</v>
      </c>
      <c r="L43" s="31">
        <f t="shared" si="2"/>
        <v>1062406</v>
      </c>
      <c r="M43" s="31">
        <f t="shared" si="2"/>
        <v>88637</v>
      </c>
      <c r="N43" s="31">
        <f t="shared" si="2"/>
        <v>3751177</v>
      </c>
      <c r="O43" s="31">
        <f t="shared" si="2"/>
        <v>225842</v>
      </c>
      <c r="P43" s="31">
        <f t="shared" si="2"/>
        <v>3977019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opLeftCell="A13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9.88671875" bestFit="1" customWidth="1"/>
    <col min="15" max="15" width="9.109375" customWidth="1"/>
    <col min="16" max="16" width="9.88671875" bestFit="1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393316</v>
      </c>
      <c r="E10" s="29">
        <v>8101</v>
      </c>
      <c r="F10" s="29">
        <v>0</v>
      </c>
      <c r="G10" s="29">
        <v>0</v>
      </c>
      <c r="H10" s="29">
        <v>0</v>
      </c>
      <c r="I10" s="29">
        <v>0</v>
      </c>
      <c r="J10" s="29">
        <v>29061</v>
      </c>
      <c r="K10" s="29">
        <v>2084</v>
      </c>
      <c r="L10" s="29">
        <v>312322</v>
      </c>
      <c r="M10" s="29">
        <v>2553</v>
      </c>
      <c r="N10" s="30">
        <f t="shared" ref="N10:N42" si="0">SUM(C10:M10)</f>
        <v>747437</v>
      </c>
      <c r="O10" s="29">
        <v>0</v>
      </c>
      <c r="P10" s="30">
        <f t="shared" ref="P10:P42" si="1">SUM(N10:O10)</f>
        <v>747437</v>
      </c>
    </row>
    <row r="11" spans="1:16" ht="15" customHeight="1">
      <c r="A11" s="11" t="s">
        <v>26</v>
      </c>
      <c r="B11" s="12" t="s">
        <v>27</v>
      </c>
      <c r="C11" s="29">
        <v>331067</v>
      </c>
      <c r="D11" s="29">
        <v>25805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298070</v>
      </c>
      <c r="M11" s="29">
        <v>3594</v>
      </c>
      <c r="N11" s="30">
        <f t="shared" si="0"/>
        <v>658536</v>
      </c>
      <c r="O11" s="29">
        <v>0</v>
      </c>
      <c r="P11" s="30">
        <f t="shared" si="1"/>
        <v>658536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2373655</v>
      </c>
      <c r="D13" s="29">
        <v>91744</v>
      </c>
      <c r="E13" s="29">
        <v>543</v>
      </c>
      <c r="F13" s="29">
        <v>0</v>
      </c>
      <c r="G13" s="29">
        <v>0</v>
      </c>
      <c r="H13" s="29">
        <v>0</v>
      </c>
      <c r="I13" s="29">
        <v>0</v>
      </c>
      <c r="J13" s="29">
        <v>6228</v>
      </c>
      <c r="K13" s="29">
        <v>242</v>
      </c>
      <c r="L13" s="29">
        <v>596927</v>
      </c>
      <c r="M13" s="29">
        <v>18999</v>
      </c>
      <c r="N13" s="30">
        <f t="shared" si="0"/>
        <v>3088338</v>
      </c>
      <c r="O13" s="29">
        <v>0</v>
      </c>
      <c r="P13" s="30">
        <f t="shared" si="1"/>
        <v>3088338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507</v>
      </c>
      <c r="I14" s="29">
        <v>0</v>
      </c>
      <c r="J14" s="29">
        <v>0</v>
      </c>
      <c r="K14" s="29">
        <v>1</v>
      </c>
      <c r="L14" s="29">
        <v>0</v>
      </c>
      <c r="M14" s="29">
        <v>0</v>
      </c>
      <c r="N14" s="30">
        <f t="shared" si="0"/>
        <v>508</v>
      </c>
      <c r="O14" s="29">
        <v>0</v>
      </c>
      <c r="P14" s="30">
        <f t="shared" si="1"/>
        <v>508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399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399</v>
      </c>
      <c r="O15" s="29">
        <v>0</v>
      </c>
      <c r="P15" s="30">
        <f t="shared" si="1"/>
        <v>399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334</v>
      </c>
      <c r="F16" s="29">
        <v>0</v>
      </c>
      <c r="G16" s="29">
        <v>0</v>
      </c>
      <c r="H16" s="29">
        <v>0</v>
      </c>
      <c r="I16" s="29">
        <v>0</v>
      </c>
      <c r="J16" s="29">
        <v>75</v>
      </c>
      <c r="K16" s="29">
        <v>0</v>
      </c>
      <c r="L16" s="29">
        <v>0</v>
      </c>
      <c r="M16" s="29">
        <v>0</v>
      </c>
      <c r="N16" s="30">
        <f t="shared" si="0"/>
        <v>409</v>
      </c>
      <c r="O16" s="29">
        <v>0</v>
      </c>
      <c r="P16" s="30">
        <f t="shared" si="1"/>
        <v>409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108</v>
      </c>
      <c r="K17" s="29">
        <v>0</v>
      </c>
      <c r="L17" s="29">
        <v>2095</v>
      </c>
      <c r="M17" s="29">
        <v>0</v>
      </c>
      <c r="N17" s="30">
        <f t="shared" si="0"/>
        <v>2227</v>
      </c>
      <c r="O17" s="29">
        <v>0</v>
      </c>
      <c r="P17" s="30">
        <f t="shared" si="1"/>
        <v>2227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1407054</v>
      </c>
      <c r="I18" s="29">
        <v>0</v>
      </c>
      <c r="J18" s="29">
        <v>0</v>
      </c>
      <c r="K18" s="29">
        <v>48709</v>
      </c>
      <c r="L18" s="29">
        <v>0</v>
      </c>
      <c r="M18" s="29">
        <v>0</v>
      </c>
      <c r="N18" s="30">
        <f t="shared" si="0"/>
        <v>1455763</v>
      </c>
      <c r="O18" s="29">
        <v>0</v>
      </c>
      <c r="P18" s="30">
        <f t="shared" si="1"/>
        <v>1455763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16</v>
      </c>
      <c r="M19" s="29">
        <v>0</v>
      </c>
      <c r="N19" s="30">
        <f t="shared" si="0"/>
        <v>43</v>
      </c>
      <c r="O19" s="29">
        <v>0</v>
      </c>
      <c r="P19" s="30">
        <f t="shared" si="1"/>
        <v>43</v>
      </c>
    </row>
    <row r="20" spans="1:16" ht="15" customHeight="1">
      <c r="A20" s="11" t="s">
        <v>44</v>
      </c>
      <c r="B20" s="12" t="s">
        <v>45</v>
      </c>
      <c r="C20" s="29">
        <v>5200899</v>
      </c>
      <c r="D20" s="29">
        <v>441809</v>
      </c>
      <c r="E20" s="29">
        <v>627421</v>
      </c>
      <c r="F20" s="29">
        <v>6253</v>
      </c>
      <c r="G20" s="29">
        <v>102590</v>
      </c>
      <c r="H20" s="29">
        <v>0</v>
      </c>
      <c r="I20" s="29">
        <v>7041</v>
      </c>
      <c r="J20" s="29">
        <v>37892</v>
      </c>
      <c r="K20" s="29">
        <v>10459</v>
      </c>
      <c r="L20" s="29">
        <v>3391716</v>
      </c>
      <c r="M20" s="29">
        <v>230210</v>
      </c>
      <c r="N20" s="30">
        <f t="shared" si="0"/>
        <v>10056290</v>
      </c>
      <c r="O20" s="29">
        <v>163884</v>
      </c>
      <c r="P20" s="30">
        <f t="shared" si="1"/>
        <v>10220174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39181</v>
      </c>
      <c r="E21" s="29">
        <v>274</v>
      </c>
      <c r="F21" s="29">
        <v>62</v>
      </c>
      <c r="G21" s="29">
        <v>37</v>
      </c>
      <c r="H21" s="29">
        <v>0</v>
      </c>
      <c r="I21" s="29">
        <v>5018</v>
      </c>
      <c r="J21" s="29">
        <v>1941</v>
      </c>
      <c r="K21" s="29">
        <v>11901</v>
      </c>
      <c r="L21" s="29">
        <v>456006</v>
      </c>
      <c r="M21" s="29">
        <v>11478</v>
      </c>
      <c r="N21" s="30">
        <f t="shared" si="0"/>
        <v>525898</v>
      </c>
      <c r="O21" s="29">
        <v>24058</v>
      </c>
      <c r="P21" s="30">
        <f t="shared" si="1"/>
        <v>549956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17581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17581</v>
      </c>
      <c r="O22" s="29">
        <v>0</v>
      </c>
      <c r="P22" s="30">
        <f t="shared" si="1"/>
        <v>17581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520747</v>
      </c>
      <c r="J23" s="29">
        <v>0</v>
      </c>
      <c r="K23" s="29">
        <v>0</v>
      </c>
      <c r="L23" s="29">
        <v>15722</v>
      </c>
      <c r="M23" s="29">
        <v>2690</v>
      </c>
      <c r="N23" s="30">
        <f t="shared" si="0"/>
        <v>539187</v>
      </c>
      <c r="O23" s="29">
        <v>537167</v>
      </c>
      <c r="P23" s="30">
        <f t="shared" si="1"/>
        <v>1076354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11570</v>
      </c>
      <c r="E24" s="29">
        <v>1245</v>
      </c>
      <c r="F24" s="29">
        <v>0</v>
      </c>
      <c r="G24" s="29">
        <v>0</v>
      </c>
      <c r="H24" s="29">
        <v>0</v>
      </c>
      <c r="I24" s="29">
        <v>30241</v>
      </c>
      <c r="J24" s="29">
        <v>7744</v>
      </c>
      <c r="K24" s="29">
        <v>210</v>
      </c>
      <c r="L24" s="29">
        <v>142825</v>
      </c>
      <c r="M24" s="29">
        <v>56816</v>
      </c>
      <c r="N24" s="30">
        <f t="shared" si="0"/>
        <v>250651</v>
      </c>
      <c r="O24" s="29">
        <v>247606</v>
      </c>
      <c r="P24" s="30">
        <f t="shared" si="1"/>
        <v>498257</v>
      </c>
    </row>
    <row r="25" spans="1:16" ht="15" customHeight="1">
      <c r="A25" s="11" t="s">
        <v>54</v>
      </c>
      <c r="B25" s="12" t="s">
        <v>55</v>
      </c>
      <c r="C25" s="29">
        <v>534</v>
      </c>
      <c r="D25" s="29">
        <v>30120</v>
      </c>
      <c r="E25" s="29">
        <v>3564</v>
      </c>
      <c r="F25" s="29">
        <v>214</v>
      </c>
      <c r="G25" s="29">
        <v>1060</v>
      </c>
      <c r="H25" s="29">
        <v>19</v>
      </c>
      <c r="I25" s="29">
        <v>301</v>
      </c>
      <c r="J25" s="29">
        <v>9540</v>
      </c>
      <c r="K25" s="29">
        <v>233</v>
      </c>
      <c r="L25" s="29">
        <v>26872</v>
      </c>
      <c r="M25" s="29">
        <v>3074</v>
      </c>
      <c r="N25" s="30">
        <f t="shared" si="0"/>
        <v>75531</v>
      </c>
      <c r="O25" s="29">
        <v>13876</v>
      </c>
      <c r="P25" s="30">
        <f t="shared" si="1"/>
        <v>89407</v>
      </c>
    </row>
    <row r="26" spans="1:16" ht="15" customHeight="1">
      <c r="A26" s="11" t="s">
        <v>56</v>
      </c>
      <c r="B26" s="12" t="s">
        <v>57</v>
      </c>
      <c r="C26" s="29">
        <v>22</v>
      </c>
      <c r="D26" s="29">
        <v>12279</v>
      </c>
      <c r="E26" s="29">
        <v>720</v>
      </c>
      <c r="F26" s="29">
        <v>18</v>
      </c>
      <c r="G26" s="29">
        <v>311</v>
      </c>
      <c r="H26" s="29">
        <v>149</v>
      </c>
      <c r="I26" s="29">
        <v>210</v>
      </c>
      <c r="J26" s="29">
        <v>40285</v>
      </c>
      <c r="K26" s="29">
        <v>91</v>
      </c>
      <c r="L26" s="29">
        <v>11970</v>
      </c>
      <c r="M26" s="29">
        <v>333</v>
      </c>
      <c r="N26" s="30">
        <f t="shared" si="0"/>
        <v>66388</v>
      </c>
      <c r="O26" s="29">
        <v>1038</v>
      </c>
      <c r="P26" s="30">
        <f t="shared" si="1"/>
        <v>67426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4067</v>
      </c>
      <c r="E27" s="29">
        <v>3</v>
      </c>
      <c r="F27" s="29">
        <v>0</v>
      </c>
      <c r="G27" s="29">
        <v>0</v>
      </c>
      <c r="H27" s="29">
        <v>0</v>
      </c>
      <c r="I27" s="29">
        <v>0</v>
      </c>
      <c r="J27" s="29">
        <v>2188</v>
      </c>
      <c r="K27" s="29">
        <v>0</v>
      </c>
      <c r="L27" s="29">
        <v>63</v>
      </c>
      <c r="M27" s="29">
        <v>3569</v>
      </c>
      <c r="N27" s="30">
        <f t="shared" si="0"/>
        <v>9890</v>
      </c>
      <c r="O27" s="29">
        <v>0</v>
      </c>
      <c r="P27" s="30">
        <f t="shared" si="1"/>
        <v>9890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24</v>
      </c>
      <c r="E28" s="29">
        <v>1</v>
      </c>
      <c r="F28" s="29">
        <v>0</v>
      </c>
      <c r="G28" s="29">
        <v>0</v>
      </c>
      <c r="H28" s="29">
        <v>0</v>
      </c>
      <c r="I28" s="29">
        <v>70</v>
      </c>
      <c r="J28" s="29">
        <v>585</v>
      </c>
      <c r="K28" s="29">
        <v>0</v>
      </c>
      <c r="L28" s="29">
        <v>252</v>
      </c>
      <c r="M28" s="29">
        <v>0</v>
      </c>
      <c r="N28" s="30">
        <f t="shared" si="0"/>
        <v>932</v>
      </c>
      <c r="O28" s="29">
        <v>0</v>
      </c>
      <c r="P28" s="30">
        <f t="shared" si="1"/>
        <v>932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2150</v>
      </c>
      <c r="K29" s="29">
        <v>0</v>
      </c>
      <c r="L29" s="29">
        <v>273</v>
      </c>
      <c r="M29" s="29">
        <v>39404</v>
      </c>
      <c r="N29" s="30">
        <f t="shared" si="0"/>
        <v>41827</v>
      </c>
      <c r="O29" s="29">
        <v>0</v>
      </c>
      <c r="P29" s="30">
        <f t="shared" si="1"/>
        <v>41827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3</v>
      </c>
      <c r="O31" s="29">
        <v>0</v>
      </c>
      <c r="P31" s="30">
        <f t="shared" si="1"/>
        <v>3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32812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281669</v>
      </c>
      <c r="K32" s="29">
        <v>0</v>
      </c>
      <c r="L32" s="29">
        <v>227641</v>
      </c>
      <c r="M32" s="29">
        <v>10099</v>
      </c>
      <c r="N32" s="30">
        <f t="shared" si="0"/>
        <v>552221</v>
      </c>
      <c r="O32" s="29">
        <v>0</v>
      </c>
      <c r="P32" s="30">
        <f t="shared" si="1"/>
        <v>552221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39717</v>
      </c>
      <c r="K33" s="29">
        <v>0</v>
      </c>
      <c r="L33" s="29">
        <v>0</v>
      </c>
      <c r="M33" s="29">
        <v>0</v>
      </c>
      <c r="N33" s="30">
        <f t="shared" si="0"/>
        <v>39717</v>
      </c>
      <c r="O33" s="29">
        <v>0</v>
      </c>
      <c r="P33" s="30">
        <f t="shared" si="1"/>
        <v>39717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30</v>
      </c>
      <c r="D35" s="29">
        <v>240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22791</v>
      </c>
      <c r="K35" s="29">
        <v>0</v>
      </c>
      <c r="L35" s="29">
        <v>313</v>
      </c>
      <c r="M35" s="29">
        <v>0</v>
      </c>
      <c r="N35" s="30">
        <f t="shared" si="0"/>
        <v>23374</v>
      </c>
      <c r="O35" s="29">
        <v>0</v>
      </c>
      <c r="P35" s="30">
        <f t="shared" si="1"/>
        <v>23374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119241</v>
      </c>
      <c r="K36" s="29">
        <v>0</v>
      </c>
      <c r="L36" s="29">
        <v>65177</v>
      </c>
      <c r="M36" s="29">
        <v>50294</v>
      </c>
      <c r="N36" s="30">
        <f t="shared" si="0"/>
        <v>234712</v>
      </c>
      <c r="O36" s="29">
        <v>0</v>
      </c>
      <c r="P36" s="30">
        <f t="shared" si="1"/>
        <v>234712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14108</v>
      </c>
      <c r="K37" s="29">
        <v>0</v>
      </c>
      <c r="L37" s="29">
        <v>424</v>
      </c>
      <c r="M37" s="29">
        <v>0</v>
      </c>
      <c r="N37" s="30">
        <f t="shared" si="0"/>
        <v>14532</v>
      </c>
      <c r="O37" s="29">
        <v>0</v>
      </c>
      <c r="P37" s="30">
        <f t="shared" si="1"/>
        <v>14532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653</v>
      </c>
      <c r="K38" s="29">
        <v>0</v>
      </c>
      <c r="L38" s="29">
        <v>0</v>
      </c>
      <c r="M38" s="29">
        <v>0</v>
      </c>
      <c r="N38" s="30">
        <f t="shared" si="0"/>
        <v>653</v>
      </c>
      <c r="O38" s="29">
        <v>0</v>
      </c>
      <c r="P38" s="30">
        <f t="shared" si="1"/>
        <v>653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249</v>
      </c>
      <c r="J39" s="29">
        <v>0</v>
      </c>
      <c r="K39" s="29">
        <v>0</v>
      </c>
      <c r="L39" s="29">
        <v>46362</v>
      </c>
      <c r="M39" s="29">
        <v>0</v>
      </c>
      <c r="N39" s="30">
        <f t="shared" si="0"/>
        <v>46611</v>
      </c>
      <c r="O39" s="29">
        <v>0</v>
      </c>
      <c r="P39" s="30">
        <f t="shared" si="1"/>
        <v>46611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7906207</v>
      </c>
      <c r="D43" s="31">
        <f t="shared" si="2"/>
        <v>1083048</v>
      </c>
      <c r="E43" s="31">
        <f t="shared" si="2"/>
        <v>642206</v>
      </c>
      <c r="F43" s="31">
        <f t="shared" si="2"/>
        <v>6547</v>
      </c>
      <c r="G43" s="31">
        <f t="shared" si="2"/>
        <v>103998</v>
      </c>
      <c r="H43" s="31">
        <f t="shared" si="2"/>
        <v>1408128</v>
      </c>
      <c r="I43" s="31">
        <f t="shared" si="2"/>
        <v>581458</v>
      </c>
      <c r="J43" s="31">
        <f t="shared" si="2"/>
        <v>615977</v>
      </c>
      <c r="K43" s="31">
        <f t="shared" si="2"/>
        <v>73930</v>
      </c>
      <c r="L43" s="31">
        <f t="shared" si="2"/>
        <v>5595046</v>
      </c>
      <c r="M43" s="31">
        <f t="shared" si="2"/>
        <v>433113</v>
      </c>
      <c r="N43" s="31">
        <f t="shared" si="2"/>
        <v>18449658</v>
      </c>
      <c r="O43" s="31">
        <f t="shared" si="2"/>
        <v>987629</v>
      </c>
      <c r="P43" s="31">
        <f t="shared" si="2"/>
        <v>19437287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2015-08-25T15:05:04Z</dcterms:modified>
</cp:coreProperties>
</file>