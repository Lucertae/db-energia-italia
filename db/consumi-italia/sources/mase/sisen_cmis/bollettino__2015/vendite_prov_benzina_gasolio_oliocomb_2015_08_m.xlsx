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F15" i="1"/>
  <c r="F23" s="1"/>
  <c r="J15"/>
  <c r="J23" s="1"/>
  <c r="F16"/>
  <c r="J16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K23"/>
  <c r="L23"/>
  <c r="M23"/>
  <c r="N23"/>
  <c r="O23"/>
  <c r="F24"/>
  <c r="F25" s="1"/>
  <c r="J24"/>
  <c r="C25"/>
  <c r="D25"/>
  <c r="E25"/>
  <c r="G25"/>
  <c r="H25"/>
  <c r="I25"/>
  <c r="J25"/>
  <c r="K25"/>
  <c r="L25"/>
  <c r="M25"/>
  <c r="N25"/>
  <c r="O25"/>
  <c r="F26"/>
  <c r="F30" s="1"/>
  <c r="J26"/>
  <c r="J30" s="1"/>
  <c r="F27"/>
  <c r="J27"/>
  <c r="F28"/>
  <c r="J28"/>
  <c r="F29"/>
  <c r="J29"/>
  <c r="C30"/>
  <c r="D30"/>
  <c r="E30"/>
  <c r="G30"/>
  <c r="H30"/>
  <c r="I30"/>
  <c r="K30"/>
  <c r="L30"/>
  <c r="M30"/>
  <c r="N30"/>
  <c r="O30"/>
  <c r="F31"/>
  <c r="J31"/>
  <c r="F32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F43"/>
  <c r="G43"/>
  <c r="H43"/>
  <c r="I43"/>
  <c r="J43"/>
  <c r="K43"/>
  <c r="L43"/>
  <c r="M43"/>
  <c r="N43"/>
  <c r="O43"/>
  <c r="F44"/>
  <c r="J44"/>
  <c r="F45"/>
  <c r="F46" s="1"/>
  <c r="J45"/>
  <c r="C46"/>
  <c r="D46"/>
  <c r="E46"/>
  <c r="G46"/>
  <c r="H46"/>
  <c r="I46"/>
  <c r="J46"/>
  <c r="K46"/>
  <c r="L46"/>
  <c r="M46"/>
  <c r="N46"/>
  <c r="O46"/>
  <c r="F47"/>
  <c r="J47"/>
  <c r="J51" s="1"/>
  <c r="F48"/>
  <c r="F51" s="1"/>
  <c r="J48"/>
  <c r="F49"/>
  <c r="J49"/>
  <c r="F50"/>
  <c r="J50"/>
  <c r="C51"/>
  <c r="D51"/>
  <c r="E51"/>
  <c r="G51"/>
  <c r="H51"/>
  <c r="I51"/>
  <c r="K51"/>
  <c r="L51"/>
  <c r="M51"/>
  <c r="N51"/>
  <c r="O51"/>
  <c r="F52"/>
  <c r="F59" s="1"/>
  <c r="J52"/>
  <c r="F53"/>
  <c r="J53"/>
  <c r="F54"/>
  <c r="J54"/>
  <c r="F55"/>
  <c r="J55"/>
  <c r="F56"/>
  <c r="J56"/>
  <c r="F57"/>
  <c r="J57"/>
  <c r="F58"/>
  <c r="J58"/>
  <c r="C59"/>
  <c r="D59"/>
  <c r="E59"/>
  <c r="G59"/>
  <c r="H59"/>
  <c r="I59"/>
  <c r="J59"/>
  <c r="K59"/>
  <c r="L59"/>
  <c r="M59"/>
  <c r="N59"/>
  <c r="O59"/>
  <c r="F60"/>
  <c r="J60"/>
  <c r="F61"/>
  <c r="J61"/>
  <c r="F62"/>
  <c r="J62"/>
  <c r="F63"/>
  <c r="J63"/>
  <c r="F64"/>
  <c r="J64"/>
  <c r="F65"/>
  <c r="J65"/>
  <c r="F66"/>
  <c r="J66"/>
  <c r="F67"/>
  <c r="J67"/>
  <c r="F68"/>
  <c r="J68"/>
  <c r="C69"/>
  <c r="D69"/>
  <c r="E69"/>
  <c r="F69"/>
  <c r="G69"/>
  <c r="H69"/>
  <c r="I69"/>
  <c r="J69"/>
  <c r="K69"/>
  <c r="L69"/>
  <c r="M69"/>
  <c r="N69"/>
  <c r="O69"/>
  <c r="F70"/>
  <c r="J70"/>
  <c r="F71"/>
  <c r="F80" s="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G80"/>
  <c r="H80"/>
  <c r="I80"/>
  <c r="J80"/>
  <c r="K80"/>
  <c r="L80"/>
  <c r="M80"/>
  <c r="N80"/>
  <c r="O80"/>
  <c r="F81"/>
  <c r="J81"/>
  <c r="F82"/>
  <c r="J82"/>
  <c r="F83"/>
  <c r="J83"/>
  <c r="F84"/>
  <c r="J84"/>
  <c r="F85"/>
  <c r="J85"/>
  <c r="C86"/>
  <c r="D86"/>
  <c r="E86"/>
  <c r="F86"/>
  <c r="G86"/>
  <c r="H86"/>
  <c r="I86"/>
  <c r="J86"/>
  <c r="K86"/>
  <c r="L86"/>
  <c r="M86"/>
  <c r="N86"/>
  <c r="O86"/>
  <c r="F87"/>
  <c r="J87"/>
  <c r="F88"/>
  <c r="F89" s="1"/>
  <c r="J88"/>
  <c r="C89"/>
  <c r="D89"/>
  <c r="E89"/>
  <c r="G89"/>
  <c r="H89"/>
  <c r="I89"/>
  <c r="J89"/>
  <c r="K89"/>
  <c r="L89"/>
  <c r="M89"/>
  <c r="N89"/>
  <c r="O89"/>
  <c r="F90"/>
  <c r="J90"/>
  <c r="F91"/>
  <c r="J91"/>
  <c r="F92"/>
  <c r="J92"/>
  <c r="F93"/>
  <c r="J93"/>
  <c r="F94"/>
  <c r="J94"/>
  <c r="C95"/>
  <c r="D95"/>
  <c r="E95"/>
  <c r="F95"/>
  <c r="G95"/>
  <c r="H95"/>
  <c r="I95"/>
  <c r="J95"/>
  <c r="K95"/>
  <c r="L95"/>
  <c r="M95"/>
  <c r="N95"/>
  <c r="O95"/>
  <c r="F96"/>
  <c r="J96"/>
  <c r="F97"/>
  <c r="F98" s="1"/>
  <c r="J97"/>
  <c r="C98"/>
  <c r="D98"/>
  <c r="E98"/>
  <c r="G98"/>
  <c r="H98"/>
  <c r="I98"/>
  <c r="J98"/>
  <c r="K98"/>
  <c r="L98"/>
  <c r="M98"/>
  <c r="N98"/>
  <c r="O98"/>
  <c r="F99"/>
  <c r="J99"/>
  <c r="J103" s="1"/>
  <c r="F100"/>
  <c r="F103" s="1"/>
  <c r="J100"/>
  <c r="F101"/>
  <c r="J101"/>
  <c r="F102"/>
  <c r="J102"/>
  <c r="C103"/>
  <c r="D103"/>
  <c r="E103"/>
  <c r="G103"/>
  <c r="H103"/>
  <c r="I103"/>
  <c r="K103"/>
  <c r="L103"/>
  <c r="M103"/>
  <c r="N103"/>
  <c r="O103"/>
  <c r="F104"/>
  <c r="F109" s="1"/>
  <c r="J104"/>
  <c r="F105"/>
  <c r="J105"/>
  <c r="F106"/>
  <c r="J106"/>
  <c r="F107"/>
  <c r="J107"/>
  <c r="F108"/>
  <c r="J108"/>
  <c r="C109"/>
  <c r="D109"/>
  <c r="E109"/>
  <c r="G109"/>
  <c r="H109"/>
  <c r="I109"/>
  <c r="J109"/>
  <c r="K109"/>
  <c r="L109"/>
  <c r="M109"/>
  <c r="N109"/>
  <c r="O109"/>
  <c r="F110"/>
  <c r="J110"/>
  <c r="J116" s="1"/>
  <c r="F111"/>
  <c r="F116" s="1"/>
  <c r="J111"/>
  <c r="F112"/>
  <c r="J112"/>
  <c r="F113"/>
  <c r="J113"/>
  <c r="F114"/>
  <c r="J114"/>
  <c r="F115"/>
  <c r="J115"/>
  <c r="C116"/>
  <c r="D116"/>
  <c r="E116"/>
  <c r="G116"/>
  <c r="H116"/>
  <c r="I116"/>
  <c r="K116"/>
  <c r="L116"/>
  <c r="M116"/>
  <c r="N116"/>
  <c r="O116"/>
  <c r="F117"/>
  <c r="F119" s="1"/>
  <c r="J117"/>
  <c r="J119" s="1"/>
  <c r="F118"/>
  <c r="J118"/>
  <c r="C119"/>
  <c r="D119"/>
  <c r="E119"/>
  <c r="G119"/>
  <c r="H119"/>
  <c r="I119"/>
  <c r="K119"/>
  <c r="L119"/>
  <c r="M119"/>
  <c r="N119"/>
  <c r="O119"/>
  <c r="F120"/>
  <c r="F125" s="1"/>
  <c r="J120"/>
  <c r="F121"/>
  <c r="J121"/>
  <c r="J125" s="1"/>
  <c r="F122"/>
  <c r="J122"/>
  <c r="F123"/>
  <c r="J123"/>
  <c r="F124"/>
  <c r="J124"/>
  <c r="C125"/>
  <c r="D125"/>
  <c r="E125"/>
  <c r="G125"/>
  <c r="H125"/>
  <c r="I125"/>
  <c r="K125"/>
  <c r="L125"/>
  <c r="M125"/>
  <c r="N125"/>
  <c r="O125"/>
  <c r="F126"/>
  <c r="F135" s="1"/>
  <c r="J126"/>
  <c r="F127"/>
  <c r="J127"/>
  <c r="F128"/>
  <c r="J128"/>
  <c r="F129"/>
  <c r="J129"/>
  <c r="F130"/>
  <c r="J130"/>
  <c r="F131"/>
  <c r="J131"/>
  <c r="F132"/>
  <c r="J132"/>
  <c r="F133"/>
  <c r="J133"/>
  <c r="F134"/>
  <c r="J134"/>
  <c r="C135"/>
  <c r="D135"/>
  <c r="E135"/>
  <c r="G135"/>
  <c r="H135"/>
  <c r="I135"/>
  <c r="J135"/>
  <c r="K135"/>
  <c r="L135"/>
  <c r="M135"/>
  <c r="N135"/>
  <c r="N145" s="1"/>
  <c r="O135"/>
  <c r="F136"/>
  <c r="J136"/>
  <c r="J144" s="1"/>
  <c r="F137"/>
  <c r="F144" s="1"/>
  <c r="J137"/>
  <c r="F138"/>
  <c r="J138"/>
  <c r="F139"/>
  <c r="J139"/>
  <c r="F140"/>
  <c r="J140"/>
  <c r="F141"/>
  <c r="J141"/>
  <c r="F142"/>
  <c r="J142"/>
  <c r="F143"/>
  <c r="J143"/>
  <c r="C144"/>
  <c r="D144"/>
  <c r="D145" s="1"/>
  <c r="E144"/>
  <c r="E145" s="1"/>
  <c r="G144"/>
  <c r="H144"/>
  <c r="H145" s="1"/>
  <c r="I144"/>
  <c r="I145" s="1"/>
  <c r="K144"/>
  <c r="L144"/>
  <c r="L145" s="1"/>
  <c r="M144"/>
  <c r="M145" s="1"/>
  <c r="N144"/>
  <c r="O144"/>
  <c r="C145"/>
  <c r="G145"/>
  <c r="K145"/>
  <c r="O145"/>
  <c r="F15" i="2"/>
  <c r="J15"/>
  <c r="F16"/>
  <c r="J16"/>
  <c r="F17"/>
  <c r="J17"/>
  <c r="F18"/>
  <c r="J18"/>
  <c r="F19"/>
  <c r="J19"/>
  <c r="F20"/>
  <c r="J20"/>
  <c r="F21"/>
  <c r="J21"/>
  <c r="F22"/>
  <c r="J22"/>
  <c r="C23"/>
  <c r="D23"/>
  <c r="E23"/>
  <c r="F23"/>
  <c r="G23"/>
  <c r="H23"/>
  <c r="I23"/>
  <c r="J23"/>
  <c r="K23"/>
  <c r="L23"/>
  <c r="M23"/>
  <c r="N23"/>
  <c r="O23"/>
  <c r="F24"/>
  <c r="J24"/>
  <c r="C25"/>
  <c r="D25"/>
  <c r="E25"/>
  <c r="F25"/>
  <c r="G25"/>
  <c r="H25"/>
  <c r="I25"/>
  <c r="J25"/>
  <c r="K25"/>
  <c r="L25"/>
  <c r="M25"/>
  <c r="N25"/>
  <c r="O25"/>
  <c r="F26"/>
  <c r="J26"/>
  <c r="F27"/>
  <c r="J27"/>
  <c r="F28"/>
  <c r="J28"/>
  <c r="F29"/>
  <c r="J29"/>
  <c r="C30"/>
  <c r="D30"/>
  <c r="E30"/>
  <c r="F30"/>
  <c r="G30"/>
  <c r="H30"/>
  <c r="I30"/>
  <c r="J30"/>
  <c r="K30"/>
  <c r="L30"/>
  <c r="M30"/>
  <c r="N30"/>
  <c r="O30"/>
  <c r="F31"/>
  <c r="J31"/>
  <c r="F32"/>
  <c r="F43" s="1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G43"/>
  <c r="H43"/>
  <c r="I43"/>
  <c r="J43"/>
  <c r="K43"/>
  <c r="L43"/>
  <c r="M43"/>
  <c r="N43"/>
  <c r="O43"/>
  <c r="F44"/>
  <c r="J44"/>
  <c r="J46" s="1"/>
  <c r="F45"/>
  <c r="F46" s="1"/>
  <c r="J45"/>
  <c r="C46"/>
  <c r="D46"/>
  <c r="E46"/>
  <c r="G46"/>
  <c r="H46"/>
  <c r="I46"/>
  <c r="K46"/>
  <c r="L46"/>
  <c r="M46"/>
  <c r="N46"/>
  <c r="O46"/>
  <c r="F47"/>
  <c r="F51" s="1"/>
  <c r="J47"/>
  <c r="J51" s="1"/>
  <c r="F48"/>
  <c r="J48"/>
  <c r="F49"/>
  <c r="J49"/>
  <c r="F50"/>
  <c r="J50"/>
  <c r="C51"/>
  <c r="D51"/>
  <c r="E51"/>
  <c r="G51"/>
  <c r="H51"/>
  <c r="I51"/>
  <c r="K51"/>
  <c r="L51"/>
  <c r="M51"/>
  <c r="N51"/>
  <c r="O51"/>
  <c r="F52"/>
  <c r="F59" s="1"/>
  <c r="J52"/>
  <c r="F53"/>
  <c r="J53"/>
  <c r="J59" s="1"/>
  <c r="F54"/>
  <c r="J54"/>
  <c r="F55"/>
  <c r="J55"/>
  <c r="F56"/>
  <c r="J56"/>
  <c r="F57"/>
  <c r="J57"/>
  <c r="F58"/>
  <c r="J58"/>
  <c r="C59"/>
  <c r="D59"/>
  <c r="E59"/>
  <c r="G59"/>
  <c r="H59"/>
  <c r="I59"/>
  <c r="K59"/>
  <c r="L59"/>
  <c r="M59"/>
  <c r="N59"/>
  <c r="O59"/>
  <c r="F60"/>
  <c r="F69" s="1"/>
  <c r="J60"/>
  <c r="F61"/>
  <c r="J61"/>
  <c r="F62"/>
  <c r="J62"/>
  <c r="F63"/>
  <c r="J63"/>
  <c r="F64"/>
  <c r="J64"/>
  <c r="F65"/>
  <c r="J65"/>
  <c r="F66"/>
  <c r="J66"/>
  <c r="F67"/>
  <c r="J67"/>
  <c r="F68"/>
  <c r="J68"/>
  <c r="C69"/>
  <c r="D69"/>
  <c r="E69"/>
  <c r="G69"/>
  <c r="H69"/>
  <c r="I69"/>
  <c r="J69"/>
  <c r="K69"/>
  <c r="L69"/>
  <c r="M69"/>
  <c r="N69"/>
  <c r="O69"/>
  <c r="F70"/>
  <c r="J70"/>
  <c r="J80" s="1"/>
  <c r="F71"/>
  <c r="F80" s="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G80"/>
  <c r="H80"/>
  <c r="I80"/>
  <c r="K80"/>
  <c r="L80"/>
  <c r="M80"/>
  <c r="N80"/>
  <c r="O80"/>
  <c r="F81"/>
  <c r="F86" s="1"/>
  <c r="J81"/>
  <c r="F82"/>
  <c r="J82"/>
  <c r="F83"/>
  <c r="J83"/>
  <c r="F84"/>
  <c r="J84"/>
  <c r="F85"/>
  <c r="J85"/>
  <c r="C86"/>
  <c r="D86"/>
  <c r="E86"/>
  <c r="G86"/>
  <c r="H86"/>
  <c r="I86"/>
  <c r="J86"/>
  <c r="K86"/>
  <c r="L86"/>
  <c r="M86"/>
  <c r="N86"/>
  <c r="O86"/>
  <c r="F87"/>
  <c r="J87"/>
  <c r="J89" s="1"/>
  <c r="F88"/>
  <c r="F89" s="1"/>
  <c r="J88"/>
  <c r="C89"/>
  <c r="D89"/>
  <c r="E89"/>
  <c r="G89"/>
  <c r="H89"/>
  <c r="I89"/>
  <c r="K89"/>
  <c r="L89"/>
  <c r="M89"/>
  <c r="N89"/>
  <c r="O89"/>
  <c r="F90"/>
  <c r="F95" s="1"/>
  <c r="J90"/>
  <c r="F91"/>
  <c r="J91"/>
  <c r="F92"/>
  <c r="J92"/>
  <c r="F93"/>
  <c r="J93"/>
  <c r="F94"/>
  <c r="J94"/>
  <c r="C95"/>
  <c r="D95"/>
  <c r="E95"/>
  <c r="G95"/>
  <c r="H95"/>
  <c r="I95"/>
  <c r="J95"/>
  <c r="K95"/>
  <c r="L95"/>
  <c r="M95"/>
  <c r="N95"/>
  <c r="O95"/>
  <c r="F96"/>
  <c r="J96"/>
  <c r="J98" s="1"/>
  <c r="F97"/>
  <c r="F98" s="1"/>
  <c r="J97"/>
  <c r="C98"/>
  <c r="D98"/>
  <c r="E98"/>
  <c r="G98"/>
  <c r="H98"/>
  <c r="I98"/>
  <c r="K98"/>
  <c r="L98"/>
  <c r="M98"/>
  <c r="N98"/>
  <c r="O98"/>
  <c r="F99"/>
  <c r="F103" s="1"/>
  <c r="J99"/>
  <c r="J103" s="1"/>
  <c r="F100"/>
  <c r="J100"/>
  <c r="F101"/>
  <c r="J101"/>
  <c r="F102"/>
  <c r="J102"/>
  <c r="C103"/>
  <c r="D103"/>
  <c r="E103"/>
  <c r="G103"/>
  <c r="H103"/>
  <c r="I103"/>
  <c r="K103"/>
  <c r="L103"/>
  <c r="M103"/>
  <c r="N103"/>
  <c r="O103"/>
  <c r="F104"/>
  <c r="F109" s="1"/>
  <c r="J104"/>
  <c r="F105"/>
  <c r="J105"/>
  <c r="J109" s="1"/>
  <c r="F106"/>
  <c r="J106"/>
  <c r="F107"/>
  <c r="J107"/>
  <c r="F108"/>
  <c r="J108"/>
  <c r="C109"/>
  <c r="D109"/>
  <c r="E109"/>
  <c r="G109"/>
  <c r="H109"/>
  <c r="I109"/>
  <c r="K109"/>
  <c r="L109"/>
  <c r="M109"/>
  <c r="N109"/>
  <c r="O109"/>
  <c r="F110"/>
  <c r="F116" s="1"/>
  <c r="J110"/>
  <c r="J116" s="1"/>
  <c r="F111"/>
  <c r="J111"/>
  <c r="F112"/>
  <c r="J112"/>
  <c r="F113"/>
  <c r="J113"/>
  <c r="F114"/>
  <c r="J114"/>
  <c r="F115"/>
  <c r="J115"/>
  <c r="C116"/>
  <c r="D116"/>
  <c r="E116"/>
  <c r="G116"/>
  <c r="H116"/>
  <c r="I116"/>
  <c r="K116"/>
  <c r="L116"/>
  <c r="M116"/>
  <c r="N116"/>
  <c r="O116"/>
  <c r="F117"/>
  <c r="J117"/>
  <c r="F118"/>
  <c r="J118"/>
  <c r="C119"/>
  <c r="D119"/>
  <c r="E119"/>
  <c r="F119"/>
  <c r="G119"/>
  <c r="H119"/>
  <c r="I119"/>
  <c r="J119"/>
  <c r="K119"/>
  <c r="L119"/>
  <c r="M119"/>
  <c r="N119"/>
  <c r="O119"/>
  <c r="F120"/>
  <c r="J120"/>
  <c r="F121"/>
  <c r="F125" s="1"/>
  <c r="J121"/>
  <c r="J125" s="1"/>
  <c r="F122"/>
  <c r="J122"/>
  <c r="F123"/>
  <c r="J123"/>
  <c r="F124"/>
  <c r="J124"/>
  <c r="C125"/>
  <c r="D125"/>
  <c r="E125"/>
  <c r="G125"/>
  <c r="H125"/>
  <c r="I125"/>
  <c r="K125"/>
  <c r="L125"/>
  <c r="M125"/>
  <c r="N125"/>
  <c r="O125"/>
  <c r="F126"/>
  <c r="F135" s="1"/>
  <c r="J126"/>
  <c r="F127"/>
  <c r="J127"/>
  <c r="J135" s="1"/>
  <c r="F128"/>
  <c r="J128"/>
  <c r="F129"/>
  <c r="J129"/>
  <c r="F130"/>
  <c r="J130"/>
  <c r="F131"/>
  <c r="J131"/>
  <c r="F132"/>
  <c r="J132"/>
  <c r="F133"/>
  <c r="J133"/>
  <c r="F134"/>
  <c r="J134"/>
  <c r="C135"/>
  <c r="D135"/>
  <c r="E135"/>
  <c r="E145" s="1"/>
  <c r="G135"/>
  <c r="H135"/>
  <c r="I135"/>
  <c r="I145" s="1"/>
  <c r="K135"/>
  <c r="L135"/>
  <c r="M135"/>
  <c r="M145" s="1"/>
  <c r="N135"/>
  <c r="O135"/>
  <c r="F136"/>
  <c r="F144" s="1"/>
  <c r="J136"/>
  <c r="J144" s="1"/>
  <c r="F137"/>
  <c r="J137"/>
  <c r="F138"/>
  <c r="J138"/>
  <c r="F139"/>
  <c r="J139"/>
  <c r="F140"/>
  <c r="J140"/>
  <c r="F141"/>
  <c r="J141"/>
  <c r="F142"/>
  <c r="J142"/>
  <c r="F143"/>
  <c r="J143"/>
  <c r="C144"/>
  <c r="C145" s="1"/>
  <c r="D144"/>
  <c r="D145" s="1"/>
  <c r="E144"/>
  <c r="G144"/>
  <c r="G145" s="1"/>
  <c r="H144"/>
  <c r="H145" s="1"/>
  <c r="I144"/>
  <c r="K144"/>
  <c r="K145" s="1"/>
  <c r="L144"/>
  <c r="L145" s="1"/>
  <c r="M144"/>
  <c r="N144"/>
  <c r="O144"/>
  <c r="O145" s="1"/>
  <c r="N145"/>
  <c r="F145" l="1"/>
  <c r="J145"/>
  <c r="J145" i="1"/>
  <c r="F145"/>
</calcChain>
</file>

<file path=xl/sharedStrings.xml><?xml version="1.0" encoding="utf-8"?>
<sst xmlns="http://schemas.openxmlformats.org/spreadsheetml/2006/main" count="544" uniqueCount="271">
  <si>
    <t>Ministero dello Sviluppo Economico</t>
  </si>
  <si>
    <t>BOLLETTINO PETROLIFERO</t>
  </si>
  <si>
    <t>DGSAIE DIV.7</t>
  </si>
  <si>
    <t>VENDITE  PROVINCIALI</t>
  </si>
  <si>
    <t>BENZINA, GASOLIO, OLIO COMBUSTIBILE</t>
  </si>
  <si>
    <t>la materia è espressa in TONNELLATE intere</t>
  </si>
  <si>
    <t>Report costruito su dati provvisori</t>
  </si>
  <si>
    <t>Periodo: agosto 2015</t>
  </si>
  <si>
    <t>Provincia</t>
  </si>
  <si>
    <t xml:space="preserve">Benzina </t>
  </si>
  <si>
    <t>Gasolio motori</t>
  </si>
  <si>
    <t>Gasolio altri usi</t>
  </si>
  <si>
    <t>Olio combustibile</t>
  </si>
  <si>
    <t>Codice</t>
  </si>
  <si>
    <t>Nome</t>
  </si>
  <si>
    <t>Totale</t>
  </si>
  <si>
    <t>Rete</t>
  </si>
  <si>
    <t>Extra Rete</t>
  </si>
  <si>
    <t>Rete ordinaria</t>
  </si>
  <si>
    <t>Autostrad.</t>
  </si>
  <si>
    <t>Extra rete</t>
  </si>
  <si>
    <t>Gasolio riscaldamento</t>
  </si>
  <si>
    <t>Gasolio  uso termoelettrico</t>
  </si>
  <si>
    <t>Gasolio uso agricolo</t>
  </si>
  <si>
    <t>Olio Comb.</t>
  </si>
  <si>
    <t>Ordinaria</t>
  </si>
  <si>
    <t>BTZ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</si>
  <si>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</si>
  <si>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</si>
  <si>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</si>
  <si>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</si>
  <si>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</si>
  <si>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</si>
  <si>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</si>
  <si>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</si>
  <si>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</si>
  <si>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</si>
  <si>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</si>
  <si>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</si>
  <si>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</si>
  <si>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VERBANO-CUSIO-OSSOLA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</si>
  <si>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</si>
  <si>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</si>
  <si>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</si>
  <si>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</si>
  <si>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</si>
  <si>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</si>
  <si>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</si>
  <si>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</si>
  <si>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</si>
  <si>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</si>
  <si>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</si>
  <si>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</si>
  <si>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</si>
  <si>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</si>
  <si>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</si>
  <si>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</si>
  <si>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</si>
  <si>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</si>
  <si>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</si>
  <si>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</si>
  <si>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</si>
  <si>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</si>
  <si>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</si>
  <si>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</si>
  <si>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</si>
  <si>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</si>
  <si>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</si>
  <si>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</si>
  <si>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</si>
  <si>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</si>
  <si>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</si>
  <si>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</si>
  <si>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</si>
  <si>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</si>
  <si>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</si>
  <si>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</si>
  <si>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</si>
  <si>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</si>
  <si>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</si>
  <si>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</si>
  <si>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</si>
  <si>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</si>
  <si>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</si>
  <si>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</si>
  <si>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</si>
  <si>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</si>
  <si>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</si>
  <si>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</si>
  <si>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</si>
  <si>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</si>
  <si>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</si>
  <si>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</si>
  <si>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</si>
  <si>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</si>
  <si>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</si>
  <si>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</si>
  <si>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</si>
  <si>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</si>
  <si>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</si>
  <si>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</si>
  <si>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</si>
  <si>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</si>
  <si>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</si>
  <si>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</si>
  <si>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</si>
  <si>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</si>
  <si>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</si>
  <si>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</si>
  <si>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</si>
  <si>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</si>
  <si>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</si>
  <si>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</si>
  <si>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</si>
  <si>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</si>
  <si>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</si>
  <si>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</si>
  <si>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</si>
  <si>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</si>
  <si>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</si>
  <si>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</si>
  <si>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</si>
  <si>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</si>
  <si>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</si>
  <si>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</si>
  <si>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</si>
  <si>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</si>
  <si>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</si>
  <si>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</si>
  <si>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</si>
  <si>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</si>
  <si>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</si>
  <si>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</si>
  <si>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</si>
  <si>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</si>
  <si>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</si>
  <si>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</si>
  <si>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</si>
  <si>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</si>
  <si>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</si>
  <si>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</si>
  <si>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</si>
  <si>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</si>
  <si>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</si>
  <si>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</si>
  <si>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</si>
  <si>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</si>
  <si>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</si>
  <si>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</si>
  <si>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</si>
  <si>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</si>
  <si>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</si>
  <si>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</si>
  <si>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</si>
  <si>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</si>
  <si>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</si>
  <si>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</si>
  <si>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</si>
  <si>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</si>
  <si>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</si>
  <si>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</si>
  <si>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</si>
  <si>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</si>
  <si>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</si>
  <si>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</si>
  <si>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</si>
  <si>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</si>
  <si>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</si>
  <si>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</si>
  <si>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</si>
  <si>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</si>
  <si>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</si>
  <si>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</si>
  <si>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</si>
  <si>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</si>
  <si>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</si>
  <si>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</si>
  <si>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</si>
  <si>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</si>
  <si>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</si>
  <si>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</si>
  <si>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</si>
  <si>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</si>
  <si>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</si>
  <si>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</si>
  <si>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</si>
  <si>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</si>
  <si>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</si>
  <si>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</si>
  <si>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</si>
  <si>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</si>
  <si>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</si>
  <si>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</si>
  <si>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</si>
  <si>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</si>
  <si>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</si>
  <si>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</si>
  <si>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</si>
  <si>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</si>
  <si>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</si>
  <si>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</si>
  <si>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</si>
  <si>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</si>
  <si>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</si>
  <si>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</si>
  <si>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</si>
  <si>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</si>
  <si>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</si>
  <si>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</si>
  <si>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</si>
  <si>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</si>
  <si>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</si>
  <si>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</si>
  <si>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</si>
  <si>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</si>
  <si>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</si>
  <si>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</si>
  <si>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</si>
  <si>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</si>
  <si>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</si>
  <si>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</si>
  <si>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</si>
  <si>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</si>
  <si>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</si>
  <si>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</si>
  <si>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</si>
  <si>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</si>
  <si>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</si>
  <si>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</si>
  <si>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</si>
  <si>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</si>
  <si>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</si>
  <si>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</si>
  <si>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</si>
  <si>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</si>
  <si>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</si>
  <si>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</si>
  <si>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</si>
  <si>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</si>
  <si>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</si>
  <si>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</si>
  <si>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</si>
  <si>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</si>
  <si>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</si>
  <si>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</si>
  <si>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</si>
  <si>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</si>
  <si>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</si>
  <si>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</si>
  <si>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</si>
  <si>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</si>
  <si>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</si>
  <si>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</si>
  <si>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</si>
  <si>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</si>
  <si>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</si>
  <si>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</si>
  <si>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</si>
  <si>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</si>
  <si>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</si>
  <si>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</si>
  <si>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</si>
  <si>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</si>
  <si>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</si>
  <si>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</si>
  <si>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</si>
  <si>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</si>
  <si>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</si>
  <si>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</si>
  <si>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</si>
  <si>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gennaio-agosto 2015</t>
  </si>
</sst>
</file>

<file path=xl/styles.xml><?xml version="1.0" encoding="utf-8"?>
<styleSheet xmlns="http://schemas.openxmlformats.org/spreadsheetml/2006/main">
  <fonts count="16">
    <font>
      <sz val="10"/>
      <color indexed="8"/>
      <name val="Times New Roman"/>
    </font>
    <font>
      <sz val="9"/>
      <color indexed="8"/>
      <name val="Calibri"/>
    </font>
    <font>
      <b/>
      <sz val="10"/>
      <color indexed="8"/>
      <name val="Calibri"/>
    </font>
    <font>
      <sz val="10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12"/>
      <color indexed="11"/>
      <name val="Calibri"/>
    </font>
    <font>
      <sz val="9"/>
      <color indexed="11"/>
      <name val="Calibri"/>
    </font>
    <font>
      <b/>
      <sz val="11"/>
      <color indexed="11"/>
      <name val="Calibri"/>
    </font>
    <font>
      <b/>
      <sz val="9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b/>
      <sz val="9"/>
      <color indexed="14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8"/>
      </patternFill>
    </fill>
  </fills>
  <borders count="22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/>
      <diagonal/>
    </border>
    <border>
      <left style="hair">
        <color indexed="10"/>
      </left>
      <right style="hair">
        <color indexed="10"/>
      </right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/>
      <bottom style="thin">
        <color indexed="8"/>
      </bottom>
      <diagonal/>
    </border>
    <border>
      <left style="double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hair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/>
      <diagonal/>
    </border>
    <border>
      <left style="thin">
        <color indexed="10"/>
      </left>
      <right style="hair">
        <color indexed="10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double">
        <color indexed="10"/>
      </left>
      <right/>
      <top style="thin">
        <color indexed="8"/>
      </top>
      <bottom style="hair">
        <color indexed="10"/>
      </bottom>
      <diagonal/>
    </border>
    <border>
      <left style="double">
        <color indexed="10"/>
      </left>
      <right/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10"/>
      </right>
      <top style="thin">
        <color indexed="8"/>
      </top>
      <bottom/>
      <diagonal/>
    </border>
  </borders>
  <cellStyleXfs count="1">
    <xf numFmtId="0" fontId="0" fillId="0" borderId="0" applyFill="0" applyProtection="0"/>
  </cellStyleXfs>
  <cellXfs count="52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0" fillId="0" borderId="1" xfId="0" applyFill="1" applyBorder="1" applyProtection="1"/>
    <xf numFmtId="0" fontId="1" fillId="0" borderId="2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0" borderId="2" xfId="0" applyFont="1" applyFill="1" applyBorder="1" applyProtection="1"/>
    <xf numFmtId="0" fontId="3" fillId="0" borderId="0" xfId="0" applyFont="1" applyFill="1" applyProtection="1"/>
    <xf numFmtId="0" fontId="4" fillId="2" borderId="2" xfId="0" applyFont="1" applyFill="1" applyBorder="1" applyAlignment="1" applyProtection="1">
      <alignment horizontal="center"/>
    </xf>
    <xf numFmtId="0" fontId="5" fillId="2" borderId="2" xfId="0" applyFont="1" applyFill="1" applyBorder="1" applyProtection="1"/>
    <xf numFmtId="0" fontId="5" fillId="2" borderId="2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center"/>
    </xf>
    <xf numFmtId="0" fontId="3" fillId="0" borderId="0" xfId="0" applyFont="1" applyFill="1" applyAlignment="1" applyProtection="1">
      <alignment horizontal="center"/>
    </xf>
    <xf numFmtId="0" fontId="6" fillId="3" borderId="0" xfId="0" applyFont="1" applyFill="1" applyProtection="1"/>
    <xf numFmtId="0" fontId="7" fillId="3" borderId="0" xfId="0" applyFont="1" applyFill="1" applyAlignment="1" applyProtection="1">
      <alignment horizontal="center"/>
    </xf>
    <xf numFmtId="0" fontId="8" fillId="3" borderId="0" xfId="0" applyFont="1" applyFill="1" applyAlignment="1" applyProtection="1">
      <alignment horizontal="center"/>
    </xf>
    <xf numFmtId="0" fontId="6" fillId="3" borderId="0" xfId="0" applyFont="1" applyFill="1" applyAlignment="1" applyProtection="1">
      <alignment horizontal="center"/>
    </xf>
    <xf numFmtId="0" fontId="9" fillId="3" borderId="0" xfId="0" applyFont="1" applyFill="1" applyAlignment="1" applyProtection="1">
      <alignment horizontal="center" vertical="center"/>
    </xf>
    <xf numFmtId="0" fontId="10" fillId="3" borderId="0" xfId="0" applyFont="1" applyFill="1" applyProtection="1"/>
    <xf numFmtId="0" fontId="11" fillId="3" borderId="0" xfId="0" applyFont="1" applyFill="1" applyAlignment="1" applyProtection="1">
      <alignment horizontal="center"/>
    </xf>
    <xf numFmtId="0" fontId="7" fillId="3" borderId="3" xfId="0" applyFont="1" applyFill="1" applyBorder="1" applyAlignment="1" applyProtection="1">
      <alignment horizontal="center"/>
    </xf>
    <xf numFmtId="0" fontId="7" fillId="3" borderId="4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 applyProtection="1">
      <alignment horizontal="center" vertical="center"/>
    </xf>
    <xf numFmtId="0" fontId="12" fillId="3" borderId="6" xfId="0" applyFont="1" applyFill="1" applyBorder="1" applyAlignment="1" applyProtection="1">
      <alignment horizontal="center" vertical="center"/>
    </xf>
    <xf numFmtId="0" fontId="12" fillId="3" borderId="7" xfId="0" applyFont="1" applyFill="1" applyBorder="1" applyAlignment="1" applyProtection="1">
      <alignment horizontal="center" vertical="center"/>
    </xf>
    <xf numFmtId="0" fontId="12" fillId="3" borderId="8" xfId="0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 applyProtection="1">
      <alignment horizontal="center" vertical="center"/>
    </xf>
    <xf numFmtId="3" fontId="3" fillId="0" borderId="2" xfId="0" applyNumberFormat="1" applyFont="1" applyFill="1" applyBorder="1" applyProtection="1"/>
    <xf numFmtId="3" fontId="13" fillId="2" borderId="2" xfId="0" applyNumberFormat="1" applyFont="1" applyFill="1" applyBorder="1" applyProtection="1"/>
    <xf numFmtId="3" fontId="14" fillId="2" borderId="2" xfId="0" applyNumberFormat="1" applyFont="1" applyFill="1" applyBorder="1" applyProtection="1"/>
    <xf numFmtId="3" fontId="2" fillId="0" borderId="2" xfId="0" applyNumberFormat="1" applyFont="1" applyFill="1" applyBorder="1" applyProtection="1"/>
    <xf numFmtId="0" fontId="8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11" fillId="3" borderId="17" xfId="0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 applyProtection="1">
      <alignment horizontal="center" vertical="center"/>
    </xf>
    <xf numFmtId="0" fontId="7" fillId="3" borderId="19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7" fillId="3" borderId="20" xfId="0" applyFont="1" applyFill="1" applyBorder="1" applyAlignment="1" applyProtection="1">
      <alignment horizontal="center" vertical="center"/>
    </xf>
    <xf numFmtId="0" fontId="7" fillId="3" borderId="15" xfId="0" applyFont="1" applyFill="1" applyBorder="1" applyAlignment="1" applyProtection="1">
      <alignment horizontal="center" vertical="center"/>
    </xf>
    <xf numFmtId="0" fontId="7" fillId="3" borderId="12" xfId="0" applyFont="1" applyFill="1" applyBorder="1" applyAlignment="1" applyProtection="1">
      <alignment horizontal="center" vertical="center"/>
    </xf>
    <xf numFmtId="0" fontId="7" fillId="3" borderId="16" xfId="0" applyFont="1" applyFill="1" applyBorder="1" applyAlignment="1" applyProtection="1">
      <alignment horizontal="center" vertical="center"/>
    </xf>
    <xf numFmtId="0" fontId="7" fillId="3" borderId="13" xfId="0" applyFont="1" applyFill="1" applyBorder="1" applyAlignment="1" applyProtection="1">
      <alignment horizontal="center" vertical="center"/>
    </xf>
    <xf numFmtId="0" fontId="7" fillId="3" borderId="21" xfId="0" applyFont="1" applyFill="1" applyBorder="1" applyAlignment="1" applyProtection="1">
      <alignment horizontal="center" vertical="center"/>
    </xf>
    <xf numFmtId="0" fontId="7" fillId="3" borderId="10" xfId="0" applyFont="1" applyFill="1" applyBorder="1" applyAlignment="1" applyProtection="1">
      <alignment horizontal="center" vertical="center" wrapText="1"/>
    </xf>
    <xf numFmtId="0" fontId="7" fillId="3" borderId="11" xfId="0" applyFont="1" applyFill="1" applyBorder="1" applyAlignment="1" applyProtection="1">
      <alignment horizontal="center" vertical="center" wrapText="1"/>
    </xf>
    <xf numFmtId="0" fontId="6" fillId="3" borderId="0" xfId="0" applyFont="1" applyFill="1" applyAlignment="1" applyProtection="1">
      <alignment horizontal="center"/>
    </xf>
    <xf numFmtId="0" fontId="15" fillId="3" borderId="0" xfId="0" applyFont="1" applyFill="1" applyAlignment="1" applyProtection="1">
      <alignment horizontal="center" wrapText="1"/>
    </xf>
    <xf numFmtId="0" fontId="7" fillId="3" borderId="10" xfId="0" applyFont="1" applyFill="1" applyBorder="1" applyAlignment="1" applyProtection="1">
      <alignment horizontal="center" vertical="center"/>
    </xf>
    <xf numFmtId="0" fontId="7" fillId="3" borderId="11" xfId="0" applyFont="1" applyFill="1" applyBorder="1" applyAlignment="1" applyProtection="1">
      <alignment horizontal="center" vertical="center"/>
    </xf>
    <xf numFmtId="0" fontId="7" fillId="3" borderId="14" xfId="0" applyFont="1" applyFill="1" applyBorder="1" applyAlignment="1" applyProtection="1">
      <alignment horizontal="center" vertical="center" wrapText="1"/>
    </xf>
    <xf numFmtId="0" fontId="7" fillId="3" borderId="15" xfId="0" applyFont="1" applyFill="1" applyBorder="1" applyAlignment="1" applyProtection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145"/>
  <sheetViews>
    <sheetView showGridLines="0" zoomScale="110" workbookViewId="0">
      <selection activeCell="F19" sqref="F19"/>
    </sheetView>
  </sheetViews>
  <sheetFormatPr defaultRowHeight="12.75" customHeight="1"/>
  <cols>
    <col min="1" max="1" width="6" style="12" customWidth="1"/>
    <col min="2" max="2" width="30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7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7486</v>
      </c>
      <c r="D15" s="28">
        <v>3599</v>
      </c>
      <c r="E15" s="28">
        <v>907</v>
      </c>
      <c r="F15" s="28">
        <f t="shared" ref="F15:F22" si="0">SUM(C15-D15-E15)</f>
        <v>2980</v>
      </c>
      <c r="G15" s="28">
        <v>23435</v>
      </c>
      <c r="H15" s="28">
        <v>8110</v>
      </c>
      <c r="I15" s="28">
        <v>2887</v>
      </c>
      <c r="J15" s="28">
        <f t="shared" ref="J15:J22" si="1">SUM(G15-H15-I15)</f>
        <v>12438</v>
      </c>
      <c r="K15" s="28">
        <v>979</v>
      </c>
      <c r="L15" s="28">
        <v>0</v>
      </c>
      <c r="M15" s="28">
        <v>3158</v>
      </c>
      <c r="N15" s="28">
        <v>204</v>
      </c>
      <c r="O15" s="28">
        <v>204</v>
      </c>
    </row>
    <row r="16" spans="1:15" ht="12.75" customHeight="1">
      <c r="A16" s="4" t="s">
        <v>29</v>
      </c>
      <c r="B16" s="5" t="s">
        <v>30</v>
      </c>
      <c r="C16" s="28">
        <v>3411</v>
      </c>
      <c r="D16" s="28">
        <v>1573</v>
      </c>
      <c r="E16" s="28">
        <v>99</v>
      </c>
      <c r="F16" s="28">
        <f t="shared" si="0"/>
        <v>1739</v>
      </c>
      <c r="G16" s="28">
        <v>17677</v>
      </c>
      <c r="H16" s="28">
        <v>3200</v>
      </c>
      <c r="I16" s="28">
        <v>448</v>
      </c>
      <c r="J16" s="28">
        <f t="shared" si="1"/>
        <v>14029</v>
      </c>
      <c r="K16" s="28">
        <v>290</v>
      </c>
      <c r="L16" s="28">
        <v>0</v>
      </c>
      <c r="M16" s="28">
        <v>2369</v>
      </c>
      <c r="N16" s="28">
        <v>0</v>
      </c>
      <c r="O16" s="28">
        <v>0</v>
      </c>
    </row>
    <row r="17" spans="1:15" ht="12.75" customHeight="1">
      <c r="A17" s="4" t="s">
        <v>31</v>
      </c>
      <c r="B17" s="5" t="s">
        <v>32</v>
      </c>
      <c r="C17" s="28">
        <v>1452</v>
      </c>
      <c r="D17" s="28">
        <v>1418</v>
      </c>
      <c r="E17" s="28">
        <v>0</v>
      </c>
      <c r="F17" s="28">
        <f t="shared" si="0"/>
        <v>34</v>
      </c>
      <c r="G17" s="28">
        <v>2851</v>
      </c>
      <c r="H17" s="28">
        <v>2434</v>
      </c>
      <c r="I17" s="28">
        <v>0</v>
      </c>
      <c r="J17" s="28">
        <f t="shared" si="1"/>
        <v>417</v>
      </c>
      <c r="K17" s="28">
        <v>260</v>
      </c>
      <c r="L17" s="28">
        <v>0</v>
      </c>
      <c r="M17" s="28">
        <v>75</v>
      </c>
      <c r="N17" s="28">
        <v>28</v>
      </c>
      <c r="O17" s="28">
        <v>28</v>
      </c>
    </row>
    <row r="18" spans="1:15" ht="12.75" customHeight="1">
      <c r="A18" s="4" t="s">
        <v>33</v>
      </c>
      <c r="B18" s="5" t="s">
        <v>34</v>
      </c>
      <c r="C18" s="28">
        <v>4379</v>
      </c>
      <c r="D18" s="28">
        <v>4142</v>
      </c>
      <c r="E18" s="28">
        <v>148</v>
      </c>
      <c r="F18" s="28">
        <f t="shared" si="0"/>
        <v>89</v>
      </c>
      <c r="G18" s="28">
        <v>11097</v>
      </c>
      <c r="H18" s="28">
        <v>8357</v>
      </c>
      <c r="I18" s="28">
        <v>434</v>
      </c>
      <c r="J18" s="28">
        <f t="shared" si="1"/>
        <v>2306</v>
      </c>
      <c r="K18" s="28">
        <v>589</v>
      </c>
      <c r="L18" s="28">
        <v>0</v>
      </c>
      <c r="M18" s="28">
        <v>891</v>
      </c>
      <c r="N18" s="28">
        <v>86</v>
      </c>
      <c r="O18" s="28">
        <v>86</v>
      </c>
    </row>
    <row r="19" spans="1:15" ht="12.75" customHeight="1">
      <c r="A19" s="4" t="s">
        <v>35</v>
      </c>
      <c r="B19" s="5" t="s">
        <v>36</v>
      </c>
      <c r="C19" s="28">
        <v>3395</v>
      </c>
      <c r="D19" s="28">
        <v>3159</v>
      </c>
      <c r="E19" s="28">
        <v>236</v>
      </c>
      <c r="F19" s="28">
        <f t="shared" si="0"/>
        <v>0</v>
      </c>
      <c r="G19" s="28">
        <v>7333</v>
      </c>
      <c r="H19" s="28">
        <v>6054</v>
      </c>
      <c r="I19" s="28">
        <v>805</v>
      </c>
      <c r="J19" s="28">
        <f t="shared" si="1"/>
        <v>474</v>
      </c>
      <c r="K19" s="28">
        <v>32</v>
      </c>
      <c r="L19" s="28">
        <v>0</v>
      </c>
      <c r="M19" s="28">
        <v>0</v>
      </c>
      <c r="N19" s="28">
        <v>0</v>
      </c>
      <c r="O19" s="28">
        <v>0</v>
      </c>
    </row>
    <row r="20" spans="1:15" ht="12.75" customHeight="1">
      <c r="A20" s="4" t="s">
        <v>37</v>
      </c>
      <c r="B20" s="5" t="s">
        <v>38</v>
      </c>
      <c r="C20" s="28">
        <v>17043</v>
      </c>
      <c r="D20" s="28">
        <v>15627</v>
      </c>
      <c r="E20" s="28">
        <v>784</v>
      </c>
      <c r="F20" s="28">
        <f t="shared" si="0"/>
        <v>632</v>
      </c>
      <c r="G20" s="28">
        <v>37713</v>
      </c>
      <c r="H20" s="28">
        <v>28445</v>
      </c>
      <c r="I20" s="28">
        <v>3003</v>
      </c>
      <c r="J20" s="28">
        <f t="shared" si="1"/>
        <v>6265</v>
      </c>
      <c r="K20" s="28">
        <v>1365</v>
      </c>
      <c r="L20" s="28">
        <v>0</v>
      </c>
      <c r="M20" s="28">
        <v>990</v>
      </c>
      <c r="N20" s="28">
        <v>1312</v>
      </c>
      <c r="O20" s="28">
        <v>1200</v>
      </c>
    </row>
    <row r="21" spans="1:15" ht="12.75" customHeight="1">
      <c r="A21" s="4" t="s">
        <v>39</v>
      </c>
      <c r="B21" s="5" t="s">
        <v>40</v>
      </c>
      <c r="C21" s="28">
        <v>2064</v>
      </c>
      <c r="D21" s="28">
        <v>1996</v>
      </c>
      <c r="E21" s="28">
        <v>0</v>
      </c>
      <c r="F21" s="28">
        <f t="shared" si="0"/>
        <v>68</v>
      </c>
      <c r="G21" s="28">
        <v>3192</v>
      </c>
      <c r="H21" s="28">
        <v>3003</v>
      </c>
      <c r="I21" s="28">
        <v>0</v>
      </c>
      <c r="J21" s="28">
        <f t="shared" si="1"/>
        <v>189</v>
      </c>
      <c r="K21" s="28">
        <v>0</v>
      </c>
      <c r="L21" s="28">
        <v>0</v>
      </c>
      <c r="M21" s="28">
        <v>0</v>
      </c>
      <c r="N21" s="28">
        <v>8</v>
      </c>
      <c r="O21" s="28">
        <v>8</v>
      </c>
    </row>
    <row r="22" spans="1:15" ht="12.75" customHeight="1">
      <c r="A22" s="4" t="s">
        <v>41</v>
      </c>
      <c r="B22" s="5" t="s">
        <v>42</v>
      </c>
      <c r="C22" s="28">
        <v>1640</v>
      </c>
      <c r="D22" s="28">
        <v>1223</v>
      </c>
      <c r="E22" s="28">
        <v>325</v>
      </c>
      <c r="F22" s="28">
        <f t="shared" si="0"/>
        <v>92</v>
      </c>
      <c r="G22" s="28">
        <v>3520</v>
      </c>
      <c r="H22" s="28">
        <v>2071</v>
      </c>
      <c r="I22" s="28">
        <v>870</v>
      </c>
      <c r="J22" s="28">
        <f t="shared" si="1"/>
        <v>579</v>
      </c>
      <c r="K22" s="28">
        <v>198</v>
      </c>
      <c r="L22" s="28">
        <v>0</v>
      </c>
      <c r="M22" s="28">
        <v>787</v>
      </c>
      <c r="N22" s="28">
        <v>0</v>
      </c>
      <c r="O22" s="28">
        <v>0</v>
      </c>
    </row>
    <row r="23" spans="1:15" ht="12.75" customHeight="1">
      <c r="A23" s="8"/>
      <c r="B23" s="9" t="s">
        <v>43</v>
      </c>
      <c r="C23" s="29">
        <f t="shared" ref="C23:O23" si="2">SUM(C15:C22)</f>
        <v>40870</v>
      </c>
      <c r="D23" s="29">
        <f t="shared" si="2"/>
        <v>32737</v>
      </c>
      <c r="E23" s="29">
        <f t="shared" si="2"/>
        <v>2499</v>
      </c>
      <c r="F23" s="29">
        <f t="shared" si="2"/>
        <v>5634</v>
      </c>
      <c r="G23" s="29">
        <f t="shared" si="2"/>
        <v>106818</v>
      </c>
      <c r="H23" s="29">
        <f t="shared" si="2"/>
        <v>61674</v>
      </c>
      <c r="I23" s="29">
        <f t="shared" si="2"/>
        <v>8447</v>
      </c>
      <c r="J23" s="29">
        <f t="shared" si="2"/>
        <v>36697</v>
      </c>
      <c r="K23" s="29">
        <f t="shared" si="2"/>
        <v>3713</v>
      </c>
      <c r="L23" s="29">
        <f t="shared" si="2"/>
        <v>0</v>
      </c>
      <c r="M23" s="29">
        <f t="shared" si="2"/>
        <v>8270</v>
      </c>
      <c r="N23" s="29">
        <f t="shared" si="2"/>
        <v>1638</v>
      </c>
      <c r="O23" s="29">
        <f t="shared" si="2"/>
        <v>1526</v>
      </c>
    </row>
    <row r="24" spans="1:15" ht="14.25" customHeight="1">
      <c r="A24" s="4" t="s">
        <v>44</v>
      </c>
      <c r="B24" s="5" t="s">
        <v>45</v>
      </c>
      <c r="C24" s="28">
        <v>2456</v>
      </c>
      <c r="D24" s="28">
        <v>2140</v>
      </c>
      <c r="E24" s="28">
        <v>225</v>
      </c>
      <c r="F24" s="28">
        <f>SUM(C24-D24-E24)</f>
        <v>91</v>
      </c>
      <c r="G24" s="28">
        <v>5197</v>
      </c>
      <c r="H24" s="28">
        <v>3223</v>
      </c>
      <c r="I24" s="28">
        <v>657</v>
      </c>
      <c r="J24" s="28">
        <f>SUM(G24-H24-I24)</f>
        <v>1317</v>
      </c>
      <c r="K24" s="28">
        <v>1400</v>
      </c>
      <c r="L24" s="28">
        <v>0</v>
      </c>
      <c r="M24" s="28">
        <v>228</v>
      </c>
      <c r="N24" s="28">
        <v>181</v>
      </c>
      <c r="O24" s="28">
        <v>181</v>
      </c>
    </row>
    <row r="25" spans="1:15" ht="14.25" customHeight="1">
      <c r="A25" s="10"/>
      <c r="B25" s="9" t="s">
        <v>46</v>
      </c>
      <c r="C25" s="29">
        <f t="shared" ref="C25:O25" si="3">SUM(C24)</f>
        <v>2456</v>
      </c>
      <c r="D25" s="29">
        <f t="shared" si="3"/>
        <v>2140</v>
      </c>
      <c r="E25" s="29">
        <f t="shared" si="3"/>
        <v>225</v>
      </c>
      <c r="F25" s="29">
        <f t="shared" si="3"/>
        <v>91</v>
      </c>
      <c r="G25" s="29">
        <f t="shared" si="3"/>
        <v>5197</v>
      </c>
      <c r="H25" s="29">
        <f t="shared" si="3"/>
        <v>3223</v>
      </c>
      <c r="I25" s="29">
        <f t="shared" si="3"/>
        <v>657</v>
      </c>
      <c r="J25" s="29">
        <f t="shared" si="3"/>
        <v>1317</v>
      </c>
      <c r="K25" s="29">
        <f t="shared" si="3"/>
        <v>1400</v>
      </c>
      <c r="L25" s="29">
        <f t="shared" si="3"/>
        <v>0</v>
      </c>
      <c r="M25" s="29">
        <f t="shared" si="3"/>
        <v>228</v>
      </c>
      <c r="N25" s="29">
        <f t="shared" si="3"/>
        <v>181</v>
      </c>
      <c r="O25" s="29">
        <f t="shared" si="3"/>
        <v>181</v>
      </c>
    </row>
    <row r="26" spans="1:15" ht="12.75" customHeight="1">
      <c r="A26" s="4" t="s">
        <v>47</v>
      </c>
      <c r="B26" s="5" t="s">
        <v>48</v>
      </c>
      <c r="C26" s="28">
        <v>16254</v>
      </c>
      <c r="D26" s="28">
        <v>6932</v>
      </c>
      <c r="E26" s="28">
        <v>770</v>
      </c>
      <c r="F26" s="28">
        <f>SUM(C26-D26-E26)</f>
        <v>8552</v>
      </c>
      <c r="G26" s="28">
        <v>34602</v>
      </c>
      <c r="H26" s="28">
        <v>9890</v>
      </c>
      <c r="I26" s="28">
        <v>1949</v>
      </c>
      <c r="J26" s="28">
        <f>SUM(G26-H26-I26)</f>
        <v>22763</v>
      </c>
      <c r="K26" s="28">
        <v>985</v>
      </c>
      <c r="L26" s="28">
        <v>37</v>
      </c>
      <c r="M26" s="28">
        <v>1231</v>
      </c>
      <c r="N26" s="28">
        <v>457</v>
      </c>
      <c r="O26" s="28">
        <v>457</v>
      </c>
    </row>
    <row r="27" spans="1:15" ht="12.75" customHeight="1">
      <c r="A27" s="4" t="s">
        <v>49</v>
      </c>
      <c r="B27" s="5" t="s">
        <v>50</v>
      </c>
      <c r="C27" s="28">
        <v>3243</v>
      </c>
      <c r="D27" s="28">
        <v>2838</v>
      </c>
      <c r="E27" s="28">
        <v>328</v>
      </c>
      <c r="F27" s="28">
        <f>SUM(C27-D27-E27)</f>
        <v>77</v>
      </c>
      <c r="G27" s="28">
        <v>6048</v>
      </c>
      <c r="H27" s="28">
        <v>3455</v>
      </c>
      <c r="I27" s="28">
        <v>930</v>
      </c>
      <c r="J27" s="28">
        <f>SUM(G27-H27-I27)</f>
        <v>1663</v>
      </c>
      <c r="K27" s="28">
        <v>150</v>
      </c>
      <c r="L27" s="28">
        <v>0</v>
      </c>
      <c r="M27" s="28">
        <v>34</v>
      </c>
      <c r="N27" s="28">
        <v>56</v>
      </c>
      <c r="O27" s="28">
        <v>56</v>
      </c>
    </row>
    <row r="28" spans="1:15" ht="12.75" customHeight="1">
      <c r="A28" s="4" t="s">
        <v>51</v>
      </c>
      <c r="B28" s="5" t="s">
        <v>52</v>
      </c>
      <c r="C28" s="28">
        <v>3312</v>
      </c>
      <c r="D28" s="28">
        <v>2200</v>
      </c>
      <c r="E28" s="28">
        <v>446</v>
      </c>
      <c r="F28" s="28">
        <f>SUM(C28-D28-E28)</f>
        <v>666</v>
      </c>
      <c r="G28" s="28">
        <v>6521</v>
      </c>
      <c r="H28" s="28">
        <v>3586</v>
      </c>
      <c r="I28" s="28">
        <v>1433</v>
      </c>
      <c r="J28" s="28">
        <f>SUM(G28-H28-I28)</f>
        <v>1502</v>
      </c>
      <c r="K28" s="28">
        <v>27</v>
      </c>
      <c r="L28" s="28">
        <v>333</v>
      </c>
      <c r="M28" s="28">
        <v>30</v>
      </c>
      <c r="N28" s="28">
        <v>12</v>
      </c>
      <c r="O28" s="28">
        <v>12</v>
      </c>
    </row>
    <row r="29" spans="1:15" ht="12.75" customHeight="1">
      <c r="A29" s="4" t="s">
        <v>53</v>
      </c>
      <c r="B29" s="5" t="s">
        <v>54</v>
      </c>
      <c r="C29" s="28">
        <v>4432</v>
      </c>
      <c r="D29" s="28">
        <v>3684</v>
      </c>
      <c r="E29" s="28">
        <v>678</v>
      </c>
      <c r="F29" s="28">
        <f>SUM(C29-D29-E29)</f>
        <v>70</v>
      </c>
      <c r="G29" s="28">
        <v>7630</v>
      </c>
      <c r="H29" s="28">
        <v>5760</v>
      </c>
      <c r="I29" s="28">
        <v>1783</v>
      </c>
      <c r="J29" s="28">
        <f>SUM(G29-H29-I29)</f>
        <v>87</v>
      </c>
      <c r="K29" s="28">
        <v>0</v>
      </c>
      <c r="L29" s="28">
        <v>22</v>
      </c>
      <c r="M29" s="28">
        <v>0</v>
      </c>
      <c r="N29" s="28">
        <v>0</v>
      </c>
      <c r="O29" s="28">
        <v>0</v>
      </c>
    </row>
    <row r="30" spans="1:15" ht="12.75" customHeight="1">
      <c r="A30" s="8"/>
      <c r="B30" s="9" t="s">
        <v>55</v>
      </c>
      <c r="C30" s="29">
        <f t="shared" ref="C30:O30" si="4">SUM(C26:C29)</f>
        <v>27241</v>
      </c>
      <c r="D30" s="29">
        <f t="shared" si="4"/>
        <v>15654</v>
      </c>
      <c r="E30" s="29">
        <f t="shared" si="4"/>
        <v>2222</v>
      </c>
      <c r="F30" s="29">
        <f t="shared" si="4"/>
        <v>9365</v>
      </c>
      <c r="G30" s="29">
        <f t="shared" si="4"/>
        <v>54801</v>
      </c>
      <c r="H30" s="29">
        <f t="shared" si="4"/>
        <v>22691</v>
      </c>
      <c r="I30" s="29">
        <f t="shared" si="4"/>
        <v>6095</v>
      </c>
      <c r="J30" s="29">
        <f t="shared" si="4"/>
        <v>26015</v>
      </c>
      <c r="K30" s="29">
        <f t="shared" si="4"/>
        <v>1162</v>
      </c>
      <c r="L30" s="29">
        <f t="shared" si="4"/>
        <v>392</v>
      </c>
      <c r="M30" s="29">
        <f t="shared" si="4"/>
        <v>1295</v>
      </c>
      <c r="N30" s="29">
        <f t="shared" si="4"/>
        <v>525</v>
      </c>
      <c r="O30" s="29">
        <f t="shared" si="4"/>
        <v>525</v>
      </c>
    </row>
    <row r="31" spans="1:15" ht="12.75" customHeight="1">
      <c r="A31" s="4" t="s">
        <v>56</v>
      </c>
      <c r="B31" s="5" t="s">
        <v>57</v>
      </c>
      <c r="C31" s="28">
        <v>8679</v>
      </c>
      <c r="D31" s="28">
        <v>8140</v>
      </c>
      <c r="E31" s="28">
        <v>258</v>
      </c>
      <c r="F31" s="28">
        <f t="shared" ref="F31:F42" si="5">SUM(C31-D31-E31)</f>
        <v>281</v>
      </c>
      <c r="G31" s="28">
        <v>19993</v>
      </c>
      <c r="H31" s="28">
        <v>14378</v>
      </c>
      <c r="I31" s="28">
        <v>785</v>
      </c>
      <c r="J31" s="28">
        <f t="shared" ref="J31:J42" si="6">SUM(G31-H31-I31)</f>
        <v>4830</v>
      </c>
      <c r="K31" s="28">
        <v>132</v>
      </c>
      <c r="L31" s="28">
        <v>0</v>
      </c>
      <c r="M31" s="28">
        <v>391</v>
      </c>
      <c r="N31" s="28">
        <v>136</v>
      </c>
      <c r="O31" s="28">
        <v>136</v>
      </c>
    </row>
    <row r="32" spans="1:15" ht="12.75" customHeight="1">
      <c r="A32" s="4" t="s">
        <v>58</v>
      </c>
      <c r="B32" s="5" t="s">
        <v>59</v>
      </c>
      <c r="C32" s="28">
        <v>12404</v>
      </c>
      <c r="D32" s="28">
        <v>10813</v>
      </c>
      <c r="E32" s="28">
        <v>849</v>
      </c>
      <c r="F32" s="28">
        <f t="shared" si="5"/>
        <v>742</v>
      </c>
      <c r="G32" s="28">
        <v>36873</v>
      </c>
      <c r="H32" s="28">
        <v>21643</v>
      </c>
      <c r="I32" s="28">
        <v>2744</v>
      </c>
      <c r="J32" s="28">
        <f t="shared" si="6"/>
        <v>12486</v>
      </c>
      <c r="K32" s="28">
        <v>907</v>
      </c>
      <c r="L32" s="28">
        <v>0</v>
      </c>
      <c r="M32" s="28">
        <v>7622</v>
      </c>
      <c r="N32" s="28">
        <v>382</v>
      </c>
      <c r="O32" s="28">
        <v>382</v>
      </c>
    </row>
    <row r="33" spans="1:256" ht="12.75" customHeight="1">
      <c r="A33" s="4" t="s">
        <v>60</v>
      </c>
      <c r="B33" s="5" t="s">
        <v>61</v>
      </c>
      <c r="C33" s="28">
        <v>5829</v>
      </c>
      <c r="D33" s="28">
        <v>4612</v>
      </c>
      <c r="E33" s="28">
        <v>339</v>
      </c>
      <c r="F33" s="28">
        <f t="shared" si="5"/>
        <v>878</v>
      </c>
      <c r="G33" s="28">
        <v>17542</v>
      </c>
      <c r="H33" s="28">
        <v>5434</v>
      </c>
      <c r="I33" s="28">
        <v>820</v>
      </c>
      <c r="J33" s="28">
        <f t="shared" si="6"/>
        <v>11288</v>
      </c>
      <c r="K33" s="28">
        <v>704</v>
      </c>
      <c r="L33" s="28">
        <v>0</v>
      </c>
      <c r="M33" s="28">
        <v>3545</v>
      </c>
      <c r="N33" s="28">
        <v>201</v>
      </c>
      <c r="O33" s="28">
        <v>201</v>
      </c>
    </row>
    <row r="34" spans="1:256" ht="12.75" customHeight="1">
      <c r="A34" s="4" t="s">
        <v>62</v>
      </c>
      <c r="B34" s="5" t="s">
        <v>63</v>
      </c>
      <c r="C34" s="28">
        <v>5789</v>
      </c>
      <c r="D34" s="28">
        <v>2413</v>
      </c>
      <c r="E34" s="28">
        <v>75</v>
      </c>
      <c r="F34" s="28">
        <f t="shared" si="5"/>
        <v>3301</v>
      </c>
      <c r="G34" s="28">
        <v>12599</v>
      </c>
      <c r="H34" s="28">
        <v>5186</v>
      </c>
      <c r="I34" s="28">
        <v>248</v>
      </c>
      <c r="J34" s="28">
        <f t="shared" si="6"/>
        <v>7165</v>
      </c>
      <c r="K34" s="28">
        <v>141</v>
      </c>
      <c r="L34" s="28">
        <v>0</v>
      </c>
      <c r="M34" s="28">
        <v>4297</v>
      </c>
      <c r="N34" s="28">
        <v>0</v>
      </c>
      <c r="O34" s="28">
        <v>0</v>
      </c>
    </row>
    <row r="35" spans="1:256" ht="12.75" customHeight="1">
      <c r="A35" s="4" t="s">
        <v>64</v>
      </c>
      <c r="B35" s="5" t="s">
        <v>65</v>
      </c>
      <c r="C35" s="28">
        <v>2810</v>
      </c>
      <c r="D35" s="28">
        <v>2805</v>
      </c>
      <c r="E35" s="28">
        <v>0</v>
      </c>
      <c r="F35" s="28">
        <f t="shared" si="5"/>
        <v>5</v>
      </c>
      <c r="G35" s="28">
        <v>4155</v>
      </c>
      <c r="H35" s="28">
        <v>4036</v>
      </c>
      <c r="I35" s="28">
        <v>0</v>
      </c>
      <c r="J35" s="28">
        <f t="shared" si="6"/>
        <v>119</v>
      </c>
      <c r="K35" s="28">
        <v>0</v>
      </c>
      <c r="L35" s="28">
        <v>0</v>
      </c>
      <c r="M35" s="28">
        <v>5</v>
      </c>
      <c r="N35" s="28">
        <v>85</v>
      </c>
      <c r="O35" s="28">
        <v>85</v>
      </c>
    </row>
    <row r="36" spans="1:256" ht="12.75" customHeight="1">
      <c r="A36" s="4" t="s">
        <v>66</v>
      </c>
      <c r="B36" s="5" t="s">
        <v>67</v>
      </c>
      <c r="C36" s="28">
        <v>1860</v>
      </c>
      <c r="D36" s="28">
        <v>1420</v>
      </c>
      <c r="E36" s="28">
        <v>358</v>
      </c>
      <c r="F36" s="28">
        <f t="shared" si="5"/>
        <v>82</v>
      </c>
      <c r="G36" s="28">
        <v>4739</v>
      </c>
      <c r="H36" s="28">
        <v>3213</v>
      </c>
      <c r="I36" s="28">
        <v>1186</v>
      </c>
      <c r="J36" s="28">
        <f t="shared" si="6"/>
        <v>340</v>
      </c>
      <c r="K36" s="28">
        <v>0</v>
      </c>
      <c r="L36" s="28">
        <v>0</v>
      </c>
      <c r="M36" s="28">
        <v>25</v>
      </c>
      <c r="N36" s="28">
        <v>0</v>
      </c>
      <c r="O36" s="28">
        <v>0</v>
      </c>
    </row>
    <row r="37" spans="1:256" ht="12.75" customHeight="1">
      <c r="A37" s="4" t="s">
        <v>68</v>
      </c>
      <c r="B37" s="5" t="s">
        <v>69</v>
      </c>
      <c r="C37" s="28">
        <v>3674</v>
      </c>
      <c r="D37" s="28">
        <v>2822</v>
      </c>
      <c r="E37" s="28">
        <v>157</v>
      </c>
      <c r="F37" s="28">
        <f t="shared" si="5"/>
        <v>695</v>
      </c>
      <c r="G37" s="28">
        <v>14190</v>
      </c>
      <c r="H37" s="28">
        <v>5905</v>
      </c>
      <c r="I37" s="28">
        <v>387</v>
      </c>
      <c r="J37" s="28">
        <f t="shared" si="6"/>
        <v>7898</v>
      </c>
      <c r="K37" s="28">
        <v>704</v>
      </c>
      <c r="L37" s="28">
        <v>0</v>
      </c>
      <c r="M37" s="28">
        <v>4638</v>
      </c>
      <c r="N37" s="28">
        <v>1274</v>
      </c>
      <c r="O37" s="28">
        <v>1274</v>
      </c>
    </row>
    <row r="38" spans="1:256" ht="12.75" customHeight="1">
      <c r="A38" s="4" t="s">
        <v>70</v>
      </c>
      <c r="B38" s="5" t="s">
        <v>71</v>
      </c>
      <c r="C38" s="28">
        <v>43197</v>
      </c>
      <c r="D38" s="28">
        <v>29715</v>
      </c>
      <c r="E38" s="28">
        <v>1880</v>
      </c>
      <c r="F38" s="28">
        <f t="shared" si="5"/>
        <v>11602</v>
      </c>
      <c r="G38" s="28">
        <v>111909</v>
      </c>
      <c r="H38" s="28">
        <v>44934</v>
      </c>
      <c r="I38" s="28">
        <v>5773</v>
      </c>
      <c r="J38" s="28">
        <f t="shared" si="6"/>
        <v>61202</v>
      </c>
      <c r="K38" s="28">
        <v>5025</v>
      </c>
      <c r="L38" s="28">
        <v>2</v>
      </c>
      <c r="M38" s="28">
        <v>12845</v>
      </c>
      <c r="N38" s="28">
        <v>33027</v>
      </c>
      <c r="O38" s="28">
        <v>8080</v>
      </c>
    </row>
    <row r="39" spans="1:256" ht="12.75" customHeight="1">
      <c r="A39" s="4" t="s">
        <v>72</v>
      </c>
      <c r="B39" s="5" t="s">
        <v>73</v>
      </c>
      <c r="C39" s="28">
        <v>3792</v>
      </c>
      <c r="D39" s="28">
        <v>3370</v>
      </c>
      <c r="E39" s="28">
        <v>247</v>
      </c>
      <c r="F39" s="28">
        <f t="shared" si="5"/>
        <v>175</v>
      </c>
      <c r="G39" s="28">
        <v>6659</v>
      </c>
      <c r="H39" s="28">
        <v>5209</v>
      </c>
      <c r="I39" s="28">
        <v>1102</v>
      </c>
      <c r="J39" s="28">
        <f t="shared" si="6"/>
        <v>348</v>
      </c>
      <c r="K39" s="28">
        <v>0</v>
      </c>
      <c r="L39" s="28">
        <v>0</v>
      </c>
      <c r="M39" s="28">
        <v>34</v>
      </c>
      <c r="N39" s="28">
        <v>0</v>
      </c>
      <c r="O39" s="28">
        <v>0</v>
      </c>
    </row>
    <row r="40" spans="1:256" ht="12.75" customHeight="1">
      <c r="A40" s="4" t="s">
        <v>74</v>
      </c>
      <c r="B40" s="5" t="s">
        <v>75</v>
      </c>
      <c r="C40" s="28">
        <v>4562</v>
      </c>
      <c r="D40" s="28">
        <v>4018</v>
      </c>
      <c r="E40" s="28">
        <v>349</v>
      </c>
      <c r="F40" s="28">
        <f t="shared" si="5"/>
        <v>195</v>
      </c>
      <c r="G40" s="28">
        <v>10993</v>
      </c>
      <c r="H40" s="28">
        <v>7210</v>
      </c>
      <c r="I40" s="28">
        <v>1021</v>
      </c>
      <c r="J40" s="28">
        <f t="shared" si="6"/>
        <v>2762</v>
      </c>
      <c r="K40" s="28">
        <v>43</v>
      </c>
      <c r="L40" s="28">
        <v>0</v>
      </c>
      <c r="M40" s="28">
        <v>1937</v>
      </c>
      <c r="N40" s="28">
        <v>0</v>
      </c>
      <c r="O40" s="28">
        <v>0</v>
      </c>
    </row>
    <row r="41" spans="1:256" ht="12.75" customHeight="1">
      <c r="A41" s="4" t="s">
        <v>76</v>
      </c>
      <c r="B41" s="5" t="s">
        <v>77</v>
      </c>
      <c r="C41" s="28">
        <v>2422</v>
      </c>
      <c r="D41" s="28">
        <v>2164</v>
      </c>
      <c r="E41" s="28">
        <v>0</v>
      </c>
      <c r="F41" s="28">
        <f t="shared" si="5"/>
        <v>258</v>
      </c>
      <c r="G41" s="28">
        <v>6216</v>
      </c>
      <c r="H41" s="28">
        <v>4578</v>
      </c>
      <c r="I41" s="28">
        <v>0</v>
      </c>
      <c r="J41" s="28">
        <f t="shared" si="6"/>
        <v>1638</v>
      </c>
      <c r="K41" s="28">
        <v>201</v>
      </c>
      <c r="L41" s="28">
        <v>0</v>
      </c>
      <c r="M41" s="28">
        <v>91</v>
      </c>
      <c r="N41" s="28">
        <v>44</v>
      </c>
      <c r="O41" s="28">
        <v>44</v>
      </c>
    </row>
    <row r="42" spans="1:256" ht="12.75" customHeight="1">
      <c r="A42" s="4" t="s">
        <v>78</v>
      </c>
      <c r="B42" s="5" t="s">
        <v>79</v>
      </c>
      <c r="C42" s="28">
        <v>8991</v>
      </c>
      <c r="D42" s="28">
        <v>7847</v>
      </c>
      <c r="E42" s="28">
        <v>347</v>
      </c>
      <c r="F42" s="28">
        <f t="shared" si="5"/>
        <v>797</v>
      </c>
      <c r="G42" s="28">
        <v>13761</v>
      </c>
      <c r="H42" s="28">
        <v>11315</v>
      </c>
      <c r="I42" s="28">
        <v>652</v>
      </c>
      <c r="J42" s="28">
        <f t="shared" si="6"/>
        <v>1794</v>
      </c>
      <c r="K42" s="28">
        <v>240</v>
      </c>
      <c r="L42" s="28">
        <v>0</v>
      </c>
      <c r="M42" s="28">
        <v>5</v>
      </c>
      <c r="N42" s="28">
        <v>24</v>
      </c>
      <c r="O42" s="28">
        <v>24</v>
      </c>
    </row>
    <row r="43" spans="1:256" ht="12.75" customHeight="1">
      <c r="A43" s="8"/>
      <c r="B43" s="9" t="s">
        <v>80</v>
      </c>
      <c r="C43" s="29">
        <f t="shared" ref="C43:O43" si="7">SUM(C31:C42)</f>
        <v>104009</v>
      </c>
      <c r="D43" s="29">
        <f t="shared" si="7"/>
        <v>80139</v>
      </c>
      <c r="E43" s="29">
        <f t="shared" si="7"/>
        <v>4859</v>
      </c>
      <c r="F43" s="29">
        <f t="shared" si="7"/>
        <v>19011</v>
      </c>
      <c r="G43" s="29">
        <f t="shared" si="7"/>
        <v>259629</v>
      </c>
      <c r="H43" s="29">
        <f t="shared" si="7"/>
        <v>133041</v>
      </c>
      <c r="I43" s="29">
        <f t="shared" si="7"/>
        <v>14718</v>
      </c>
      <c r="J43" s="29">
        <f t="shared" si="7"/>
        <v>111870</v>
      </c>
      <c r="K43" s="29">
        <f t="shared" si="7"/>
        <v>8097</v>
      </c>
      <c r="L43" s="29">
        <f t="shared" si="7"/>
        <v>2</v>
      </c>
      <c r="M43" s="29">
        <f t="shared" si="7"/>
        <v>35435</v>
      </c>
      <c r="N43" s="29">
        <f t="shared" si="7"/>
        <v>35173</v>
      </c>
      <c r="O43" s="29">
        <f t="shared" si="7"/>
        <v>10226</v>
      </c>
    </row>
    <row r="44" spans="1:256" ht="12.75" customHeight="1">
      <c r="A44" s="4" t="s">
        <v>81</v>
      </c>
      <c r="B44" s="5" t="s">
        <v>82</v>
      </c>
      <c r="C44" s="28">
        <v>7825</v>
      </c>
      <c r="D44" s="28">
        <v>5859</v>
      </c>
      <c r="E44" s="28">
        <v>316</v>
      </c>
      <c r="F44" s="28">
        <f>SUM(C44-D44-E44)</f>
        <v>1650</v>
      </c>
      <c r="G44" s="28">
        <v>25320</v>
      </c>
      <c r="H44" s="28">
        <v>12599</v>
      </c>
      <c r="I44" s="28">
        <v>763</v>
      </c>
      <c r="J44" s="28">
        <f>SUM(G44-H44-I44)</f>
        <v>11958</v>
      </c>
      <c r="K44" s="28">
        <v>3618</v>
      </c>
      <c r="L44" s="28">
        <v>0</v>
      </c>
      <c r="M44" s="28">
        <v>3082</v>
      </c>
      <c r="N44" s="28">
        <v>80</v>
      </c>
      <c r="O44" s="28">
        <v>80</v>
      </c>
    </row>
    <row r="45" spans="1:256" ht="12.75" customHeight="1">
      <c r="A45" s="4" t="s">
        <v>83</v>
      </c>
      <c r="B45" s="5" t="s">
        <v>84</v>
      </c>
      <c r="C45" s="28">
        <v>8624</v>
      </c>
      <c r="D45" s="28">
        <v>6547</v>
      </c>
      <c r="E45" s="28">
        <v>450</v>
      </c>
      <c r="F45" s="28">
        <f>SUM(C45-D45-E45)</f>
        <v>1627</v>
      </c>
      <c r="G45" s="28">
        <v>24442</v>
      </c>
      <c r="H45" s="28">
        <v>13234</v>
      </c>
      <c r="I45" s="28">
        <v>1221</v>
      </c>
      <c r="J45" s="28">
        <f>SUM(G45-H45-I45)</f>
        <v>9987</v>
      </c>
      <c r="K45" s="28">
        <v>2786</v>
      </c>
      <c r="L45" s="28">
        <v>0</v>
      </c>
      <c r="M45" s="28">
        <v>1226</v>
      </c>
      <c r="N45" s="28">
        <v>57</v>
      </c>
      <c r="O45" s="28">
        <v>57</v>
      </c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</row>
    <row r="46" spans="1:256" ht="12.75" customHeight="1">
      <c r="A46" s="8"/>
      <c r="B46" s="9" t="s">
        <v>85</v>
      </c>
      <c r="C46" s="29">
        <f t="shared" ref="C46:O46" si="8">SUM(C44:C45)</f>
        <v>16449</v>
      </c>
      <c r="D46" s="29">
        <f t="shared" si="8"/>
        <v>12406</v>
      </c>
      <c r="E46" s="29">
        <f t="shared" si="8"/>
        <v>766</v>
      </c>
      <c r="F46" s="29">
        <f t="shared" si="8"/>
        <v>3277</v>
      </c>
      <c r="G46" s="29">
        <f t="shared" si="8"/>
        <v>49762</v>
      </c>
      <c r="H46" s="29">
        <f t="shared" si="8"/>
        <v>25833</v>
      </c>
      <c r="I46" s="29">
        <f t="shared" si="8"/>
        <v>1984</v>
      </c>
      <c r="J46" s="29">
        <f t="shared" si="8"/>
        <v>21945</v>
      </c>
      <c r="K46" s="29">
        <f t="shared" si="8"/>
        <v>6404</v>
      </c>
      <c r="L46" s="29">
        <f t="shared" si="8"/>
        <v>0</v>
      </c>
      <c r="M46" s="29">
        <f t="shared" si="8"/>
        <v>4308</v>
      </c>
      <c r="N46" s="29">
        <f t="shared" si="8"/>
        <v>137</v>
      </c>
      <c r="O46" s="29">
        <f t="shared" si="8"/>
        <v>137</v>
      </c>
    </row>
    <row r="47" spans="1:256" ht="12.75" customHeight="1">
      <c r="A47" s="4" t="s">
        <v>86</v>
      </c>
      <c r="B47" s="5" t="s">
        <v>87</v>
      </c>
      <c r="C47" s="28">
        <v>1390</v>
      </c>
      <c r="D47" s="28">
        <v>1305</v>
      </c>
      <c r="E47" s="28">
        <v>0</v>
      </c>
      <c r="F47" s="28">
        <f>SUM(C47-D47-E47)</f>
        <v>85</v>
      </c>
      <c r="G47" s="28">
        <v>943</v>
      </c>
      <c r="H47" s="28">
        <v>848</v>
      </c>
      <c r="I47" s="28">
        <v>0</v>
      </c>
      <c r="J47" s="28">
        <f>SUM(G47-H47-I47)</f>
        <v>95</v>
      </c>
      <c r="K47" s="28">
        <v>0</v>
      </c>
      <c r="L47" s="28">
        <v>0</v>
      </c>
      <c r="M47" s="28">
        <v>0</v>
      </c>
      <c r="N47" s="28">
        <v>0</v>
      </c>
      <c r="O47" s="28">
        <v>0</v>
      </c>
    </row>
    <row r="48" spans="1:256" ht="12.75" customHeight="1">
      <c r="A48" s="4" t="s">
        <v>88</v>
      </c>
      <c r="B48" s="5" t="s">
        <v>89</v>
      </c>
      <c r="C48" s="28">
        <v>2724</v>
      </c>
      <c r="D48" s="28">
        <v>2647</v>
      </c>
      <c r="E48" s="28">
        <v>41</v>
      </c>
      <c r="F48" s="28">
        <f>SUM(C48-D48-E48)</f>
        <v>36</v>
      </c>
      <c r="G48" s="28">
        <v>4154</v>
      </c>
      <c r="H48" s="28">
        <v>3971</v>
      </c>
      <c r="I48" s="28">
        <v>101</v>
      </c>
      <c r="J48" s="28">
        <f>SUM(G48-H48-I48)</f>
        <v>82</v>
      </c>
      <c r="K48" s="28">
        <v>36</v>
      </c>
      <c r="L48" s="28">
        <v>0</v>
      </c>
      <c r="M48" s="28">
        <v>0</v>
      </c>
      <c r="N48" s="28">
        <v>0</v>
      </c>
      <c r="O48" s="28">
        <v>0</v>
      </c>
    </row>
    <row r="49" spans="1:15" ht="12.75" customHeight="1">
      <c r="A49" s="4" t="s">
        <v>90</v>
      </c>
      <c r="B49" s="5" t="s">
        <v>91</v>
      </c>
      <c r="C49" s="28">
        <v>1672</v>
      </c>
      <c r="D49" s="28">
        <v>1479</v>
      </c>
      <c r="E49" s="28">
        <v>150</v>
      </c>
      <c r="F49" s="28">
        <f>SUM(C49-D49-E49)</f>
        <v>43</v>
      </c>
      <c r="G49" s="28">
        <v>3479</v>
      </c>
      <c r="H49" s="28">
        <v>1049</v>
      </c>
      <c r="I49" s="28">
        <v>363</v>
      </c>
      <c r="J49" s="28">
        <f>SUM(G49-H49-I49)</f>
        <v>2067</v>
      </c>
      <c r="K49" s="28">
        <v>20</v>
      </c>
      <c r="L49" s="28">
        <v>0</v>
      </c>
      <c r="M49" s="28">
        <v>0</v>
      </c>
      <c r="N49" s="28">
        <v>0</v>
      </c>
      <c r="O49" s="28">
        <v>0</v>
      </c>
    </row>
    <row r="50" spans="1:15" ht="12.75" customHeight="1">
      <c r="A50" s="4" t="s">
        <v>92</v>
      </c>
      <c r="B50" s="5" t="s">
        <v>93</v>
      </c>
      <c r="C50" s="28">
        <v>8667</v>
      </c>
      <c r="D50" s="28">
        <v>8092</v>
      </c>
      <c r="E50" s="28">
        <v>333</v>
      </c>
      <c r="F50" s="28">
        <f>SUM(C50-D50-E50)</f>
        <v>242</v>
      </c>
      <c r="G50" s="28">
        <v>16862</v>
      </c>
      <c r="H50" s="28">
        <v>11858</v>
      </c>
      <c r="I50" s="28">
        <v>924</v>
      </c>
      <c r="J50" s="28">
        <f>SUM(G50-H50-I50)</f>
        <v>4080</v>
      </c>
      <c r="K50" s="28">
        <v>1502</v>
      </c>
      <c r="L50" s="28">
        <v>61</v>
      </c>
      <c r="M50" s="28">
        <v>1049</v>
      </c>
      <c r="N50" s="28">
        <v>29</v>
      </c>
      <c r="O50" s="28">
        <v>29</v>
      </c>
    </row>
    <row r="51" spans="1:15" ht="12.75" customHeight="1">
      <c r="A51" s="8"/>
      <c r="B51" s="9" t="s">
        <v>94</v>
      </c>
      <c r="C51" s="29">
        <f t="shared" ref="C51:O51" si="9">SUM(C47:C50)</f>
        <v>14453</v>
      </c>
      <c r="D51" s="29">
        <f t="shared" si="9"/>
        <v>13523</v>
      </c>
      <c r="E51" s="29">
        <f t="shared" si="9"/>
        <v>524</v>
      </c>
      <c r="F51" s="29">
        <f t="shared" si="9"/>
        <v>406</v>
      </c>
      <c r="G51" s="29">
        <f t="shared" si="9"/>
        <v>25438</v>
      </c>
      <c r="H51" s="29">
        <f t="shared" si="9"/>
        <v>17726</v>
      </c>
      <c r="I51" s="29">
        <f t="shared" si="9"/>
        <v>1388</v>
      </c>
      <c r="J51" s="29">
        <f t="shared" si="9"/>
        <v>6324</v>
      </c>
      <c r="K51" s="29">
        <f t="shared" si="9"/>
        <v>1558</v>
      </c>
      <c r="L51" s="29">
        <f t="shared" si="9"/>
        <v>61</v>
      </c>
      <c r="M51" s="29">
        <f t="shared" si="9"/>
        <v>1049</v>
      </c>
      <c r="N51" s="29">
        <f t="shared" si="9"/>
        <v>29</v>
      </c>
      <c r="O51" s="29">
        <f t="shared" si="9"/>
        <v>29</v>
      </c>
    </row>
    <row r="52" spans="1:15" ht="12.75" customHeight="1">
      <c r="A52" s="4" t="s">
        <v>95</v>
      </c>
      <c r="B52" s="5" t="s">
        <v>96</v>
      </c>
      <c r="C52" s="28">
        <v>1909</v>
      </c>
      <c r="D52" s="28">
        <v>1738</v>
      </c>
      <c r="E52" s="28">
        <v>28</v>
      </c>
      <c r="F52" s="28">
        <f t="shared" ref="F52:F58" si="10">SUM(C52-D52-E52)</f>
        <v>143</v>
      </c>
      <c r="G52" s="28">
        <v>4953</v>
      </c>
      <c r="H52" s="28">
        <v>3577</v>
      </c>
      <c r="I52" s="28">
        <v>70</v>
      </c>
      <c r="J52" s="28">
        <f t="shared" ref="J52:J58" si="11">SUM(G52-H52-I52)</f>
        <v>1306</v>
      </c>
      <c r="K52" s="28">
        <v>1758</v>
      </c>
      <c r="L52" s="28">
        <v>0</v>
      </c>
      <c r="M52" s="28">
        <v>85</v>
      </c>
      <c r="N52" s="28">
        <v>29</v>
      </c>
      <c r="O52" s="28">
        <v>29</v>
      </c>
    </row>
    <row r="53" spans="1:15" ht="12.75" customHeight="1">
      <c r="A53" s="4" t="s">
        <v>97</v>
      </c>
      <c r="B53" s="5" t="s">
        <v>98</v>
      </c>
      <c r="C53" s="28">
        <v>9810</v>
      </c>
      <c r="D53" s="28">
        <v>6198</v>
      </c>
      <c r="E53" s="28">
        <v>210</v>
      </c>
      <c r="F53" s="28">
        <f t="shared" si="10"/>
        <v>3402</v>
      </c>
      <c r="G53" s="28">
        <v>24079</v>
      </c>
      <c r="H53" s="28">
        <v>13716</v>
      </c>
      <c r="I53" s="28">
        <v>773</v>
      </c>
      <c r="J53" s="28">
        <f t="shared" si="11"/>
        <v>9590</v>
      </c>
      <c r="K53" s="28">
        <v>521</v>
      </c>
      <c r="L53" s="28">
        <v>0</v>
      </c>
      <c r="M53" s="28">
        <v>961</v>
      </c>
      <c r="N53" s="28">
        <v>119</v>
      </c>
      <c r="O53" s="28">
        <v>119</v>
      </c>
    </row>
    <row r="54" spans="1:15" ht="12.75" customHeight="1">
      <c r="A54" s="4" t="s">
        <v>99</v>
      </c>
      <c r="B54" s="5" t="s">
        <v>100</v>
      </c>
      <c r="C54" s="28">
        <v>1603</v>
      </c>
      <c r="D54" s="28">
        <v>908</v>
      </c>
      <c r="E54" s="28">
        <v>75</v>
      </c>
      <c r="F54" s="28">
        <f t="shared" si="10"/>
        <v>620</v>
      </c>
      <c r="G54" s="28">
        <v>4628</v>
      </c>
      <c r="H54" s="28">
        <v>2372</v>
      </c>
      <c r="I54" s="28">
        <v>335</v>
      </c>
      <c r="J54" s="28">
        <f t="shared" si="11"/>
        <v>1921</v>
      </c>
      <c r="K54" s="28">
        <v>52</v>
      </c>
      <c r="L54" s="28">
        <v>0</v>
      </c>
      <c r="M54" s="28">
        <v>360</v>
      </c>
      <c r="N54" s="28">
        <v>0</v>
      </c>
      <c r="O54" s="28">
        <v>0</v>
      </c>
    </row>
    <row r="55" spans="1:15" ht="12.75" customHeight="1">
      <c r="A55" s="4" t="s">
        <v>101</v>
      </c>
      <c r="B55" s="5" t="s">
        <v>102</v>
      </c>
      <c r="C55" s="28">
        <v>6608</v>
      </c>
      <c r="D55" s="28">
        <v>4364</v>
      </c>
      <c r="E55" s="28">
        <v>279</v>
      </c>
      <c r="F55" s="28">
        <f t="shared" si="10"/>
        <v>1965</v>
      </c>
      <c r="G55" s="28">
        <v>16880</v>
      </c>
      <c r="H55" s="28">
        <v>8950</v>
      </c>
      <c r="I55" s="28">
        <v>720</v>
      </c>
      <c r="J55" s="28">
        <f t="shared" si="11"/>
        <v>7210</v>
      </c>
      <c r="K55" s="28">
        <v>1455</v>
      </c>
      <c r="L55" s="28">
        <v>0</v>
      </c>
      <c r="M55" s="28">
        <v>1332</v>
      </c>
      <c r="N55" s="28">
        <v>934</v>
      </c>
      <c r="O55" s="28">
        <v>934</v>
      </c>
    </row>
    <row r="56" spans="1:15" ht="12.75" customHeight="1">
      <c r="A56" s="4" t="s">
        <v>103</v>
      </c>
      <c r="B56" s="5" t="s">
        <v>104</v>
      </c>
      <c r="C56" s="28">
        <v>11323</v>
      </c>
      <c r="D56" s="28">
        <v>4768</v>
      </c>
      <c r="E56" s="28">
        <v>747</v>
      </c>
      <c r="F56" s="28">
        <f t="shared" si="10"/>
        <v>5808</v>
      </c>
      <c r="G56" s="28">
        <v>30148</v>
      </c>
      <c r="H56" s="28">
        <v>9338</v>
      </c>
      <c r="I56" s="28">
        <v>2570</v>
      </c>
      <c r="J56" s="28">
        <f t="shared" si="11"/>
        <v>18240</v>
      </c>
      <c r="K56" s="28">
        <v>3026</v>
      </c>
      <c r="L56" s="28">
        <v>144</v>
      </c>
      <c r="M56" s="28">
        <v>5537</v>
      </c>
      <c r="N56" s="28">
        <v>447</v>
      </c>
      <c r="O56" s="28">
        <v>447</v>
      </c>
    </row>
    <row r="57" spans="1:15" ht="12.75" customHeight="1">
      <c r="A57" s="4" t="s">
        <v>105</v>
      </c>
      <c r="B57" s="5" t="s">
        <v>106</v>
      </c>
      <c r="C57" s="28">
        <v>9504</v>
      </c>
      <c r="D57" s="28">
        <v>5444</v>
      </c>
      <c r="E57" s="28">
        <v>944</v>
      </c>
      <c r="F57" s="28">
        <f t="shared" si="10"/>
        <v>3116</v>
      </c>
      <c r="G57" s="28">
        <v>28594</v>
      </c>
      <c r="H57" s="28">
        <v>12755</v>
      </c>
      <c r="I57" s="28">
        <v>2669</v>
      </c>
      <c r="J57" s="28">
        <f t="shared" si="11"/>
        <v>13170</v>
      </c>
      <c r="K57" s="28">
        <v>382</v>
      </c>
      <c r="L57" s="28">
        <v>0</v>
      </c>
      <c r="M57" s="28">
        <v>4383</v>
      </c>
      <c r="N57" s="28">
        <v>0</v>
      </c>
      <c r="O57" s="28">
        <v>0</v>
      </c>
    </row>
    <row r="58" spans="1:15" ht="12.75" customHeight="1">
      <c r="A58" s="4" t="s">
        <v>107</v>
      </c>
      <c r="B58" s="5" t="s">
        <v>108</v>
      </c>
      <c r="C58" s="28">
        <v>8700</v>
      </c>
      <c r="D58" s="28">
        <v>4512</v>
      </c>
      <c r="E58" s="28">
        <v>240</v>
      </c>
      <c r="F58" s="28">
        <f t="shared" si="10"/>
        <v>3948</v>
      </c>
      <c r="G58" s="28">
        <v>23621</v>
      </c>
      <c r="H58" s="28">
        <v>8996</v>
      </c>
      <c r="I58" s="28">
        <v>703</v>
      </c>
      <c r="J58" s="28">
        <f t="shared" si="11"/>
        <v>13922</v>
      </c>
      <c r="K58" s="28">
        <v>311</v>
      </c>
      <c r="L58" s="28">
        <v>17</v>
      </c>
      <c r="M58" s="28">
        <v>1017</v>
      </c>
      <c r="N58" s="28">
        <v>2363</v>
      </c>
      <c r="O58" s="28">
        <v>2363</v>
      </c>
    </row>
    <row r="59" spans="1:15" ht="12.75" customHeight="1">
      <c r="A59" s="8"/>
      <c r="B59" s="9" t="s">
        <v>109</v>
      </c>
      <c r="C59" s="29">
        <f t="shared" ref="C59:O59" si="12">SUM(C52:C58)</f>
        <v>49457</v>
      </c>
      <c r="D59" s="29">
        <f t="shared" si="12"/>
        <v>27932</v>
      </c>
      <c r="E59" s="29">
        <f t="shared" si="12"/>
        <v>2523</v>
      </c>
      <c r="F59" s="29">
        <f t="shared" si="12"/>
        <v>19002</v>
      </c>
      <c r="G59" s="29">
        <f t="shared" si="12"/>
        <v>132903</v>
      </c>
      <c r="H59" s="29">
        <f t="shared" si="12"/>
        <v>59704</v>
      </c>
      <c r="I59" s="29">
        <f t="shared" si="12"/>
        <v>7840</v>
      </c>
      <c r="J59" s="29">
        <f t="shared" si="12"/>
        <v>65359</v>
      </c>
      <c r="K59" s="29">
        <f t="shared" si="12"/>
        <v>7505</v>
      </c>
      <c r="L59" s="29">
        <f t="shared" si="12"/>
        <v>161</v>
      </c>
      <c r="M59" s="29">
        <f t="shared" si="12"/>
        <v>13675</v>
      </c>
      <c r="N59" s="29">
        <f t="shared" si="12"/>
        <v>3892</v>
      </c>
      <c r="O59" s="29">
        <f t="shared" si="12"/>
        <v>3892</v>
      </c>
    </row>
    <row r="60" spans="1:15" ht="12.75" customHeight="1">
      <c r="A60" s="4" t="s">
        <v>110</v>
      </c>
      <c r="B60" s="5" t="s">
        <v>111</v>
      </c>
      <c r="C60" s="28">
        <v>9024</v>
      </c>
      <c r="D60" s="28">
        <v>6122</v>
      </c>
      <c r="E60" s="28">
        <v>1554</v>
      </c>
      <c r="F60" s="28">
        <f t="shared" ref="F60:F68" si="13">SUM(C60-D60-E60)</f>
        <v>1348</v>
      </c>
      <c r="G60" s="28">
        <v>24289</v>
      </c>
      <c r="H60" s="28">
        <v>13083</v>
      </c>
      <c r="I60" s="28">
        <v>5160</v>
      </c>
      <c r="J60" s="28">
        <f t="shared" ref="J60:J68" si="14">SUM(G60-H60-I60)</f>
        <v>6046</v>
      </c>
      <c r="K60" s="28">
        <v>18</v>
      </c>
      <c r="L60" s="28">
        <v>0</v>
      </c>
      <c r="M60" s="28">
        <v>3105</v>
      </c>
      <c r="N60" s="28">
        <v>59</v>
      </c>
      <c r="O60" s="28">
        <v>59</v>
      </c>
    </row>
    <row r="61" spans="1:15" ht="12.75" customHeight="1">
      <c r="A61" s="4" t="s">
        <v>112</v>
      </c>
      <c r="B61" s="5" t="s">
        <v>113</v>
      </c>
      <c r="C61" s="28">
        <v>2690</v>
      </c>
      <c r="D61" s="28">
        <v>2254</v>
      </c>
      <c r="E61" s="28">
        <v>73</v>
      </c>
      <c r="F61" s="28">
        <f t="shared" si="13"/>
        <v>363</v>
      </c>
      <c r="G61" s="28">
        <v>6077</v>
      </c>
      <c r="H61" s="28">
        <v>4609</v>
      </c>
      <c r="I61" s="28">
        <v>257</v>
      </c>
      <c r="J61" s="28">
        <f t="shared" si="14"/>
        <v>1211</v>
      </c>
      <c r="K61" s="28">
        <v>0</v>
      </c>
      <c r="L61" s="28">
        <v>53</v>
      </c>
      <c r="M61" s="28">
        <v>1161</v>
      </c>
      <c r="N61" s="28">
        <v>6</v>
      </c>
      <c r="O61" s="28">
        <v>6</v>
      </c>
    </row>
    <row r="62" spans="1:15" ht="12.75" customHeight="1">
      <c r="A62" s="4" t="s">
        <v>114</v>
      </c>
      <c r="B62" s="5" t="s">
        <v>115</v>
      </c>
      <c r="C62" s="28">
        <v>4965</v>
      </c>
      <c r="D62" s="28">
        <v>2640</v>
      </c>
      <c r="E62" s="28">
        <v>599</v>
      </c>
      <c r="F62" s="28">
        <f t="shared" si="13"/>
        <v>1726</v>
      </c>
      <c r="G62" s="28">
        <v>15507</v>
      </c>
      <c r="H62" s="28">
        <v>5663</v>
      </c>
      <c r="I62" s="28">
        <v>1823</v>
      </c>
      <c r="J62" s="28">
        <f t="shared" si="14"/>
        <v>8021</v>
      </c>
      <c r="K62" s="28">
        <v>277</v>
      </c>
      <c r="L62" s="28">
        <v>113</v>
      </c>
      <c r="M62" s="28">
        <v>2113</v>
      </c>
      <c r="N62" s="28">
        <v>1641</v>
      </c>
      <c r="O62" s="28">
        <v>1641</v>
      </c>
    </row>
    <row r="63" spans="1:15" ht="12.75" customHeight="1">
      <c r="A63" s="4" t="s">
        <v>116</v>
      </c>
      <c r="B63" s="5" t="s">
        <v>117</v>
      </c>
      <c r="C63" s="28">
        <v>5625</v>
      </c>
      <c r="D63" s="28">
        <v>3546</v>
      </c>
      <c r="E63" s="28">
        <v>724</v>
      </c>
      <c r="F63" s="28">
        <f t="shared" si="13"/>
        <v>1355</v>
      </c>
      <c r="G63" s="28">
        <v>16280</v>
      </c>
      <c r="H63" s="28">
        <v>9123</v>
      </c>
      <c r="I63" s="28">
        <v>2530</v>
      </c>
      <c r="J63" s="28">
        <f t="shared" si="14"/>
        <v>4627</v>
      </c>
      <c r="K63" s="28">
        <v>54</v>
      </c>
      <c r="L63" s="28">
        <v>0</v>
      </c>
      <c r="M63" s="28">
        <v>1327</v>
      </c>
      <c r="N63" s="28">
        <v>0</v>
      </c>
      <c r="O63" s="28">
        <v>0</v>
      </c>
    </row>
    <row r="64" spans="1:15" ht="12.75" customHeight="1">
      <c r="A64" s="4" t="s">
        <v>118</v>
      </c>
      <c r="B64" s="5" t="s">
        <v>119</v>
      </c>
      <c r="C64" s="28">
        <v>5813</v>
      </c>
      <c r="D64" s="28">
        <v>2969</v>
      </c>
      <c r="E64" s="28">
        <v>757</v>
      </c>
      <c r="F64" s="28">
        <f t="shared" si="13"/>
        <v>2087</v>
      </c>
      <c r="G64" s="28">
        <v>18380</v>
      </c>
      <c r="H64" s="28">
        <v>7129</v>
      </c>
      <c r="I64" s="28">
        <v>2487</v>
      </c>
      <c r="J64" s="28">
        <f t="shared" si="14"/>
        <v>8764</v>
      </c>
      <c r="K64" s="28">
        <v>24</v>
      </c>
      <c r="L64" s="28">
        <v>7</v>
      </c>
      <c r="M64" s="28">
        <v>764</v>
      </c>
      <c r="N64" s="28">
        <v>50</v>
      </c>
      <c r="O64" s="28">
        <v>50</v>
      </c>
    </row>
    <row r="65" spans="1:15" ht="12.75" customHeight="1">
      <c r="A65" s="4" t="s">
        <v>120</v>
      </c>
      <c r="B65" s="5" t="s">
        <v>121</v>
      </c>
      <c r="C65" s="28">
        <v>3103</v>
      </c>
      <c r="D65" s="28">
        <v>2084</v>
      </c>
      <c r="E65" s="28">
        <v>596</v>
      </c>
      <c r="F65" s="28">
        <f t="shared" si="13"/>
        <v>423</v>
      </c>
      <c r="G65" s="28">
        <v>10843</v>
      </c>
      <c r="H65" s="28">
        <v>4825</v>
      </c>
      <c r="I65" s="28">
        <v>1874</v>
      </c>
      <c r="J65" s="28">
        <f t="shared" si="14"/>
        <v>4144</v>
      </c>
      <c r="K65" s="28">
        <v>505</v>
      </c>
      <c r="L65" s="28">
        <v>0</v>
      </c>
      <c r="M65" s="28">
        <v>1154</v>
      </c>
      <c r="N65" s="28">
        <v>557</v>
      </c>
      <c r="O65" s="28">
        <v>557</v>
      </c>
    </row>
    <row r="66" spans="1:15" ht="12.75" customHeight="1">
      <c r="A66" s="4" t="s">
        <v>122</v>
      </c>
      <c r="B66" s="5" t="s">
        <v>123</v>
      </c>
      <c r="C66" s="28">
        <v>5724</v>
      </c>
      <c r="D66" s="28">
        <v>2392</v>
      </c>
      <c r="E66" s="28">
        <v>361</v>
      </c>
      <c r="F66" s="28">
        <f t="shared" si="13"/>
        <v>2971</v>
      </c>
      <c r="G66" s="28">
        <v>24841</v>
      </c>
      <c r="H66" s="28">
        <v>5193</v>
      </c>
      <c r="I66" s="28">
        <v>1088</v>
      </c>
      <c r="J66" s="28">
        <f t="shared" si="14"/>
        <v>18560</v>
      </c>
      <c r="K66" s="28">
        <v>1603</v>
      </c>
      <c r="L66" s="28">
        <v>0</v>
      </c>
      <c r="M66" s="28">
        <v>5886</v>
      </c>
      <c r="N66" s="28">
        <v>0</v>
      </c>
      <c r="O66" s="28">
        <v>0</v>
      </c>
    </row>
    <row r="67" spans="1:15" ht="12.75" customHeight="1">
      <c r="A67" s="4" t="s">
        <v>124</v>
      </c>
      <c r="B67" s="5" t="s">
        <v>125</v>
      </c>
      <c r="C67" s="28">
        <v>10096</v>
      </c>
      <c r="D67" s="28">
        <v>2286</v>
      </c>
      <c r="E67" s="28">
        <v>0</v>
      </c>
      <c r="F67" s="28">
        <f t="shared" si="13"/>
        <v>7810</v>
      </c>
      <c r="G67" s="28">
        <v>38624</v>
      </c>
      <c r="H67" s="28">
        <v>5026</v>
      </c>
      <c r="I67" s="28">
        <v>0</v>
      </c>
      <c r="J67" s="28">
        <f t="shared" si="14"/>
        <v>33598</v>
      </c>
      <c r="K67" s="28">
        <v>1911</v>
      </c>
      <c r="L67" s="28">
        <v>0</v>
      </c>
      <c r="M67" s="28">
        <v>16650</v>
      </c>
      <c r="N67" s="28">
        <v>113</v>
      </c>
      <c r="O67" s="28">
        <v>113</v>
      </c>
    </row>
    <row r="68" spans="1:15" ht="12.75" customHeight="1">
      <c r="A68" s="4" t="s">
        <v>126</v>
      </c>
      <c r="B68" s="5" t="s">
        <v>127</v>
      </c>
      <c r="C68" s="28">
        <v>5333</v>
      </c>
      <c r="D68" s="28">
        <v>3823</v>
      </c>
      <c r="E68" s="28">
        <v>225</v>
      </c>
      <c r="F68" s="28">
        <f t="shared" si="13"/>
        <v>1285</v>
      </c>
      <c r="G68" s="28">
        <v>15391</v>
      </c>
      <c r="H68" s="28">
        <v>7062</v>
      </c>
      <c r="I68" s="28">
        <v>800</v>
      </c>
      <c r="J68" s="28">
        <f t="shared" si="14"/>
        <v>7529</v>
      </c>
      <c r="K68" s="28">
        <v>17</v>
      </c>
      <c r="L68" s="28">
        <v>0</v>
      </c>
      <c r="M68" s="28">
        <v>704</v>
      </c>
      <c r="N68" s="28">
        <v>0</v>
      </c>
      <c r="O68" s="28">
        <v>0</v>
      </c>
    </row>
    <row r="69" spans="1:15" ht="12.75" customHeight="1">
      <c r="A69" s="8"/>
      <c r="B69" s="9" t="s">
        <v>128</v>
      </c>
      <c r="C69" s="29">
        <f t="shared" ref="C69:O69" si="15">SUM(C60:C68)</f>
        <v>52373</v>
      </c>
      <c r="D69" s="29">
        <f t="shared" si="15"/>
        <v>28116</v>
      </c>
      <c r="E69" s="29">
        <f t="shared" si="15"/>
        <v>4889</v>
      </c>
      <c r="F69" s="29">
        <f t="shared" si="15"/>
        <v>19368</v>
      </c>
      <c r="G69" s="29">
        <f t="shared" si="15"/>
        <v>170232</v>
      </c>
      <c r="H69" s="29">
        <f t="shared" si="15"/>
        <v>61713</v>
      </c>
      <c r="I69" s="29">
        <f t="shared" si="15"/>
        <v>16019</v>
      </c>
      <c r="J69" s="29">
        <f t="shared" si="15"/>
        <v>92500</v>
      </c>
      <c r="K69" s="29">
        <f t="shared" si="15"/>
        <v>4409</v>
      </c>
      <c r="L69" s="29">
        <f t="shared" si="15"/>
        <v>173</v>
      </c>
      <c r="M69" s="29">
        <f t="shared" si="15"/>
        <v>32864</v>
      </c>
      <c r="N69" s="29">
        <f t="shared" si="15"/>
        <v>2426</v>
      </c>
      <c r="O69" s="29">
        <f t="shared" si="15"/>
        <v>2426</v>
      </c>
    </row>
    <row r="70" spans="1:15" ht="12.75" customHeight="1">
      <c r="A70" s="4" t="s">
        <v>129</v>
      </c>
      <c r="B70" s="5" t="s">
        <v>130</v>
      </c>
      <c r="C70" s="28">
        <v>3650</v>
      </c>
      <c r="D70" s="28">
        <v>2713</v>
      </c>
      <c r="E70" s="28">
        <v>584</v>
      </c>
      <c r="F70" s="28">
        <f t="shared" ref="F70:F79" si="16">SUM(C70-D70-E70)</f>
        <v>353</v>
      </c>
      <c r="G70" s="28">
        <v>9907</v>
      </c>
      <c r="H70" s="28">
        <v>5839</v>
      </c>
      <c r="I70" s="28">
        <v>2254</v>
      </c>
      <c r="J70" s="28">
        <f t="shared" ref="J70:J79" si="17">SUM(G70-H70-I70)</f>
        <v>1814</v>
      </c>
      <c r="K70" s="28">
        <v>198</v>
      </c>
      <c r="L70" s="28">
        <v>0</v>
      </c>
      <c r="M70" s="28">
        <v>268</v>
      </c>
      <c r="N70" s="28">
        <v>13</v>
      </c>
      <c r="O70" s="28">
        <v>13</v>
      </c>
    </row>
    <row r="71" spans="1:15" ht="12.75" customHeight="1">
      <c r="A71" s="4" t="s">
        <v>131</v>
      </c>
      <c r="B71" s="5" t="s">
        <v>132</v>
      </c>
      <c r="C71" s="28">
        <v>14096</v>
      </c>
      <c r="D71" s="28">
        <v>7217</v>
      </c>
      <c r="E71" s="28">
        <v>971</v>
      </c>
      <c r="F71" s="28">
        <f t="shared" si="16"/>
        <v>5908</v>
      </c>
      <c r="G71" s="28">
        <v>30590</v>
      </c>
      <c r="H71" s="28">
        <v>12677</v>
      </c>
      <c r="I71" s="28">
        <v>3309</v>
      </c>
      <c r="J71" s="28">
        <f t="shared" si="17"/>
        <v>14604</v>
      </c>
      <c r="K71" s="28">
        <v>516</v>
      </c>
      <c r="L71" s="28">
        <v>0</v>
      </c>
      <c r="M71" s="28">
        <v>773</v>
      </c>
      <c r="N71" s="28">
        <v>942</v>
      </c>
      <c r="O71" s="28">
        <v>942</v>
      </c>
    </row>
    <row r="72" spans="1:15" ht="12.75" customHeight="1">
      <c r="A72" s="4" t="s">
        <v>133</v>
      </c>
      <c r="B72" s="5" t="s">
        <v>134</v>
      </c>
      <c r="C72" s="28">
        <v>4039</v>
      </c>
      <c r="D72" s="28">
        <v>3601</v>
      </c>
      <c r="E72" s="28">
        <v>0</v>
      </c>
      <c r="F72" s="28">
        <f t="shared" si="16"/>
        <v>438</v>
      </c>
      <c r="G72" s="28">
        <v>9364</v>
      </c>
      <c r="H72" s="28">
        <v>7474</v>
      </c>
      <c r="I72" s="28">
        <v>0</v>
      </c>
      <c r="J72" s="28">
        <f t="shared" si="17"/>
        <v>1890</v>
      </c>
      <c r="K72" s="28">
        <v>198</v>
      </c>
      <c r="L72" s="28">
        <v>119</v>
      </c>
      <c r="M72" s="28">
        <v>1201</v>
      </c>
      <c r="N72" s="28">
        <v>0</v>
      </c>
      <c r="O72" s="28">
        <v>0</v>
      </c>
    </row>
    <row r="73" spans="1:15" ht="12.75" customHeight="1">
      <c r="A73" s="4" t="s">
        <v>135</v>
      </c>
      <c r="B73" s="5" t="s">
        <v>136</v>
      </c>
      <c r="C73" s="28">
        <v>8508</v>
      </c>
      <c r="D73" s="28">
        <v>6280</v>
      </c>
      <c r="E73" s="28">
        <v>146</v>
      </c>
      <c r="F73" s="28">
        <f t="shared" si="16"/>
        <v>2082</v>
      </c>
      <c r="G73" s="28">
        <v>20285</v>
      </c>
      <c r="H73" s="28">
        <v>11689</v>
      </c>
      <c r="I73" s="28">
        <v>344</v>
      </c>
      <c r="J73" s="28">
        <f t="shared" si="17"/>
        <v>8252</v>
      </c>
      <c r="K73" s="28">
        <v>380</v>
      </c>
      <c r="L73" s="28">
        <v>73</v>
      </c>
      <c r="M73" s="28">
        <v>2221</v>
      </c>
      <c r="N73" s="28">
        <v>2686</v>
      </c>
      <c r="O73" s="28">
        <v>2686</v>
      </c>
    </row>
    <row r="74" spans="1:15" ht="12.75" customHeight="1">
      <c r="A74" s="4" t="s">
        <v>137</v>
      </c>
      <c r="B74" s="5" t="s">
        <v>138</v>
      </c>
      <c r="C74" s="28">
        <v>5376</v>
      </c>
      <c r="D74" s="28">
        <v>4414</v>
      </c>
      <c r="E74" s="28">
        <v>350</v>
      </c>
      <c r="F74" s="28">
        <f t="shared" si="16"/>
        <v>612</v>
      </c>
      <c r="G74" s="28">
        <v>10475</v>
      </c>
      <c r="H74" s="28">
        <v>6828</v>
      </c>
      <c r="I74" s="28">
        <v>1067</v>
      </c>
      <c r="J74" s="28">
        <f t="shared" si="17"/>
        <v>2580</v>
      </c>
      <c r="K74" s="28">
        <v>196</v>
      </c>
      <c r="L74" s="28">
        <v>0</v>
      </c>
      <c r="M74" s="28">
        <v>140</v>
      </c>
      <c r="N74" s="28">
        <v>29</v>
      </c>
      <c r="O74" s="28">
        <v>29</v>
      </c>
    </row>
    <row r="75" spans="1:15" ht="12.75" customHeight="1">
      <c r="A75" s="4" t="s">
        <v>139</v>
      </c>
      <c r="B75" s="5" t="s">
        <v>140</v>
      </c>
      <c r="C75" s="28">
        <v>3234</v>
      </c>
      <c r="D75" s="28">
        <v>2991</v>
      </c>
      <c r="E75" s="28">
        <v>141</v>
      </c>
      <c r="F75" s="28">
        <f t="shared" si="16"/>
        <v>102</v>
      </c>
      <c r="G75" s="28">
        <v>5140</v>
      </c>
      <c r="H75" s="28">
        <v>4285</v>
      </c>
      <c r="I75" s="28">
        <v>512</v>
      </c>
      <c r="J75" s="28">
        <f t="shared" si="17"/>
        <v>343</v>
      </c>
      <c r="K75" s="28">
        <v>15</v>
      </c>
      <c r="L75" s="28">
        <v>0</v>
      </c>
      <c r="M75" s="28">
        <v>4</v>
      </c>
      <c r="N75" s="28">
        <v>0</v>
      </c>
      <c r="O75" s="28">
        <v>0</v>
      </c>
    </row>
    <row r="76" spans="1:15" ht="12.75" customHeight="1">
      <c r="A76" s="4" t="s">
        <v>141</v>
      </c>
      <c r="B76" s="5" t="s">
        <v>142</v>
      </c>
      <c r="C76" s="28">
        <v>5023</v>
      </c>
      <c r="D76" s="28">
        <v>3856</v>
      </c>
      <c r="E76" s="28">
        <v>236</v>
      </c>
      <c r="F76" s="28">
        <f t="shared" si="16"/>
        <v>931</v>
      </c>
      <c r="G76" s="28">
        <v>12142</v>
      </c>
      <c r="H76" s="28">
        <v>7775</v>
      </c>
      <c r="I76" s="28">
        <v>610</v>
      </c>
      <c r="J76" s="28">
        <f t="shared" si="17"/>
        <v>3757</v>
      </c>
      <c r="K76" s="28">
        <v>83</v>
      </c>
      <c r="L76" s="28">
        <v>41</v>
      </c>
      <c r="M76" s="28">
        <v>646</v>
      </c>
      <c r="N76" s="28">
        <v>32</v>
      </c>
      <c r="O76" s="28">
        <v>32</v>
      </c>
    </row>
    <row r="77" spans="1:15" ht="12.75" customHeight="1">
      <c r="A77" s="4" t="s">
        <v>143</v>
      </c>
      <c r="B77" s="5" t="s">
        <v>144</v>
      </c>
      <c r="C77" s="28">
        <v>4849</v>
      </c>
      <c r="D77" s="28">
        <v>2570</v>
      </c>
      <c r="E77" s="28">
        <v>123</v>
      </c>
      <c r="F77" s="28">
        <f t="shared" si="16"/>
        <v>2156</v>
      </c>
      <c r="G77" s="28">
        <v>10625</v>
      </c>
      <c r="H77" s="28">
        <v>4712</v>
      </c>
      <c r="I77" s="28">
        <v>363</v>
      </c>
      <c r="J77" s="28">
        <f t="shared" si="17"/>
        <v>5550</v>
      </c>
      <c r="K77" s="28">
        <v>253</v>
      </c>
      <c r="L77" s="28">
        <v>0</v>
      </c>
      <c r="M77" s="28">
        <v>259</v>
      </c>
      <c r="N77" s="28">
        <v>0</v>
      </c>
      <c r="O77" s="28">
        <v>0</v>
      </c>
    </row>
    <row r="78" spans="1:15" ht="12.75" customHeight="1">
      <c r="A78" s="4" t="s">
        <v>145</v>
      </c>
      <c r="B78" s="5" t="s">
        <v>146</v>
      </c>
      <c r="C78" s="28">
        <v>1905</v>
      </c>
      <c r="D78" s="28">
        <v>1453</v>
      </c>
      <c r="E78" s="28">
        <v>0</v>
      </c>
      <c r="F78" s="28">
        <f t="shared" si="16"/>
        <v>452</v>
      </c>
      <c r="G78" s="28">
        <v>3771</v>
      </c>
      <c r="H78" s="28">
        <v>2526</v>
      </c>
      <c r="I78" s="28">
        <v>0</v>
      </c>
      <c r="J78" s="28">
        <f t="shared" si="17"/>
        <v>1245</v>
      </c>
      <c r="K78" s="28">
        <v>30</v>
      </c>
      <c r="L78" s="28">
        <v>0</v>
      </c>
      <c r="M78" s="28">
        <v>0</v>
      </c>
      <c r="N78" s="28">
        <v>10</v>
      </c>
      <c r="O78" s="28">
        <v>10</v>
      </c>
    </row>
    <row r="79" spans="1:15" ht="12.75" customHeight="1">
      <c r="A79" s="4" t="s">
        <v>147</v>
      </c>
      <c r="B79" s="5" t="s">
        <v>148</v>
      </c>
      <c r="C79" s="28">
        <v>3244</v>
      </c>
      <c r="D79" s="28">
        <v>2690</v>
      </c>
      <c r="E79" s="28">
        <v>177</v>
      </c>
      <c r="F79" s="28">
        <f t="shared" si="16"/>
        <v>377</v>
      </c>
      <c r="G79" s="28">
        <v>8537</v>
      </c>
      <c r="H79" s="28">
        <v>5768</v>
      </c>
      <c r="I79" s="28">
        <v>635</v>
      </c>
      <c r="J79" s="28">
        <f t="shared" si="17"/>
        <v>2134</v>
      </c>
      <c r="K79" s="28">
        <v>174</v>
      </c>
      <c r="L79" s="28">
        <v>69</v>
      </c>
      <c r="M79" s="28">
        <v>1904</v>
      </c>
      <c r="N79" s="28">
        <v>18</v>
      </c>
      <c r="O79" s="28">
        <v>18</v>
      </c>
    </row>
    <row r="80" spans="1:15" ht="12.75" customHeight="1">
      <c r="A80" s="8"/>
      <c r="B80" s="9" t="s">
        <v>149</v>
      </c>
      <c r="C80" s="29">
        <f t="shared" ref="C80:O80" si="18">SUM(C70:C79)</f>
        <v>53924</v>
      </c>
      <c r="D80" s="29">
        <f t="shared" si="18"/>
        <v>37785</v>
      </c>
      <c r="E80" s="29">
        <f t="shared" si="18"/>
        <v>2728</v>
      </c>
      <c r="F80" s="29">
        <f t="shared" si="18"/>
        <v>13411</v>
      </c>
      <c r="G80" s="29">
        <f t="shared" si="18"/>
        <v>120836</v>
      </c>
      <c r="H80" s="29">
        <f t="shared" si="18"/>
        <v>69573</v>
      </c>
      <c r="I80" s="29">
        <f t="shared" si="18"/>
        <v>9094</v>
      </c>
      <c r="J80" s="29">
        <f t="shared" si="18"/>
        <v>42169</v>
      </c>
      <c r="K80" s="29">
        <f t="shared" si="18"/>
        <v>2043</v>
      </c>
      <c r="L80" s="29">
        <f t="shared" si="18"/>
        <v>302</v>
      </c>
      <c r="M80" s="29">
        <f t="shared" si="18"/>
        <v>7416</v>
      </c>
      <c r="N80" s="29">
        <f t="shared" si="18"/>
        <v>3730</v>
      </c>
      <c r="O80" s="29">
        <f t="shared" si="18"/>
        <v>3730</v>
      </c>
    </row>
    <row r="81" spans="1:15" ht="12.75" customHeight="1">
      <c r="A81" s="4" t="s">
        <v>150</v>
      </c>
      <c r="B81" s="5" t="s">
        <v>151</v>
      </c>
      <c r="C81" s="28">
        <v>5786</v>
      </c>
      <c r="D81" s="28">
        <v>3330</v>
      </c>
      <c r="E81" s="28">
        <v>468</v>
      </c>
      <c r="F81" s="28">
        <f>SUM(C81-D81-E81)</f>
        <v>1988</v>
      </c>
      <c r="G81" s="28">
        <v>18615</v>
      </c>
      <c r="H81" s="28">
        <v>9459</v>
      </c>
      <c r="I81" s="28">
        <v>1868</v>
      </c>
      <c r="J81" s="28">
        <f>SUM(G81-H81-I81)</f>
        <v>7288</v>
      </c>
      <c r="K81" s="28">
        <v>58</v>
      </c>
      <c r="L81" s="28">
        <v>0</v>
      </c>
      <c r="M81" s="28">
        <v>1400</v>
      </c>
      <c r="N81" s="28">
        <v>174</v>
      </c>
      <c r="O81" s="28">
        <v>174</v>
      </c>
    </row>
    <row r="82" spans="1:15" ht="12.75" customHeight="1">
      <c r="A82" s="4" t="s">
        <v>152</v>
      </c>
      <c r="B82" s="5" t="s">
        <v>153</v>
      </c>
      <c r="C82" s="28">
        <v>2869</v>
      </c>
      <c r="D82" s="28">
        <v>2048</v>
      </c>
      <c r="E82" s="28">
        <v>127</v>
      </c>
      <c r="F82" s="28">
        <f>SUM(C82-D82-E82)</f>
        <v>694</v>
      </c>
      <c r="G82" s="28">
        <v>9987</v>
      </c>
      <c r="H82" s="28">
        <v>5358</v>
      </c>
      <c r="I82" s="28">
        <v>468</v>
      </c>
      <c r="J82" s="28">
        <f>SUM(G82-H82-I82)</f>
        <v>4161</v>
      </c>
      <c r="K82" s="28">
        <v>50</v>
      </c>
      <c r="L82" s="28">
        <v>0</v>
      </c>
      <c r="M82" s="28">
        <v>1181</v>
      </c>
      <c r="N82" s="28">
        <v>18</v>
      </c>
      <c r="O82" s="28">
        <v>18</v>
      </c>
    </row>
    <row r="83" spans="1:15" ht="12.75" customHeight="1">
      <c r="A83" s="4" t="s">
        <v>154</v>
      </c>
      <c r="B83" s="5" t="s">
        <v>155</v>
      </c>
      <c r="C83" s="28">
        <v>953</v>
      </c>
      <c r="D83" s="28">
        <v>752</v>
      </c>
      <c r="E83" s="28">
        <v>195</v>
      </c>
      <c r="F83" s="28">
        <f>SUM(C83-D83-E83)</f>
        <v>6</v>
      </c>
      <c r="G83" s="28">
        <v>2769</v>
      </c>
      <c r="H83" s="28">
        <v>2092</v>
      </c>
      <c r="I83" s="28">
        <v>653</v>
      </c>
      <c r="J83" s="28">
        <f>SUM(G83-H83-I83)</f>
        <v>24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2483</v>
      </c>
      <c r="D84" s="28">
        <v>2071</v>
      </c>
      <c r="E84" s="28">
        <v>182</v>
      </c>
      <c r="F84" s="28">
        <f>SUM(C84-D84-E84)</f>
        <v>230</v>
      </c>
      <c r="G84" s="28">
        <v>8032</v>
      </c>
      <c r="H84" s="28">
        <v>5520</v>
      </c>
      <c r="I84" s="28">
        <v>678</v>
      </c>
      <c r="J84" s="28">
        <f>SUM(G84-H84-I84)</f>
        <v>1834</v>
      </c>
      <c r="K84" s="28">
        <v>28</v>
      </c>
      <c r="L84" s="28">
        <v>0</v>
      </c>
      <c r="M84" s="28">
        <v>1137</v>
      </c>
      <c r="N84" s="28">
        <v>13</v>
      </c>
      <c r="O84" s="28">
        <v>13</v>
      </c>
    </row>
    <row r="85" spans="1:15" ht="12.75" customHeight="1">
      <c r="A85" s="4" t="s">
        <v>158</v>
      </c>
      <c r="B85" s="5" t="s">
        <v>159</v>
      </c>
      <c r="C85" s="28">
        <v>3855</v>
      </c>
      <c r="D85" s="28">
        <v>3175</v>
      </c>
      <c r="E85" s="28">
        <v>412</v>
      </c>
      <c r="F85" s="28">
        <f>SUM(C85-D85-E85)</f>
        <v>268</v>
      </c>
      <c r="G85" s="28">
        <v>9364</v>
      </c>
      <c r="H85" s="28">
        <v>6618</v>
      </c>
      <c r="I85" s="28">
        <v>1304</v>
      </c>
      <c r="J85" s="28">
        <f>SUM(G85-H85-I85)</f>
        <v>1442</v>
      </c>
      <c r="K85" s="28">
        <v>98</v>
      </c>
      <c r="L85" s="28">
        <v>58</v>
      </c>
      <c r="M85" s="28">
        <v>825</v>
      </c>
      <c r="N85" s="28">
        <v>1225</v>
      </c>
      <c r="O85" s="28">
        <v>1225</v>
      </c>
    </row>
    <row r="86" spans="1:15" ht="12.75" customHeight="1">
      <c r="A86" s="8"/>
      <c r="B86" s="9" t="s">
        <v>160</v>
      </c>
      <c r="C86" s="29">
        <f t="shared" ref="C86:O86" si="19">SUM(C81:C85)</f>
        <v>15946</v>
      </c>
      <c r="D86" s="29">
        <f t="shared" si="19"/>
        <v>11376</v>
      </c>
      <c r="E86" s="29">
        <f t="shared" si="19"/>
        <v>1384</v>
      </c>
      <c r="F86" s="29">
        <f t="shared" si="19"/>
        <v>3186</v>
      </c>
      <c r="G86" s="29">
        <f t="shared" si="19"/>
        <v>48767</v>
      </c>
      <c r="H86" s="29">
        <f t="shared" si="19"/>
        <v>29047</v>
      </c>
      <c r="I86" s="29">
        <f t="shared" si="19"/>
        <v>4971</v>
      </c>
      <c r="J86" s="29">
        <f t="shared" si="19"/>
        <v>14749</v>
      </c>
      <c r="K86" s="29">
        <f t="shared" si="19"/>
        <v>234</v>
      </c>
      <c r="L86" s="29">
        <f t="shared" si="19"/>
        <v>58</v>
      </c>
      <c r="M86" s="29">
        <f t="shared" si="19"/>
        <v>4543</v>
      </c>
      <c r="N86" s="29">
        <f t="shared" si="19"/>
        <v>1430</v>
      </c>
      <c r="O86" s="29">
        <f t="shared" si="19"/>
        <v>1430</v>
      </c>
    </row>
    <row r="87" spans="1:15" ht="12.75" customHeight="1">
      <c r="A87" s="4" t="s">
        <v>161</v>
      </c>
      <c r="B87" s="5" t="s">
        <v>162</v>
      </c>
      <c r="C87" s="28">
        <v>5591</v>
      </c>
      <c r="D87" s="28">
        <v>4542</v>
      </c>
      <c r="E87" s="28">
        <v>0</v>
      </c>
      <c r="F87" s="28">
        <f>SUM(C87-D87-E87)</f>
        <v>1049</v>
      </c>
      <c r="G87" s="28">
        <v>20285</v>
      </c>
      <c r="H87" s="28">
        <v>12002</v>
      </c>
      <c r="I87" s="28">
        <v>0</v>
      </c>
      <c r="J87" s="28">
        <f>SUM(G87-H87-I87)</f>
        <v>8283</v>
      </c>
      <c r="K87" s="28">
        <v>177</v>
      </c>
      <c r="L87" s="28">
        <v>0</v>
      </c>
      <c r="M87" s="28">
        <v>1922</v>
      </c>
      <c r="N87" s="28">
        <v>34</v>
      </c>
      <c r="O87" s="28">
        <v>34</v>
      </c>
    </row>
    <row r="88" spans="1:15" ht="12.75" customHeight="1">
      <c r="A88" s="4" t="s">
        <v>163</v>
      </c>
      <c r="B88" s="5" t="s">
        <v>164</v>
      </c>
      <c r="C88" s="28">
        <v>4180</v>
      </c>
      <c r="D88" s="28">
        <v>2079</v>
      </c>
      <c r="E88" s="28">
        <v>413</v>
      </c>
      <c r="F88" s="28">
        <f>SUM(C88-D88-E88)</f>
        <v>1688</v>
      </c>
      <c r="G88" s="28">
        <v>11242</v>
      </c>
      <c r="H88" s="28">
        <v>5075</v>
      </c>
      <c r="I88" s="28">
        <v>1629</v>
      </c>
      <c r="J88" s="28">
        <f>SUM(G88-H88-I88)</f>
        <v>4538</v>
      </c>
      <c r="K88" s="28">
        <v>50</v>
      </c>
      <c r="L88" s="28">
        <v>16</v>
      </c>
      <c r="M88" s="28">
        <v>597</v>
      </c>
      <c r="N88" s="28">
        <v>0</v>
      </c>
      <c r="O88" s="28">
        <v>0</v>
      </c>
    </row>
    <row r="89" spans="1:15" ht="12.75" customHeight="1">
      <c r="A89" s="8"/>
      <c r="B89" s="9" t="s">
        <v>165</v>
      </c>
      <c r="C89" s="29">
        <f t="shared" ref="C89:O89" si="20">SUM(C87:C88)</f>
        <v>9771</v>
      </c>
      <c r="D89" s="29">
        <f t="shared" si="20"/>
        <v>6621</v>
      </c>
      <c r="E89" s="29">
        <f t="shared" si="20"/>
        <v>413</v>
      </c>
      <c r="F89" s="29">
        <f t="shared" si="20"/>
        <v>2737</v>
      </c>
      <c r="G89" s="29">
        <f t="shared" si="20"/>
        <v>31527</v>
      </c>
      <c r="H89" s="29">
        <f t="shared" si="20"/>
        <v>17077</v>
      </c>
      <c r="I89" s="29">
        <f t="shared" si="20"/>
        <v>1629</v>
      </c>
      <c r="J89" s="29">
        <f t="shared" si="20"/>
        <v>12821</v>
      </c>
      <c r="K89" s="29">
        <f t="shared" si="20"/>
        <v>227</v>
      </c>
      <c r="L89" s="29">
        <f t="shared" si="20"/>
        <v>16</v>
      </c>
      <c r="M89" s="29">
        <f t="shared" si="20"/>
        <v>2519</v>
      </c>
      <c r="N89" s="29">
        <f t="shared" si="20"/>
        <v>34</v>
      </c>
      <c r="O89" s="29">
        <f t="shared" si="20"/>
        <v>34</v>
      </c>
    </row>
    <row r="90" spans="1:15" ht="12.75" customHeight="1">
      <c r="A90" s="4" t="s">
        <v>166</v>
      </c>
      <c r="B90" s="5" t="s">
        <v>167</v>
      </c>
      <c r="C90" s="28">
        <v>5713</v>
      </c>
      <c r="D90" s="28">
        <v>3325</v>
      </c>
      <c r="E90" s="28">
        <v>858</v>
      </c>
      <c r="F90" s="28">
        <f>SUM(C90-D90-E90)</f>
        <v>1530</v>
      </c>
      <c r="G90" s="28">
        <v>22583</v>
      </c>
      <c r="H90" s="28">
        <v>9094</v>
      </c>
      <c r="I90" s="28">
        <v>3681</v>
      </c>
      <c r="J90" s="28">
        <f>SUM(G90-H90-I90)</f>
        <v>9808</v>
      </c>
      <c r="K90" s="28">
        <v>67</v>
      </c>
      <c r="L90" s="28">
        <v>0</v>
      </c>
      <c r="M90" s="28">
        <v>597</v>
      </c>
      <c r="N90" s="28">
        <v>6</v>
      </c>
      <c r="O90" s="28">
        <v>6</v>
      </c>
    </row>
    <row r="91" spans="1:15" ht="12.75" customHeight="1">
      <c r="A91" s="4" t="s">
        <v>168</v>
      </c>
      <c r="B91" s="5" t="s">
        <v>169</v>
      </c>
      <c r="C91" s="28">
        <v>7567</v>
      </c>
      <c r="D91" s="28">
        <v>5635</v>
      </c>
      <c r="E91" s="28">
        <v>0</v>
      </c>
      <c r="F91" s="28">
        <f>SUM(C91-D91-E91)</f>
        <v>1932</v>
      </c>
      <c r="G91" s="28">
        <v>24189</v>
      </c>
      <c r="H91" s="28">
        <v>11972</v>
      </c>
      <c r="I91" s="28">
        <v>0</v>
      </c>
      <c r="J91" s="28">
        <f>SUM(G91-H91-I91)</f>
        <v>12217</v>
      </c>
      <c r="K91" s="28">
        <v>19</v>
      </c>
      <c r="L91" s="28">
        <v>122</v>
      </c>
      <c r="M91" s="28">
        <v>2309</v>
      </c>
      <c r="N91" s="28">
        <v>244</v>
      </c>
      <c r="O91" s="28">
        <v>244</v>
      </c>
    </row>
    <row r="92" spans="1:15" ht="12.75" customHeight="1">
      <c r="A92" s="4" t="s">
        <v>170</v>
      </c>
      <c r="B92" s="5" t="s">
        <v>171</v>
      </c>
      <c r="C92" s="28">
        <v>1930</v>
      </c>
      <c r="D92" s="28">
        <v>890</v>
      </c>
      <c r="E92" s="28">
        <v>291</v>
      </c>
      <c r="F92" s="28">
        <f>SUM(C92-D92-E92)</f>
        <v>749</v>
      </c>
      <c r="G92" s="28">
        <v>4766</v>
      </c>
      <c r="H92" s="28">
        <v>2098</v>
      </c>
      <c r="I92" s="28">
        <v>1540</v>
      </c>
      <c r="J92" s="28">
        <f>SUM(G92-H92-I92)</f>
        <v>1128</v>
      </c>
      <c r="K92" s="28">
        <v>21</v>
      </c>
      <c r="L92" s="28">
        <v>0</v>
      </c>
      <c r="M92" s="28">
        <v>144</v>
      </c>
      <c r="N92" s="28">
        <v>0</v>
      </c>
      <c r="O92" s="28">
        <v>0</v>
      </c>
    </row>
    <row r="93" spans="1:15" ht="12.75" customHeight="1">
      <c r="A93" s="4" t="s">
        <v>172</v>
      </c>
      <c r="B93" s="5" t="s">
        <v>173</v>
      </c>
      <c r="C93" s="28">
        <v>50746</v>
      </c>
      <c r="D93" s="28">
        <v>32236</v>
      </c>
      <c r="E93" s="28">
        <v>3012</v>
      </c>
      <c r="F93" s="28">
        <f>SUM(C93-D93-E93)</f>
        <v>15498</v>
      </c>
      <c r="G93" s="28">
        <v>152654</v>
      </c>
      <c r="H93" s="28">
        <v>56873</v>
      </c>
      <c r="I93" s="28">
        <v>9085</v>
      </c>
      <c r="J93" s="28">
        <f>SUM(G93-H93-I93)</f>
        <v>86696</v>
      </c>
      <c r="K93" s="28">
        <v>3887</v>
      </c>
      <c r="L93" s="28">
        <v>28</v>
      </c>
      <c r="M93" s="28">
        <v>16963</v>
      </c>
      <c r="N93" s="28">
        <v>5384</v>
      </c>
      <c r="O93" s="28">
        <v>5189</v>
      </c>
    </row>
    <row r="94" spans="1:15" ht="12.75" customHeight="1">
      <c r="A94" s="4" t="s">
        <v>174</v>
      </c>
      <c r="B94" s="5" t="s">
        <v>175</v>
      </c>
      <c r="C94" s="28">
        <v>4270</v>
      </c>
      <c r="D94" s="28">
        <v>1390</v>
      </c>
      <c r="E94" s="28">
        <v>196</v>
      </c>
      <c r="F94" s="28">
        <f>SUM(C94-D94-E94)</f>
        <v>2684</v>
      </c>
      <c r="G94" s="28">
        <v>11835</v>
      </c>
      <c r="H94" s="28">
        <v>3515</v>
      </c>
      <c r="I94" s="28">
        <v>924</v>
      </c>
      <c r="J94" s="28">
        <f>SUM(G94-H94-I94)</f>
        <v>7396</v>
      </c>
      <c r="K94" s="28">
        <v>130</v>
      </c>
      <c r="L94" s="28">
        <v>327</v>
      </c>
      <c r="M94" s="28">
        <v>1987</v>
      </c>
      <c r="N94" s="28">
        <v>25</v>
      </c>
      <c r="O94" s="28">
        <v>25</v>
      </c>
    </row>
    <row r="95" spans="1:15" ht="12.75" customHeight="1">
      <c r="A95" s="8"/>
      <c r="B95" s="9" t="s">
        <v>176</v>
      </c>
      <c r="C95" s="29">
        <f t="shared" ref="C95:O95" si="21">SUM(C90:C94)</f>
        <v>70226</v>
      </c>
      <c r="D95" s="29">
        <f t="shared" si="21"/>
        <v>43476</v>
      </c>
      <c r="E95" s="29">
        <f t="shared" si="21"/>
        <v>4357</v>
      </c>
      <c r="F95" s="29">
        <f t="shared" si="21"/>
        <v>22393</v>
      </c>
      <c r="G95" s="29">
        <f t="shared" si="21"/>
        <v>216027</v>
      </c>
      <c r="H95" s="29">
        <f t="shared" si="21"/>
        <v>83552</v>
      </c>
      <c r="I95" s="29">
        <f t="shared" si="21"/>
        <v>15230</v>
      </c>
      <c r="J95" s="29">
        <f t="shared" si="21"/>
        <v>117245</v>
      </c>
      <c r="K95" s="29">
        <f t="shared" si="21"/>
        <v>4124</v>
      </c>
      <c r="L95" s="29">
        <f t="shared" si="21"/>
        <v>477</v>
      </c>
      <c r="M95" s="29">
        <f t="shared" si="21"/>
        <v>22000</v>
      </c>
      <c r="N95" s="29">
        <f t="shared" si="21"/>
        <v>5659</v>
      </c>
      <c r="O95" s="29">
        <f t="shared" si="21"/>
        <v>5464</v>
      </c>
    </row>
    <row r="96" spans="1:15" ht="12.75" customHeight="1">
      <c r="A96" s="4" t="s">
        <v>177</v>
      </c>
      <c r="B96" s="5" t="s">
        <v>178</v>
      </c>
      <c r="C96" s="28">
        <v>1512</v>
      </c>
      <c r="D96" s="28">
        <v>1130</v>
      </c>
      <c r="E96" s="28">
        <v>215</v>
      </c>
      <c r="F96" s="28">
        <f>SUM(C96-D96-E96)</f>
        <v>167</v>
      </c>
      <c r="G96" s="28">
        <v>7228</v>
      </c>
      <c r="H96" s="28">
        <v>3822</v>
      </c>
      <c r="I96" s="28">
        <v>898</v>
      </c>
      <c r="J96" s="28">
        <f>SUM(G96-H96-I96)</f>
        <v>2508</v>
      </c>
      <c r="K96" s="28">
        <v>0</v>
      </c>
      <c r="L96" s="28">
        <v>0</v>
      </c>
      <c r="M96" s="28">
        <v>1473</v>
      </c>
      <c r="N96" s="28">
        <v>0</v>
      </c>
      <c r="O96" s="28">
        <v>0</v>
      </c>
    </row>
    <row r="97" spans="1:15" ht="12.75" customHeight="1">
      <c r="A97" s="4" t="s">
        <v>179</v>
      </c>
      <c r="B97" s="5" t="s">
        <v>180</v>
      </c>
      <c r="C97" s="28">
        <v>489</v>
      </c>
      <c r="D97" s="28">
        <v>473</v>
      </c>
      <c r="E97" s="28">
        <v>0</v>
      </c>
      <c r="F97" s="28">
        <f>SUM(C97-D97-E97)</f>
        <v>16</v>
      </c>
      <c r="G97" s="28">
        <v>1425</v>
      </c>
      <c r="H97" s="28">
        <v>1328</v>
      </c>
      <c r="I97" s="28">
        <v>0</v>
      </c>
      <c r="J97" s="28">
        <f>SUM(G97-H97-I97)</f>
        <v>97</v>
      </c>
      <c r="K97" s="28">
        <v>0</v>
      </c>
      <c r="L97" s="28">
        <v>0</v>
      </c>
      <c r="M97" s="28">
        <v>2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2001</v>
      </c>
      <c r="D98" s="29">
        <f t="shared" si="22"/>
        <v>1603</v>
      </c>
      <c r="E98" s="29">
        <f t="shared" si="22"/>
        <v>215</v>
      </c>
      <c r="F98" s="29">
        <f t="shared" si="22"/>
        <v>183</v>
      </c>
      <c r="G98" s="29">
        <f t="shared" si="22"/>
        <v>8653</v>
      </c>
      <c r="H98" s="29">
        <f t="shared" si="22"/>
        <v>5150</v>
      </c>
      <c r="I98" s="29">
        <f t="shared" si="22"/>
        <v>898</v>
      </c>
      <c r="J98" s="29">
        <f t="shared" si="22"/>
        <v>2605</v>
      </c>
      <c r="K98" s="29">
        <f t="shared" si="22"/>
        <v>0</v>
      </c>
      <c r="L98" s="29">
        <f t="shared" si="22"/>
        <v>0</v>
      </c>
      <c r="M98" s="29">
        <f t="shared" si="22"/>
        <v>1475</v>
      </c>
      <c r="N98" s="29">
        <f t="shared" si="22"/>
        <v>0</v>
      </c>
      <c r="O98" s="29">
        <f t="shared" si="22"/>
        <v>0</v>
      </c>
    </row>
    <row r="99" spans="1:15" ht="12.75" customHeight="1">
      <c r="A99" s="4" t="s">
        <v>182</v>
      </c>
      <c r="B99" s="5" t="s">
        <v>183</v>
      </c>
      <c r="C99" s="28">
        <v>4590</v>
      </c>
      <c r="D99" s="28">
        <v>3285</v>
      </c>
      <c r="E99" s="28">
        <v>415</v>
      </c>
      <c r="F99" s="28">
        <f>SUM(C99-D99-E99)</f>
        <v>890</v>
      </c>
      <c r="G99" s="28">
        <v>14704</v>
      </c>
      <c r="H99" s="28">
        <v>8761</v>
      </c>
      <c r="I99" s="28">
        <v>1497</v>
      </c>
      <c r="J99" s="28">
        <f>SUM(G99-H99-I99)</f>
        <v>4446</v>
      </c>
      <c r="K99" s="28">
        <v>30</v>
      </c>
      <c r="L99" s="28">
        <v>0</v>
      </c>
      <c r="M99" s="28">
        <v>947</v>
      </c>
      <c r="N99" s="28">
        <v>5</v>
      </c>
      <c r="O99" s="28">
        <v>5</v>
      </c>
    </row>
    <row r="100" spans="1:15" ht="12.75" customHeight="1">
      <c r="A100" s="4" t="s">
        <v>184</v>
      </c>
      <c r="B100" s="5" t="s">
        <v>185</v>
      </c>
      <c r="C100" s="28">
        <v>3893</v>
      </c>
      <c r="D100" s="28">
        <v>2056</v>
      </c>
      <c r="E100" s="28">
        <v>282</v>
      </c>
      <c r="F100" s="28">
        <f>SUM(C100-D100-E100)</f>
        <v>1555</v>
      </c>
      <c r="G100" s="28">
        <v>11323</v>
      </c>
      <c r="H100" s="28">
        <v>5275</v>
      </c>
      <c r="I100" s="28">
        <v>908</v>
      </c>
      <c r="J100" s="28">
        <f>SUM(G100-H100-I100)</f>
        <v>5140</v>
      </c>
      <c r="K100" s="28">
        <v>70</v>
      </c>
      <c r="L100" s="28">
        <v>0</v>
      </c>
      <c r="M100" s="28">
        <v>709</v>
      </c>
      <c r="N100" s="28">
        <v>85</v>
      </c>
      <c r="O100" s="28">
        <v>85</v>
      </c>
    </row>
    <row r="101" spans="1:15" ht="12.75" customHeight="1">
      <c r="A101" s="4" t="s">
        <v>186</v>
      </c>
      <c r="B101" s="5" t="s">
        <v>187</v>
      </c>
      <c r="C101" s="28">
        <v>2446</v>
      </c>
      <c r="D101" s="28">
        <v>1679</v>
      </c>
      <c r="E101" s="28">
        <v>0</v>
      </c>
      <c r="F101" s="28">
        <f>SUM(C101-D101-E101)</f>
        <v>767</v>
      </c>
      <c r="G101" s="28">
        <v>6063</v>
      </c>
      <c r="H101" s="28">
        <v>4022</v>
      </c>
      <c r="I101" s="28">
        <v>0</v>
      </c>
      <c r="J101" s="28">
        <f>SUM(G101-H101-I101)</f>
        <v>2041</v>
      </c>
      <c r="K101" s="28">
        <v>0</v>
      </c>
      <c r="L101" s="28">
        <v>0</v>
      </c>
      <c r="M101" s="28">
        <v>326</v>
      </c>
      <c r="N101" s="28">
        <v>27</v>
      </c>
      <c r="O101" s="28">
        <v>27</v>
      </c>
    </row>
    <row r="102" spans="1:15" ht="12.75" customHeight="1">
      <c r="A102" s="4" t="s">
        <v>188</v>
      </c>
      <c r="B102" s="5" t="s">
        <v>189</v>
      </c>
      <c r="C102" s="28">
        <v>3934</v>
      </c>
      <c r="D102" s="28">
        <v>2884</v>
      </c>
      <c r="E102" s="28">
        <v>670</v>
      </c>
      <c r="F102" s="28">
        <f>SUM(C102-D102-E102)</f>
        <v>380</v>
      </c>
      <c r="G102" s="28">
        <v>11581</v>
      </c>
      <c r="H102" s="28">
        <v>6159</v>
      </c>
      <c r="I102" s="28">
        <v>2644</v>
      </c>
      <c r="J102" s="28">
        <f>SUM(G102-H102-I102)</f>
        <v>2778</v>
      </c>
      <c r="K102" s="28">
        <v>15</v>
      </c>
      <c r="L102" s="28">
        <v>0</v>
      </c>
      <c r="M102" s="28">
        <v>510</v>
      </c>
      <c r="N102" s="28">
        <v>7</v>
      </c>
      <c r="O102" s="28">
        <v>7</v>
      </c>
    </row>
    <row r="103" spans="1:15" ht="12.75" customHeight="1">
      <c r="A103" s="8"/>
      <c r="B103" s="9" t="s">
        <v>190</v>
      </c>
      <c r="C103" s="29">
        <f t="shared" ref="C103:O103" si="23">SUM(C99:C102)</f>
        <v>14863</v>
      </c>
      <c r="D103" s="29">
        <f t="shared" si="23"/>
        <v>9904</v>
      </c>
      <c r="E103" s="29">
        <f t="shared" si="23"/>
        <v>1367</v>
      </c>
      <c r="F103" s="29">
        <f t="shared" si="23"/>
        <v>3592</v>
      </c>
      <c r="G103" s="29">
        <f t="shared" si="23"/>
        <v>43671</v>
      </c>
      <c r="H103" s="29">
        <f t="shared" si="23"/>
        <v>24217</v>
      </c>
      <c r="I103" s="29">
        <f t="shared" si="23"/>
        <v>5049</v>
      </c>
      <c r="J103" s="29">
        <f t="shared" si="23"/>
        <v>14405</v>
      </c>
      <c r="K103" s="29">
        <f t="shared" si="23"/>
        <v>115</v>
      </c>
      <c r="L103" s="29">
        <f t="shared" si="23"/>
        <v>0</v>
      </c>
      <c r="M103" s="29">
        <f t="shared" si="23"/>
        <v>2492</v>
      </c>
      <c r="N103" s="29">
        <f t="shared" si="23"/>
        <v>124</v>
      </c>
      <c r="O103" s="29">
        <f t="shared" si="23"/>
        <v>124</v>
      </c>
    </row>
    <row r="104" spans="1:15" ht="12.75" customHeight="1">
      <c r="A104" s="4" t="s">
        <v>191</v>
      </c>
      <c r="B104" s="5" t="s">
        <v>192</v>
      </c>
      <c r="C104" s="28">
        <v>2309</v>
      </c>
      <c r="D104" s="28">
        <v>1760</v>
      </c>
      <c r="E104" s="28">
        <v>190</v>
      </c>
      <c r="F104" s="28">
        <f>SUM(C104-D104-E104)</f>
        <v>359</v>
      </c>
      <c r="G104" s="28">
        <v>9119</v>
      </c>
      <c r="H104" s="28">
        <v>5431</v>
      </c>
      <c r="I104" s="28">
        <v>871</v>
      </c>
      <c r="J104" s="28">
        <f>SUM(G104-H104-I104)</f>
        <v>2817</v>
      </c>
      <c r="K104" s="28">
        <v>55</v>
      </c>
      <c r="L104" s="28">
        <v>0</v>
      </c>
      <c r="M104" s="28">
        <v>725</v>
      </c>
      <c r="N104" s="28">
        <v>9</v>
      </c>
      <c r="O104" s="28">
        <v>9</v>
      </c>
    </row>
    <row r="105" spans="1:15" ht="12.75" customHeight="1">
      <c r="A105" s="4" t="s">
        <v>193</v>
      </c>
      <c r="B105" s="5" t="s">
        <v>194</v>
      </c>
      <c r="C105" s="28">
        <v>1351</v>
      </c>
      <c r="D105" s="28">
        <v>1026</v>
      </c>
      <c r="E105" s="28">
        <v>0</v>
      </c>
      <c r="F105" s="28">
        <f>SUM(C105-D105-E105)</f>
        <v>325</v>
      </c>
      <c r="G105" s="28">
        <v>5635</v>
      </c>
      <c r="H105" s="28">
        <v>3172</v>
      </c>
      <c r="I105" s="28">
        <v>0</v>
      </c>
      <c r="J105" s="28">
        <f>SUM(G105-H105-I105)</f>
        <v>2463</v>
      </c>
      <c r="K105" s="28">
        <v>0</v>
      </c>
      <c r="L105" s="28">
        <v>0</v>
      </c>
      <c r="M105" s="28">
        <v>799</v>
      </c>
      <c r="N105" s="28">
        <v>28</v>
      </c>
      <c r="O105" s="28">
        <v>28</v>
      </c>
    </row>
    <row r="106" spans="1:15" ht="12.75" customHeight="1">
      <c r="A106" s="4" t="s">
        <v>195</v>
      </c>
      <c r="B106" s="5" t="s">
        <v>196</v>
      </c>
      <c r="C106" s="28">
        <v>7749</v>
      </c>
      <c r="D106" s="28">
        <v>4754</v>
      </c>
      <c r="E106" s="28">
        <v>503</v>
      </c>
      <c r="F106" s="28">
        <f>SUM(C106-D106-E106)</f>
        <v>2492</v>
      </c>
      <c r="G106" s="28">
        <v>34854</v>
      </c>
      <c r="H106" s="28">
        <v>13597</v>
      </c>
      <c r="I106" s="28">
        <v>2121</v>
      </c>
      <c r="J106" s="28">
        <f>SUM(G106-H106-I106)</f>
        <v>19136</v>
      </c>
      <c r="K106" s="28">
        <v>59</v>
      </c>
      <c r="L106" s="28">
        <v>0</v>
      </c>
      <c r="M106" s="28">
        <v>5438</v>
      </c>
      <c r="N106" s="28">
        <v>516</v>
      </c>
      <c r="O106" s="28">
        <v>516</v>
      </c>
    </row>
    <row r="107" spans="1:15" ht="12.75" customHeight="1">
      <c r="A107" s="4" t="s">
        <v>197</v>
      </c>
      <c r="B107" s="5" t="s">
        <v>198</v>
      </c>
      <c r="C107" s="28">
        <v>20668</v>
      </c>
      <c r="D107" s="28">
        <v>13535</v>
      </c>
      <c r="E107" s="28">
        <v>887</v>
      </c>
      <c r="F107" s="28">
        <f>SUM(C107-D107-E107)</f>
        <v>6246</v>
      </c>
      <c r="G107" s="28">
        <v>58905</v>
      </c>
      <c r="H107" s="28">
        <v>25929</v>
      </c>
      <c r="I107" s="28">
        <v>2321</v>
      </c>
      <c r="J107" s="28">
        <f>SUM(G107-H107-I107)</f>
        <v>30655</v>
      </c>
      <c r="K107" s="28">
        <v>2353</v>
      </c>
      <c r="L107" s="28">
        <v>0</v>
      </c>
      <c r="M107" s="28">
        <v>2106</v>
      </c>
      <c r="N107" s="28">
        <v>2965</v>
      </c>
      <c r="O107" s="28">
        <v>2965</v>
      </c>
    </row>
    <row r="108" spans="1:15" ht="12.75" customHeight="1">
      <c r="A108" s="4" t="s">
        <v>199</v>
      </c>
      <c r="B108" s="5" t="s">
        <v>200</v>
      </c>
      <c r="C108" s="28">
        <v>8399</v>
      </c>
      <c r="D108" s="28">
        <v>6030</v>
      </c>
      <c r="E108" s="28">
        <v>709</v>
      </c>
      <c r="F108" s="28">
        <f>SUM(C108-D108-E108)</f>
        <v>1660</v>
      </c>
      <c r="G108" s="28">
        <v>36220</v>
      </c>
      <c r="H108" s="28">
        <v>15466</v>
      </c>
      <c r="I108" s="28">
        <v>2845</v>
      </c>
      <c r="J108" s="28">
        <f>SUM(G108-H108-I108)</f>
        <v>17909</v>
      </c>
      <c r="K108" s="28">
        <v>62</v>
      </c>
      <c r="L108" s="28">
        <v>0</v>
      </c>
      <c r="M108" s="28">
        <v>1926</v>
      </c>
      <c r="N108" s="28">
        <v>4602</v>
      </c>
      <c r="O108" s="28">
        <v>4602</v>
      </c>
    </row>
    <row r="109" spans="1:15" ht="12.75" customHeight="1">
      <c r="A109" s="8"/>
      <c r="B109" s="9" t="s">
        <v>201</v>
      </c>
      <c r="C109" s="29">
        <f t="shared" ref="C109:O109" si="24">SUM(C104:C108)</f>
        <v>40476</v>
      </c>
      <c r="D109" s="29">
        <f t="shared" si="24"/>
        <v>27105</v>
      </c>
      <c r="E109" s="29">
        <f t="shared" si="24"/>
        <v>2289</v>
      </c>
      <c r="F109" s="29">
        <f t="shared" si="24"/>
        <v>11082</v>
      </c>
      <c r="G109" s="29">
        <f t="shared" si="24"/>
        <v>144733</v>
      </c>
      <c r="H109" s="29">
        <f t="shared" si="24"/>
        <v>63595</v>
      </c>
      <c r="I109" s="29">
        <f t="shared" si="24"/>
        <v>8158</v>
      </c>
      <c r="J109" s="29">
        <f t="shared" si="24"/>
        <v>72980</v>
      </c>
      <c r="K109" s="29">
        <f t="shared" si="24"/>
        <v>2529</v>
      </c>
      <c r="L109" s="29">
        <f t="shared" si="24"/>
        <v>0</v>
      </c>
      <c r="M109" s="29">
        <f t="shared" si="24"/>
        <v>10994</v>
      </c>
      <c r="N109" s="29">
        <f t="shared" si="24"/>
        <v>8120</v>
      </c>
      <c r="O109" s="29">
        <f t="shared" si="24"/>
        <v>8120</v>
      </c>
    </row>
    <row r="110" spans="1:15" ht="12.75" customHeight="1">
      <c r="A110" s="4" t="s">
        <v>202</v>
      </c>
      <c r="B110" s="5" t="s">
        <v>203</v>
      </c>
      <c r="C110" s="28">
        <v>11233</v>
      </c>
      <c r="D110" s="28">
        <v>9130</v>
      </c>
      <c r="E110" s="28">
        <v>364</v>
      </c>
      <c r="F110" s="28">
        <f t="shared" ref="F110:F115" si="25">SUM(C110-D110-E110)</f>
        <v>1739</v>
      </c>
      <c r="G110" s="28">
        <v>43440</v>
      </c>
      <c r="H110" s="28">
        <v>26829</v>
      </c>
      <c r="I110" s="28">
        <v>1729</v>
      </c>
      <c r="J110" s="28">
        <f t="shared" ref="J110:J115" si="26">SUM(G110-H110-I110)</f>
        <v>14882</v>
      </c>
      <c r="K110" s="28">
        <v>345</v>
      </c>
      <c r="L110" s="28">
        <v>0</v>
      </c>
      <c r="M110" s="28">
        <v>3256</v>
      </c>
      <c r="N110" s="28">
        <v>1405</v>
      </c>
      <c r="O110" s="28">
        <v>1405</v>
      </c>
    </row>
    <row r="111" spans="1:15" ht="12.75" customHeight="1">
      <c r="A111" s="4" t="s">
        <v>204</v>
      </c>
      <c r="B111" s="5" t="s">
        <v>205</v>
      </c>
      <c r="C111" s="28">
        <v>1450</v>
      </c>
      <c r="D111" s="28">
        <v>1293</v>
      </c>
      <c r="E111" s="28">
        <v>91</v>
      </c>
      <c r="F111" s="28">
        <f t="shared" si="25"/>
        <v>66</v>
      </c>
      <c r="G111" s="28">
        <v>4470</v>
      </c>
      <c r="H111" s="28">
        <v>3282</v>
      </c>
      <c r="I111" s="28">
        <v>392</v>
      </c>
      <c r="J111" s="28">
        <f t="shared" si="26"/>
        <v>796</v>
      </c>
      <c r="K111" s="28">
        <v>0</v>
      </c>
      <c r="L111" s="28">
        <v>0</v>
      </c>
      <c r="M111" s="28">
        <v>563</v>
      </c>
      <c r="N111" s="28">
        <v>0</v>
      </c>
      <c r="O111" s="28">
        <v>0</v>
      </c>
    </row>
    <row r="112" spans="1:15" ht="12.75" customHeight="1">
      <c r="A112" s="4" t="s">
        <v>206</v>
      </c>
      <c r="B112" s="5" t="s">
        <v>207</v>
      </c>
      <c r="C112" s="28">
        <v>4110</v>
      </c>
      <c r="D112" s="28">
        <v>3647</v>
      </c>
      <c r="E112" s="28">
        <v>0</v>
      </c>
      <c r="F112" s="28">
        <f t="shared" si="25"/>
        <v>463</v>
      </c>
      <c r="G112" s="28">
        <v>12488</v>
      </c>
      <c r="H112" s="28">
        <v>10236</v>
      </c>
      <c r="I112" s="28">
        <v>0</v>
      </c>
      <c r="J112" s="28">
        <f t="shared" si="26"/>
        <v>2252</v>
      </c>
      <c r="K112" s="28">
        <v>14</v>
      </c>
      <c r="L112" s="28">
        <v>290</v>
      </c>
      <c r="M112" s="28">
        <v>595</v>
      </c>
      <c r="N112" s="28">
        <v>528</v>
      </c>
      <c r="O112" s="28">
        <v>528</v>
      </c>
    </row>
    <row r="113" spans="1:15" ht="12.75" customHeight="1">
      <c r="A113" s="4" t="s">
        <v>208</v>
      </c>
      <c r="B113" s="5" t="s">
        <v>209</v>
      </c>
      <c r="C113" s="28">
        <v>4545</v>
      </c>
      <c r="D113" s="28">
        <v>2841</v>
      </c>
      <c r="E113" s="28">
        <v>542</v>
      </c>
      <c r="F113" s="28">
        <f t="shared" si="25"/>
        <v>1162</v>
      </c>
      <c r="G113" s="28">
        <v>15963</v>
      </c>
      <c r="H113" s="28">
        <v>8627</v>
      </c>
      <c r="I113" s="28">
        <v>2035</v>
      </c>
      <c r="J113" s="28">
        <f t="shared" si="26"/>
        <v>5301</v>
      </c>
      <c r="K113" s="28">
        <v>34</v>
      </c>
      <c r="L113" s="28">
        <v>0</v>
      </c>
      <c r="M113" s="28">
        <v>4418</v>
      </c>
      <c r="N113" s="28">
        <v>142</v>
      </c>
      <c r="O113" s="28">
        <v>142</v>
      </c>
    </row>
    <row r="114" spans="1:15" ht="12.75" customHeight="1">
      <c r="A114" s="4" t="s">
        <v>210</v>
      </c>
      <c r="B114" s="5" t="s">
        <v>211</v>
      </c>
      <c r="C114" s="28">
        <v>12713</v>
      </c>
      <c r="D114" s="28">
        <v>8823</v>
      </c>
      <c r="E114" s="28">
        <v>0</v>
      </c>
      <c r="F114" s="28">
        <f t="shared" si="25"/>
        <v>3890</v>
      </c>
      <c r="G114" s="28">
        <v>33088</v>
      </c>
      <c r="H114" s="28">
        <v>20521</v>
      </c>
      <c r="I114" s="28">
        <v>0</v>
      </c>
      <c r="J114" s="28">
        <f t="shared" si="26"/>
        <v>12567</v>
      </c>
      <c r="K114" s="28">
        <v>2554</v>
      </c>
      <c r="L114" s="28">
        <v>0</v>
      </c>
      <c r="M114" s="28">
        <v>1887</v>
      </c>
      <c r="N114" s="28">
        <v>481</v>
      </c>
      <c r="O114" s="28">
        <v>481</v>
      </c>
    </row>
    <row r="115" spans="1:15" ht="12.75" customHeight="1">
      <c r="A115" s="4" t="s">
        <v>212</v>
      </c>
      <c r="B115" s="5" t="s">
        <v>213</v>
      </c>
      <c r="C115" s="28">
        <v>5338</v>
      </c>
      <c r="D115" s="28">
        <v>4998</v>
      </c>
      <c r="E115" s="28">
        <v>0</v>
      </c>
      <c r="F115" s="28">
        <f t="shared" si="25"/>
        <v>340</v>
      </c>
      <c r="G115" s="28">
        <v>15318</v>
      </c>
      <c r="H115" s="28">
        <v>13675</v>
      </c>
      <c r="I115" s="28">
        <v>0</v>
      </c>
      <c r="J115" s="28">
        <f t="shared" si="26"/>
        <v>1643</v>
      </c>
      <c r="K115" s="28">
        <v>56</v>
      </c>
      <c r="L115" s="28">
        <v>0</v>
      </c>
      <c r="M115" s="28">
        <v>656</v>
      </c>
      <c r="N115" s="28">
        <v>157</v>
      </c>
      <c r="O115" s="28">
        <v>157</v>
      </c>
    </row>
    <row r="116" spans="1:15" ht="12.75" customHeight="1">
      <c r="A116" s="8"/>
      <c r="B116" s="9" t="s">
        <v>214</v>
      </c>
      <c r="C116" s="29">
        <f t="shared" ref="C116:O116" si="27">SUM(C110:C115)</f>
        <v>39389</v>
      </c>
      <c r="D116" s="29">
        <f t="shared" si="27"/>
        <v>30732</v>
      </c>
      <c r="E116" s="29">
        <f t="shared" si="27"/>
        <v>997</v>
      </c>
      <c r="F116" s="29">
        <f t="shared" si="27"/>
        <v>7660</v>
      </c>
      <c r="G116" s="29">
        <f t="shared" si="27"/>
        <v>124767</v>
      </c>
      <c r="H116" s="29">
        <f t="shared" si="27"/>
        <v>83170</v>
      </c>
      <c r="I116" s="29">
        <f t="shared" si="27"/>
        <v>4156</v>
      </c>
      <c r="J116" s="29">
        <f t="shared" si="27"/>
        <v>37441</v>
      </c>
      <c r="K116" s="29">
        <f t="shared" si="27"/>
        <v>3003</v>
      </c>
      <c r="L116" s="29">
        <f t="shared" si="27"/>
        <v>290</v>
      </c>
      <c r="M116" s="29">
        <f t="shared" si="27"/>
        <v>11375</v>
      </c>
      <c r="N116" s="29">
        <f t="shared" si="27"/>
        <v>2713</v>
      </c>
      <c r="O116" s="29">
        <f t="shared" si="27"/>
        <v>2713</v>
      </c>
    </row>
    <row r="117" spans="1:15" ht="12.75" customHeight="1">
      <c r="A117" s="4" t="s">
        <v>215</v>
      </c>
      <c r="B117" s="5" t="s">
        <v>216</v>
      </c>
      <c r="C117" s="28">
        <v>1549</v>
      </c>
      <c r="D117" s="28">
        <v>1209</v>
      </c>
      <c r="E117" s="28">
        <v>0</v>
      </c>
      <c r="F117" s="28">
        <f>SUM(C117-D117-E117)</f>
        <v>340</v>
      </c>
      <c r="G117" s="28">
        <v>5103</v>
      </c>
      <c r="H117" s="28">
        <v>3547</v>
      </c>
      <c r="I117" s="28">
        <v>0</v>
      </c>
      <c r="J117" s="28">
        <f>SUM(G117-H117-I117)</f>
        <v>1556</v>
      </c>
      <c r="K117" s="28">
        <v>0</v>
      </c>
      <c r="L117" s="28">
        <v>0</v>
      </c>
      <c r="M117" s="28">
        <v>1334</v>
      </c>
      <c r="N117" s="28">
        <v>0</v>
      </c>
      <c r="O117" s="28">
        <v>0</v>
      </c>
    </row>
    <row r="118" spans="1:15" ht="12.75" customHeight="1">
      <c r="A118" s="4" t="s">
        <v>217</v>
      </c>
      <c r="B118" s="5" t="s">
        <v>218</v>
      </c>
      <c r="C118" s="28">
        <v>3318</v>
      </c>
      <c r="D118" s="28">
        <v>2790</v>
      </c>
      <c r="E118" s="28">
        <v>163</v>
      </c>
      <c r="F118" s="28">
        <f>SUM(C118-D118-E118)</f>
        <v>365</v>
      </c>
      <c r="G118" s="28">
        <v>12060</v>
      </c>
      <c r="H118" s="28">
        <v>7722</v>
      </c>
      <c r="I118" s="28">
        <v>736</v>
      </c>
      <c r="J118" s="28">
        <f>SUM(G118-H118-I118)</f>
        <v>3602</v>
      </c>
      <c r="K118" s="28">
        <v>3</v>
      </c>
      <c r="L118" s="28">
        <v>0</v>
      </c>
      <c r="M118" s="28">
        <v>1027</v>
      </c>
      <c r="N118" s="28">
        <v>261</v>
      </c>
      <c r="O118" s="28">
        <v>261</v>
      </c>
    </row>
    <row r="119" spans="1:15" ht="12.75" customHeight="1">
      <c r="A119" s="8"/>
      <c r="B119" s="9" t="s">
        <v>219</v>
      </c>
      <c r="C119" s="29">
        <f t="shared" ref="C119:O119" si="28">SUM(C117:C118)</f>
        <v>4867</v>
      </c>
      <c r="D119" s="29">
        <f t="shared" si="28"/>
        <v>3999</v>
      </c>
      <c r="E119" s="29">
        <f t="shared" si="28"/>
        <v>163</v>
      </c>
      <c r="F119" s="29">
        <f t="shared" si="28"/>
        <v>705</v>
      </c>
      <c r="G119" s="29">
        <f t="shared" si="28"/>
        <v>17163</v>
      </c>
      <c r="H119" s="29">
        <f t="shared" si="28"/>
        <v>11269</v>
      </c>
      <c r="I119" s="29">
        <f t="shared" si="28"/>
        <v>736</v>
      </c>
      <c r="J119" s="29">
        <f t="shared" si="28"/>
        <v>5158</v>
      </c>
      <c r="K119" s="29">
        <f t="shared" si="28"/>
        <v>3</v>
      </c>
      <c r="L119" s="29">
        <f t="shared" si="28"/>
        <v>0</v>
      </c>
      <c r="M119" s="29">
        <f t="shared" si="28"/>
        <v>2361</v>
      </c>
      <c r="N119" s="29">
        <f t="shared" si="28"/>
        <v>261</v>
      </c>
      <c r="O119" s="29">
        <f t="shared" si="28"/>
        <v>261</v>
      </c>
    </row>
    <row r="120" spans="1:15" ht="12.75" customHeight="1">
      <c r="A120" s="4" t="s">
        <v>220</v>
      </c>
      <c r="B120" s="5" t="s">
        <v>221</v>
      </c>
      <c r="C120" s="28">
        <v>4408</v>
      </c>
      <c r="D120" s="28">
        <v>4041</v>
      </c>
      <c r="E120" s="28">
        <v>156</v>
      </c>
      <c r="F120" s="28">
        <f>SUM(C120-D120-E120)</f>
        <v>211</v>
      </c>
      <c r="G120" s="28">
        <v>11954</v>
      </c>
      <c r="H120" s="28">
        <v>9921</v>
      </c>
      <c r="I120" s="28">
        <v>885</v>
      </c>
      <c r="J120" s="28">
        <f>SUM(G120-H120-I120)</f>
        <v>1148</v>
      </c>
      <c r="K120" s="28">
        <v>89</v>
      </c>
      <c r="L120" s="28">
        <v>0</v>
      </c>
      <c r="M120" s="28">
        <v>275</v>
      </c>
      <c r="N120" s="28">
        <v>225</v>
      </c>
      <c r="O120" s="28">
        <v>225</v>
      </c>
    </row>
    <row r="121" spans="1:15" ht="12.75" customHeight="1">
      <c r="A121" s="4" t="s">
        <v>222</v>
      </c>
      <c r="B121" s="5" t="s">
        <v>223</v>
      </c>
      <c r="C121" s="28">
        <v>7164</v>
      </c>
      <c r="D121" s="28">
        <v>6296</v>
      </c>
      <c r="E121" s="28">
        <v>474</v>
      </c>
      <c r="F121" s="28">
        <f>SUM(C121-D121-E121)</f>
        <v>394</v>
      </c>
      <c r="G121" s="28">
        <v>21745</v>
      </c>
      <c r="H121" s="28">
        <v>16529</v>
      </c>
      <c r="I121" s="28">
        <v>1897</v>
      </c>
      <c r="J121" s="28">
        <f>SUM(G121-H121-I121)</f>
        <v>3319</v>
      </c>
      <c r="K121" s="28">
        <v>7</v>
      </c>
      <c r="L121" s="28">
        <v>96</v>
      </c>
      <c r="M121" s="28">
        <v>795</v>
      </c>
      <c r="N121" s="28">
        <v>43</v>
      </c>
      <c r="O121" s="28">
        <v>43</v>
      </c>
    </row>
    <row r="122" spans="1:15" ht="12.75" customHeight="1">
      <c r="A122" s="4" t="s">
        <v>224</v>
      </c>
      <c r="B122" s="5" t="s">
        <v>225</v>
      </c>
      <c r="C122" s="28">
        <v>1443</v>
      </c>
      <c r="D122" s="28">
        <v>1208</v>
      </c>
      <c r="E122" s="28">
        <v>0</v>
      </c>
      <c r="F122" s="28">
        <f>SUM(C122-D122-E122)</f>
        <v>235</v>
      </c>
      <c r="G122" s="28">
        <v>4248</v>
      </c>
      <c r="H122" s="28">
        <v>3174</v>
      </c>
      <c r="I122" s="28">
        <v>0</v>
      </c>
      <c r="J122" s="28">
        <f>SUM(G122-H122-I122)</f>
        <v>1074</v>
      </c>
      <c r="K122" s="28">
        <v>2</v>
      </c>
      <c r="L122" s="28">
        <v>0</v>
      </c>
      <c r="M122" s="28">
        <v>1049</v>
      </c>
      <c r="N122" s="28">
        <v>0</v>
      </c>
      <c r="O122" s="28">
        <v>0</v>
      </c>
    </row>
    <row r="123" spans="1:15" ht="12.75" customHeight="1">
      <c r="A123" s="4" t="s">
        <v>226</v>
      </c>
      <c r="B123" s="5" t="s">
        <v>227</v>
      </c>
      <c r="C123" s="28">
        <v>5794</v>
      </c>
      <c r="D123" s="28">
        <v>5183</v>
      </c>
      <c r="E123" s="28">
        <v>191</v>
      </c>
      <c r="F123" s="28">
        <f>SUM(C123-D123-E123)</f>
        <v>420</v>
      </c>
      <c r="G123" s="28">
        <v>15178</v>
      </c>
      <c r="H123" s="28">
        <v>12155</v>
      </c>
      <c r="I123" s="28">
        <v>862</v>
      </c>
      <c r="J123" s="28">
        <f>SUM(G123-H123-I123)</f>
        <v>2161</v>
      </c>
      <c r="K123" s="28">
        <v>79</v>
      </c>
      <c r="L123" s="28">
        <v>0</v>
      </c>
      <c r="M123" s="28">
        <v>249</v>
      </c>
      <c r="N123" s="28">
        <v>29</v>
      </c>
      <c r="O123" s="28">
        <v>29</v>
      </c>
    </row>
    <row r="124" spans="1:15" ht="12.75" customHeight="1">
      <c r="A124" s="4" t="s">
        <v>228</v>
      </c>
      <c r="B124" s="5" t="s">
        <v>229</v>
      </c>
      <c r="C124" s="28">
        <v>2088</v>
      </c>
      <c r="D124" s="28">
        <v>1936</v>
      </c>
      <c r="E124" s="28">
        <v>72</v>
      </c>
      <c r="F124" s="28">
        <f>SUM(C124-D124-E124)</f>
        <v>80</v>
      </c>
      <c r="G124" s="28">
        <v>5501</v>
      </c>
      <c r="H124" s="28">
        <v>4624</v>
      </c>
      <c r="I124" s="28">
        <v>385</v>
      </c>
      <c r="J124" s="28">
        <f>SUM(G124-H124-I124)</f>
        <v>492</v>
      </c>
      <c r="K124" s="28">
        <v>4</v>
      </c>
      <c r="L124" s="28">
        <v>0</v>
      </c>
      <c r="M124" s="28">
        <v>15</v>
      </c>
      <c r="N124" s="28">
        <v>0</v>
      </c>
      <c r="O124" s="28">
        <v>0</v>
      </c>
    </row>
    <row r="125" spans="1:15" ht="12.75" customHeight="1">
      <c r="A125" s="8"/>
      <c r="B125" s="9" t="s">
        <v>230</v>
      </c>
      <c r="C125" s="29">
        <f t="shared" ref="C125:O125" si="29">SUM(C120:C124)</f>
        <v>20897</v>
      </c>
      <c r="D125" s="29">
        <f t="shared" si="29"/>
        <v>18664</v>
      </c>
      <c r="E125" s="29">
        <f t="shared" si="29"/>
        <v>893</v>
      </c>
      <c r="F125" s="29">
        <f t="shared" si="29"/>
        <v>1340</v>
      </c>
      <c r="G125" s="29">
        <f t="shared" si="29"/>
        <v>58626</v>
      </c>
      <c r="H125" s="29">
        <f t="shared" si="29"/>
        <v>46403</v>
      </c>
      <c r="I125" s="29">
        <f t="shared" si="29"/>
        <v>4029</v>
      </c>
      <c r="J125" s="29">
        <f t="shared" si="29"/>
        <v>8194</v>
      </c>
      <c r="K125" s="29">
        <f t="shared" si="29"/>
        <v>181</v>
      </c>
      <c r="L125" s="29">
        <f t="shared" si="29"/>
        <v>96</v>
      </c>
      <c r="M125" s="29">
        <f t="shared" si="29"/>
        <v>2383</v>
      </c>
      <c r="N125" s="29">
        <f t="shared" si="29"/>
        <v>297</v>
      </c>
      <c r="O125" s="29">
        <f t="shared" si="29"/>
        <v>297</v>
      </c>
    </row>
    <row r="126" spans="1:15" ht="12.75" customHeight="1">
      <c r="A126" s="4" t="s">
        <v>231</v>
      </c>
      <c r="B126" s="5" t="s">
        <v>232</v>
      </c>
      <c r="C126" s="28">
        <v>4357</v>
      </c>
      <c r="D126" s="28">
        <v>3503</v>
      </c>
      <c r="E126" s="28">
        <v>0</v>
      </c>
      <c r="F126" s="28">
        <f t="shared" ref="F126:F134" si="30">SUM(C126-D126-E126)</f>
        <v>854</v>
      </c>
      <c r="G126" s="28">
        <v>9863</v>
      </c>
      <c r="H126" s="28">
        <v>6710</v>
      </c>
      <c r="I126" s="28">
        <v>0</v>
      </c>
      <c r="J126" s="28">
        <f t="shared" ref="J126:J134" si="31">SUM(G126-H126-I126)</f>
        <v>3153</v>
      </c>
      <c r="K126" s="28">
        <v>8</v>
      </c>
      <c r="L126" s="28">
        <v>15</v>
      </c>
      <c r="M126" s="28">
        <v>846</v>
      </c>
      <c r="N126" s="28">
        <v>109</v>
      </c>
      <c r="O126" s="28">
        <v>109</v>
      </c>
    </row>
    <row r="127" spans="1:15" ht="12.75" customHeight="1">
      <c r="A127" s="4" t="s">
        <v>233</v>
      </c>
      <c r="B127" s="5" t="s">
        <v>234</v>
      </c>
      <c r="C127" s="28">
        <v>1933</v>
      </c>
      <c r="D127" s="28">
        <v>1526</v>
      </c>
      <c r="E127" s="28">
        <v>0</v>
      </c>
      <c r="F127" s="28">
        <f t="shared" si="30"/>
        <v>407</v>
      </c>
      <c r="G127" s="28">
        <v>5065</v>
      </c>
      <c r="H127" s="28">
        <v>3977</v>
      </c>
      <c r="I127" s="28">
        <v>0</v>
      </c>
      <c r="J127" s="28">
        <f t="shared" si="31"/>
        <v>1088</v>
      </c>
      <c r="K127" s="28">
        <v>0</v>
      </c>
      <c r="L127" s="28">
        <v>0</v>
      </c>
      <c r="M127" s="28">
        <v>311</v>
      </c>
      <c r="N127" s="28">
        <v>0</v>
      </c>
      <c r="O127" s="28">
        <v>0</v>
      </c>
    </row>
    <row r="128" spans="1:15" ht="12.75" customHeight="1">
      <c r="A128" s="4" t="s">
        <v>235</v>
      </c>
      <c r="B128" s="5" t="s">
        <v>236</v>
      </c>
      <c r="C128" s="28">
        <v>12337</v>
      </c>
      <c r="D128" s="28">
        <v>9506</v>
      </c>
      <c r="E128" s="28">
        <v>374</v>
      </c>
      <c r="F128" s="28">
        <f t="shared" si="30"/>
        <v>2457</v>
      </c>
      <c r="G128" s="28">
        <v>26749</v>
      </c>
      <c r="H128" s="28">
        <v>19075</v>
      </c>
      <c r="I128" s="28">
        <v>1236</v>
      </c>
      <c r="J128" s="28">
        <f t="shared" si="31"/>
        <v>6438</v>
      </c>
      <c r="K128" s="28">
        <v>49</v>
      </c>
      <c r="L128" s="28">
        <v>0</v>
      </c>
      <c r="M128" s="28">
        <v>1654</v>
      </c>
      <c r="N128" s="28">
        <v>122</v>
      </c>
      <c r="O128" s="28">
        <v>122</v>
      </c>
    </row>
    <row r="129" spans="1:15" ht="12.75" customHeight="1">
      <c r="A129" s="4" t="s">
        <v>237</v>
      </c>
      <c r="B129" s="5" t="s">
        <v>238</v>
      </c>
      <c r="C129" s="28">
        <v>1143</v>
      </c>
      <c r="D129" s="28">
        <v>823</v>
      </c>
      <c r="E129" s="28">
        <v>85</v>
      </c>
      <c r="F129" s="28">
        <f t="shared" si="30"/>
        <v>235</v>
      </c>
      <c r="G129" s="28">
        <v>4094</v>
      </c>
      <c r="H129" s="28">
        <v>1918</v>
      </c>
      <c r="I129" s="28">
        <v>479</v>
      </c>
      <c r="J129" s="28">
        <f t="shared" si="31"/>
        <v>1697</v>
      </c>
      <c r="K129" s="28">
        <v>47</v>
      </c>
      <c r="L129" s="28">
        <v>0</v>
      </c>
      <c r="M129" s="28">
        <v>1447</v>
      </c>
      <c r="N129" s="28">
        <v>78</v>
      </c>
      <c r="O129" s="28">
        <v>78</v>
      </c>
    </row>
    <row r="130" spans="1:15" ht="12.75" customHeight="1">
      <c r="A130" s="4" t="s">
        <v>239</v>
      </c>
      <c r="B130" s="5" t="s">
        <v>240</v>
      </c>
      <c r="C130" s="28">
        <v>8411</v>
      </c>
      <c r="D130" s="28">
        <v>7049</v>
      </c>
      <c r="E130" s="28">
        <v>512</v>
      </c>
      <c r="F130" s="28">
        <f t="shared" si="30"/>
        <v>850</v>
      </c>
      <c r="G130" s="28">
        <v>20565</v>
      </c>
      <c r="H130" s="28">
        <v>10769</v>
      </c>
      <c r="I130" s="28">
        <v>1875</v>
      </c>
      <c r="J130" s="28">
        <f t="shared" si="31"/>
        <v>7921</v>
      </c>
      <c r="K130" s="28">
        <v>65</v>
      </c>
      <c r="L130" s="28">
        <v>1200</v>
      </c>
      <c r="M130" s="28">
        <v>46</v>
      </c>
      <c r="N130" s="28">
        <v>76911</v>
      </c>
      <c r="O130" s="28">
        <v>223</v>
      </c>
    </row>
    <row r="131" spans="1:15" ht="12.75" customHeight="1">
      <c r="A131" s="4" t="s">
        <v>241</v>
      </c>
      <c r="B131" s="5" t="s">
        <v>242</v>
      </c>
      <c r="C131" s="28">
        <v>13636</v>
      </c>
      <c r="D131" s="28">
        <v>11372</v>
      </c>
      <c r="E131" s="28">
        <v>165</v>
      </c>
      <c r="F131" s="28">
        <f t="shared" si="30"/>
        <v>2099</v>
      </c>
      <c r="G131" s="28">
        <v>30418</v>
      </c>
      <c r="H131" s="28">
        <v>16882</v>
      </c>
      <c r="I131" s="28">
        <v>564</v>
      </c>
      <c r="J131" s="28">
        <f t="shared" si="31"/>
        <v>12972</v>
      </c>
      <c r="K131" s="28">
        <v>12</v>
      </c>
      <c r="L131" s="28">
        <v>6</v>
      </c>
      <c r="M131" s="28">
        <v>666</v>
      </c>
      <c r="N131" s="28">
        <v>26</v>
      </c>
      <c r="O131" s="28">
        <v>26</v>
      </c>
    </row>
    <row r="132" spans="1:15" ht="12.75" customHeight="1">
      <c r="A132" s="4" t="s">
        <v>243</v>
      </c>
      <c r="B132" s="5" t="s">
        <v>244</v>
      </c>
      <c r="C132" s="28">
        <v>6461</v>
      </c>
      <c r="D132" s="28">
        <v>5571</v>
      </c>
      <c r="E132" s="28">
        <v>0</v>
      </c>
      <c r="F132" s="28">
        <f t="shared" si="30"/>
        <v>890</v>
      </c>
      <c r="G132" s="28">
        <v>17100</v>
      </c>
      <c r="H132" s="28">
        <v>11011</v>
      </c>
      <c r="I132" s="28">
        <v>0</v>
      </c>
      <c r="J132" s="28">
        <f t="shared" si="31"/>
        <v>6089</v>
      </c>
      <c r="K132" s="28">
        <v>791</v>
      </c>
      <c r="L132" s="28">
        <v>0</v>
      </c>
      <c r="M132" s="28">
        <v>944</v>
      </c>
      <c r="N132" s="28">
        <v>19</v>
      </c>
      <c r="O132" s="28">
        <v>19</v>
      </c>
    </row>
    <row r="133" spans="1:15" ht="12.75" customHeight="1">
      <c r="A133" s="4" t="s">
        <v>245</v>
      </c>
      <c r="B133" s="5" t="s">
        <v>246</v>
      </c>
      <c r="C133" s="28">
        <v>4669</v>
      </c>
      <c r="D133" s="28">
        <v>4101</v>
      </c>
      <c r="E133" s="28">
        <v>0</v>
      </c>
      <c r="F133" s="28">
        <f t="shared" si="30"/>
        <v>568</v>
      </c>
      <c r="G133" s="28">
        <v>9265</v>
      </c>
      <c r="H133" s="28">
        <v>7645</v>
      </c>
      <c r="I133" s="28">
        <v>0</v>
      </c>
      <c r="J133" s="28">
        <f t="shared" si="31"/>
        <v>1620</v>
      </c>
      <c r="K133" s="28">
        <v>12</v>
      </c>
      <c r="L133" s="28">
        <v>61</v>
      </c>
      <c r="M133" s="28">
        <v>595</v>
      </c>
      <c r="N133" s="28">
        <v>2292</v>
      </c>
      <c r="O133" s="28">
        <v>2292</v>
      </c>
    </row>
    <row r="134" spans="1:15" ht="12.75" customHeight="1">
      <c r="A134" s="4" t="s">
        <v>247</v>
      </c>
      <c r="B134" s="5" t="s">
        <v>248</v>
      </c>
      <c r="C134" s="28">
        <v>5113</v>
      </c>
      <c r="D134" s="28">
        <v>3548</v>
      </c>
      <c r="E134" s="28">
        <v>0</v>
      </c>
      <c r="F134" s="28">
        <f t="shared" si="30"/>
        <v>1565</v>
      </c>
      <c r="G134" s="28">
        <v>15539</v>
      </c>
      <c r="H134" s="28">
        <v>6271</v>
      </c>
      <c r="I134" s="28">
        <v>0</v>
      </c>
      <c r="J134" s="28">
        <f t="shared" si="31"/>
        <v>9268</v>
      </c>
      <c r="K134" s="28">
        <v>0</v>
      </c>
      <c r="L134" s="28">
        <v>0</v>
      </c>
      <c r="M134" s="28">
        <v>1075</v>
      </c>
      <c r="N134" s="28">
        <v>0</v>
      </c>
      <c r="O134" s="28">
        <v>0</v>
      </c>
    </row>
    <row r="135" spans="1:15" ht="12.75" customHeight="1">
      <c r="A135" s="10"/>
      <c r="B135" s="9" t="s">
        <v>249</v>
      </c>
      <c r="C135" s="29">
        <f t="shared" ref="C135:O135" si="32">SUM(C126:C134)</f>
        <v>58060</v>
      </c>
      <c r="D135" s="29">
        <f t="shared" si="32"/>
        <v>46999</v>
      </c>
      <c r="E135" s="29">
        <f t="shared" si="32"/>
        <v>1136</v>
      </c>
      <c r="F135" s="29">
        <f t="shared" si="32"/>
        <v>9925</v>
      </c>
      <c r="G135" s="29">
        <f t="shared" si="32"/>
        <v>138658</v>
      </c>
      <c r="H135" s="29">
        <f t="shared" si="32"/>
        <v>84258</v>
      </c>
      <c r="I135" s="29">
        <f t="shared" si="32"/>
        <v>4154</v>
      </c>
      <c r="J135" s="29">
        <f t="shared" si="32"/>
        <v>50246</v>
      </c>
      <c r="K135" s="29">
        <f t="shared" si="32"/>
        <v>984</v>
      </c>
      <c r="L135" s="29">
        <f t="shared" si="32"/>
        <v>1282</v>
      </c>
      <c r="M135" s="29">
        <f t="shared" si="32"/>
        <v>7584</v>
      </c>
      <c r="N135" s="29">
        <f t="shared" si="32"/>
        <v>79557</v>
      </c>
      <c r="O135" s="29">
        <f t="shared" si="32"/>
        <v>2869</v>
      </c>
    </row>
    <row r="136" spans="1:15" ht="12.75" customHeight="1">
      <c r="A136" s="4" t="s">
        <v>250</v>
      </c>
      <c r="B136" s="5" t="s">
        <v>251</v>
      </c>
      <c r="C136" s="28">
        <v>8877</v>
      </c>
      <c r="D136" s="28">
        <v>8116</v>
      </c>
      <c r="E136" s="28">
        <v>0</v>
      </c>
      <c r="F136" s="28">
        <f t="shared" ref="F136:F143" si="33">SUM(C136-D136-E136)</f>
        <v>761</v>
      </c>
      <c r="G136" s="28">
        <v>18215</v>
      </c>
      <c r="H136" s="28">
        <v>14916</v>
      </c>
      <c r="I136" s="28">
        <v>0</v>
      </c>
      <c r="J136" s="28">
        <f t="shared" ref="J136:J143" si="34">SUM(G136-H136-I136)</f>
        <v>3299</v>
      </c>
      <c r="K136" s="28">
        <v>581</v>
      </c>
      <c r="L136" s="28">
        <v>1159</v>
      </c>
      <c r="M136" s="28">
        <v>1103</v>
      </c>
      <c r="N136" s="28">
        <v>3961</v>
      </c>
      <c r="O136" s="28">
        <v>3655</v>
      </c>
    </row>
    <row r="137" spans="1:15" ht="12.75" customHeight="1">
      <c r="A137" s="4" t="s">
        <v>252</v>
      </c>
      <c r="B137" s="5" t="s">
        <v>253</v>
      </c>
      <c r="C137" s="28">
        <v>1429</v>
      </c>
      <c r="D137" s="28">
        <v>1086</v>
      </c>
      <c r="E137" s="28">
        <v>0</v>
      </c>
      <c r="F137" s="28">
        <f t="shared" si="33"/>
        <v>343</v>
      </c>
      <c r="G137" s="28">
        <v>2636</v>
      </c>
      <c r="H137" s="28">
        <v>1900</v>
      </c>
      <c r="I137" s="28">
        <v>0</v>
      </c>
      <c r="J137" s="28">
        <f t="shared" si="34"/>
        <v>736</v>
      </c>
      <c r="K137" s="28">
        <v>0</v>
      </c>
      <c r="L137" s="28">
        <v>0</v>
      </c>
      <c r="M137" s="28">
        <v>0</v>
      </c>
      <c r="N137" s="28">
        <v>0</v>
      </c>
      <c r="O137" s="28">
        <v>0</v>
      </c>
    </row>
    <row r="138" spans="1:15" ht="12.75" customHeight="1">
      <c r="A138" s="4" t="s">
        <v>254</v>
      </c>
      <c r="B138" s="5" t="s">
        <v>255</v>
      </c>
      <c r="C138" s="28">
        <v>581</v>
      </c>
      <c r="D138" s="28">
        <v>515</v>
      </c>
      <c r="E138" s="28">
        <v>0</v>
      </c>
      <c r="F138" s="28">
        <f t="shared" si="33"/>
        <v>66</v>
      </c>
      <c r="G138" s="28">
        <v>1427</v>
      </c>
      <c r="H138" s="28">
        <v>1221</v>
      </c>
      <c r="I138" s="28">
        <v>0</v>
      </c>
      <c r="J138" s="28">
        <f t="shared" si="34"/>
        <v>206</v>
      </c>
      <c r="K138" s="28">
        <v>31</v>
      </c>
      <c r="L138" s="28">
        <v>0</v>
      </c>
      <c r="M138" s="28">
        <v>64</v>
      </c>
      <c r="N138" s="28">
        <v>247</v>
      </c>
      <c r="O138" s="28">
        <v>0</v>
      </c>
    </row>
    <row r="139" spans="1:15" ht="12.75" customHeight="1">
      <c r="A139" s="4" t="s">
        <v>256</v>
      </c>
      <c r="B139" s="5" t="s">
        <v>257</v>
      </c>
      <c r="C139" s="28">
        <v>2317</v>
      </c>
      <c r="D139" s="28">
        <v>2291</v>
      </c>
      <c r="E139" s="28">
        <v>0</v>
      </c>
      <c r="F139" s="28">
        <f t="shared" si="33"/>
        <v>26</v>
      </c>
      <c r="G139" s="28">
        <v>5513</v>
      </c>
      <c r="H139" s="28">
        <v>5085</v>
      </c>
      <c r="I139" s="28">
        <v>0</v>
      </c>
      <c r="J139" s="28">
        <f t="shared" si="34"/>
        <v>428</v>
      </c>
      <c r="K139" s="28">
        <v>455</v>
      </c>
      <c r="L139" s="28">
        <v>0</v>
      </c>
      <c r="M139" s="28">
        <v>584</v>
      </c>
      <c r="N139" s="28">
        <v>83</v>
      </c>
      <c r="O139" s="28">
        <v>78</v>
      </c>
    </row>
    <row r="140" spans="1:15" ht="12.75" customHeight="1">
      <c r="A140" s="4" t="s">
        <v>258</v>
      </c>
      <c r="B140" s="5" t="s">
        <v>259</v>
      </c>
      <c r="C140" s="28">
        <v>529</v>
      </c>
      <c r="D140" s="28">
        <v>388</v>
      </c>
      <c r="E140" s="28">
        <v>0</v>
      </c>
      <c r="F140" s="28">
        <f t="shared" si="33"/>
        <v>141</v>
      </c>
      <c r="G140" s="28">
        <v>1101</v>
      </c>
      <c r="H140" s="28">
        <v>820</v>
      </c>
      <c r="I140" s="28">
        <v>0</v>
      </c>
      <c r="J140" s="28">
        <f t="shared" si="34"/>
        <v>281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3169</v>
      </c>
      <c r="D141" s="28">
        <v>2842</v>
      </c>
      <c r="E141" s="28">
        <v>0</v>
      </c>
      <c r="F141" s="28">
        <f t="shared" si="33"/>
        <v>327</v>
      </c>
      <c r="G141" s="28">
        <v>6363</v>
      </c>
      <c r="H141" s="28">
        <v>5093</v>
      </c>
      <c r="I141" s="28">
        <v>0</v>
      </c>
      <c r="J141" s="28">
        <f t="shared" si="34"/>
        <v>1270</v>
      </c>
      <c r="K141" s="28">
        <v>232</v>
      </c>
      <c r="L141" s="28">
        <v>0</v>
      </c>
      <c r="M141" s="28">
        <v>124</v>
      </c>
      <c r="N141" s="28">
        <v>160</v>
      </c>
      <c r="O141" s="28">
        <v>160</v>
      </c>
    </row>
    <row r="142" spans="1:15" ht="12.75" customHeight="1">
      <c r="A142" s="4" t="s">
        <v>262</v>
      </c>
      <c r="B142" s="5" t="s">
        <v>263</v>
      </c>
      <c r="C142" s="28">
        <v>2261</v>
      </c>
      <c r="D142" s="28">
        <v>1741</v>
      </c>
      <c r="E142" s="28">
        <v>0</v>
      </c>
      <c r="F142" s="28">
        <f t="shared" si="33"/>
        <v>520</v>
      </c>
      <c r="G142" s="28">
        <v>5796</v>
      </c>
      <c r="H142" s="28">
        <v>4604</v>
      </c>
      <c r="I142" s="28">
        <v>0</v>
      </c>
      <c r="J142" s="28">
        <f t="shared" si="34"/>
        <v>1192</v>
      </c>
      <c r="K142" s="28">
        <v>321</v>
      </c>
      <c r="L142" s="28">
        <v>0</v>
      </c>
      <c r="M142" s="28">
        <v>920</v>
      </c>
      <c r="N142" s="28">
        <v>447</v>
      </c>
      <c r="O142" s="28">
        <v>412</v>
      </c>
    </row>
    <row r="143" spans="1:15" ht="12.75" customHeight="1">
      <c r="A143" s="4" t="s">
        <v>264</v>
      </c>
      <c r="B143" s="5" t="s">
        <v>265</v>
      </c>
      <c r="C143" s="28">
        <v>7483</v>
      </c>
      <c r="D143" s="28">
        <v>6065</v>
      </c>
      <c r="E143" s="28">
        <v>0</v>
      </c>
      <c r="F143" s="28">
        <f t="shared" si="33"/>
        <v>1418</v>
      </c>
      <c r="G143" s="28">
        <v>18984</v>
      </c>
      <c r="H143" s="28">
        <v>9161</v>
      </c>
      <c r="I143" s="28">
        <v>0</v>
      </c>
      <c r="J143" s="28">
        <f t="shared" si="34"/>
        <v>9823</v>
      </c>
      <c r="K143" s="28">
        <v>1028</v>
      </c>
      <c r="L143" s="28">
        <v>0</v>
      </c>
      <c r="M143" s="28">
        <v>896</v>
      </c>
      <c r="N143" s="28">
        <v>964</v>
      </c>
      <c r="O143" s="28">
        <v>920</v>
      </c>
    </row>
    <row r="144" spans="1:15" ht="12.75" customHeight="1">
      <c r="A144" s="10"/>
      <c r="B144" s="9" t="s">
        <v>266</v>
      </c>
      <c r="C144" s="30">
        <f t="shared" ref="C144:O144" si="35">SUM(C136:C143)</f>
        <v>26646</v>
      </c>
      <c r="D144" s="30">
        <f t="shared" si="35"/>
        <v>23044</v>
      </c>
      <c r="E144" s="30">
        <f t="shared" si="35"/>
        <v>0</v>
      </c>
      <c r="F144" s="30">
        <f t="shared" si="35"/>
        <v>3602</v>
      </c>
      <c r="G144" s="30">
        <f t="shared" si="35"/>
        <v>60035</v>
      </c>
      <c r="H144" s="30">
        <f t="shared" si="35"/>
        <v>42800</v>
      </c>
      <c r="I144" s="30">
        <f t="shared" si="35"/>
        <v>0</v>
      </c>
      <c r="J144" s="30">
        <f t="shared" si="35"/>
        <v>17235</v>
      </c>
      <c r="K144" s="30">
        <f t="shared" si="35"/>
        <v>2648</v>
      </c>
      <c r="L144" s="30">
        <f t="shared" si="35"/>
        <v>1159</v>
      </c>
      <c r="M144" s="30">
        <f t="shared" si="35"/>
        <v>3691</v>
      </c>
      <c r="N144" s="30">
        <f t="shared" si="35"/>
        <v>5862</v>
      </c>
      <c r="O144" s="30">
        <f t="shared" si="35"/>
        <v>5225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664374</v>
      </c>
      <c r="D145" s="31">
        <f t="shared" si="36"/>
        <v>473955</v>
      </c>
      <c r="E145" s="31">
        <f t="shared" si="36"/>
        <v>34449</v>
      </c>
      <c r="F145" s="31">
        <f t="shared" si="36"/>
        <v>155970</v>
      </c>
      <c r="G145" s="31">
        <f t="shared" si="36"/>
        <v>1818243</v>
      </c>
      <c r="H145" s="31">
        <f t="shared" si="36"/>
        <v>945716</v>
      </c>
      <c r="I145" s="31">
        <f t="shared" si="36"/>
        <v>115252</v>
      </c>
      <c r="J145" s="31">
        <f t="shared" si="36"/>
        <v>757275</v>
      </c>
      <c r="K145" s="31">
        <f t="shared" si="36"/>
        <v>50339</v>
      </c>
      <c r="L145" s="31">
        <f t="shared" si="36"/>
        <v>4469</v>
      </c>
      <c r="M145" s="31">
        <f t="shared" si="36"/>
        <v>175957</v>
      </c>
      <c r="N145" s="31">
        <f t="shared" si="36"/>
        <v>151788</v>
      </c>
      <c r="O145" s="31">
        <f t="shared" si="36"/>
        <v>49209</v>
      </c>
    </row>
  </sheetData>
  <sheetProtection selectLockedCells="1" selectUnlockedCells="1"/>
  <mergeCells count="29">
    <mergeCell ref="L7:O7"/>
    <mergeCell ref="L8:O8"/>
    <mergeCell ref="N11:O11"/>
    <mergeCell ref="N12:N13"/>
    <mergeCell ref="G11:J11"/>
    <mergeCell ref="J12:J13"/>
    <mergeCell ref="I12:I13"/>
    <mergeCell ref="H12:H13"/>
    <mergeCell ref="K12:K13"/>
    <mergeCell ref="M12:M13"/>
    <mergeCell ref="K11:M11"/>
    <mergeCell ref="A1:D1"/>
    <mergeCell ref="A2:D2"/>
    <mergeCell ref="A6:D6"/>
    <mergeCell ref="I6:M6"/>
    <mergeCell ref="A3:C3"/>
    <mergeCell ref="A4:C4"/>
    <mergeCell ref="E4:L4"/>
    <mergeCell ref="G12:G13"/>
    <mergeCell ref="E1:L1"/>
    <mergeCell ref="E3:L3"/>
    <mergeCell ref="A12:A13"/>
    <mergeCell ref="B12:B13"/>
    <mergeCell ref="C12:C13"/>
    <mergeCell ref="D12:E12"/>
    <mergeCell ref="C11:F11"/>
    <mergeCell ref="F12:F13"/>
    <mergeCell ref="A11:B11"/>
    <mergeCell ref="L12:L13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145"/>
  <sheetViews>
    <sheetView tabSelected="1" workbookViewId="0">
      <selection activeCell="B145" sqref="B145"/>
    </sheetView>
  </sheetViews>
  <sheetFormatPr defaultRowHeight="12.75" customHeight="1"/>
  <cols>
    <col min="1" max="1" width="6" style="12" customWidth="1"/>
    <col min="2" max="2" width="26.44140625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33" t="s">
        <v>0</v>
      </c>
      <c r="B1" s="33"/>
      <c r="C1" s="33"/>
      <c r="D1" s="33"/>
      <c r="E1" s="32" t="s">
        <v>1</v>
      </c>
      <c r="F1" s="32"/>
      <c r="G1" s="32"/>
      <c r="H1" s="32"/>
      <c r="I1" s="32"/>
      <c r="J1" s="32"/>
      <c r="K1" s="32"/>
      <c r="L1" s="32"/>
      <c r="M1" s="14"/>
      <c r="N1" s="13"/>
      <c r="O1" s="13"/>
    </row>
    <row r="2" spans="1:15" ht="12" customHeight="1">
      <c r="A2" s="46" t="s">
        <v>269</v>
      </c>
      <c r="B2" s="46"/>
      <c r="C2" s="46"/>
      <c r="D2" s="46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46"/>
      <c r="B3" s="46"/>
      <c r="C3" s="46"/>
      <c r="D3" s="14"/>
      <c r="E3" s="33" t="s">
        <v>3</v>
      </c>
      <c r="F3" s="33"/>
      <c r="G3" s="33"/>
      <c r="H3" s="33"/>
      <c r="I3" s="33"/>
      <c r="J3" s="33"/>
      <c r="K3" s="33"/>
      <c r="L3" s="33"/>
      <c r="M3" s="13"/>
      <c r="N3" s="13"/>
      <c r="O3" s="13"/>
    </row>
    <row r="4" spans="1:15" ht="12.75" customHeight="1">
      <c r="A4" s="46"/>
      <c r="B4" s="46"/>
      <c r="C4" s="46"/>
      <c r="D4" s="14"/>
      <c r="E4" s="46" t="s">
        <v>4</v>
      </c>
      <c r="F4" s="46"/>
      <c r="G4" s="46"/>
      <c r="H4" s="46"/>
      <c r="I4" s="46"/>
      <c r="J4" s="46"/>
      <c r="K4" s="46"/>
      <c r="L4" s="46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7" t="s">
        <v>5</v>
      </c>
      <c r="B6" s="47"/>
      <c r="C6" s="47"/>
      <c r="D6" s="47"/>
      <c r="E6" s="18"/>
      <c r="F6" s="13"/>
      <c r="G6" s="13"/>
      <c r="H6" s="13"/>
      <c r="I6" s="46"/>
      <c r="J6" s="46"/>
      <c r="K6" s="46"/>
      <c r="L6" s="46"/>
      <c r="M6" s="46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46" t="s">
        <v>6</v>
      </c>
      <c r="M7" s="46"/>
      <c r="N7" s="46"/>
      <c r="O7" s="46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46" t="s">
        <v>270</v>
      </c>
      <c r="M8" s="46"/>
      <c r="N8" s="46"/>
      <c r="O8" s="46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43" t="s">
        <v>8</v>
      </c>
      <c r="B11" s="43"/>
      <c r="C11" s="40" t="s">
        <v>9</v>
      </c>
      <c r="D11" s="41"/>
      <c r="E11" s="41"/>
      <c r="F11" s="42"/>
      <c r="G11" s="40" t="s">
        <v>10</v>
      </c>
      <c r="H11" s="41"/>
      <c r="I11" s="41"/>
      <c r="J11" s="42"/>
      <c r="K11" s="40" t="s">
        <v>11</v>
      </c>
      <c r="L11" s="41"/>
      <c r="M11" s="41"/>
      <c r="N11" s="40" t="s">
        <v>12</v>
      </c>
      <c r="O11" s="42"/>
    </row>
    <row r="12" spans="1:15" ht="12.75" customHeight="1">
      <c r="A12" s="34" t="s">
        <v>13</v>
      </c>
      <c r="B12" s="36" t="s">
        <v>14</v>
      </c>
      <c r="C12" s="38" t="s">
        <v>15</v>
      </c>
      <c r="D12" s="36" t="s">
        <v>16</v>
      </c>
      <c r="E12" s="36"/>
      <c r="F12" s="38" t="s">
        <v>17</v>
      </c>
      <c r="G12" s="48" t="s">
        <v>15</v>
      </c>
      <c r="H12" s="44" t="s">
        <v>18</v>
      </c>
      <c r="I12" s="48" t="s">
        <v>19</v>
      </c>
      <c r="J12" s="48" t="s">
        <v>20</v>
      </c>
      <c r="K12" s="44" t="s">
        <v>21</v>
      </c>
      <c r="L12" s="44" t="s">
        <v>22</v>
      </c>
      <c r="M12" s="44" t="s">
        <v>23</v>
      </c>
      <c r="N12" s="50" t="s">
        <v>15</v>
      </c>
      <c r="O12" s="20" t="s">
        <v>24</v>
      </c>
    </row>
    <row r="13" spans="1:15" ht="12.75" customHeight="1">
      <c r="A13" s="35"/>
      <c r="B13" s="37"/>
      <c r="C13" s="39"/>
      <c r="D13" s="21" t="s">
        <v>25</v>
      </c>
      <c r="E13" s="22" t="s">
        <v>19</v>
      </c>
      <c r="F13" s="39"/>
      <c r="G13" s="49"/>
      <c r="H13" s="45"/>
      <c r="I13" s="49"/>
      <c r="J13" s="49"/>
      <c r="K13" s="45"/>
      <c r="L13" s="45"/>
      <c r="M13" s="45"/>
      <c r="N13" s="51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54612</v>
      </c>
      <c r="D15" s="28">
        <v>29932</v>
      </c>
      <c r="E15" s="28">
        <v>4836</v>
      </c>
      <c r="F15" s="28">
        <f t="shared" ref="F15:F22" si="0">SUM(C15-D15-E15)</f>
        <v>19844</v>
      </c>
      <c r="G15" s="28">
        <v>204647</v>
      </c>
      <c r="H15" s="28">
        <v>73137</v>
      </c>
      <c r="I15" s="28">
        <v>22243</v>
      </c>
      <c r="J15" s="28">
        <f t="shared" ref="J15:J22" si="1">SUM(G15-H15-I15)</f>
        <v>109267</v>
      </c>
      <c r="K15" s="28">
        <v>8812</v>
      </c>
      <c r="L15" s="28">
        <v>0</v>
      </c>
      <c r="M15" s="28">
        <v>21023</v>
      </c>
      <c r="N15" s="28">
        <v>6537</v>
      </c>
      <c r="O15" s="28">
        <v>6537</v>
      </c>
    </row>
    <row r="16" spans="1:15" ht="12.75" customHeight="1">
      <c r="A16" s="4" t="s">
        <v>29</v>
      </c>
      <c r="B16" s="5" t="s">
        <v>30</v>
      </c>
      <c r="C16" s="28">
        <v>27293</v>
      </c>
      <c r="D16" s="28">
        <v>14329</v>
      </c>
      <c r="E16" s="28">
        <v>727</v>
      </c>
      <c r="F16" s="28">
        <f t="shared" si="0"/>
        <v>12237</v>
      </c>
      <c r="G16" s="28">
        <v>185791</v>
      </c>
      <c r="H16" s="28">
        <v>31052</v>
      </c>
      <c r="I16" s="28">
        <v>4454</v>
      </c>
      <c r="J16" s="28">
        <f t="shared" si="1"/>
        <v>150285</v>
      </c>
      <c r="K16" s="28">
        <v>4352</v>
      </c>
      <c r="L16" s="28">
        <v>0</v>
      </c>
      <c r="M16" s="28">
        <v>21604</v>
      </c>
      <c r="N16" s="28">
        <v>45</v>
      </c>
      <c r="O16" s="28">
        <v>45</v>
      </c>
    </row>
    <row r="17" spans="1:15" ht="12.75" customHeight="1">
      <c r="A17" s="4" t="s">
        <v>31</v>
      </c>
      <c r="B17" s="5" t="s">
        <v>32</v>
      </c>
      <c r="C17" s="28">
        <v>14167</v>
      </c>
      <c r="D17" s="28">
        <v>13332</v>
      </c>
      <c r="E17" s="28">
        <v>0</v>
      </c>
      <c r="F17" s="28">
        <f t="shared" si="0"/>
        <v>835</v>
      </c>
      <c r="G17" s="28">
        <v>29005</v>
      </c>
      <c r="H17" s="28">
        <v>23916</v>
      </c>
      <c r="I17" s="28">
        <v>0</v>
      </c>
      <c r="J17" s="28">
        <f t="shared" si="1"/>
        <v>5089</v>
      </c>
      <c r="K17" s="28">
        <v>2253</v>
      </c>
      <c r="L17" s="28">
        <v>0</v>
      </c>
      <c r="M17" s="28">
        <v>885</v>
      </c>
      <c r="N17" s="28">
        <v>699</v>
      </c>
      <c r="O17" s="28">
        <v>699</v>
      </c>
    </row>
    <row r="18" spans="1:15" ht="12.75" customHeight="1">
      <c r="A18" s="4" t="s">
        <v>33</v>
      </c>
      <c r="B18" s="5" t="s">
        <v>34</v>
      </c>
      <c r="C18" s="28">
        <v>37027</v>
      </c>
      <c r="D18" s="28">
        <v>33876</v>
      </c>
      <c r="E18" s="28">
        <v>829</v>
      </c>
      <c r="F18" s="28">
        <f t="shared" si="0"/>
        <v>2322</v>
      </c>
      <c r="G18" s="28">
        <v>106070</v>
      </c>
      <c r="H18" s="28">
        <v>75850</v>
      </c>
      <c r="I18" s="28">
        <v>3397</v>
      </c>
      <c r="J18" s="28">
        <f t="shared" si="1"/>
        <v>26823</v>
      </c>
      <c r="K18" s="28">
        <v>5499</v>
      </c>
      <c r="L18" s="28">
        <v>0</v>
      </c>
      <c r="M18" s="28">
        <v>11237</v>
      </c>
      <c r="N18" s="28">
        <v>1085</v>
      </c>
      <c r="O18" s="28">
        <v>1085</v>
      </c>
    </row>
    <row r="19" spans="1:15" ht="12.75" customHeight="1">
      <c r="A19" s="4" t="s">
        <v>35</v>
      </c>
      <c r="B19" s="5" t="s">
        <v>36</v>
      </c>
      <c r="C19" s="28">
        <v>30961</v>
      </c>
      <c r="D19" s="28">
        <v>29348</v>
      </c>
      <c r="E19" s="28">
        <v>1486</v>
      </c>
      <c r="F19" s="28">
        <f t="shared" si="0"/>
        <v>127</v>
      </c>
      <c r="G19" s="28">
        <v>73679</v>
      </c>
      <c r="H19" s="28">
        <v>60346</v>
      </c>
      <c r="I19" s="28">
        <v>7144</v>
      </c>
      <c r="J19" s="28">
        <f t="shared" si="1"/>
        <v>6189</v>
      </c>
      <c r="K19" s="28">
        <v>750</v>
      </c>
      <c r="L19" s="28">
        <v>0</v>
      </c>
      <c r="M19" s="28">
        <v>95</v>
      </c>
      <c r="N19" s="28">
        <v>524</v>
      </c>
      <c r="O19" s="28">
        <v>524</v>
      </c>
    </row>
    <row r="20" spans="1:15" ht="12.75" customHeight="1">
      <c r="A20" s="4" t="s">
        <v>37</v>
      </c>
      <c r="B20" s="5" t="s">
        <v>38</v>
      </c>
      <c r="C20" s="28">
        <v>168790</v>
      </c>
      <c r="D20" s="28">
        <v>155593</v>
      </c>
      <c r="E20" s="28">
        <v>5283</v>
      </c>
      <c r="F20" s="28">
        <f t="shared" si="0"/>
        <v>7914</v>
      </c>
      <c r="G20" s="28">
        <v>376832</v>
      </c>
      <c r="H20" s="28">
        <v>293073</v>
      </c>
      <c r="I20" s="28">
        <v>26347</v>
      </c>
      <c r="J20" s="28">
        <f t="shared" si="1"/>
        <v>57412</v>
      </c>
      <c r="K20" s="28">
        <v>13810</v>
      </c>
      <c r="L20" s="28">
        <v>0</v>
      </c>
      <c r="M20" s="28">
        <v>9327</v>
      </c>
      <c r="N20" s="28">
        <v>14672</v>
      </c>
      <c r="O20" s="28">
        <v>13058</v>
      </c>
    </row>
    <row r="21" spans="1:15" ht="12.75" customHeight="1">
      <c r="A21" s="4" t="s">
        <v>39</v>
      </c>
      <c r="B21" s="5" t="s">
        <v>40</v>
      </c>
      <c r="C21" s="28">
        <v>14778</v>
      </c>
      <c r="D21" s="28">
        <v>14388</v>
      </c>
      <c r="E21" s="28">
        <v>0</v>
      </c>
      <c r="F21" s="28">
        <f t="shared" si="0"/>
        <v>390</v>
      </c>
      <c r="G21" s="28">
        <v>24003</v>
      </c>
      <c r="H21" s="28">
        <v>22824</v>
      </c>
      <c r="I21" s="28">
        <v>0</v>
      </c>
      <c r="J21" s="28">
        <f t="shared" si="1"/>
        <v>1179</v>
      </c>
      <c r="K21" s="28">
        <v>57</v>
      </c>
      <c r="L21" s="28">
        <v>0</v>
      </c>
      <c r="M21" s="28">
        <v>30</v>
      </c>
      <c r="N21" s="28">
        <v>32</v>
      </c>
      <c r="O21" s="28">
        <v>32</v>
      </c>
    </row>
    <row r="22" spans="1:15" ht="12.75" customHeight="1">
      <c r="A22" s="4" t="s">
        <v>41</v>
      </c>
      <c r="B22" s="5" t="s">
        <v>42</v>
      </c>
      <c r="C22" s="28">
        <v>13556</v>
      </c>
      <c r="D22" s="28">
        <v>11115</v>
      </c>
      <c r="E22" s="28">
        <v>1824</v>
      </c>
      <c r="F22" s="28">
        <f t="shared" si="0"/>
        <v>617</v>
      </c>
      <c r="G22" s="28">
        <v>34067</v>
      </c>
      <c r="H22" s="28">
        <v>21554</v>
      </c>
      <c r="I22" s="28">
        <v>7060</v>
      </c>
      <c r="J22" s="28">
        <f t="shared" si="1"/>
        <v>5453</v>
      </c>
      <c r="K22" s="28">
        <v>2214</v>
      </c>
      <c r="L22" s="28">
        <v>0</v>
      </c>
      <c r="M22" s="28">
        <v>5534</v>
      </c>
      <c r="N22" s="28">
        <v>944</v>
      </c>
      <c r="O22" s="28">
        <v>944</v>
      </c>
    </row>
    <row r="23" spans="1:15" ht="12.75" customHeight="1">
      <c r="A23" s="8"/>
      <c r="B23" s="9" t="s">
        <v>43</v>
      </c>
      <c r="C23" s="29">
        <f t="shared" ref="C23:O23" si="2">SUM(C15:C22)</f>
        <v>361184</v>
      </c>
      <c r="D23" s="29">
        <f t="shared" si="2"/>
        <v>301913</v>
      </c>
      <c r="E23" s="29">
        <f t="shared" si="2"/>
        <v>14985</v>
      </c>
      <c r="F23" s="29">
        <f t="shared" si="2"/>
        <v>44286</v>
      </c>
      <c r="G23" s="29">
        <f t="shared" si="2"/>
        <v>1034094</v>
      </c>
      <c r="H23" s="29">
        <f t="shared" si="2"/>
        <v>601752</v>
      </c>
      <c r="I23" s="29">
        <f t="shared" si="2"/>
        <v>70645</v>
      </c>
      <c r="J23" s="29">
        <f t="shared" si="2"/>
        <v>361697</v>
      </c>
      <c r="K23" s="29">
        <f t="shared" si="2"/>
        <v>37747</v>
      </c>
      <c r="L23" s="29">
        <f t="shared" si="2"/>
        <v>0</v>
      </c>
      <c r="M23" s="29">
        <f t="shared" si="2"/>
        <v>69735</v>
      </c>
      <c r="N23" s="29">
        <f t="shared" si="2"/>
        <v>24538</v>
      </c>
      <c r="O23" s="29">
        <f t="shared" si="2"/>
        <v>22924</v>
      </c>
    </row>
    <row r="24" spans="1:15" ht="14.25" customHeight="1">
      <c r="A24" s="4" t="s">
        <v>44</v>
      </c>
      <c r="B24" s="5" t="s">
        <v>45</v>
      </c>
      <c r="C24" s="28">
        <v>49321</v>
      </c>
      <c r="D24" s="28">
        <v>14744</v>
      </c>
      <c r="E24" s="28">
        <v>1131</v>
      </c>
      <c r="F24" s="28">
        <f>SUM(C24-D24-E24)</f>
        <v>33446</v>
      </c>
      <c r="G24" s="28">
        <v>146627</v>
      </c>
      <c r="H24" s="28">
        <v>20798</v>
      </c>
      <c r="I24" s="28">
        <v>4051</v>
      </c>
      <c r="J24" s="28">
        <f>SUM(G24-H24-I24)</f>
        <v>121778</v>
      </c>
      <c r="K24" s="28">
        <v>40996</v>
      </c>
      <c r="L24" s="28">
        <v>0</v>
      </c>
      <c r="M24" s="28">
        <v>12095</v>
      </c>
      <c r="N24" s="28">
        <v>5144</v>
      </c>
      <c r="O24" s="28">
        <v>5144</v>
      </c>
    </row>
    <row r="25" spans="1:15" ht="14.25" customHeight="1">
      <c r="A25" s="10"/>
      <c r="B25" s="9" t="s">
        <v>46</v>
      </c>
      <c r="C25" s="29">
        <f t="shared" ref="C25:O25" si="3">SUM(C24)</f>
        <v>49321</v>
      </c>
      <c r="D25" s="29">
        <f t="shared" si="3"/>
        <v>14744</v>
      </c>
      <c r="E25" s="29">
        <f t="shared" si="3"/>
        <v>1131</v>
      </c>
      <c r="F25" s="29">
        <f t="shared" si="3"/>
        <v>33446</v>
      </c>
      <c r="G25" s="29">
        <f t="shared" si="3"/>
        <v>146627</v>
      </c>
      <c r="H25" s="29">
        <f t="shared" si="3"/>
        <v>20798</v>
      </c>
      <c r="I25" s="29">
        <f t="shared" si="3"/>
        <v>4051</v>
      </c>
      <c r="J25" s="29">
        <f t="shared" si="3"/>
        <v>121778</v>
      </c>
      <c r="K25" s="29">
        <f t="shared" si="3"/>
        <v>40996</v>
      </c>
      <c r="L25" s="29">
        <f t="shared" si="3"/>
        <v>0</v>
      </c>
      <c r="M25" s="29">
        <f t="shared" si="3"/>
        <v>12095</v>
      </c>
      <c r="N25" s="29">
        <f t="shared" si="3"/>
        <v>5144</v>
      </c>
      <c r="O25" s="29">
        <f t="shared" si="3"/>
        <v>5144</v>
      </c>
    </row>
    <row r="26" spans="1:15" ht="12.75" customHeight="1">
      <c r="A26" s="4" t="s">
        <v>47</v>
      </c>
      <c r="B26" s="5" t="s">
        <v>48</v>
      </c>
      <c r="C26" s="28">
        <v>119584</v>
      </c>
      <c r="D26" s="28">
        <v>56788</v>
      </c>
      <c r="E26" s="28">
        <v>4299</v>
      </c>
      <c r="F26" s="28">
        <f>SUM(C26-D26-E26)</f>
        <v>58497</v>
      </c>
      <c r="G26" s="28">
        <v>264253</v>
      </c>
      <c r="H26" s="28">
        <v>85792</v>
      </c>
      <c r="I26" s="28">
        <v>13568</v>
      </c>
      <c r="J26" s="28">
        <f>SUM(G26-H26-I26)</f>
        <v>164893</v>
      </c>
      <c r="K26" s="28">
        <v>14124</v>
      </c>
      <c r="L26" s="28">
        <v>262</v>
      </c>
      <c r="M26" s="28">
        <v>10588</v>
      </c>
      <c r="N26" s="28">
        <v>4597</v>
      </c>
      <c r="O26" s="28">
        <v>4597</v>
      </c>
    </row>
    <row r="27" spans="1:15" ht="12.75" customHeight="1">
      <c r="A27" s="4" t="s">
        <v>49</v>
      </c>
      <c r="B27" s="5" t="s">
        <v>50</v>
      </c>
      <c r="C27" s="28">
        <v>20635</v>
      </c>
      <c r="D27" s="28">
        <v>18843</v>
      </c>
      <c r="E27" s="28">
        <v>1495</v>
      </c>
      <c r="F27" s="28">
        <f>SUM(C27-D27-E27)</f>
        <v>297</v>
      </c>
      <c r="G27" s="28">
        <v>42852</v>
      </c>
      <c r="H27" s="28">
        <v>23995</v>
      </c>
      <c r="I27" s="28">
        <v>5007</v>
      </c>
      <c r="J27" s="28">
        <f>SUM(G27-H27-I27)</f>
        <v>13850</v>
      </c>
      <c r="K27" s="28">
        <v>5053</v>
      </c>
      <c r="L27" s="28">
        <v>0</v>
      </c>
      <c r="M27" s="28">
        <v>1207</v>
      </c>
      <c r="N27" s="28">
        <v>902</v>
      </c>
      <c r="O27" s="28">
        <v>902</v>
      </c>
    </row>
    <row r="28" spans="1:15" ht="12.75" customHeight="1">
      <c r="A28" s="4" t="s">
        <v>51</v>
      </c>
      <c r="B28" s="5" t="s">
        <v>52</v>
      </c>
      <c r="C28" s="28">
        <v>21899</v>
      </c>
      <c r="D28" s="28">
        <v>16055</v>
      </c>
      <c r="E28" s="28">
        <v>2100</v>
      </c>
      <c r="F28" s="28">
        <f>SUM(C28-D28-E28)</f>
        <v>3744</v>
      </c>
      <c r="G28" s="28">
        <v>52837</v>
      </c>
      <c r="H28" s="28">
        <v>29373</v>
      </c>
      <c r="I28" s="28">
        <v>10332</v>
      </c>
      <c r="J28" s="28">
        <f>SUM(G28-H28-I28)</f>
        <v>13132</v>
      </c>
      <c r="K28" s="28">
        <v>1888</v>
      </c>
      <c r="L28" s="28">
        <v>2081</v>
      </c>
      <c r="M28" s="28">
        <v>238</v>
      </c>
      <c r="N28" s="28">
        <v>2890</v>
      </c>
      <c r="O28" s="28">
        <v>2890</v>
      </c>
    </row>
    <row r="29" spans="1:15" ht="12.75" customHeight="1">
      <c r="A29" s="4" t="s">
        <v>53</v>
      </c>
      <c r="B29" s="5" t="s">
        <v>54</v>
      </c>
      <c r="C29" s="28">
        <v>28491</v>
      </c>
      <c r="D29" s="28">
        <v>24301</v>
      </c>
      <c r="E29" s="28">
        <v>3428</v>
      </c>
      <c r="F29" s="28">
        <f>SUM(C29-D29-E29)</f>
        <v>762</v>
      </c>
      <c r="G29" s="28">
        <v>55795</v>
      </c>
      <c r="H29" s="28">
        <v>42879</v>
      </c>
      <c r="I29" s="28">
        <v>11698</v>
      </c>
      <c r="J29" s="28">
        <f>SUM(G29-H29-I29)</f>
        <v>1218</v>
      </c>
      <c r="K29" s="28">
        <v>301</v>
      </c>
      <c r="L29" s="28">
        <v>190</v>
      </c>
      <c r="M29" s="28">
        <v>15</v>
      </c>
      <c r="N29" s="28">
        <v>168</v>
      </c>
      <c r="O29" s="28">
        <v>168</v>
      </c>
    </row>
    <row r="30" spans="1:15" ht="12.75" customHeight="1">
      <c r="A30" s="8"/>
      <c r="B30" s="9" t="s">
        <v>55</v>
      </c>
      <c r="C30" s="29">
        <f t="shared" ref="C30:O30" si="4">SUM(C26:C29)</f>
        <v>190609</v>
      </c>
      <c r="D30" s="29">
        <f t="shared" si="4"/>
        <v>115987</v>
      </c>
      <c r="E30" s="29">
        <f t="shared" si="4"/>
        <v>11322</v>
      </c>
      <c r="F30" s="29">
        <f t="shared" si="4"/>
        <v>63300</v>
      </c>
      <c r="G30" s="29">
        <f t="shared" si="4"/>
        <v>415737</v>
      </c>
      <c r="H30" s="29">
        <f t="shared" si="4"/>
        <v>182039</v>
      </c>
      <c r="I30" s="29">
        <f t="shared" si="4"/>
        <v>40605</v>
      </c>
      <c r="J30" s="29">
        <f t="shared" si="4"/>
        <v>193093</v>
      </c>
      <c r="K30" s="29">
        <f t="shared" si="4"/>
        <v>21366</v>
      </c>
      <c r="L30" s="29">
        <f t="shared" si="4"/>
        <v>2533</v>
      </c>
      <c r="M30" s="29">
        <f t="shared" si="4"/>
        <v>12048</v>
      </c>
      <c r="N30" s="29">
        <f t="shared" si="4"/>
        <v>8557</v>
      </c>
      <c r="O30" s="29">
        <f t="shared" si="4"/>
        <v>8557</v>
      </c>
    </row>
    <row r="31" spans="1:15" ht="12.75" customHeight="1">
      <c r="A31" s="4" t="s">
        <v>56</v>
      </c>
      <c r="B31" s="5" t="s">
        <v>57</v>
      </c>
      <c r="C31" s="28">
        <v>82878</v>
      </c>
      <c r="D31" s="28">
        <v>76829</v>
      </c>
      <c r="E31" s="28">
        <v>1725</v>
      </c>
      <c r="F31" s="28">
        <f t="shared" ref="F31:F42" si="5">SUM(C31-D31-E31)</f>
        <v>4324</v>
      </c>
      <c r="G31" s="28">
        <v>204823</v>
      </c>
      <c r="H31" s="28">
        <v>144910</v>
      </c>
      <c r="I31" s="28">
        <v>6873</v>
      </c>
      <c r="J31" s="28">
        <f t="shared" ref="J31:J42" si="6">SUM(G31-H31-I31)</f>
        <v>53040</v>
      </c>
      <c r="K31" s="28">
        <v>2841</v>
      </c>
      <c r="L31" s="28">
        <v>0</v>
      </c>
      <c r="M31" s="28">
        <v>3044</v>
      </c>
      <c r="N31" s="28">
        <v>1336</v>
      </c>
      <c r="O31" s="28">
        <v>1336</v>
      </c>
    </row>
    <row r="32" spans="1:15" ht="12.75" customHeight="1">
      <c r="A32" s="4" t="s">
        <v>58</v>
      </c>
      <c r="B32" s="5" t="s">
        <v>59</v>
      </c>
      <c r="C32" s="28">
        <v>104683</v>
      </c>
      <c r="D32" s="28">
        <v>92302</v>
      </c>
      <c r="E32" s="28">
        <v>4651</v>
      </c>
      <c r="F32" s="28">
        <f t="shared" si="5"/>
        <v>7730</v>
      </c>
      <c r="G32" s="28">
        <v>367740</v>
      </c>
      <c r="H32" s="28">
        <v>203416</v>
      </c>
      <c r="I32" s="28">
        <v>23274</v>
      </c>
      <c r="J32" s="28">
        <f t="shared" si="6"/>
        <v>141050</v>
      </c>
      <c r="K32" s="28">
        <v>9424</v>
      </c>
      <c r="L32" s="28">
        <v>0</v>
      </c>
      <c r="M32" s="28">
        <v>46863</v>
      </c>
      <c r="N32" s="28">
        <v>6089</v>
      </c>
      <c r="O32" s="28">
        <v>6089</v>
      </c>
    </row>
    <row r="33" spans="1:256" ht="12.75" customHeight="1">
      <c r="A33" s="4" t="s">
        <v>60</v>
      </c>
      <c r="B33" s="5" t="s">
        <v>61</v>
      </c>
      <c r="C33" s="28">
        <v>53255</v>
      </c>
      <c r="D33" s="28">
        <v>44428</v>
      </c>
      <c r="E33" s="28">
        <v>1812</v>
      </c>
      <c r="F33" s="28">
        <f t="shared" si="5"/>
        <v>7015</v>
      </c>
      <c r="G33" s="28">
        <v>186247</v>
      </c>
      <c r="H33" s="28">
        <v>55950</v>
      </c>
      <c r="I33" s="28">
        <v>4877</v>
      </c>
      <c r="J33" s="28">
        <f t="shared" si="6"/>
        <v>125420</v>
      </c>
      <c r="K33" s="28">
        <v>14656</v>
      </c>
      <c r="L33" s="28">
        <v>58</v>
      </c>
      <c r="M33" s="28">
        <v>21710</v>
      </c>
      <c r="N33" s="28">
        <v>3809</v>
      </c>
      <c r="O33" s="28">
        <v>3809</v>
      </c>
    </row>
    <row r="34" spans="1:256" ht="12.75" customHeight="1">
      <c r="A34" s="4" t="s">
        <v>62</v>
      </c>
      <c r="B34" s="5" t="s">
        <v>63</v>
      </c>
      <c r="C34" s="28">
        <v>56189</v>
      </c>
      <c r="D34" s="28">
        <v>21677</v>
      </c>
      <c r="E34" s="28">
        <v>390</v>
      </c>
      <c r="F34" s="28">
        <f t="shared" si="5"/>
        <v>34122</v>
      </c>
      <c r="G34" s="28">
        <v>134158</v>
      </c>
      <c r="H34" s="28">
        <v>48674</v>
      </c>
      <c r="I34" s="28">
        <v>1762</v>
      </c>
      <c r="J34" s="28">
        <f t="shared" si="6"/>
        <v>83722</v>
      </c>
      <c r="K34" s="28">
        <v>3055</v>
      </c>
      <c r="L34" s="28">
        <v>0</v>
      </c>
      <c r="M34" s="28">
        <v>29830</v>
      </c>
      <c r="N34" s="28">
        <v>57</v>
      </c>
      <c r="O34" s="28">
        <v>57</v>
      </c>
    </row>
    <row r="35" spans="1:256" ht="12.75" customHeight="1">
      <c r="A35" s="4" t="s">
        <v>64</v>
      </c>
      <c r="B35" s="5" t="s">
        <v>65</v>
      </c>
      <c r="C35" s="28">
        <v>26462</v>
      </c>
      <c r="D35" s="28">
        <v>26275</v>
      </c>
      <c r="E35" s="28">
        <v>0</v>
      </c>
      <c r="F35" s="28">
        <f t="shared" si="5"/>
        <v>187</v>
      </c>
      <c r="G35" s="28">
        <v>44609</v>
      </c>
      <c r="H35" s="28">
        <v>41791</v>
      </c>
      <c r="I35" s="28">
        <v>0</v>
      </c>
      <c r="J35" s="28">
        <f t="shared" si="6"/>
        <v>2818</v>
      </c>
      <c r="K35" s="28">
        <v>271</v>
      </c>
      <c r="L35" s="28">
        <v>0</v>
      </c>
      <c r="M35" s="28">
        <v>121</v>
      </c>
      <c r="N35" s="28">
        <v>1996</v>
      </c>
      <c r="O35" s="28">
        <v>1996</v>
      </c>
    </row>
    <row r="36" spans="1:256" ht="12.75" customHeight="1">
      <c r="A36" s="4" t="s">
        <v>66</v>
      </c>
      <c r="B36" s="5" t="s">
        <v>67</v>
      </c>
      <c r="C36" s="28">
        <v>16223</v>
      </c>
      <c r="D36" s="28">
        <v>13828</v>
      </c>
      <c r="E36" s="28">
        <v>1645</v>
      </c>
      <c r="F36" s="28">
        <f t="shared" si="5"/>
        <v>750</v>
      </c>
      <c r="G36" s="28">
        <v>45846</v>
      </c>
      <c r="H36" s="28">
        <v>33690</v>
      </c>
      <c r="I36" s="28">
        <v>8905</v>
      </c>
      <c r="J36" s="28">
        <f t="shared" si="6"/>
        <v>3251</v>
      </c>
      <c r="K36" s="28">
        <v>120</v>
      </c>
      <c r="L36" s="28">
        <v>0</v>
      </c>
      <c r="M36" s="28">
        <v>907</v>
      </c>
      <c r="N36" s="28">
        <v>0</v>
      </c>
      <c r="O36" s="28">
        <v>0</v>
      </c>
    </row>
    <row r="37" spans="1:256" ht="12.75" customHeight="1">
      <c r="A37" s="4" t="s">
        <v>68</v>
      </c>
      <c r="B37" s="5" t="s">
        <v>69</v>
      </c>
      <c r="C37" s="28">
        <v>29547</v>
      </c>
      <c r="D37" s="28">
        <v>24751</v>
      </c>
      <c r="E37" s="28">
        <v>704</v>
      </c>
      <c r="F37" s="28">
        <f t="shared" si="5"/>
        <v>4092</v>
      </c>
      <c r="G37" s="28">
        <v>135393</v>
      </c>
      <c r="H37" s="28">
        <v>58387</v>
      </c>
      <c r="I37" s="28">
        <v>2338</v>
      </c>
      <c r="J37" s="28">
        <f t="shared" si="6"/>
        <v>74668</v>
      </c>
      <c r="K37" s="28">
        <v>5708</v>
      </c>
      <c r="L37" s="28">
        <v>6</v>
      </c>
      <c r="M37" s="28">
        <v>26768</v>
      </c>
      <c r="N37" s="28">
        <v>3731</v>
      </c>
      <c r="O37" s="28">
        <v>3661</v>
      </c>
    </row>
    <row r="38" spans="1:256" ht="12.75" customHeight="1">
      <c r="A38" s="4" t="s">
        <v>70</v>
      </c>
      <c r="B38" s="5" t="s">
        <v>71</v>
      </c>
      <c r="C38" s="28">
        <v>410421</v>
      </c>
      <c r="D38" s="28">
        <v>306938</v>
      </c>
      <c r="E38" s="28">
        <v>12882</v>
      </c>
      <c r="F38" s="28">
        <f t="shared" si="5"/>
        <v>90601</v>
      </c>
      <c r="G38" s="28">
        <v>1135766</v>
      </c>
      <c r="H38" s="28">
        <v>493941</v>
      </c>
      <c r="I38" s="28">
        <v>50591</v>
      </c>
      <c r="J38" s="28">
        <f t="shared" si="6"/>
        <v>591234</v>
      </c>
      <c r="K38" s="28">
        <v>83497</v>
      </c>
      <c r="L38" s="28">
        <v>346</v>
      </c>
      <c r="M38" s="28">
        <v>87791</v>
      </c>
      <c r="N38" s="28">
        <v>259729</v>
      </c>
      <c r="O38" s="28">
        <v>54359</v>
      </c>
    </row>
    <row r="39" spans="1:256" ht="12.75" customHeight="1">
      <c r="A39" s="4" t="s">
        <v>72</v>
      </c>
      <c r="B39" s="5" t="s">
        <v>73</v>
      </c>
      <c r="C39" s="28">
        <v>38473</v>
      </c>
      <c r="D39" s="28">
        <v>35049</v>
      </c>
      <c r="E39" s="28">
        <v>2033</v>
      </c>
      <c r="F39" s="28">
        <f t="shared" si="5"/>
        <v>1391</v>
      </c>
      <c r="G39" s="28">
        <v>72696</v>
      </c>
      <c r="H39" s="28">
        <v>56282</v>
      </c>
      <c r="I39" s="28">
        <v>10775</v>
      </c>
      <c r="J39" s="28">
        <f t="shared" si="6"/>
        <v>5639</v>
      </c>
      <c r="K39" s="28">
        <v>471</v>
      </c>
      <c r="L39" s="28">
        <v>0</v>
      </c>
      <c r="M39" s="28">
        <v>108</v>
      </c>
      <c r="N39" s="28">
        <v>37</v>
      </c>
      <c r="O39" s="28">
        <v>37</v>
      </c>
    </row>
    <row r="40" spans="1:256" ht="12.75" customHeight="1">
      <c r="A40" s="4" t="s">
        <v>74</v>
      </c>
      <c r="B40" s="5" t="s">
        <v>75</v>
      </c>
      <c r="C40" s="28">
        <v>42408</v>
      </c>
      <c r="D40" s="28">
        <v>38015</v>
      </c>
      <c r="E40" s="28">
        <v>2021</v>
      </c>
      <c r="F40" s="28">
        <f t="shared" si="5"/>
        <v>2372</v>
      </c>
      <c r="G40" s="28">
        <v>113212</v>
      </c>
      <c r="H40" s="28">
        <v>73276</v>
      </c>
      <c r="I40" s="28">
        <v>8523</v>
      </c>
      <c r="J40" s="28">
        <f t="shared" si="6"/>
        <v>31413</v>
      </c>
      <c r="K40" s="28">
        <v>1846</v>
      </c>
      <c r="L40" s="28">
        <v>0</v>
      </c>
      <c r="M40" s="28">
        <v>18653</v>
      </c>
      <c r="N40" s="28">
        <v>459</v>
      </c>
      <c r="O40" s="28">
        <v>459</v>
      </c>
    </row>
    <row r="41" spans="1:256" ht="12.75" customHeight="1">
      <c r="A41" s="4" t="s">
        <v>76</v>
      </c>
      <c r="B41" s="5" t="s">
        <v>77</v>
      </c>
      <c r="C41" s="28">
        <v>17120</v>
      </c>
      <c r="D41" s="28">
        <v>14577</v>
      </c>
      <c r="E41" s="28">
        <v>0</v>
      </c>
      <c r="F41" s="28">
        <f t="shared" si="5"/>
        <v>2543</v>
      </c>
      <c r="G41" s="28">
        <v>47588</v>
      </c>
      <c r="H41" s="28">
        <v>31165</v>
      </c>
      <c r="I41" s="28">
        <v>0</v>
      </c>
      <c r="J41" s="28">
        <f t="shared" si="6"/>
        <v>16423</v>
      </c>
      <c r="K41" s="28">
        <v>3115</v>
      </c>
      <c r="L41" s="28">
        <v>0</v>
      </c>
      <c r="M41" s="28">
        <v>726</v>
      </c>
      <c r="N41" s="28">
        <v>781</v>
      </c>
      <c r="O41" s="28">
        <v>781</v>
      </c>
    </row>
    <row r="42" spans="1:256" ht="12.75" customHeight="1">
      <c r="A42" s="4" t="s">
        <v>78</v>
      </c>
      <c r="B42" s="5" t="s">
        <v>79</v>
      </c>
      <c r="C42" s="28">
        <v>86748</v>
      </c>
      <c r="D42" s="28">
        <v>75012</v>
      </c>
      <c r="E42" s="28">
        <v>2381</v>
      </c>
      <c r="F42" s="28">
        <f t="shared" si="5"/>
        <v>9355</v>
      </c>
      <c r="G42" s="28">
        <v>140030</v>
      </c>
      <c r="H42" s="28">
        <v>109789</v>
      </c>
      <c r="I42" s="28">
        <v>5600</v>
      </c>
      <c r="J42" s="28">
        <f t="shared" si="6"/>
        <v>24641</v>
      </c>
      <c r="K42" s="28">
        <v>2574</v>
      </c>
      <c r="L42" s="28">
        <v>0</v>
      </c>
      <c r="M42" s="28">
        <v>87</v>
      </c>
      <c r="N42" s="28">
        <v>535</v>
      </c>
      <c r="O42" s="28">
        <v>535</v>
      </c>
    </row>
    <row r="43" spans="1:256" ht="12.75" customHeight="1">
      <c r="A43" s="8"/>
      <c r="B43" s="9" t="s">
        <v>80</v>
      </c>
      <c r="C43" s="29">
        <f t="shared" ref="C43:O43" si="7">SUM(C31:C42)</f>
        <v>964407</v>
      </c>
      <c r="D43" s="29">
        <f t="shared" si="7"/>
        <v>769681</v>
      </c>
      <c r="E43" s="29">
        <f t="shared" si="7"/>
        <v>30244</v>
      </c>
      <c r="F43" s="29">
        <f t="shared" si="7"/>
        <v>164482</v>
      </c>
      <c r="G43" s="29">
        <f t="shared" si="7"/>
        <v>2628108</v>
      </c>
      <c r="H43" s="29">
        <f t="shared" si="7"/>
        <v>1351271</v>
      </c>
      <c r="I43" s="29">
        <f t="shared" si="7"/>
        <v>123518</v>
      </c>
      <c r="J43" s="29">
        <f t="shared" si="7"/>
        <v>1153319</v>
      </c>
      <c r="K43" s="29">
        <f t="shared" si="7"/>
        <v>127578</v>
      </c>
      <c r="L43" s="29">
        <f t="shared" si="7"/>
        <v>410</v>
      </c>
      <c r="M43" s="29">
        <f t="shared" si="7"/>
        <v>236608</v>
      </c>
      <c r="N43" s="29">
        <f t="shared" si="7"/>
        <v>278559</v>
      </c>
      <c r="O43" s="29">
        <f t="shared" si="7"/>
        <v>73119</v>
      </c>
    </row>
    <row r="44" spans="1:256" ht="12.75" customHeight="1">
      <c r="A44" s="4" t="s">
        <v>81</v>
      </c>
      <c r="B44" s="5" t="s">
        <v>82</v>
      </c>
      <c r="C44" s="28">
        <v>50686</v>
      </c>
      <c r="D44" s="28">
        <v>38578</v>
      </c>
      <c r="E44" s="28">
        <v>1293</v>
      </c>
      <c r="F44" s="28">
        <f>SUM(C44-D44-E44)</f>
        <v>10815</v>
      </c>
      <c r="G44" s="28">
        <v>180311</v>
      </c>
      <c r="H44" s="28">
        <v>88917</v>
      </c>
      <c r="I44" s="28">
        <v>4226</v>
      </c>
      <c r="J44" s="28">
        <f>SUM(G44-H44-I44)</f>
        <v>87168</v>
      </c>
      <c r="K44" s="28">
        <v>24259</v>
      </c>
      <c r="L44" s="28">
        <v>0</v>
      </c>
      <c r="M44" s="28">
        <v>17155</v>
      </c>
      <c r="N44" s="28">
        <v>1703</v>
      </c>
      <c r="O44" s="28">
        <v>1703</v>
      </c>
    </row>
    <row r="45" spans="1:256" ht="12.75" customHeight="1">
      <c r="A45" s="4" t="s">
        <v>83</v>
      </c>
      <c r="B45" s="5" t="s">
        <v>84</v>
      </c>
      <c r="C45" s="28">
        <v>54973</v>
      </c>
      <c r="D45" s="28">
        <v>44222</v>
      </c>
      <c r="E45" s="28">
        <v>1947</v>
      </c>
      <c r="F45" s="28">
        <f>SUM(C45-D45-E45)</f>
        <v>8804</v>
      </c>
      <c r="G45" s="28">
        <v>195586</v>
      </c>
      <c r="H45" s="28">
        <v>95013</v>
      </c>
      <c r="I45" s="28">
        <v>7568</v>
      </c>
      <c r="J45" s="28">
        <f>SUM(G45-H45-I45)</f>
        <v>93005</v>
      </c>
      <c r="K45" s="28">
        <v>31497</v>
      </c>
      <c r="L45" s="28">
        <v>0</v>
      </c>
      <c r="M45" s="28">
        <v>13151</v>
      </c>
      <c r="N45" s="28">
        <v>174</v>
      </c>
      <c r="O45" s="28">
        <v>174</v>
      </c>
    </row>
    <row r="46" spans="1:256" ht="12.75" customHeight="1">
      <c r="A46" s="8"/>
      <c r="B46" s="9" t="s">
        <v>85</v>
      </c>
      <c r="C46" s="29">
        <f t="shared" ref="C46:O46" si="8">SUM(C44:C45)</f>
        <v>105659</v>
      </c>
      <c r="D46" s="29">
        <f t="shared" si="8"/>
        <v>82800</v>
      </c>
      <c r="E46" s="29">
        <f t="shared" si="8"/>
        <v>3240</v>
      </c>
      <c r="F46" s="29">
        <f t="shared" si="8"/>
        <v>19619</v>
      </c>
      <c r="G46" s="29">
        <f t="shared" si="8"/>
        <v>375897</v>
      </c>
      <c r="H46" s="29">
        <f t="shared" si="8"/>
        <v>183930</v>
      </c>
      <c r="I46" s="29">
        <f t="shared" si="8"/>
        <v>11794</v>
      </c>
      <c r="J46" s="29">
        <f t="shared" si="8"/>
        <v>180173</v>
      </c>
      <c r="K46" s="29">
        <f t="shared" si="8"/>
        <v>55756</v>
      </c>
      <c r="L46" s="29">
        <f t="shared" si="8"/>
        <v>0</v>
      </c>
      <c r="M46" s="29">
        <f t="shared" si="8"/>
        <v>30306</v>
      </c>
      <c r="N46" s="29">
        <f t="shared" si="8"/>
        <v>1877</v>
      </c>
      <c r="O46" s="29">
        <f t="shared" si="8"/>
        <v>1877</v>
      </c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</row>
    <row r="47" spans="1:256" ht="13.5" customHeight="1">
      <c r="A47" s="4" t="s">
        <v>86</v>
      </c>
      <c r="B47" s="5" t="s">
        <v>87</v>
      </c>
      <c r="C47" s="28">
        <v>11614</v>
      </c>
      <c r="D47" s="28">
        <v>10612</v>
      </c>
      <c r="E47" s="28">
        <v>0</v>
      </c>
      <c r="F47" s="28">
        <f>SUM(C47-D47-E47)</f>
        <v>1002</v>
      </c>
      <c r="G47" s="28">
        <v>10038</v>
      </c>
      <c r="H47" s="28">
        <v>7249</v>
      </c>
      <c r="I47" s="28">
        <v>0</v>
      </c>
      <c r="J47" s="28">
        <f>SUM(G47-H47-I47)</f>
        <v>2789</v>
      </c>
      <c r="K47" s="28">
        <v>606</v>
      </c>
      <c r="L47" s="28">
        <v>21</v>
      </c>
      <c r="M47" s="28">
        <v>152</v>
      </c>
      <c r="N47" s="28">
        <v>193</v>
      </c>
      <c r="O47" s="28">
        <v>193</v>
      </c>
    </row>
    <row r="48" spans="1:256" ht="12.75" customHeight="1">
      <c r="A48" s="4" t="s">
        <v>88</v>
      </c>
      <c r="B48" s="5" t="s">
        <v>89</v>
      </c>
      <c r="C48" s="28">
        <v>24211</v>
      </c>
      <c r="D48" s="28">
        <v>23000</v>
      </c>
      <c r="E48" s="28">
        <v>261</v>
      </c>
      <c r="F48" s="28">
        <f>SUM(C48-D48-E48)</f>
        <v>950</v>
      </c>
      <c r="G48" s="28">
        <v>41389</v>
      </c>
      <c r="H48" s="28">
        <v>38026</v>
      </c>
      <c r="I48" s="28">
        <v>822</v>
      </c>
      <c r="J48" s="28">
        <f>SUM(G48-H48-I48)</f>
        <v>2541</v>
      </c>
      <c r="K48" s="28">
        <v>1331</v>
      </c>
      <c r="L48" s="28">
        <v>0</v>
      </c>
      <c r="M48" s="28">
        <v>787</v>
      </c>
      <c r="N48" s="28">
        <v>0</v>
      </c>
      <c r="O48" s="28">
        <v>0</v>
      </c>
    </row>
    <row r="49" spans="1:15" ht="12.75" customHeight="1">
      <c r="A49" s="4" t="s">
        <v>90</v>
      </c>
      <c r="B49" s="5" t="s">
        <v>91</v>
      </c>
      <c r="C49" s="28">
        <v>13315</v>
      </c>
      <c r="D49" s="28">
        <v>12128</v>
      </c>
      <c r="E49" s="28">
        <v>851</v>
      </c>
      <c r="F49" s="28">
        <f>SUM(C49-D49-E49)</f>
        <v>336</v>
      </c>
      <c r="G49" s="28">
        <v>15080</v>
      </c>
      <c r="H49" s="28">
        <v>8995</v>
      </c>
      <c r="I49" s="28">
        <v>1981</v>
      </c>
      <c r="J49" s="28">
        <f>SUM(G49-H49-I49)</f>
        <v>4104</v>
      </c>
      <c r="K49" s="28">
        <v>9184</v>
      </c>
      <c r="L49" s="28">
        <v>91</v>
      </c>
      <c r="M49" s="28">
        <v>0</v>
      </c>
      <c r="N49" s="28">
        <v>0</v>
      </c>
      <c r="O49" s="28">
        <v>0</v>
      </c>
    </row>
    <row r="50" spans="1:15" ht="12.75" customHeight="1">
      <c r="A50" s="4" t="s">
        <v>92</v>
      </c>
      <c r="B50" s="5" t="s">
        <v>93</v>
      </c>
      <c r="C50" s="28">
        <v>69013</v>
      </c>
      <c r="D50" s="28">
        <v>65195</v>
      </c>
      <c r="E50" s="28">
        <v>1484</v>
      </c>
      <c r="F50" s="28">
        <f>SUM(C50-D50-E50)</f>
        <v>2334</v>
      </c>
      <c r="G50" s="28">
        <v>145162</v>
      </c>
      <c r="H50" s="28">
        <v>101214</v>
      </c>
      <c r="I50" s="28">
        <v>5368</v>
      </c>
      <c r="J50" s="28">
        <f>SUM(G50-H50-I50)</f>
        <v>38580</v>
      </c>
      <c r="K50" s="28">
        <v>13488</v>
      </c>
      <c r="L50" s="28">
        <v>719</v>
      </c>
      <c r="M50" s="28">
        <v>13128</v>
      </c>
      <c r="N50" s="28">
        <v>1035</v>
      </c>
      <c r="O50" s="28">
        <v>1035</v>
      </c>
    </row>
    <row r="51" spans="1:15" ht="12.75" customHeight="1">
      <c r="A51" s="8"/>
      <c r="B51" s="9" t="s">
        <v>94</v>
      </c>
      <c r="C51" s="29">
        <f t="shared" ref="C51:O51" si="9">SUM(C47:C50)</f>
        <v>118153</v>
      </c>
      <c r="D51" s="29">
        <f t="shared" si="9"/>
        <v>110935</v>
      </c>
      <c r="E51" s="29">
        <f t="shared" si="9"/>
        <v>2596</v>
      </c>
      <c r="F51" s="29">
        <f t="shared" si="9"/>
        <v>4622</v>
      </c>
      <c r="G51" s="29">
        <f t="shared" si="9"/>
        <v>211669</v>
      </c>
      <c r="H51" s="29">
        <f t="shared" si="9"/>
        <v>155484</v>
      </c>
      <c r="I51" s="29">
        <f t="shared" si="9"/>
        <v>8171</v>
      </c>
      <c r="J51" s="29">
        <f t="shared" si="9"/>
        <v>48014</v>
      </c>
      <c r="K51" s="29">
        <f t="shared" si="9"/>
        <v>24609</v>
      </c>
      <c r="L51" s="29">
        <f t="shared" si="9"/>
        <v>831</v>
      </c>
      <c r="M51" s="29">
        <f t="shared" si="9"/>
        <v>14067</v>
      </c>
      <c r="N51" s="29">
        <f t="shared" si="9"/>
        <v>1228</v>
      </c>
      <c r="O51" s="29">
        <f t="shared" si="9"/>
        <v>1228</v>
      </c>
    </row>
    <row r="52" spans="1:15" ht="12.75" customHeight="1">
      <c r="A52" s="4" t="s">
        <v>95</v>
      </c>
      <c r="B52" s="5" t="s">
        <v>96</v>
      </c>
      <c r="C52" s="28">
        <v>12876</v>
      </c>
      <c r="D52" s="28">
        <v>11803</v>
      </c>
      <c r="E52" s="28">
        <v>122</v>
      </c>
      <c r="F52" s="28">
        <f t="shared" ref="F52:F58" si="10">SUM(C52-D52-E52)</f>
        <v>951</v>
      </c>
      <c r="G52" s="28">
        <v>37427</v>
      </c>
      <c r="H52" s="28">
        <v>25171</v>
      </c>
      <c r="I52" s="28">
        <v>382</v>
      </c>
      <c r="J52" s="28">
        <f t="shared" ref="J52:J58" si="11">SUM(G52-H52-I52)</f>
        <v>11874</v>
      </c>
      <c r="K52" s="28">
        <v>12797</v>
      </c>
      <c r="L52" s="28">
        <v>0</v>
      </c>
      <c r="M52" s="28">
        <v>569</v>
      </c>
      <c r="N52" s="28">
        <v>865</v>
      </c>
      <c r="O52" s="28">
        <v>865</v>
      </c>
    </row>
    <row r="53" spans="1:15" ht="12.75" customHeight="1">
      <c r="A53" s="4" t="s">
        <v>97</v>
      </c>
      <c r="B53" s="5" t="s">
        <v>98</v>
      </c>
      <c r="C53" s="28">
        <v>80296</v>
      </c>
      <c r="D53" s="28">
        <v>56252</v>
      </c>
      <c r="E53" s="28">
        <v>1114</v>
      </c>
      <c r="F53" s="28">
        <f t="shared" si="10"/>
        <v>22930</v>
      </c>
      <c r="G53" s="28">
        <v>222952</v>
      </c>
      <c r="H53" s="28">
        <v>135816</v>
      </c>
      <c r="I53" s="28">
        <v>6356</v>
      </c>
      <c r="J53" s="28">
        <f t="shared" si="11"/>
        <v>80780</v>
      </c>
      <c r="K53" s="28">
        <v>6843</v>
      </c>
      <c r="L53" s="28">
        <v>0</v>
      </c>
      <c r="M53" s="28">
        <v>6230</v>
      </c>
      <c r="N53" s="28">
        <v>2956</v>
      </c>
      <c r="O53" s="28">
        <v>2956</v>
      </c>
    </row>
    <row r="54" spans="1:15" ht="12.75" customHeight="1">
      <c r="A54" s="4" t="s">
        <v>99</v>
      </c>
      <c r="B54" s="5" t="s">
        <v>100</v>
      </c>
      <c r="C54" s="28">
        <v>13237</v>
      </c>
      <c r="D54" s="28">
        <v>7599</v>
      </c>
      <c r="E54" s="28">
        <v>429</v>
      </c>
      <c r="F54" s="28">
        <f t="shared" si="10"/>
        <v>5209</v>
      </c>
      <c r="G54" s="28">
        <v>41127</v>
      </c>
      <c r="H54" s="28">
        <v>20873</v>
      </c>
      <c r="I54" s="28">
        <v>2989</v>
      </c>
      <c r="J54" s="28">
        <f t="shared" si="11"/>
        <v>17265</v>
      </c>
      <c r="K54" s="28">
        <v>426</v>
      </c>
      <c r="L54" s="28">
        <v>86</v>
      </c>
      <c r="M54" s="28">
        <v>2070</v>
      </c>
      <c r="N54" s="28">
        <v>0</v>
      </c>
      <c r="O54" s="28">
        <v>0</v>
      </c>
    </row>
    <row r="55" spans="1:15" ht="12.75" customHeight="1">
      <c r="A55" s="4" t="s">
        <v>101</v>
      </c>
      <c r="B55" s="5" t="s">
        <v>102</v>
      </c>
      <c r="C55" s="28">
        <v>57071</v>
      </c>
      <c r="D55" s="28">
        <v>39316</v>
      </c>
      <c r="E55" s="28">
        <v>1185</v>
      </c>
      <c r="F55" s="28">
        <f t="shared" si="10"/>
        <v>16570</v>
      </c>
      <c r="G55" s="28">
        <v>166722</v>
      </c>
      <c r="H55" s="28">
        <v>85882</v>
      </c>
      <c r="I55" s="28">
        <v>4397</v>
      </c>
      <c r="J55" s="28">
        <f t="shared" si="11"/>
        <v>76443</v>
      </c>
      <c r="K55" s="28">
        <v>17845</v>
      </c>
      <c r="L55" s="28">
        <v>0</v>
      </c>
      <c r="M55" s="28">
        <v>10777</v>
      </c>
      <c r="N55" s="28">
        <v>12212</v>
      </c>
      <c r="O55" s="28">
        <v>12212</v>
      </c>
    </row>
    <row r="56" spans="1:15" ht="12.75" customHeight="1">
      <c r="A56" s="4" t="s">
        <v>103</v>
      </c>
      <c r="B56" s="5" t="s">
        <v>104</v>
      </c>
      <c r="C56" s="28">
        <v>80022</v>
      </c>
      <c r="D56" s="28">
        <v>35031</v>
      </c>
      <c r="E56" s="28">
        <v>4019</v>
      </c>
      <c r="F56" s="28">
        <f t="shared" si="10"/>
        <v>40972</v>
      </c>
      <c r="G56" s="28">
        <v>251840</v>
      </c>
      <c r="H56" s="28">
        <v>73903</v>
      </c>
      <c r="I56" s="28">
        <v>19407</v>
      </c>
      <c r="J56" s="28">
        <f t="shared" si="11"/>
        <v>158530</v>
      </c>
      <c r="K56" s="28">
        <v>19877</v>
      </c>
      <c r="L56" s="28">
        <v>1111</v>
      </c>
      <c r="M56" s="28">
        <v>34091</v>
      </c>
      <c r="N56" s="28">
        <v>3139</v>
      </c>
      <c r="O56" s="28">
        <v>3139</v>
      </c>
    </row>
    <row r="57" spans="1:15" ht="12.75" customHeight="1">
      <c r="A57" s="4" t="s">
        <v>105</v>
      </c>
      <c r="B57" s="5" t="s">
        <v>106</v>
      </c>
      <c r="C57" s="28">
        <v>71942</v>
      </c>
      <c r="D57" s="28">
        <v>40787</v>
      </c>
      <c r="E57" s="28">
        <v>4539</v>
      </c>
      <c r="F57" s="28">
        <f t="shared" si="10"/>
        <v>26616</v>
      </c>
      <c r="G57" s="28">
        <v>249989</v>
      </c>
      <c r="H57" s="28">
        <v>112838</v>
      </c>
      <c r="I57" s="28">
        <v>20337</v>
      </c>
      <c r="J57" s="28">
        <f t="shared" si="11"/>
        <v>116814</v>
      </c>
      <c r="K57" s="28">
        <v>3939</v>
      </c>
      <c r="L57" s="28">
        <v>0</v>
      </c>
      <c r="M57" s="28">
        <v>22229</v>
      </c>
      <c r="N57" s="28">
        <v>263</v>
      </c>
      <c r="O57" s="28">
        <v>263</v>
      </c>
    </row>
    <row r="58" spans="1:15" ht="12.75" customHeight="1">
      <c r="A58" s="4" t="s">
        <v>107</v>
      </c>
      <c r="B58" s="5" t="s">
        <v>108</v>
      </c>
      <c r="C58" s="28">
        <v>73183</v>
      </c>
      <c r="D58" s="28">
        <v>39649</v>
      </c>
      <c r="E58" s="28">
        <v>1394</v>
      </c>
      <c r="F58" s="28">
        <f t="shared" si="10"/>
        <v>32140</v>
      </c>
      <c r="G58" s="28">
        <v>218808</v>
      </c>
      <c r="H58" s="28">
        <v>86471</v>
      </c>
      <c r="I58" s="28">
        <v>6382</v>
      </c>
      <c r="J58" s="28">
        <f t="shared" si="11"/>
        <v>125955</v>
      </c>
      <c r="K58" s="28">
        <v>5295</v>
      </c>
      <c r="L58" s="28">
        <v>210</v>
      </c>
      <c r="M58" s="28">
        <v>11378</v>
      </c>
      <c r="N58" s="28">
        <v>23110</v>
      </c>
      <c r="O58" s="28">
        <v>23110</v>
      </c>
    </row>
    <row r="59" spans="1:15" ht="12.75" customHeight="1">
      <c r="A59" s="8"/>
      <c r="B59" s="9" t="s">
        <v>109</v>
      </c>
      <c r="C59" s="29">
        <f t="shared" ref="C59:O59" si="12">SUM(C52:C58)</f>
        <v>388627</v>
      </c>
      <c r="D59" s="29">
        <f t="shared" si="12"/>
        <v>230437</v>
      </c>
      <c r="E59" s="29">
        <f t="shared" si="12"/>
        <v>12802</v>
      </c>
      <c r="F59" s="29">
        <f t="shared" si="12"/>
        <v>145388</v>
      </c>
      <c r="G59" s="29">
        <f t="shared" si="12"/>
        <v>1188865</v>
      </c>
      <c r="H59" s="29">
        <f t="shared" si="12"/>
        <v>540954</v>
      </c>
      <c r="I59" s="29">
        <f t="shared" si="12"/>
        <v>60250</v>
      </c>
      <c r="J59" s="29">
        <f t="shared" si="12"/>
        <v>587661</v>
      </c>
      <c r="K59" s="29">
        <f t="shared" si="12"/>
        <v>67022</v>
      </c>
      <c r="L59" s="29">
        <f t="shared" si="12"/>
        <v>1407</v>
      </c>
      <c r="M59" s="29">
        <f t="shared" si="12"/>
        <v>87344</v>
      </c>
      <c r="N59" s="29">
        <f t="shared" si="12"/>
        <v>42545</v>
      </c>
      <c r="O59" s="29">
        <f t="shared" si="12"/>
        <v>42545</v>
      </c>
    </row>
    <row r="60" spans="1:15" ht="12.75" customHeight="1">
      <c r="A60" s="4" t="s">
        <v>110</v>
      </c>
      <c r="B60" s="5" t="s">
        <v>111</v>
      </c>
      <c r="C60" s="28">
        <v>82145</v>
      </c>
      <c r="D60" s="28">
        <v>61498</v>
      </c>
      <c r="E60" s="28">
        <v>7069</v>
      </c>
      <c r="F60" s="28">
        <f t="shared" ref="F60:F68" si="13">SUM(C60-D60-E60)</f>
        <v>13578</v>
      </c>
      <c r="G60" s="28">
        <v>233632</v>
      </c>
      <c r="H60" s="28">
        <v>134499</v>
      </c>
      <c r="I60" s="28">
        <v>37621</v>
      </c>
      <c r="J60" s="28">
        <f t="shared" ref="J60:J68" si="14">SUM(G60-H60-I60)</f>
        <v>61512</v>
      </c>
      <c r="K60" s="28">
        <v>1813</v>
      </c>
      <c r="L60" s="28">
        <v>0</v>
      </c>
      <c r="M60" s="28">
        <v>12233</v>
      </c>
      <c r="N60" s="28">
        <v>1207</v>
      </c>
      <c r="O60" s="28">
        <v>1207</v>
      </c>
    </row>
    <row r="61" spans="1:15" ht="12.75" customHeight="1">
      <c r="A61" s="4" t="s">
        <v>112</v>
      </c>
      <c r="B61" s="5" t="s">
        <v>113</v>
      </c>
      <c r="C61" s="28">
        <v>21463</v>
      </c>
      <c r="D61" s="28">
        <v>17307</v>
      </c>
      <c r="E61" s="28">
        <v>307</v>
      </c>
      <c r="F61" s="28">
        <f t="shared" si="13"/>
        <v>3849</v>
      </c>
      <c r="G61" s="28">
        <v>48809</v>
      </c>
      <c r="H61" s="28">
        <v>37803</v>
      </c>
      <c r="I61" s="28">
        <v>1433</v>
      </c>
      <c r="J61" s="28">
        <f t="shared" si="14"/>
        <v>9573</v>
      </c>
      <c r="K61" s="28">
        <v>67</v>
      </c>
      <c r="L61" s="28">
        <v>973</v>
      </c>
      <c r="M61" s="28">
        <v>6939</v>
      </c>
      <c r="N61" s="28">
        <v>25</v>
      </c>
      <c r="O61" s="28">
        <v>25</v>
      </c>
    </row>
    <row r="62" spans="1:15" ht="12.75" customHeight="1">
      <c r="A62" s="4" t="s">
        <v>114</v>
      </c>
      <c r="B62" s="5" t="s">
        <v>115</v>
      </c>
      <c r="C62" s="28">
        <v>36853</v>
      </c>
      <c r="D62" s="28">
        <v>21890</v>
      </c>
      <c r="E62" s="28">
        <v>2202</v>
      </c>
      <c r="F62" s="28">
        <f t="shared" si="13"/>
        <v>12761</v>
      </c>
      <c r="G62" s="28">
        <v>137692</v>
      </c>
      <c r="H62" s="28">
        <v>53951</v>
      </c>
      <c r="I62" s="28">
        <v>11784</v>
      </c>
      <c r="J62" s="28">
        <f t="shared" si="14"/>
        <v>71957</v>
      </c>
      <c r="K62" s="28">
        <v>14138</v>
      </c>
      <c r="L62" s="28">
        <v>1112</v>
      </c>
      <c r="M62" s="28">
        <v>13703</v>
      </c>
      <c r="N62" s="28">
        <v>10490</v>
      </c>
      <c r="O62" s="28">
        <v>10490</v>
      </c>
    </row>
    <row r="63" spans="1:15" ht="12.75" customHeight="1">
      <c r="A63" s="4" t="s">
        <v>116</v>
      </c>
      <c r="B63" s="5" t="s">
        <v>117</v>
      </c>
      <c r="C63" s="28">
        <v>52745</v>
      </c>
      <c r="D63" s="28">
        <v>35833</v>
      </c>
      <c r="E63" s="28">
        <v>3032</v>
      </c>
      <c r="F63" s="28">
        <f t="shared" si="13"/>
        <v>13880</v>
      </c>
      <c r="G63" s="28">
        <v>163387</v>
      </c>
      <c r="H63" s="28">
        <v>96163</v>
      </c>
      <c r="I63" s="28">
        <v>19123</v>
      </c>
      <c r="J63" s="28">
        <f t="shared" si="14"/>
        <v>48101</v>
      </c>
      <c r="K63" s="28">
        <v>1093</v>
      </c>
      <c r="L63" s="28">
        <v>0</v>
      </c>
      <c r="M63" s="28">
        <v>9621</v>
      </c>
      <c r="N63" s="28">
        <v>58</v>
      </c>
      <c r="O63" s="28">
        <v>58</v>
      </c>
    </row>
    <row r="64" spans="1:15" ht="12.75" customHeight="1">
      <c r="A64" s="4" t="s">
        <v>118</v>
      </c>
      <c r="B64" s="5" t="s">
        <v>119</v>
      </c>
      <c r="C64" s="28">
        <v>46684</v>
      </c>
      <c r="D64" s="28">
        <v>25685</v>
      </c>
      <c r="E64" s="28">
        <v>3598</v>
      </c>
      <c r="F64" s="28">
        <f t="shared" si="13"/>
        <v>17401</v>
      </c>
      <c r="G64" s="28">
        <v>165294</v>
      </c>
      <c r="H64" s="28">
        <v>67318</v>
      </c>
      <c r="I64" s="28">
        <v>18340</v>
      </c>
      <c r="J64" s="28">
        <f t="shared" si="14"/>
        <v>79636</v>
      </c>
      <c r="K64" s="28">
        <v>587</v>
      </c>
      <c r="L64" s="28">
        <v>51</v>
      </c>
      <c r="M64" s="28">
        <v>4119</v>
      </c>
      <c r="N64" s="28">
        <v>241</v>
      </c>
      <c r="O64" s="28">
        <v>241</v>
      </c>
    </row>
    <row r="65" spans="1:15" ht="12.75" customHeight="1">
      <c r="A65" s="4" t="s">
        <v>120</v>
      </c>
      <c r="B65" s="5" t="s">
        <v>121</v>
      </c>
      <c r="C65" s="28">
        <v>23971</v>
      </c>
      <c r="D65" s="28">
        <v>18607</v>
      </c>
      <c r="E65" s="28">
        <v>2557</v>
      </c>
      <c r="F65" s="28">
        <f t="shared" si="13"/>
        <v>2807</v>
      </c>
      <c r="G65" s="28">
        <v>98365</v>
      </c>
      <c r="H65" s="28">
        <v>47144</v>
      </c>
      <c r="I65" s="28">
        <v>13596</v>
      </c>
      <c r="J65" s="28">
        <f t="shared" si="14"/>
        <v>37625</v>
      </c>
      <c r="K65" s="28">
        <v>4539</v>
      </c>
      <c r="L65" s="28">
        <v>1</v>
      </c>
      <c r="M65" s="28">
        <v>8679</v>
      </c>
      <c r="N65" s="28">
        <v>1370</v>
      </c>
      <c r="O65" s="28">
        <v>1370</v>
      </c>
    </row>
    <row r="66" spans="1:15" ht="12.75" customHeight="1">
      <c r="A66" s="4" t="s">
        <v>122</v>
      </c>
      <c r="B66" s="5" t="s">
        <v>123</v>
      </c>
      <c r="C66" s="28">
        <v>44404</v>
      </c>
      <c r="D66" s="28">
        <v>17987</v>
      </c>
      <c r="E66" s="28">
        <v>1537</v>
      </c>
      <c r="F66" s="28">
        <f t="shared" si="13"/>
        <v>24880</v>
      </c>
      <c r="G66" s="28">
        <v>239651</v>
      </c>
      <c r="H66" s="28">
        <v>43195</v>
      </c>
      <c r="I66" s="28">
        <v>7179</v>
      </c>
      <c r="J66" s="28">
        <f t="shared" si="14"/>
        <v>189277</v>
      </c>
      <c r="K66" s="28">
        <v>17399</v>
      </c>
      <c r="L66" s="28">
        <v>119</v>
      </c>
      <c r="M66" s="28">
        <v>43785</v>
      </c>
      <c r="N66" s="28">
        <v>615</v>
      </c>
      <c r="O66" s="28">
        <v>301</v>
      </c>
    </row>
    <row r="67" spans="1:15" ht="12.75" customHeight="1">
      <c r="A67" s="4" t="s">
        <v>124</v>
      </c>
      <c r="B67" s="5" t="s">
        <v>125</v>
      </c>
      <c r="C67" s="28">
        <v>79198</v>
      </c>
      <c r="D67" s="28">
        <v>24706</v>
      </c>
      <c r="E67" s="28">
        <v>0</v>
      </c>
      <c r="F67" s="28">
        <f t="shared" si="13"/>
        <v>54492</v>
      </c>
      <c r="G67" s="28">
        <v>350244</v>
      </c>
      <c r="H67" s="28">
        <v>56623</v>
      </c>
      <c r="I67" s="28">
        <v>0</v>
      </c>
      <c r="J67" s="28">
        <f t="shared" si="14"/>
        <v>293621</v>
      </c>
      <c r="K67" s="28">
        <v>19635</v>
      </c>
      <c r="L67" s="28">
        <v>0</v>
      </c>
      <c r="M67" s="28">
        <v>99570</v>
      </c>
      <c r="N67" s="28">
        <v>1148</v>
      </c>
      <c r="O67" s="28">
        <v>1148</v>
      </c>
    </row>
    <row r="68" spans="1:15" ht="12.75" customHeight="1">
      <c r="A68" s="4" t="s">
        <v>126</v>
      </c>
      <c r="B68" s="5" t="s">
        <v>127</v>
      </c>
      <c r="C68" s="28">
        <v>35668</v>
      </c>
      <c r="D68" s="28">
        <v>25055</v>
      </c>
      <c r="E68" s="28">
        <v>880</v>
      </c>
      <c r="F68" s="28">
        <f t="shared" si="13"/>
        <v>9733</v>
      </c>
      <c r="G68" s="28">
        <v>123867</v>
      </c>
      <c r="H68" s="28">
        <v>50783</v>
      </c>
      <c r="I68" s="28">
        <v>4664</v>
      </c>
      <c r="J68" s="28">
        <f t="shared" si="14"/>
        <v>68420</v>
      </c>
      <c r="K68" s="28">
        <v>252</v>
      </c>
      <c r="L68" s="28">
        <v>37</v>
      </c>
      <c r="M68" s="28">
        <v>4545</v>
      </c>
      <c r="N68" s="28">
        <v>94</v>
      </c>
      <c r="O68" s="28">
        <v>94</v>
      </c>
    </row>
    <row r="69" spans="1:15" ht="12.75" customHeight="1">
      <c r="A69" s="8"/>
      <c r="B69" s="9" t="s">
        <v>128</v>
      </c>
      <c r="C69" s="29">
        <f t="shared" ref="C69:O69" si="15">SUM(C60:C68)</f>
        <v>423131</v>
      </c>
      <c r="D69" s="29">
        <f t="shared" si="15"/>
        <v>248568</v>
      </c>
      <c r="E69" s="29">
        <f t="shared" si="15"/>
        <v>21182</v>
      </c>
      <c r="F69" s="29">
        <f t="shared" si="15"/>
        <v>153381</v>
      </c>
      <c r="G69" s="29">
        <f t="shared" si="15"/>
        <v>1560941</v>
      </c>
      <c r="H69" s="29">
        <f t="shared" si="15"/>
        <v>587479</v>
      </c>
      <c r="I69" s="29">
        <f t="shared" si="15"/>
        <v>113740</v>
      </c>
      <c r="J69" s="29">
        <f t="shared" si="15"/>
        <v>859722</v>
      </c>
      <c r="K69" s="29">
        <f t="shared" si="15"/>
        <v>59523</v>
      </c>
      <c r="L69" s="29">
        <f t="shared" si="15"/>
        <v>2293</v>
      </c>
      <c r="M69" s="29">
        <f t="shared" si="15"/>
        <v>203194</v>
      </c>
      <c r="N69" s="29">
        <f t="shared" si="15"/>
        <v>15248</v>
      </c>
      <c r="O69" s="29">
        <f t="shared" si="15"/>
        <v>14934</v>
      </c>
    </row>
    <row r="70" spans="1:15" ht="12.75" customHeight="1">
      <c r="A70" s="4" t="s">
        <v>129</v>
      </c>
      <c r="B70" s="5" t="s">
        <v>130</v>
      </c>
      <c r="C70" s="28">
        <v>27329</v>
      </c>
      <c r="D70" s="28">
        <v>22822</v>
      </c>
      <c r="E70" s="28">
        <v>2164</v>
      </c>
      <c r="F70" s="28">
        <f t="shared" ref="F70:F79" si="16">SUM(C70-D70-E70)</f>
        <v>2343</v>
      </c>
      <c r="G70" s="28">
        <v>83105</v>
      </c>
      <c r="H70" s="28">
        <v>51325</v>
      </c>
      <c r="I70" s="28">
        <v>14244</v>
      </c>
      <c r="J70" s="28">
        <f t="shared" ref="J70:J79" si="17">SUM(G70-H70-I70)</f>
        <v>17536</v>
      </c>
      <c r="K70" s="28">
        <v>1704</v>
      </c>
      <c r="L70" s="28">
        <v>17</v>
      </c>
      <c r="M70" s="28">
        <v>2694</v>
      </c>
      <c r="N70" s="28">
        <v>308</v>
      </c>
      <c r="O70" s="28">
        <v>308</v>
      </c>
    </row>
    <row r="71" spans="1:15" ht="12.75" customHeight="1">
      <c r="A71" s="4" t="s">
        <v>131</v>
      </c>
      <c r="B71" s="5" t="s">
        <v>132</v>
      </c>
      <c r="C71" s="28">
        <v>122009</v>
      </c>
      <c r="D71" s="28">
        <v>69790</v>
      </c>
      <c r="E71" s="28">
        <v>4634</v>
      </c>
      <c r="F71" s="28">
        <f t="shared" si="16"/>
        <v>47585</v>
      </c>
      <c r="G71" s="28">
        <v>271576</v>
      </c>
      <c r="H71" s="28">
        <v>119326</v>
      </c>
      <c r="I71" s="28">
        <v>22828</v>
      </c>
      <c r="J71" s="28">
        <f t="shared" si="17"/>
        <v>129422</v>
      </c>
      <c r="K71" s="28">
        <v>9169</v>
      </c>
      <c r="L71" s="28">
        <v>0</v>
      </c>
      <c r="M71" s="28">
        <v>7878</v>
      </c>
      <c r="N71" s="28">
        <v>14560</v>
      </c>
      <c r="O71" s="28">
        <v>14560</v>
      </c>
    </row>
    <row r="72" spans="1:15" ht="12.75" customHeight="1">
      <c r="A72" s="4" t="s">
        <v>133</v>
      </c>
      <c r="B72" s="5" t="s">
        <v>134</v>
      </c>
      <c r="C72" s="28">
        <v>22432</v>
      </c>
      <c r="D72" s="28">
        <v>19049</v>
      </c>
      <c r="E72" s="28">
        <v>0</v>
      </c>
      <c r="F72" s="28">
        <f t="shared" si="16"/>
        <v>3383</v>
      </c>
      <c r="G72" s="28">
        <v>59263</v>
      </c>
      <c r="H72" s="28">
        <v>43744</v>
      </c>
      <c r="I72" s="28">
        <v>0</v>
      </c>
      <c r="J72" s="28">
        <f t="shared" si="17"/>
        <v>15519</v>
      </c>
      <c r="K72" s="28">
        <v>2721</v>
      </c>
      <c r="L72" s="28">
        <v>1432</v>
      </c>
      <c r="M72" s="28">
        <v>8929</v>
      </c>
      <c r="N72" s="28">
        <v>158</v>
      </c>
      <c r="O72" s="28">
        <v>158</v>
      </c>
    </row>
    <row r="73" spans="1:15" ht="12.75" customHeight="1">
      <c r="A73" s="4" t="s">
        <v>135</v>
      </c>
      <c r="B73" s="5" t="s">
        <v>136</v>
      </c>
      <c r="C73" s="28">
        <v>53945</v>
      </c>
      <c r="D73" s="28">
        <v>38354</v>
      </c>
      <c r="E73" s="28">
        <v>588</v>
      </c>
      <c r="F73" s="28">
        <f t="shared" si="16"/>
        <v>15003</v>
      </c>
      <c r="G73" s="28">
        <v>149952</v>
      </c>
      <c r="H73" s="28">
        <v>77187</v>
      </c>
      <c r="I73" s="28">
        <v>1773</v>
      </c>
      <c r="J73" s="28">
        <f t="shared" si="17"/>
        <v>70992</v>
      </c>
      <c r="K73" s="28">
        <v>6200</v>
      </c>
      <c r="L73" s="28">
        <v>487</v>
      </c>
      <c r="M73" s="28">
        <v>17180</v>
      </c>
      <c r="N73" s="28">
        <v>34523</v>
      </c>
      <c r="O73" s="28">
        <v>34183</v>
      </c>
    </row>
    <row r="74" spans="1:15" ht="12.75" customHeight="1">
      <c r="A74" s="4" t="s">
        <v>137</v>
      </c>
      <c r="B74" s="5" t="s">
        <v>138</v>
      </c>
      <c r="C74" s="28">
        <v>40284</v>
      </c>
      <c r="D74" s="28">
        <v>33482</v>
      </c>
      <c r="E74" s="28">
        <v>1565</v>
      </c>
      <c r="F74" s="28">
        <f t="shared" si="16"/>
        <v>5237</v>
      </c>
      <c r="G74" s="28">
        <v>83907</v>
      </c>
      <c r="H74" s="28">
        <v>55244</v>
      </c>
      <c r="I74" s="28">
        <v>6360</v>
      </c>
      <c r="J74" s="28">
        <f t="shared" si="17"/>
        <v>22303</v>
      </c>
      <c r="K74" s="28">
        <v>2575</v>
      </c>
      <c r="L74" s="28">
        <v>0</v>
      </c>
      <c r="M74" s="28">
        <v>1271</v>
      </c>
      <c r="N74" s="28">
        <v>1161</v>
      </c>
      <c r="O74" s="28">
        <v>1161</v>
      </c>
    </row>
    <row r="75" spans="1:15" ht="12.75" customHeight="1">
      <c r="A75" s="4" t="s">
        <v>139</v>
      </c>
      <c r="B75" s="5" t="s">
        <v>140</v>
      </c>
      <c r="C75" s="28">
        <v>20951</v>
      </c>
      <c r="D75" s="28">
        <v>19822</v>
      </c>
      <c r="E75" s="28">
        <v>562</v>
      </c>
      <c r="F75" s="28">
        <f t="shared" si="16"/>
        <v>567</v>
      </c>
      <c r="G75" s="28">
        <v>38296</v>
      </c>
      <c r="H75" s="28">
        <v>30734</v>
      </c>
      <c r="I75" s="28">
        <v>3471</v>
      </c>
      <c r="J75" s="28">
        <f t="shared" si="17"/>
        <v>4091</v>
      </c>
      <c r="K75" s="28">
        <v>136</v>
      </c>
      <c r="L75" s="28">
        <v>0</v>
      </c>
      <c r="M75" s="28">
        <v>50</v>
      </c>
      <c r="N75" s="28">
        <v>68</v>
      </c>
      <c r="O75" s="28">
        <v>12</v>
      </c>
    </row>
    <row r="76" spans="1:15" ht="12.75" customHeight="1">
      <c r="A76" s="4" t="s">
        <v>141</v>
      </c>
      <c r="B76" s="5" t="s">
        <v>142</v>
      </c>
      <c r="C76" s="28">
        <v>41149</v>
      </c>
      <c r="D76" s="28">
        <v>31141</v>
      </c>
      <c r="E76" s="28">
        <v>995</v>
      </c>
      <c r="F76" s="28">
        <f t="shared" si="16"/>
        <v>9013</v>
      </c>
      <c r="G76" s="28">
        <v>107007</v>
      </c>
      <c r="H76" s="28">
        <v>65666</v>
      </c>
      <c r="I76" s="28">
        <v>3645</v>
      </c>
      <c r="J76" s="28">
        <f t="shared" si="17"/>
        <v>37696</v>
      </c>
      <c r="K76" s="28">
        <v>1466</v>
      </c>
      <c r="L76" s="28">
        <v>469</v>
      </c>
      <c r="M76" s="28">
        <v>4137</v>
      </c>
      <c r="N76" s="28">
        <v>1052</v>
      </c>
      <c r="O76" s="28">
        <v>1052</v>
      </c>
    </row>
    <row r="77" spans="1:15" ht="12.75" customHeight="1">
      <c r="A77" s="4" t="s">
        <v>143</v>
      </c>
      <c r="B77" s="5" t="s">
        <v>144</v>
      </c>
      <c r="C77" s="28">
        <v>36303</v>
      </c>
      <c r="D77" s="28">
        <v>22406</v>
      </c>
      <c r="E77" s="28">
        <v>629</v>
      </c>
      <c r="F77" s="28">
        <f t="shared" si="16"/>
        <v>13268</v>
      </c>
      <c r="G77" s="28">
        <v>84581</v>
      </c>
      <c r="H77" s="28">
        <v>41629</v>
      </c>
      <c r="I77" s="28">
        <v>2418</v>
      </c>
      <c r="J77" s="28">
        <f t="shared" si="17"/>
        <v>40534</v>
      </c>
      <c r="K77" s="28">
        <v>3640</v>
      </c>
      <c r="L77" s="28">
        <v>0</v>
      </c>
      <c r="M77" s="28">
        <v>3324</v>
      </c>
      <c r="N77" s="28">
        <v>646</v>
      </c>
      <c r="O77" s="28">
        <v>646</v>
      </c>
    </row>
    <row r="78" spans="1:15" ht="12.75" customHeight="1">
      <c r="A78" s="4" t="s">
        <v>145</v>
      </c>
      <c r="B78" s="5" t="s">
        <v>146</v>
      </c>
      <c r="C78" s="28">
        <v>20181</v>
      </c>
      <c r="D78" s="28">
        <v>16377</v>
      </c>
      <c r="E78" s="28">
        <v>0</v>
      </c>
      <c r="F78" s="28">
        <f t="shared" si="16"/>
        <v>3804</v>
      </c>
      <c r="G78" s="28">
        <v>38923</v>
      </c>
      <c r="H78" s="28">
        <v>27785</v>
      </c>
      <c r="I78" s="28">
        <v>0</v>
      </c>
      <c r="J78" s="28">
        <f t="shared" si="17"/>
        <v>11138</v>
      </c>
      <c r="K78" s="28">
        <v>603</v>
      </c>
      <c r="L78" s="28">
        <v>0</v>
      </c>
      <c r="M78" s="28">
        <v>46</v>
      </c>
      <c r="N78" s="28">
        <v>255</v>
      </c>
      <c r="O78" s="28">
        <v>255</v>
      </c>
    </row>
    <row r="79" spans="1:15" ht="12.75" customHeight="1">
      <c r="A79" s="4" t="s">
        <v>147</v>
      </c>
      <c r="B79" s="5" t="s">
        <v>148</v>
      </c>
      <c r="C79" s="28">
        <v>22578</v>
      </c>
      <c r="D79" s="28">
        <v>20115</v>
      </c>
      <c r="E79" s="28">
        <v>630</v>
      </c>
      <c r="F79" s="28">
        <f t="shared" si="16"/>
        <v>1833</v>
      </c>
      <c r="G79" s="28">
        <v>66642</v>
      </c>
      <c r="H79" s="28">
        <v>45950</v>
      </c>
      <c r="I79" s="28">
        <v>3275</v>
      </c>
      <c r="J79" s="28">
        <f t="shared" si="17"/>
        <v>17417</v>
      </c>
      <c r="K79" s="28">
        <v>2476</v>
      </c>
      <c r="L79" s="28">
        <v>492</v>
      </c>
      <c r="M79" s="28">
        <v>14428</v>
      </c>
      <c r="N79" s="28">
        <v>467</v>
      </c>
      <c r="O79" s="28">
        <v>467</v>
      </c>
    </row>
    <row r="80" spans="1:15" ht="12.75" customHeight="1">
      <c r="A80" s="8"/>
      <c r="B80" s="9" t="s">
        <v>149</v>
      </c>
      <c r="C80" s="29">
        <f t="shared" ref="C80:O80" si="18">SUM(C70:C79)</f>
        <v>407161</v>
      </c>
      <c r="D80" s="29">
        <f t="shared" si="18"/>
        <v>293358</v>
      </c>
      <c r="E80" s="29">
        <f t="shared" si="18"/>
        <v>11767</v>
      </c>
      <c r="F80" s="29">
        <f t="shared" si="18"/>
        <v>102036</v>
      </c>
      <c r="G80" s="29">
        <f t="shared" si="18"/>
        <v>983252</v>
      </c>
      <c r="H80" s="29">
        <f t="shared" si="18"/>
        <v>558590</v>
      </c>
      <c r="I80" s="29">
        <f t="shared" si="18"/>
        <v>58014</v>
      </c>
      <c r="J80" s="29">
        <f t="shared" si="18"/>
        <v>366648</v>
      </c>
      <c r="K80" s="29">
        <f t="shared" si="18"/>
        <v>30690</v>
      </c>
      <c r="L80" s="29">
        <f t="shared" si="18"/>
        <v>2897</v>
      </c>
      <c r="M80" s="29">
        <f t="shared" si="18"/>
        <v>59937</v>
      </c>
      <c r="N80" s="29">
        <f t="shared" si="18"/>
        <v>53198</v>
      </c>
      <c r="O80" s="29">
        <f t="shared" si="18"/>
        <v>52802</v>
      </c>
    </row>
    <row r="81" spans="1:15" ht="12.75" customHeight="1">
      <c r="A81" s="4" t="s">
        <v>150</v>
      </c>
      <c r="B81" s="5" t="s">
        <v>151</v>
      </c>
      <c r="C81" s="28">
        <v>38830</v>
      </c>
      <c r="D81" s="28">
        <v>23343</v>
      </c>
      <c r="E81" s="28">
        <v>1448</v>
      </c>
      <c r="F81" s="28">
        <f>SUM(C81-D81-E81)</f>
        <v>14039</v>
      </c>
      <c r="G81" s="28">
        <v>146379</v>
      </c>
      <c r="H81" s="28">
        <v>72964</v>
      </c>
      <c r="I81" s="28">
        <v>10080</v>
      </c>
      <c r="J81" s="28">
        <f>SUM(G81-H81-I81)</f>
        <v>63335</v>
      </c>
      <c r="K81" s="28">
        <v>1494</v>
      </c>
      <c r="L81" s="28">
        <v>0</v>
      </c>
      <c r="M81" s="28">
        <v>10300</v>
      </c>
      <c r="N81" s="28">
        <v>2602</v>
      </c>
      <c r="O81" s="28">
        <v>2602</v>
      </c>
    </row>
    <row r="82" spans="1:15" ht="12.75" customHeight="1">
      <c r="A82" s="4" t="s">
        <v>152</v>
      </c>
      <c r="B82" s="5" t="s">
        <v>153</v>
      </c>
      <c r="C82" s="28">
        <v>19463</v>
      </c>
      <c r="D82" s="28">
        <v>14318</v>
      </c>
      <c r="E82" s="28">
        <v>346</v>
      </c>
      <c r="F82" s="28">
        <f>SUM(C82-D82-E82)</f>
        <v>4799</v>
      </c>
      <c r="G82" s="28">
        <v>81359</v>
      </c>
      <c r="H82" s="28">
        <v>40901</v>
      </c>
      <c r="I82" s="28">
        <v>2447</v>
      </c>
      <c r="J82" s="28">
        <f>SUM(G82-H82-I82)</f>
        <v>38011</v>
      </c>
      <c r="K82" s="28">
        <v>590</v>
      </c>
      <c r="L82" s="28">
        <v>8</v>
      </c>
      <c r="M82" s="28">
        <v>8183</v>
      </c>
      <c r="N82" s="28">
        <v>516</v>
      </c>
      <c r="O82" s="28">
        <v>516</v>
      </c>
    </row>
    <row r="83" spans="1:15" ht="12.75" customHeight="1">
      <c r="A83" s="4" t="s">
        <v>154</v>
      </c>
      <c r="B83" s="5" t="s">
        <v>155</v>
      </c>
      <c r="C83" s="28">
        <v>5644</v>
      </c>
      <c r="D83" s="28">
        <v>4979</v>
      </c>
      <c r="E83" s="28">
        <v>648</v>
      </c>
      <c r="F83" s="28">
        <f>SUM(C83-D83-E83)</f>
        <v>17</v>
      </c>
      <c r="G83" s="28">
        <v>17632</v>
      </c>
      <c r="H83" s="28">
        <v>14425</v>
      </c>
      <c r="I83" s="28">
        <v>3032</v>
      </c>
      <c r="J83" s="28">
        <f>SUM(G83-H83-I83)</f>
        <v>175</v>
      </c>
      <c r="K83" s="28">
        <v>0</v>
      </c>
      <c r="L83" s="28">
        <v>0</v>
      </c>
      <c r="M83" s="28">
        <v>15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17650</v>
      </c>
      <c r="D84" s="28">
        <v>15865</v>
      </c>
      <c r="E84" s="28">
        <v>415</v>
      </c>
      <c r="F84" s="28">
        <f>SUM(C84-D84-E84)</f>
        <v>1370</v>
      </c>
      <c r="G84" s="28">
        <v>65060</v>
      </c>
      <c r="H84" s="28">
        <v>45551</v>
      </c>
      <c r="I84" s="28">
        <v>2702</v>
      </c>
      <c r="J84" s="28">
        <f>SUM(G84-H84-I84)</f>
        <v>16807</v>
      </c>
      <c r="K84" s="28">
        <v>695</v>
      </c>
      <c r="L84" s="28">
        <v>0</v>
      </c>
      <c r="M84" s="28">
        <v>6707</v>
      </c>
      <c r="N84" s="28">
        <v>227</v>
      </c>
      <c r="O84" s="28">
        <v>227</v>
      </c>
    </row>
    <row r="85" spans="1:15" ht="12.75" customHeight="1">
      <c r="A85" s="4" t="s">
        <v>158</v>
      </c>
      <c r="B85" s="5" t="s">
        <v>159</v>
      </c>
      <c r="C85" s="28">
        <v>27732</v>
      </c>
      <c r="D85" s="28">
        <v>24281</v>
      </c>
      <c r="E85" s="28">
        <v>1396</v>
      </c>
      <c r="F85" s="28">
        <f>SUM(C85-D85-E85)</f>
        <v>2055</v>
      </c>
      <c r="G85" s="28">
        <v>78304</v>
      </c>
      <c r="H85" s="28">
        <v>56920</v>
      </c>
      <c r="I85" s="28">
        <v>6574</v>
      </c>
      <c r="J85" s="28">
        <f>SUM(G85-H85-I85)</f>
        <v>14810</v>
      </c>
      <c r="K85" s="28">
        <v>1625</v>
      </c>
      <c r="L85" s="28">
        <v>129</v>
      </c>
      <c r="M85" s="28">
        <v>4652</v>
      </c>
      <c r="N85" s="28">
        <v>14387</v>
      </c>
      <c r="O85" s="28">
        <v>14387</v>
      </c>
    </row>
    <row r="86" spans="1:15" ht="12.75" customHeight="1">
      <c r="A86" s="8"/>
      <c r="B86" s="9" t="s">
        <v>160</v>
      </c>
      <c r="C86" s="29">
        <f t="shared" ref="C86:O86" si="19">SUM(C81:C85)</f>
        <v>109319</v>
      </c>
      <c r="D86" s="29">
        <f t="shared" si="19"/>
        <v>82786</v>
      </c>
      <c r="E86" s="29">
        <f t="shared" si="19"/>
        <v>4253</v>
      </c>
      <c r="F86" s="29">
        <f t="shared" si="19"/>
        <v>22280</v>
      </c>
      <c r="G86" s="29">
        <f t="shared" si="19"/>
        <v>388734</v>
      </c>
      <c r="H86" s="29">
        <f t="shared" si="19"/>
        <v>230761</v>
      </c>
      <c r="I86" s="29">
        <f t="shared" si="19"/>
        <v>24835</v>
      </c>
      <c r="J86" s="29">
        <f t="shared" si="19"/>
        <v>133138</v>
      </c>
      <c r="K86" s="29">
        <f t="shared" si="19"/>
        <v>4404</v>
      </c>
      <c r="L86" s="29">
        <f t="shared" si="19"/>
        <v>137</v>
      </c>
      <c r="M86" s="29">
        <f t="shared" si="19"/>
        <v>29857</v>
      </c>
      <c r="N86" s="29">
        <f t="shared" si="19"/>
        <v>17732</v>
      </c>
      <c r="O86" s="29">
        <f t="shared" si="19"/>
        <v>17732</v>
      </c>
    </row>
    <row r="87" spans="1:15" ht="12.75" customHeight="1">
      <c r="A87" s="4" t="s">
        <v>161</v>
      </c>
      <c r="B87" s="5" t="s">
        <v>162</v>
      </c>
      <c r="C87" s="28">
        <v>45893</v>
      </c>
      <c r="D87" s="28">
        <v>38247</v>
      </c>
      <c r="E87" s="28">
        <v>0</v>
      </c>
      <c r="F87" s="28">
        <f>SUM(C87-D87-E87)</f>
        <v>7646</v>
      </c>
      <c r="G87" s="28">
        <v>177075</v>
      </c>
      <c r="H87" s="28">
        <v>102833</v>
      </c>
      <c r="I87" s="28">
        <v>0</v>
      </c>
      <c r="J87" s="28">
        <f>SUM(G87-H87-I87)</f>
        <v>74242</v>
      </c>
      <c r="K87" s="28">
        <v>2103</v>
      </c>
      <c r="L87" s="28">
        <v>321</v>
      </c>
      <c r="M87" s="28">
        <v>12245</v>
      </c>
      <c r="N87" s="28">
        <v>952</v>
      </c>
      <c r="O87" s="28">
        <v>952</v>
      </c>
    </row>
    <row r="88" spans="1:15" ht="12.75" customHeight="1">
      <c r="A88" s="4" t="s">
        <v>163</v>
      </c>
      <c r="B88" s="5" t="s">
        <v>164</v>
      </c>
      <c r="C88" s="28">
        <v>37005</v>
      </c>
      <c r="D88" s="28">
        <v>17111</v>
      </c>
      <c r="E88" s="28">
        <v>1575</v>
      </c>
      <c r="F88" s="28">
        <f>SUM(C88-D88-E88)</f>
        <v>18319</v>
      </c>
      <c r="G88" s="28">
        <v>103942</v>
      </c>
      <c r="H88" s="28">
        <v>42951</v>
      </c>
      <c r="I88" s="28">
        <v>11192</v>
      </c>
      <c r="J88" s="28">
        <f>SUM(G88-H88-I88)</f>
        <v>49799</v>
      </c>
      <c r="K88" s="28">
        <v>681</v>
      </c>
      <c r="L88" s="28">
        <v>16</v>
      </c>
      <c r="M88" s="28">
        <v>4206</v>
      </c>
      <c r="N88" s="28">
        <v>222</v>
      </c>
      <c r="O88" s="28">
        <v>222</v>
      </c>
    </row>
    <row r="89" spans="1:15" ht="12.75" customHeight="1">
      <c r="A89" s="8"/>
      <c r="B89" s="9" t="s">
        <v>165</v>
      </c>
      <c r="C89" s="29">
        <f t="shared" ref="C89:O89" si="20">SUM(C87:C88)</f>
        <v>82898</v>
      </c>
      <c r="D89" s="29">
        <f t="shared" si="20"/>
        <v>55358</v>
      </c>
      <c r="E89" s="29">
        <f t="shared" si="20"/>
        <v>1575</v>
      </c>
      <c r="F89" s="29">
        <f t="shared" si="20"/>
        <v>25965</v>
      </c>
      <c r="G89" s="29">
        <f t="shared" si="20"/>
        <v>281017</v>
      </c>
      <c r="H89" s="29">
        <f t="shared" si="20"/>
        <v>145784</v>
      </c>
      <c r="I89" s="29">
        <f t="shared" si="20"/>
        <v>11192</v>
      </c>
      <c r="J89" s="29">
        <f t="shared" si="20"/>
        <v>124041</v>
      </c>
      <c r="K89" s="29">
        <f t="shared" si="20"/>
        <v>2784</v>
      </c>
      <c r="L89" s="29">
        <f t="shared" si="20"/>
        <v>337</v>
      </c>
      <c r="M89" s="29">
        <f t="shared" si="20"/>
        <v>16451</v>
      </c>
      <c r="N89" s="29">
        <f t="shared" si="20"/>
        <v>1174</v>
      </c>
      <c r="O89" s="29">
        <f t="shared" si="20"/>
        <v>1174</v>
      </c>
    </row>
    <row r="90" spans="1:15" ht="12.75" customHeight="1">
      <c r="A90" s="4" t="s">
        <v>166</v>
      </c>
      <c r="B90" s="5" t="s">
        <v>167</v>
      </c>
      <c r="C90" s="28">
        <v>39713</v>
      </c>
      <c r="D90" s="28">
        <v>26793</v>
      </c>
      <c r="E90" s="28">
        <v>3086</v>
      </c>
      <c r="F90" s="28">
        <f>SUM(C90-D90-E90)</f>
        <v>9834</v>
      </c>
      <c r="G90" s="28">
        <v>171061</v>
      </c>
      <c r="H90" s="28">
        <v>74415</v>
      </c>
      <c r="I90" s="28">
        <v>19958</v>
      </c>
      <c r="J90" s="28">
        <f>SUM(G90-H90-I90)</f>
        <v>76688</v>
      </c>
      <c r="K90" s="28">
        <v>1242</v>
      </c>
      <c r="L90" s="28">
        <v>67</v>
      </c>
      <c r="M90" s="28">
        <v>3785</v>
      </c>
      <c r="N90" s="28">
        <v>80</v>
      </c>
      <c r="O90" s="28">
        <v>80</v>
      </c>
    </row>
    <row r="91" spans="1:15" ht="12.75" customHeight="1">
      <c r="A91" s="4" t="s">
        <v>168</v>
      </c>
      <c r="B91" s="5" t="s">
        <v>169</v>
      </c>
      <c r="C91" s="28">
        <v>49398</v>
      </c>
      <c r="D91" s="28">
        <v>39922</v>
      </c>
      <c r="E91" s="28">
        <v>0</v>
      </c>
      <c r="F91" s="28">
        <f>SUM(C91-D91-E91)</f>
        <v>9476</v>
      </c>
      <c r="G91" s="28">
        <v>180172</v>
      </c>
      <c r="H91" s="28">
        <v>94135</v>
      </c>
      <c r="I91" s="28">
        <v>0</v>
      </c>
      <c r="J91" s="28">
        <f>SUM(G91-H91-I91)</f>
        <v>86037</v>
      </c>
      <c r="K91" s="28">
        <v>876</v>
      </c>
      <c r="L91" s="28">
        <v>554</v>
      </c>
      <c r="M91" s="28">
        <v>15812</v>
      </c>
      <c r="N91" s="28">
        <v>1119</v>
      </c>
      <c r="O91" s="28">
        <v>1119</v>
      </c>
    </row>
    <row r="92" spans="1:15" ht="12.75" customHeight="1">
      <c r="A92" s="4" t="s">
        <v>170</v>
      </c>
      <c r="B92" s="5" t="s">
        <v>171</v>
      </c>
      <c r="C92" s="28">
        <v>11171</v>
      </c>
      <c r="D92" s="28">
        <v>6365</v>
      </c>
      <c r="E92" s="28">
        <v>1257</v>
      </c>
      <c r="F92" s="28">
        <f>SUM(C92-D92-E92)</f>
        <v>3549</v>
      </c>
      <c r="G92" s="28">
        <v>32947</v>
      </c>
      <c r="H92" s="28">
        <v>16150</v>
      </c>
      <c r="I92" s="28">
        <v>10991</v>
      </c>
      <c r="J92" s="28">
        <f>SUM(G92-H92-I92)</f>
        <v>5806</v>
      </c>
      <c r="K92" s="28">
        <v>516</v>
      </c>
      <c r="L92" s="28">
        <v>0</v>
      </c>
      <c r="M92" s="28">
        <v>1208</v>
      </c>
      <c r="N92" s="28">
        <v>55</v>
      </c>
      <c r="O92" s="28">
        <v>55</v>
      </c>
    </row>
    <row r="93" spans="1:15" ht="12.75" customHeight="1">
      <c r="A93" s="4" t="s">
        <v>172</v>
      </c>
      <c r="B93" s="5" t="s">
        <v>173</v>
      </c>
      <c r="C93" s="28">
        <v>403350</v>
      </c>
      <c r="D93" s="28">
        <v>298377</v>
      </c>
      <c r="E93" s="28">
        <v>18620</v>
      </c>
      <c r="F93" s="28">
        <f>SUM(C93-D93-E93)</f>
        <v>86353</v>
      </c>
      <c r="G93" s="28">
        <v>1168320</v>
      </c>
      <c r="H93" s="28">
        <v>496710</v>
      </c>
      <c r="I93" s="28">
        <v>62038</v>
      </c>
      <c r="J93" s="28">
        <f>SUM(G93-H93-I93)</f>
        <v>609572</v>
      </c>
      <c r="K93" s="28">
        <v>42575</v>
      </c>
      <c r="L93" s="28">
        <v>135</v>
      </c>
      <c r="M93" s="28">
        <v>109162</v>
      </c>
      <c r="N93" s="28">
        <v>33493</v>
      </c>
      <c r="O93" s="28">
        <v>29458</v>
      </c>
    </row>
    <row r="94" spans="1:15" ht="12.75" customHeight="1">
      <c r="A94" s="4" t="s">
        <v>174</v>
      </c>
      <c r="B94" s="5" t="s">
        <v>175</v>
      </c>
      <c r="C94" s="28">
        <v>49586</v>
      </c>
      <c r="D94" s="28">
        <v>26592</v>
      </c>
      <c r="E94" s="28">
        <v>2195</v>
      </c>
      <c r="F94" s="28">
        <f>SUM(C94-D94-E94)</f>
        <v>20799</v>
      </c>
      <c r="G94" s="28">
        <v>134695</v>
      </c>
      <c r="H94" s="28">
        <v>57560</v>
      </c>
      <c r="I94" s="28">
        <v>8979</v>
      </c>
      <c r="J94" s="28">
        <f>SUM(G94-H94-I94)</f>
        <v>68156</v>
      </c>
      <c r="K94" s="28">
        <v>2774</v>
      </c>
      <c r="L94" s="28">
        <v>2205</v>
      </c>
      <c r="M94" s="28">
        <v>13885</v>
      </c>
      <c r="N94" s="28">
        <v>182</v>
      </c>
      <c r="O94" s="28">
        <v>182</v>
      </c>
    </row>
    <row r="95" spans="1:15" ht="12.75" customHeight="1">
      <c r="A95" s="8"/>
      <c r="B95" s="9" t="s">
        <v>176</v>
      </c>
      <c r="C95" s="29">
        <f t="shared" ref="C95:O95" si="21">SUM(C90:C94)</f>
        <v>553218</v>
      </c>
      <c r="D95" s="29">
        <f t="shared" si="21"/>
        <v>398049</v>
      </c>
      <c r="E95" s="29">
        <f t="shared" si="21"/>
        <v>25158</v>
      </c>
      <c r="F95" s="29">
        <f t="shared" si="21"/>
        <v>130011</v>
      </c>
      <c r="G95" s="29">
        <f t="shared" si="21"/>
        <v>1687195</v>
      </c>
      <c r="H95" s="29">
        <f t="shared" si="21"/>
        <v>738970</v>
      </c>
      <c r="I95" s="29">
        <f t="shared" si="21"/>
        <v>101966</v>
      </c>
      <c r="J95" s="29">
        <f t="shared" si="21"/>
        <v>846259</v>
      </c>
      <c r="K95" s="29">
        <f t="shared" si="21"/>
        <v>47983</v>
      </c>
      <c r="L95" s="29">
        <f t="shared" si="21"/>
        <v>2961</v>
      </c>
      <c r="M95" s="29">
        <f t="shared" si="21"/>
        <v>143852</v>
      </c>
      <c r="N95" s="29">
        <f t="shared" si="21"/>
        <v>34929</v>
      </c>
      <c r="O95" s="29">
        <f t="shared" si="21"/>
        <v>30894</v>
      </c>
    </row>
    <row r="96" spans="1:15" ht="12.75" customHeight="1">
      <c r="A96" s="4" t="s">
        <v>177</v>
      </c>
      <c r="B96" s="5" t="s">
        <v>178</v>
      </c>
      <c r="C96" s="28">
        <v>9275</v>
      </c>
      <c r="D96" s="28">
        <v>7617</v>
      </c>
      <c r="E96" s="28">
        <v>527</v>
      </c>
      <c r="F96" s="28">
        <f>SUM(C96-D96-E96)</f>
        <v>1131</v>
      </c>
      <c r="G96" s="28">
        <v>49359</v>
      </c>
      <c r="H96" s="28">
        <v>27779</v>
      </c>
      <c r="I96" s="28">
        <v>3260</v>
      </c>
      <c r="J96" s="28">
        <f>SUM(G96-H96-I96)</f>
        <v>18320</v>
      </c>
      <c r="K96" s="28">
        <v>31</v>
      </c>
      <c r="L96" s="28">
        <v>0</v>
      </c>
      <c r="M96" s="28">
        <v>10692</v>
      </c>
      <c r="N96" s="28">
        <v>71</v>
      </c>
      <c r="O96" s="28">
        <v>71</v>
      </c>
    </row>
    <row r="97" spans="1:15" ht="12.75" customHeight="1">
      <c r="A97" s="4" t="s">
        <v>179</v>
      </c>
      <c r="B97" s="5" t="s">
        <v>180</v>
      </c>
      <c r="C97" s="28">
        <v>3553</v>
      </c>
      <c r="D97" s="28">
        <v>3245</v>
      </c>
      <c r="E97" s="28">
        <v>0</v>
      </c>
      <c r="F97" s="28">
        <f>SUM(C97-D97-E97)</f>
        <v>308</v>
      </c>
      <c r="G97" s="28">
        <v>11241</v>
      </c>
      <c r="H97" s="28">
        <v>9695</v>
      </c>
      <c r="I97" s="28">
        <v>0</v>
      </c>
      <c r="J97" s="28">
        <f>SUM(G97-H97-I97)</f>
        <v>1546</v>
      </c>
      <c r="K97" s="28">
        <v>18</v>
      </c>
      <c r="L97" s="28">
        <v>0</v>
      </c>
      <c r="M97" s="28">
        <v>7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12828</v>
      </c>
      <c r="D98" s="29">
        <f t="shared" si="22"/>
        <v>10862</v>
      </c>
      <c r="E98" s="29">
        <f t="shared" si="22"/>
        <v>527</v>
      </c>
      <c r="F98" s="29">
        <f t="shared" si="22"/>
        <v>1439</v>
      </c>
      <c r="G98" s="29">
        <f t="shared" si="22"/>
        <v>60600</v>
      </c>
      <c r="H98" s="29">
        <f t="shared" si="22"/>
        <v>37474</v>
      </c>
      <c r="I98" s="29">
        <f t="shared" si="22"/>
        <v>3260</v>
      </c>
      <c r="J98" s="29">
        <f t="shared" si="22"/>
        <v>19866</v>
      </c>
      <c r="K98" s="29">
        <f t="shared" si="22"/>
        <v>49</v>
      </c>
      <c r="L98" s="29">
        <f t="shared" si="22"/>
        <v>0</v>
      </c>
      <c r="M98" s="29">
        <f t="shared" si="22"/>
        <v>10699</v>
      </c>
      <c r="N98" s="29">
        <f t="shared" si="22"/>
        <v>71</v>
      </c>
      <c r="O98" s="29">
        <f t="shared" si="22"/>
        <v>71</v>
      </c>
    </row>
    <row r="99" spans="1:15" ht="12.75" customHeight="1">
      <c r="A99" s="4" t="s">
        <v>182</v>
      </c>
      <c r="B99" s="5" t="s">
        <v>183</v>
      </c>
      <c r="C99" s="28">
        <v>26166</v>
      </c>
      <c r="D99" s="28">
        <v>22499</v>
      </c>
      <c r="E99" s="28">
        <v>1178</v>
      </c>
      <c r="F99" s="28">
        <f>SUM(C99-D99-E99)</f>
        <v>2489</v>
      </c>
      <c r="G99" s="28">
        <v>104435</v>
      </c>
      <c r="H99" s="28">
        <v>65207</v>
      </c>
      <c r="I99" s="28">
        <v>6660</v>
      </c>
      <c r="J99" s="28">
        <f>SUM(G99-H99-I99)</f>
        <v>32568</v>
      </c>
      <c r="K99" s="28">
        <v>336</v>
      </c>
      <c r="L99" s="28">
        <v>0</v>
      </c>
      <c r="M99" s="28">
        <v>6008</v>
      </c>
      <c r="N99" s="28">
        <v>300</v>
      </c>
      <c r="O99" s="28">
        <v>300</v>
      </c>
    </row>
    <row r="100" spans="1:15" ht="12.75" customHeight="1">
      <c r="A100" s="4" t="s">
        <v>184</v>
      </c>
      <c r="B100" s="5" t="s">
        <v>185</v>
      </c>
      <c r="C100" s="28">
        <v>26693</v>
      </c>
      <c r="D100" s="28">
        <v>15383</v>
      </c>
      <c r="E100" s="28">
        <v>1400</v>
      </c>
      <c r="F100" s="28">
        <f>SUM(C100-D100-E100)</f>
        <v>9910</v>
      </c>
      <c r="G100" s="28">
        <v>85782</v>
      </c>
      <c r="H100" s="28">
        <v>40552</v>
      </c>
      <c r="I100" s="28">
        <v>6576</v>
      </c>
      <c r="J100" s="28">
        <f>SUM(G100-H100-I100)</f>
        <v>38654</v>
      </c>
      <c r="K100" s="28">
        <v>612</v>
      </c>
      <c r="L100" s="28">
        <v>0</v>
      </c>
      <c r="M100" s="28">
        <v>3780</v>
      </c>
      <c r="N100" s="28">
        <v>2271</v>
      </c>
      <c r="O100" s="28">
        <v>2271</v>
      </c>
    </row>
    <row r="101" spans="1:15" ht="12.75" customHeight="1">
      <c r="A101" s="4" t="s">
        <v>186</v>
      </c>
      <c r="B101" s="5" t="s">
        <v>187</v>
      </c>
      <c r="C101" s="28">
        <v>13907</v>
      </c>
      <c r="D101" s="28">
        <v>12065</v>
      </c>
      <c r="E101" s="28">
        <v>0</v>
      </c>
      <c r="F101" s="28">
        <f>SUM(C101-D101-E101)</f>
        <v>1842</v>
      </c>
      <c r="G101" s="28">
        <v>44214</v>
      </c>
      <c r="H101" s="28">
        <v>31094</v>
      </c>
      <c r="I101" s="28">
        <v>0</v>
      </c>
      <c r="J101" s="28">
        <f>SUM(G101-H101-I101)</f>
        <v>13120</v>
      </c>
      <c r="K101" s="28">
        <v>109</v>
      </c>
      <c r="L101" s="28">
        <v>0</v>
      </c>
      <c r="M101" s="28">
        <v>1918</v>
      </c>
      <c r="N101" s="28">
        <v>227</v>
      </c>
      <c r="O101" s="28">
        <v>227</v>
      </c>
    </row>
    <row r="102" spans="1:15" ht="12.75" customHeight="1">
      <c r="A102" s="4" t="s">
        <v>188</v>
      </c>
      <c r="B102" s="5" t="s">
        <v>189</v>
      </c>
      <c r="C102" s="28">
        <v>23253</v>
      </c>
      <c r="D102" s="28">
        <v>19160</v>
      </c>
      <c r="E102" s="28">
        <v>1766</v>
      </c>
      <c r="F102" s="28">
        <f>SUM(C102-D102-E102)</f>
        <v>2327</v>
      </c>
      <c r="G102" s="28">
        <v>80075</v>
      </c>
      <c r="H102" s="28">
        <v>45257</v>
      </c>
      <c r="I102" s="28">
        <v>12492</v>
      </c>
      <c r="J102" s="28">
        <f>SUM(G102-H102-I102)</f>
        <v>22326</v>
      </c>
      <c r="K102" s="28">
        <v>871</v>
      </c>
      <c r="L102" s="28">
        <v>0</v>
      </c>
      <c r="M102" s="28">
        <v>3999</v>
      </c>
      <c r="N102" s="28">
        <v>39</v>
      </c>
      <c r="O102" s="28">
        <v>39</v>
      </c>
    </row>
    <row r="103" spans="1:15" ht="12.75" customHeight="1">
      <c r="A103" s="8"/>
      <c r="B103" s="9" t="s">
        <v>190</v>
      </c>
      <c r="C103" s="29">
        <f t="shared" ref="C103:O103" si="23">SUM(C99:C102)</f>
        <v>90019</v>
      </c>
      <c r="D103" s="29">
        <f t="shared" si="23"/>
        <v>69107</v>
      </c>
      <c r="E103" s="29">
        <f t="shared" si="23"/>
        <v>4344</v>
      </c>
      <c r="F103" s="29">
        <f t="shared" si="23"/>
        <v>16568</v>
      </c>
      <c r="G103" s="29">
        <f t="shared" si="23"/>
        <v>314506</v>
      </c>
      <c r="H103" s="29">
        <f t="shared" si="23"/>
        <v>182110</v>
      </c>
      <c r="I103" s="29">
        <f t="shared" si="23"/>
        <v>25728</v>
      </c>
      <c r="J103" s="29">
        <f t="shared" si="23"/>
        <v>106668</v>
      </c>
      <c r="K103" s="29">
        <f t="shared" si="23"/>
        <v>1928</v>
      </c>
      <c r="L103" s="29">
        <f t="shared" si="23"/>
        <v>0</v>
      </c>
      <c r="M103" s="29">
        <f t="shared" si="23"/>
        <v>15705</v>
      </c>
      <c r="N103" s="29">
        <f t="shared" si="23"/>
        <v>2837</v>
      </c>
      <c r="O103" s="29">
        <f t="shared" si="23"/>
        <v>2837</v>
      </c>
    </row>
    <row r="104" spans="1:15" ht="12.75" customHeight="1">
      <c r="A104" s="4" t="s">
        <v>191</v>
      </c>
      <c r="B104" s="5" t="s">
        <v>192</v>
      </c>
      <c r="C104" s="28">
        <v>16883</v>
      </c>
      <c r="D104" s="28">
        <v>13391</v>
      </c>
      <c r="E104" s="28">
        <v>714</v>
      </c>
      <c r="F104" s="28">
        <f>SUM(C104-D104-E104)</f>
        <v>2778</v>
      </c>
      <c r="G104" s="28">
        <v>69463</v>
      </c>
      <c r="H104" s="28">
        <v>41834</v>
      </c>
      <c r="I104" s="28">
        <v>5367</v>
      </c>
      <c r="J104" s="28">
        <f>SUM(G104-H104-I104)</f>
        <v>22262</v>
      </c>
      <c r="K104" s="28">
        <v>746</v>
      </c>
      <c r="L104" s="28">
        <v>0</v>
      </c>
      <c r="M104" s="28">
        <v>4029</v>
      </c>
      <c r="N104" s="28">
        <v>307</v>
      </c>
      <c r="O104" s="28">
        <v>307</v>
      </c>
    </row>
    <row r="105" spans="1:15" ht="12.75" customHeight="1">
      <c r="A105" s="4" t="s">
        <v>193</v>
      </c>
      <c r="B105" s="5" t="s">
        <v>194</v>
      </c>
      <c r="C105" s="28">
        <v>11222</v>
      </c>
      <c r="D105" s="28">
        <v>8105</v>
      </c>
      <c r="E105" s="28">
        <v>0</v>
      </c>
      <c r="F105" s="28">
        <f>SUM(C105-D105-E105)</f>
        <v>3117</v>
      </c>
      <c r="G105" s="28">
        <v>51586</v>
      </c>
      <c r="H105" s="28">
        <v>24200</v>
      </c>
      <c r="I105" s="28">
        <v>0</v>
      </c>
      <c r="J105" s="28">
        <f>SUM(G105-H105-I105)</f>
        <v>27386</v>
      </c>
      <c r="K105" s="28">
        <v>201</v>
      </c>
      <c r="L105" s="28">
        <v>0</v>
      </c>
      <c r="M105" s="28">
        <v>5772</v>
      </c>
      <c r="N105" s="28">
        <v>95</v>
      </c>
      <c r="O105" s="28">
        <v>95</v>
      </c>
    </row>
    <row r="106" spans="1:15" ht="12.75" customHeight="1">
      <c r="A106" s="4" t="s">
        <v>195</v>
      </c>
      <c r="B106" s="5" t="s">
        <v>196</v>
      </c>
      <c r="C106" s="28">
        <v>58186</v>
      </c>
      <c r="D106" s="28">
        <v>37752</v>
      </c>
      <c r="E106" s="28">
        <v>1917</v>
      </c>
      <c r="F106" s="28">
        <f>SUM(C106-D106-E106)</f>
        <v>18517</v>
      </c>
      <c r="G106" s="28">
        <v>269541</v>
      </c>
      <c r="H106" s="28">
        <v>108303</v>
      </c>
      <c r="I106" s="28">
        <v>10995</v>
      </c>
      <c r="J106" s="28">
        <f>SUM(G106-H106-I106)</f>
        <v>150243</v>
      </c>
      <c r="K106" s="28">
        <v>673</v>
      </c>
      <c r="L106" s="28">
        <v>0</v>
      </c>
      <c r="M106" s="28">
        <v>42510</v>
      </c>
      <c r="N106" s="28">
        <v>2567</v>
      </c>
      <c r="O106" s="28">
        <v>2567</v>
      </c>
    </row>
    <row r="107" spans="1:15" ht="12.75" customHeight="1">
      <c r="A107" s="4" t="s">
        <v>197</v>
      </c>
      <c r="B107" s="5" t="s">
        <v>198</v>
      </c>
      <c r="C107" s="28">
        <v>189910</v>
      </c>
      <c r="D107" s="28">
        <v>120152</v>
      </c>
      <c r="E107" s="28">
        <v>5717</v>
      </c>
      <c r="F107" s="28">
        <f>SUM(C107-D107-E107)</f>
        <v>64041</v>
      </c>
      <c r="G107" s="28">
        <v>534919</v>
      </c>
      <c r="H107" s="28">
        <v>217427</v>
      </c>
      <c r="I107" s="28">
        <v>15254</v>
      </c>
      <c r="J107" s="28">
        <f>SUM(G107-H107-I107)</f>
        <v>302238</v>
      </c>
      <c r="K107" s="28">
        <v>18467</v>
      </c>
      <c r="L107" s="28">
        <v>0</v>
      </c>
      <c r="M107" s="28">
        <v>9823</v>
      </c>
      <c r="N107" s="28">
        <v>13844</v>
      </c>
      <c r="O107" s="28">
        <v>13844</v>
      </c>
    </row>
    <row r="108" spans="1:15" ht="12.75" customHeight="1">
      <c r="A108" s="4" t="s">
        <v>199</v>
      </c>
      <c r="B108" s="5" t="s">
        <v>200</v>
      </c>
      <c r="C108" s="28">
        <v>51701</v>
      </c>
      <c r="D108" s="28">
        <v>37462</v>
      </c>
      <c r="E108" s="28">
        <v>2050</v>
      </c>
      <c r="F108" s="28">
        <f>SUM(C108-D108-E108)</f>
        <v>12189</v>
      </c>
      <c r="G108" s="28">
        <v>263741</v>
      </c>
      <c r="H108" s="28">
        <v>108127</v>
      </c>
      <c r="I108" s="28">
        <v>12383</v>
      </c>
      <c r="J108" s="28">
        <f>SUM(G108-H108-I108)</f>
        <v>143231</v>
      </c>
      <c r="K108" s="28">
        <v>1460</v>
      </c>
      <c r="L108" s="28">
        <v>0</v>
      </c>
      <c r="M108" s="28">
        <v>13526</v>
      </c>
      <c r="N108" s="28">
        <v>8842</v>
      </c>
      <c r="O108" s="28">
        <v>8842</v>
      </c>
    </row>
    <row r="109" spans="1:15" ht="12.75" customHeight="1">
      <c r="A109" s="8"/>
      <c r="B109" s="9" t="s">
        <v>201</v>
      </c>
      <c r="C109" s="29">
        <f t="shared" ref="C109:O109" si="24">SUM(C104:C108)</f>
        <v>327902</v>
      </c>
      <c r="D109" s="29">
        <f t="shared" si="24"/>
        <v>216862</v>
      </c>
      <c r="E109" s="29">
        <f t="shared" si="24"/>
        <v>10398</v>
      </c>
      <c r="F109" s="29">
        <f t="shared" si="24"/>
        <v>100642</v>
      </c>
      <c r="G109" s="29">
        <f t="shared" si="24"/>
        <v>1189250</v>
      </c>
      <c r="H109" s="29">
        <f t="shared" si="24"/>
        <v>499891</v>
      </c>
      <c r="I109" s="29">
        <f t="shared" si="24"/>
        <v>43999</v>
      </c>
      <c r="J109" s="29">
        <f t="shared" si="24"/>
        <v>645360</v>
      </c>
      <c r="K109" s="29">
        <f t="shared" si="24"/>
        <v>21547</v>
      </c>
      <c r="L109" s="29">
        <f t="shared" si="24"/>
        <v>0</v>
      </c>
      <c r="M109" s="29">
        <f t="shared" si="24"/>
        <v>75660</v>
      </c>
      <c r="N109" s="29">
        <f t="shared" si="24"/>
        <v>25655</v>
      </c>
      <c r="O109" s="29">
        <f t="shared" si="24"/>
        <v>25655</v>
      </c>
    </row>
    <row r="110" spans="1:15" ht="12.75" customHeight="1">
      <c r="A110" s="4" t="s">
        <v>202</v>
      </c>
      <c r="B110" s="5" t="s">
        <v>203</v>
      </c>
      <c r="C110" s="28">
        <v>83359</v>
      </c>
      <c r="D110" s="28">
        <v>70077</v>
      </c>
      <c r="E110" s="28">
        <v>1176</v>
      </c>
      <c r="F110" s="28">
        <f t="shared" ref="F110:F115" si="25">SUM(C110-D110-E110)</f>
        <v>12106</v>
      </c>
      <c r="G110" s="28">
        <v>332411</v>
      </c>
      <c r="H110" s="28">
        <v>208225</v>
      </c>
      <c r="I110" s="28">
        <v>8815</v>
      </c>
      <c r="J110" s="28">
        <f t="shared" ref="J110:J115" si="26">SUM(G110-H110-I110)</f>
        <v>115371</v>
      </c>
      <c r="K110" s="28">
        <v>4940</v>
      </c>
      <c r="L110" s="28">
        <v>0</v>
      </c>
      <c r="M110" s="28">
        <v>24978</v>
      </c>
      <c r="N110" s="28">
        <v>3778</v>
      </c>
      <c r="O110" s="28">
        <v>3778</v>
      </c>
    </row>
    <row r="111" spans="1:15" ht="12.75" customHeight="1">
      <c r="A111" s="4" t="s">
        <v>204</v>
      </c>
      <c r="B111" s="5" t="s">
        <v>205</v>
      </c>
      <c r="C111" s="28">
        <v>9074</v>
      </c>
      <c r="D111" s="28">
        <v>8413</v>
      </c>
      <c r="E111" s="28">
        <v>266</v>
      </c>
      <c r="F111" s="28">
        <f t="shared" si="25"/>
        <v>395</v>
      </c>
      <c r="G111" s="28">
        <v>29894</v>
      </c>
      <c r="H111" s="28">
        <v>21929</v>
      </c>
      <c r="I111" s="28">
        <v>1565</v>
      </c>
      <c r="J111" s="28">
        <f t="shared" si="26"/>
        <v>6400</v>
      </c>
      <c r="K111" s="28">
        <v>166</v>
      </c>
      <c r="L111" s="28">
        <v>0</v>
      </c>
      <c r="M111" s="28">
        <v>3413</v>
      </c>
      <c r="N111" s="28">
        <v>0</v>
      </c>
      <c r="O111" s="28">
        <v>0</v>
      </c>
    </row>
    <row r="112" spans="1:15" ht="12.75" customHeight="1">
      <c r="A112" s="4" t="s">
        <v>206</v>
      </c>
      <c r="B112" s="5" t="s">
        <v>207</v>
      </c>
      <c r="C112" s="28">
        <v>26120</v>
      </c>
      <c r="D112" s="28">
        <v>22464</v>
      </c>
      <c r="E112" s="28">
        <v>0</v>
      </c>
      <c r="F112" s="28">
        <f t="shared" si="25"/>
        <v>3656</v>
      </c>
      <c r="G112" s="28">
        <v>81940</v>
      </c>
      <c r="H112" s="28">
        <v>65335</v>
      </c>
      <c r="I112" s="28">
        <v>0</v>
      </c>
      <c r="J112" s="28">
        <f t="shared" si="26"/>
        <v>16605</v>
      </c>
      <c r="K112" s="28">
        <v>1100</v>
      </c>
      <c r="L112" s="28">
        <v>8539</v>
      </c>
      <c r="M112" s="28">
        <v>4312</v>
      </c>
      <c r="N112" s="28">
        <v>35036</v>
      </c>
      <c r="O112" s="28">
        <v>35036</v>
      </c>
    </row>
    <row r="113" spans="1:15" ht="12.75" customHeight="1">
      <c r="A113" s="4" t="s">
        <v>208</v>
      </c>
      <c r="B113" s="5" t="s">
        <v>209</v>
      </c>
      <c r="C113" s="28">
        <v>27864</v>
      </c>
      <c r="D113" s="28">
        <v>18902</v>
      </c>
      <c r="E113" s="28">
        <v>1466</v>
      </c>
      <c r="F113" s="28">
        <f t="shared" si="25"/>
        <v>7496</v>
      </c>
      <c r="G113" s="28">
        <v>100890</v>
      </c>
      <c r="H113" s="28">
        <v>56470</v>
      </c>
      <c r="I113" s="28">
        <v>7671</v>
      </c>
      <c r="J113" s="28">
        <f t="shared" si="26"/>
        <v>36749</v>
      </c>
      <c r="K113" s="28">
        <v>1568</v>
      </c>
      <c r="L113" s="28">
        <v>0</v>
      </c>
      <c r="M113" s="28">
        <v>25129</v>
      </c>
      <c r="N113" s="28">
        <v>283</v>
      </c>
      <c r="O113" s="28">
        <v>283</v>
      </c>
    </row>
    <row r="114" spans="1:15" ht="12.75" customHeight="1">
      <c r="A114" s="4" t="s">
        <v>210</v>
      </c>
      <c r="B114" s="5" t="s">
        <v>211</v>
      </c>
      <c r="C114" s="28">
        <v>102366</v>
      </c>
      <c r="D114" s="28">
        <v>53187</v>
      </c>
      <c r="E114" s="28">
        <v>0</v>
      </c>
      <c r="F114" s="28">
        <f t="shared" si="25"/>
        <v>49179</v>
      </c>
      <c r="G114" s="28">
        <v>287364</v>
      </c>
      <c r="H114" s="28">
        <v>122441</v>
      </c>
      <c r="I114" s="28">
        <v>0</v>
      </c>
      <c r="J114" s="28">
        <f t="shared" si="26"/>
        <v>164923</v>
      </c>
      <c r="K114" s="28">
        <v>18559</v>
      </c>
      <c r="L114" s="28">
        <v>0</v>
      </c>
      <c r="M114" s="28">
        <v>18387</v>
      </c>
      <c r="N114" s="28">
        <v>7514</v>
      </c>
      <c r="O114" s="28">
        <v>7514</v>
      </c>
    </row>
    <row r="115" spans="1:15" ht="12.75" customHeight="1">
      <c r="A115" s="4" t="s">
        <v>212</v>
      </c>
      <c r="B115" s="5" t="s">
        <v>213</v>
      </c>
      <c r="C115" s="28">
        <v>33566</v>
      </c>
      <c r="D115" s="28">
        <v>31115</v>
      </c>
      <c r="E115" s="28">
        <v>0</v>
      </c>
      <c r="F115" s="28">
        <f t="shared" si="25"/>
        <v>2451</v>
      </c>
      <c r="G115" s="28">
        <v>97913</v>
      </c>
      <c r="H115" s="28">
        <v>84138</v>
      </c>
      <c r="I115" s="28">
        <v>0</v>
      </c>
      <c r="J115" s="28">
        <f t="shared" si="26"/>
        <v>13775</v>
      </c>
      <c r="K115" s="28">
        <v>1726</v>
      </c>
      <c r="L115" s="28">
        <v>0</v>
      </c>
      <c r="M115" s="28">
        <v>4593</v>
      </c>
      <c r="N115" s="28">
        <v>1895</v>
      </c>
      <c r="O115" s="28">
        <v>1895</v>
      </c>
    </row>
    <row r="116" spans="1:15" ht="12.75" customHeight="1">
      <c r="A116" s="8"/>
      <c r="B116" s="9" t="s">
        <v>214</v>
      </c>
      <c r="C116" s="29">
        <f t="shared" ref="C116:O116" si="27">SUM(C110:C115)</f>
        <v>282349</v>
      </c>
      <c r="D116" s="29">
        <f t="shared" si="27"/>
        <v>204158</v>
      </c>
      <c r="E116" s="29">
        <f t="shared" si="27"/>
        <v>2908</v>
      </c>
      <c r="F116" s="29">
        <f t="shared" si="27"/>
        <v>75283</v>
      </c>
      <c r="G116" s="29">
        <f t="shared" si="27"/>
        <v>930412</v>
      </c>
      <c r="H116" s="29">
        <f t="shared" si="27"/>
        <v>558538</v>
      </c>
      <c r="I116" s="29">
        <f t="shared" si="27"/>
        <v>18051</v>
      </c>
      <c r="J116" s="29">
        <f t="shared" si="27"/>
        <v>353823</v>
      </c>
      <c r="K116" s="29">
        <f t="shared" si="27"/>
        <v>28059</v>
      </c>
      <c r="L116" s="29">
        <f t="shared" si="27"/>
        <v>8539</v>
      </c>
      <c r="M116" s="29">
        <f t="shared" si="27"/>
        <v>80812</v>
      </c>
      <c r="N116" s="29">
        <f t="shared" si="27"/>
        <v>48506</v>
      </c>
      <c r="O116" s="29">
        <f t="shared" si="27"/>
        <v>48506</v>
      </c>
    </row>
    <row r="117" spans="1:15" ht="12.75" customHeight="1">
      <c r="A117" s="4" t="s">
        <v>215</v>
      </c>
      <c r="B117" s="5" t="s">
        <v>216</v>
      </c>
      <c r="C117" s="28">
        <v>9539</v>
      </c>
      <c r="D117" s="28">
        <v>7541</v>
      </c>
      <c r="E117" s="28">
        <v>0</v>
      </c>
      <c r="F117" s="28">
        <f>SUM(C117-D117-E117)</f>
        <v>1998</v>
      </c>
      <c r="G117" s="28">
        <v>34962</v>
      </c>
      <c r="H117" s="28">
        <v>23908</v>
      </c>
      <c r="I117" s="28">
        <v>0</v>
      </c>
      <c r="J117" s="28">
        <f>SUM(G117-H117-I117)</f>
        <v>11054</v>
      </c>
      <c r="K117" s="28">
        <v>18</v>
      </c>
      <c r="L117" s="28">
        <v>0</v>
      </c>
      <c r="M117" s="28">
        <v>7732</v>
      </c>
      <c r="N117" s="28">
        <v>82</v>
      </c>
      <c r="O117" s="28">
        <v>82</v>
      </c>
    </row>
    <row r="118" spans="1:15" ht="12.75" customHeight="1">
      <c r="A118" s="4" t="s">
        <v>217</v>
      </c>
      <c r="B118" s="5" t="s">
        <v>218</v>
      </c>
      <c r="C118" s="28">
        <v>22095</v>
      </c>
      <c r="D118" s="28">
        <v>19974</v>
      </c>
      <c r="E118" s="28">
        <v>581</v>
      </c>
      <c r="F118" s="28">
        <f>SUM(C118-D118-E118)</f>
        <v>1540</v>
      </c>
      <c r="G118" s="28">
        <v>86907</v>
      </c>
      <c r="H118" s="28">
        <v>56196</v>
      </c>
      <c r="I118" s="28">
        <v>3492</v>
      </c>
      <c r="J118" s="28">
        <f>SUM(G118-H118-I118)</f>
        <v>27219</v>
      </c>
      <c r="K118" s="28">
        <v>359</v>
      </c>
      <c r="L118" s="28">
        <v>0</v>
      </c>
      <c r="M118" s="28">
        <v>6632</v>
      </c>
      <c r="N118" s="28">
        <v>2846</v>
      </c>
      <c r="O118" s="28">
        <v>2846</v>
      </c>
    </row>
    <row r="119" spans="1:15" ht="12.75" customHeight="1">
      <c r="A119" s="8"/>
      <c r="B119" s="9" t="s">
        <v>219</v>
      </c>
      <c r="C119" s="29">
        <f t="shared" ref="C119:O119" si="28">SUM(C117:C118)</f>
        <v>31634</v>
      </c>
      <c r="D119" s="29">
        <f t="shared" si="28"/>
        <v>27515</v>
      </c>
      <c r="E119" s="29">
        <f t="shared" si="28"/>
        <v>581</v>
      </c>
      <c r="F119" s="29">
        <f t="shared" si="28"/>
        <v>3538</v>
      </c>
      <c r="G119" s="29">
        <f t="shared" si="28"/>
        <v>121869</v>
      </c>
      <c r="H119" s="29">
        <f t="shared" si="28"/>
        <v>80104</v>
      </c>
      <c r="I119" s="29">
        <f t="shared" si="28"/>
        <v>3492</v>
      </c>
      <c r="J119" s="29">
        <f t="shared" si="28"/>
        <v>38273</v>
      </c>
      <c r="K119" s="29">
        <f t="shared" si="28"/>
        <v>377</v>
      </c>
      <c r="L119" s="29">
        <f t="shared" si="28"/>
        <v>0</v>
      </c>
      <c r="M119" s="29">
        <f t="shared" si="28"/>
        <v>14364</v>
      </c>
      <c r="N119" s="29">
        <f t="shared" si="28"/>
        <v>2928</v>
      </c>
      <c r="O119" s="29">
        <f t="shared" si="28"/>
        <v>2928</v>
      </c>
    </row>
    <row r="120" spans="1:15" ht="12.75" customHeight="1">
      <c r="A120" s="4" t="s">
        <v>220</v>
      </c>
      <c r="B120" s="5" t="s">
        <v>221</v>
      </c>
      <c r="C120" s="28">
        <v>26966</v>
      </c>
      <c r="D120" s="28">
        <v>25099</v>
      </c>
      <c r="E120" s="28">
        <v>483</v>
      </c>
      <c r="F120" s="28">
        <f>SUM(C120-D120-E120)</f>
        <v>1384</v>
      </c>
      <c r="G120" s="28">
        <v>80234</v>
      </c>
      <c r="H120" s="28">
        <v>64921</v>
      </c>
      <c r="I120" s="28">
        <v>4539</v>
      </c>
      <c r="J120" s="28">
        <f>SUM(G120-H120-I120)</f>
        <v>10774</v>
      </c>
      <c r="K120" s="28">
        <v>2943</v>
      </c>
      <c r="L120" s="28">
        <v>0</v>
      </c>
      <c r="M120" s="28">
        <v>3679</v>
      </c>
      <c r="N120" s="28">
        <v>1820</v>
      </c>
      <c r="O120" s="28">
        <v>1820</v>
      </c>
    </row>
    <row r="121" spans="1:15" ht="12.75" customHeight="1">
      <c r="A121" s="4" t="s">
        <v>222</v>
      </c>
      <c r="B121" s="5" t="s">
        <v>223</v>
      </c>
      <c r="C121" s="28">
        <v>44281</v>
      </c>
      <c r="D121" s="28">
        <v>40139</v>
      </c>
      <c r="E121" s="28">
        <v>1412</v>
      </c>
      <c r="F121" s="28">
        <f>SUM(C121-D121-E121)</f>
        <v>2730</v>
      </c>
      <c r="G121" s="28">
        <v>142708</v>
      </c>
      <c r="H121" s="28">
        <v>108307</v>
      </c>
      <c r="I121" s="28">
        <v>8422</v>
      </c>
      <c r="J121" s="28">
        <f>SUM(G121-H121-I121)</f>
        <v>25979</v>
      </c>
      <c r="K121" s="28">
        <v>425</v>
      </c>
      <c r="L121" s="28">
        <v>107</v>
      </c>
      <c r="M121" s="28">
        <v>5642</v>
      </c>
      <c r="N121" s="28">
        <v>140</v>
      </c>
      <c r="O121" s="28">
        <v>140</v>
      </c>
    </row>
    <row r="122" spans="1:15" ht="12.75" customHeight="1">
      <c r="A122" s="4" t="s">
        <v>224</v>
      </c>
      <c r="B122" s="5" t="s">
        <v>225</v>
      </c>
      <c r="C122" s="28">
        <v>8270</v>
      </c>
      <c r="D122" s="28">
        <v>6821</v>
      </c>
      <c r="E122" s="28">
        <v>0</v>
      </c>
      <c r="F122" s="28">
        <f>SUM(C122-D122-E122)</f>
        <v>1449</v>
      </c>
      <c r="G122" s="28">
        <v>26384</v>
      </c>
      <c r="H122" s="28">
        <v>17995</v>
      </c>
      <c r="I122" s="28">
        <v>0</v>
      </c>
      <c r="J122" s="28">
        <f>SUM(G122-H122-I122)</f>
        <v>8389</v>
      </c>
      <c r="K122" s="28">
        <v>99</v>
      </c>
      <c r="L122" s="28">
        <v>0</v>
      </c>
      <c r="M122" s="28">
        <v>7882</v>
      </c>
      <c r="N122" s="28">
        <v>15</v>
      </c>
      <c r="O122" s="28">
        <v>15</v>
      </c>
    </row>
    <row r="123" spans="1:15" ht="12.75" customHeight="1">
      <c r="A123" s="4" t="s">
        <v>226</v>
      </c>
      <c r="B123" s="5" t="s">
        <v>227</v>
      </c>
      <c r="C123" s="28">
        <v>37117</v>
      </c>
      <c r="D123" s="28">
        <v>33840</v>
      </c>
      <c r="E123" s="28">
        <v>611</v>
      </c>
      <c r="F123" s="28">
        <f>SUM(C123-D123-E123)</f>
        <v>2666</v>
      </c>
      <c r="G123" s="28">
        <v>100669</v>
      </c>
      <c r="H123" s="28">
        <v>79245</v>
      </c>
      <c r="I123" s="28">
        <v>3953</v>
      </c>
      <c r="J123" s="28">
        <f>SUM(G123-H123-I123)</f>
        <v>17471</v>
      </c>
      <c r="K123" s="28">
        <v>1501</v>
      </c>
      <c r="L123" s="28">
        <v>0</v>
      </c>
      <c r="M123" s="28">
        <v>3114</v>
      </c>
      <c r="N123" s="28">
        <v>366</v>
      </c>
      <c r="O123" s="28">
        <v>366</v>
      </c>
    </row>
    <row r="124" spans="1:15" ht="12.75" customHeight="1">
      <c r="A124" s="4" t="s">
        <v>228</v>
      </c>
      <c r="B124" s="5" t="s">
        <v>229</v>
      </c>
      <c r="C124" s="28">
        <v>10845</v>
      </c>
      <c r="D124" s="28">
        <v>10311</v>
      </c>
      <c r="E124" s="28">
        <v>240</v>
      </c>
      <c r="F124" s="28">
        <f>SUM(C124-D124-E124)</f>
        <v>294</v>
      </c>
      <c r="G124" s="28">
        <v>29497</v>
      </c>
      <c r="H124" s="28">
        <v>24258</v>
      </c>
      <c r="I124" s="28">
        <v>1891</v>
      </c>
      <c r="J124" s="28">
        <f>SUM(G124-H124-I124)</f>
        <v>3348</v>
      </c>
      <c r="K124" s="28">
        <v>391</v>
      </c>
      <c r="L124" s="28">
        <v>0</v>
      </c>
      <c r="M124" s="28">
        <v>468</v>
      </c>
      <c r="N124" s="28">
        <v>258</v>
      </c>
      <c r="O124" s="28">
        <v>258</v>
      </c>
    </row>
    <row r="125" spans="1:15" ht="12.75" customHeight="1">
      <c r="A125" s="8"/>
      <c r="B125" s="9" t="s">
        <v>230</v>
      </c>
      <c r="C125" s="29">
        <f t="shared" ref="C125:O125" si="29">SUM(C120:C124)</f>
        <v>127479</v>
      </c>
      <c r="D125" s="29">
        <f t="shared" si="29"/>
        <v>116210</v>
      </c>
      <c r="E125" s="29">
        <f t="shared" si="29"/>
        <v>2746</v>
      </c>
      <c r="F125" s="29">
        <f t="shared" si="29"/>
        <v>8523</v>
      </c>
      <c r="G125" s="29">
        <f t="shared" si="29"/>
        <v>379492</v>
      </c>
      <c r="H125" s="29">
        <f t="shared" si="29"/>
        <v>294726</v>
      </c>
      <c r="I125" s="29">
        <f t="shared" si="29"/>
        <v>18805</v>
      </c>
      <c r="J125" s="29">
        <f t="shared" si="29"/>
        <v>65961</v>
      </c>
      <c r="K125" s="29">
        <f t="shared" si="29"/>
        <v>5359</v>
      </c>
      <c r="L125" s="29">
        <f t="shared" si="29"/>
        <v>107</v>
      </c>
      <c r="M125" s="29">
        <f t="shared" si="29"/>
        <v>20785</v>
      </c>
      <c r="N125" s="29">
        <f t="shared" si="29"/>
        <v>2599</v>
      </c>
      <c r="O125" s="29">
        <f t="shared" si="29"/>
        <v>2599</v>
      </c>
    </row>
    <row r="126" spans="1:15" ht="12.75" customHeight="1">
      <c r="A126" s="4" t="s">
        <v>231</v>
      </c>
      <c r="B126" s="5" t="s">
        <v>232</v>
      </c>
      <c r="C126" s="28">
        <v>27246</v>
      </c>
      <c r="D126" s="28">
        <v>22431</v>
      </c>
      <c r="E126" s="28">
        <v>0</v>
      </c>
      <c r="F126" s="28">
        <f t="shared" ref="F126:F134" si="30">SUM(C126-D126-E126)</f>
        <v>4815</v>
      </c>
      <c r="G126" s="28">
        <v>67366</v>
      </c>
      <c r="H126" s="28">
        <v>46621</v>
      </c>
      <c r="I126" s="28">
        <v>0</v>
      </c>
      <c r="J126" s="28">
        <f t="shared" ref="J126:J134" si="31">SUM(G126-H126-I126)</f>
        <v>20745</v>
      </c>
      <c r="K126" s="28">
        <v>244</v>
      </c>
      <c r="L126" s="28">
        <v>92</v>
      </c>
      <c r="M126" s="28">
        <v>8049</v>
      </c>
      <c r="N126" s="28">
        <v>4716</v>
      </c>
      <c r="O126" s="28">
        <v>4716</v>
      </c>
    </row>
    <row r="127" spans="1:15" ht="12.75" customHeight="1">
      <c r="A127" s="4" t="s">
        <v>233</v>
      </c>
      <c r="B127" s="5" t="s">
        <v>234</v>
      </c>
      <c r="C127" s="28">
        <v>14621</v>
      </c>
      <c r="D127" s="28">
        <v>12130</v>
      </c>
      <c r="E127" s="28">
        <v>0</v>
      </c>
      <c r="F127" s="28">
        <f t="shared" si="30"/>
        <v>2491</v>
      </c>
      <c r="G127" s="28">
        <v>40304</v>
      </c>
      <c r="H127" s="28">
        <v>32455</v>
      </c>
      <c r="I127" s="28">
        <v>0</v>
      </c>
      <c r="J127" s="28">
        <f t="shared" si="31"/>
        <v>7849</v>
      </c>
      <c r="K127" s="28">
        <v>194</v>
      </c>
      <c r="L127" s="28">
        <v>0</v>
      </c>
      <c r="M127" s="28">
        <v>2638</v>
      </c>
      <c r="N127" s="28">
        <v>186</v>
      </c>
      <c r="O127" s="28">
        <v>186</v>
      </c>
    </row>
    <row r="128" spans="1:15" ht="12.75" customHeight="1">
      <c r="A128" s="4" t="s">
        <v>235</v>
      </c>
      <c r="B128" s="5" t="s">
        <v>236</v>
      </c>
      <c r="C128" s="28">
        <v>101104</v>
      </c>
      <c r="D128" s="28">
        <v>75569</v>
      </c>
      <c r="E128" s="28">
        <v>1865</v>
      </c>
      <c r="F128" s="28">
        <f t="shared" si="30"/>
        <v>23670</v>
      </c>
      <c r="G128" s="28">
        <v>245363</v>
      </c>
      <c r="H128" s="28">
        <v>152712</v>
      </c>
      <c r="I128" s="28">
        <v>8265</v>
      </c>
      <c r="J128" s="28">
        <f t="shared" si="31"/>
        <v>84386</v>
      </c>
      <c r="K128" s="28">
        <v>3821</v>
      </c>
      <c r="L128" s="28">
        <v>0</v>
      </c>
      <c r="M128" s="28">
        <v>12734</v>
      </c>
      <c r="N128" s="28">
        <v>1831</v>
      </c>
      <c r="O128" s="28">
        <v>1831</v>
      </c>
    </row>
    <row r="129" spans="1:15" ht="12.75" customHeight="1">
      <c r="A129" s="4" t="s">
        <v>237</v>
      </c>
      <c r="B129" s="5" t="s">
        <v>238</v>
      </c>
      <c r="C129" s="28">
        <v>8236</v>
      </c>
      <c r="D129" s="28">
        <v>6348</v>
      </c>
      <c r="E129" s="28">
        <v>435</v>
      </c>
      <c r="F129" s="28">
        <f t="shared" si="30"/>
        <v>1453</v>
      </c>
      <c r="G129" s="28">
        <v>32816</v>
      </c>
      <c r="H129" s="28">
        <v>15482</v>
      </c>
      <c r="I129" s="28">
        <v>3282</v>
      </c>
      <c r="J129" s="28">
        <f t="shared" si="31"/>
        <v>14052</v>
      </c>
      <c r="K129" s="28">
        <v>385</v>
      </c>
      <c r="L129" s="28">
        <v>0</v>
      </c>
      <c r="M129" s="28">
        <v>8731</v>
      </c>
      <c r="N129" s="28">
        <v>343</v>
      </c>
      <c r="O129" s="28">
        <v>343</v>
      </c>
    </row>
    <row r="130" spans="1:15" ht="12.75" customHeight="1">
      <c r="A130" s="4" t="s">
        <v>239</v>
      </c>
      <c r="B130" s="5" t="s">
        <v>240</v>
      </c>
      <c r="C130" s="28">
        <v>53356</v>
      </c>
      <c r="D130" s="28">
        <v>45765</v>
      </c>
      <c r="E130" s="28">
        <v>3072</v>
      </c>
      <c r="F130" s="28">
        <f t="shared" si="30"/>
        <v>4519</v>
      </c>
      <c r="G130" s="28">
        <v>134750</v>
      </c>
      <c r="H130" s="28">
        <v>70347</v>
      </c>
      <c r="I130" s="28">
        <v>13574</v>
      </c>
      <c r="J130" s="28">
        <f t="shared" si="31"/>
        <v>50829</v>
      </c>
      <c r="K130" s="28">
        <v>1391</v>
      </c>
      <c r="L130" s="28">
        <v>5100</v>
      </c>
      <c r="M130" s="28">
        <v>563</v>
      </c>
      <c r="N130" s="28">
        <v>598656</v>
      </c>
      <c r="O130" s="28">
        <v>30562</v>
      </c>
    </row>
    <row r="131" spans="1:15" ht="12.75" customHeight="1">
      <c r="A131" s="4" t="s">
        <v>241</v>
      </c>
      <c r="B131" s="5" t="s">
        <v>242</v>
      </c>
      <c r="C131" s="28">
        <v>100737</v>
      </c>
      <c r="D131" s="28">
        <v>84214</v>
      </c>
      <c r="E131" s="28">
        <v>753</v>
      </c>
      <c r="F131" s="28">
        <f t="shared" si="30"/>
        <v>15770</v>
      </c>
      <c r="G131" s="28">
        <v>221296</v>
      </c>
      <c r="H131" s="28">
        <v>124171</v>
      </c>
      <c r="I131" s="28">
        <v>3680</v>
      </c>
      <c r="J131" s="28">
        <f t="shared" si="31"/>
        <v>93445</v>
      </c>
      <c r="K131" s="28">
        <v>2334</v>
      </c>
      <c r="L131" s="28">
        <v>59</v>
      </c>
      <c r="M131" s="28">
        <v>4177</v>
      </c>
      <c r="N131" s="28">
        <v>871</v>
      </c>
      <c r="O131" s="28">
        <v>871</v>
      </c>
    </row>
    <row r="132" spans="1:15" ht="12.75" customHeight="1">
      <c r="A132" s="4" t="s">
        <v>243</v>
      </c>
      <c r="B132" s="5" t="s">
        <v>244</v>
      </c>
      <c r="C132" s="28">
        <v>42230</v>
      </c>
      <c r="D132" s="28">
        <v>35267</v>
      </c>
      <c r="E132" s="28">
        <v>0</v>
      </c>
      <c r="F132" s="28">
        <f t="shared" si="30"/>
        <v>6963</v>
      </c>
      <c r="G132" s="28">
        <v>122201</v>
      </c>
      <c r="H132" s="28">
        <v>78313</v>
      </c>
      <c r="I132" s="28">
        <v>0</v>
      </c>
      <c r="J132" s="28">
        <f t="shared" si="31"/>
        <v>43888</v>
      </c>
      <c r="K132" s="28">
        <v>5984</v>
      </c>
      <c r="L132" s="28">
        <v>0</v>
      </c>
      <c r="M132" s="28">
        <v>8277</v>
      </c>
      <c r="N132" s="28">
        <v>222</v>
      </c>
      <c r="O132" s="28">
        <v>222</v>
      </c>
    </row>
    <row r="133" spans="1:15" ht="12.75" customHeight="1">
      <c r="A133" s="4" t="s">
        <v>245</v>
      </c>
      <c r="B133" s="5" t="s">
        <v>246</v>
      </c>
      <c r="C133" s="28">
        <v>33767</v>
      </c>
      <c r="D133" s="28">
        <v>29980</v>
      </c>
      <c r="E133" s="28">
        <v>0</v>
      </c>
      <c r="F133" s="28">
        <f t="shared" si="30"/>
        <v>3787</v>
      </c>
      <c r="G133" s="28">
        <v>84651</v>
      </c>
      <c r="H133" s="28">
        <v>62235</v>
      </c>
      <c r="I133" s="28">
        <v>0</v>
      </c>
      <c r="J133" s="28">
        <f t="shared" si="31"/>
        <v>22416</v>
      </c>
      <c r="K133" s="28">
        <v>1013</v>
      </c>
      <c r="L133" s="28">
        <v>352</v>
      </c>
      <c r="M133" s="28">
        <v>6282</v>
      </c>
      <c r="N133" s="28">
        <v>10787</v>
      </c>
      <c r="O133" s="28">
        <v>10787</v>
      </c>
    </row>
    <row r="134" spans="1:15" ht="12.75" customHeight="1">
      <c r="A134" s="4" t="s">
        <v>247</v>
      </c>
      <c r="B134" s="5" t="s">
        <v>248</v>
      </c>
      <c r="C134" s="28">
        <v>30389</v>
      </c>
      <c r="D134" s="28">
        <v>21626</v>
      </c>
      <c r="E134" s="28">
        <v>0</v>
      </c>
      <c r="F134" s="28">
        <f t="shared" si="30"/>
        <v>8763</v>
      </c>
      <c r="G134" s="28">
        <v>111500</v>
      </c>
      <c r="H134" s="28">
        <v>40023</v>
      </c>
      <c r="I134" s="28">
        <v>0</v>
      </c>
      <c r="J134" s="28">
        <f t="shared" si="31"/>
        <v>71477</v>
      </c>
      <c r="K134" s="28">
        <v>211</v>
      </c>
      <c r="L134" s="28">
        <v>0</v>
      </c>
      <c r="M134" s="28">
        <v>8541</v>
      </c>
      <c r="N134" s="28">
        <v>30</v>
      </c>
      <c r="O134" s="28">
        <v>30</v>
      </c>
    </row>
    <row r="135" spans="1:15" ht="12.75" customHeight="1">
      <c r="A135" s="10"/>
      <c r="B135" s="9" t="s">
        <v>249</v>
      </c>
      <c r="C135" s="29">
        <f t="shared" ref="C135:O135" si="32">SUM(C126:C134)</f>
        <v>411686</v>
      </c>
      <c r="D135" s="29">
        <f t="shared" si="32"/>
        <v>333330</v>
      </c>
      <c r="E135" s="29">
        <f t="shared" si="32"/>
        <v>6125</v>
      </c>
      <c r="F135" s="29">
        <f t="shared" si="32"/>
        <v>72231</v>
      </c>
      <c r="G135" s="29">
        <f t="shared" si="32"/>
        <v>1060247</v>
      </c>
      <c r="H135" s="29">
        <f t="shared" si="32"/>
        <v>622359</v>
      </c>
      <c r="I135" s="29">
        <f t="shared" si="32"/>
        <v>28801</v>
      </c>
      <c r="J135" s="29">
        <f t="shared" si="32"/>
        <v>409087</v>
      </c>
      <c r="K135" s="29">
        <f t="shared" si="32"/>
        <v>15577</v>
      </c>
      <c r="L135" s="29">
        <f t="shared" si="32"/>
        <v>5603</v>
      </c>
      <c r="M135" s="29">
        <f t="shared" si="32"/>
        <v>59992</v>
      </c>
      <c r="N135" s="29">
        <f t="shared" si="32"/>
        <v>617642</v>
      </c>
      <c r="O135" s="29">
        <f t="shared" si="32"/>
        <v>49548</v>
      </c>
    </row>
    <row r="136" spans="1:15" ht="12.75" customHeight="1">
      <c r="A136" s="4" t="s">
        <v>250</v>
      </c>
      <c r="B136" s="5" t="s">
        <v>251</v>
      </c>
      <c r="C136" s="28">
        <v>62345</v>
      </c>
      <c r="D136" s="28">
        <v>58459</v>
      </c>
      <c r="E136" s="28">
        <v>0</v>
      </c>
      <c r="F136" s="28">
        <f t="shared" ref="F136:F143" si="33">SUM(C136-D136-E136)</f>
        <v>3886</v>
      </c>
      <c r="G136" s="28">
        <v>136611</v>
      </c>
      <c r="H136" s="28">
        <v>110747</v>
      </c>
      <c r="I136" s="28">
        <v>0</v>
      </c>
      <c r="J136" s="28">
        <f t="shared" ref="J136:J143" si="34">SUM(G136-H136-I136)</f>
        <v>25864</v>
      </c>
      <c r="K136" s="28">
        <v>13038</v>
      </c>
      <c r="L136" s="28">
        <v>6172</v>
      </c>
      <c r="M136" s="28">
        <v>9104</v>
      </c>
      <c r="N136" s="28">
        <v>27045</v>
      </c>
      <c r="O136" s="28">
        <v>24006</v>
      </c>
    </row>
    <row r="137" spans="1:15" ht="12.75" customHeight="1">
      <c r="A137" s="4" t="s">
        <v>252</v>
      </c>
      <c r="B137" s="5" t="s">
        <v>253</v>
      </c>
      <c r="C137" s="28">
        <v>7565</v>
      </c>
      <c r="D137" s="28">
        <v>5734</v>
      </c>
      <c r="E137" s="28">
        <v>0</v>
      </c>
      <c r="F137" s="28">
        <f t="shared" si="33"/>
        <v>1831</v>
      </c>
      <c r="G137" s="28">
        <v>14435</v>
      </c>
      <c r="H137" s="28">
        <v>10847</v>
      </c>
      <c r="I137" s="28">
        <v>0</v>
      </c>
      <c r="J137" s="28">
        <f t="shared" si="34"/>
        <v>3588</v>
      </c>
      <c r="K137" s="28">
        <v>277</v>
      </c>
      <c r="L137" s="28">
        <v>0</v>
      </c>
      <c r="M137" s="28">
        <v>0</v>
      </c>
      <c r="N137" s="28">
        <v>7</v>
      </c>
      <c r="O137" s="28">
        <v>7</v>
      </c>
    </row>
    <row r="138" spans="1:15" ht="12.75" customHeight="1">
      <c r="A138" s="4" t="s">
        <v>254</v>
      </c>
      <c r="B138" s="5" t="s">
        <v>255</v>
      </c>
      <c r="C138" s="28">
        <v>3855</v>
      </c>
      <c r="D138" s="28">
        <v>3495</v>
      </c>
      <c r="E138" s="28">
        <v>0</v>
      </c>
      <c r="F138" s="28">
        <f t="shared" si="33"/>
        <v>360</v>
      </c>
      <c r="G138" s="28">
        <v>8961</v>
      </c>
      <c r="H138" s="28">
        <v>8238</v>
      </c>
      <c r="I138" s="28">
        <v>0</v>
      </c>
      <c r="J138" s="28">
        <f t="shared" si="34"/>
        <v>723</v>
      </c>
      <c r="K138" s="28">
        <v>97</v>
      </c>
      <c r="L138" s="28">
        <v>0</v>
      </c>
      <c r="M138" s="28">
        <v>461</v>
      </c>
      <c r="N138" s="28">
        <v>1432</v>
      </c>
      <c r="O138" s="28">
        <v>177</v>
      </c>
    </row>
    <row r="139" spans="1:15" ht="12.75" customHeight="1">
      <c r="A139" s="4" t="s">
        <v>256</v>
      </c>
      <c r="B139" s="5" t="s">
        <v>257</v>
      </c>
      <c r="C139" s="28">
        <v>15178</v>
      </c>
      <c r="D139" s="28">
        <v>14798</v>
      </c>
      <c r="E139" s="28">
        <v>0</v>
      </c>
      <c r="F139" s="28">
        <f t="shared" si="33"/>
        <v>380</v>
      </c>
      <c r="G139" s="28">
        <v>38970</v>
      </c>
      <c r="H139" s="28">
        <v>35086</v>
      </c>
      <c r="I139" s="28">
        <v>0</v>
      </c>
      <c r="J139" s="28">
        <f t="shared" si="34"/>
        <v>3884</v>
      </c>
      <c r="K139" s="28">
        <v>7992</v>
      </c>
      <c r="L139" s="28">
        <v>50</v>
      </c>
      <c r="M139" s="28">
        <v>5526</v>
      </c>
      <c r="N139" s="28">
        <v>1109</v>
      </c>
      <c r="O139" s="28">
        <v>1071</v>
      </c>
    </row>
    <row r="140" spans="1:15" ht="12.75" customHeight="1">
      <c r="A140" s="4" t="s">
        <v>258</v>
      </c>
      <c r="B140" s="5" t="s">
        <v>259</v>
      </c>
      <c r="C140" s="28">
        <v>2912</v>
      </c>
      <c r="D140" s="28">
        <v>2203</v>
      </c>
      <c r="E140" s="28">
        <v>0</v>
      </c>
      <c r="F140" s="28">
        <f t="shared" si="33"/>
        <v>709</v>
      </c>
      <c r="G140" s="28">
        <v>6250</v>
      </c>
      <c r="H140" s="28">
        <v>4430</v>
      </c>
      <c r="I140" s="28">
        <v>0</v>
      </c>
      <c r="J140" s="28">
        <f t="shared" si="34"/>
        <v>1820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13323</v>
      </c>
      <c r="D141" s="28">
        <v>12058</v>
      </c>
      <c r="E141" s="28">
        <v>0</v>
      </c>
      <c r="F141" s="28">
        <f t="shared" si="33"/>
        <v>1265</v>
      </c>
      <c r="G141" s="28">
        <v>29279</v>
      </c>
      <c r="H141" s="28">
        <v>22193</v>
      </c>
      <c r="I141" s="28">
        <v>0</v>
      </c>
      <c r="J141" s="28">
        <f t="shared" si="34"/>
        <v>7086</v>
      </c>
      <c r="K141" s="28">
        <v>3138</v>
      </c>
      <c r="L141" s="28">
        <v>0</v>
      </c>
      <c r="M141" s="28">
        <v>1112</v>
      </c>
      <c r="N141" s="28">
        <v>1595</v>
      </c>
      <c r="O141" s="28">
        <v>1595</v>
      </c>
    </row>
    <row r="142" spans="1:15" ht="12.75" customHeight="1">
      <c r="A142" s="4" t="s">
        <v>262</v>
      </c>
      <c r="B142" s="5" t="s">
        <v>263</v>
      </c>
      <c r="C142" s="28">
        <v>14773</v>
      </c>
      <c r="D142" s="28">
        <v>10903</v>
      </c>
      <c r="E142" s="28">
        <v>0</v>
      </c>
      <c r="F142" s="28">
        <f t="shared" si="33"/>
        <v>3870</v>
      </c>
      <c r="G142" s="28">
        <v>43117</v>
      </c>
      <c r="H142" s="28">
        <v>32566</v>
      </c>
      <c r="I142" s="28">
        <v>0</v>
      </c>
      <c r="J142" s="28">
        <f t="shared" si="34"/>
        <v>10551</v>
      </c>
      <c r="K142" s="28">
        <v>6648</v>
      </c>
      <c r="L142" s="28">
        <v>0</v>
      </c>
      <c r="M142" s="28">
        <v>8093</v>
      </c>
      <c r="N142" s="28">
        <v>4431</v>
      </c>
      <c r="O142" s="28">
        <v>4033</v>
      </c>
    </row>
    <row r="143" spans="1:15" ht="12.75" customHeight="1">
      <c r="A143" s="4" t="s">
        <v>264</v>
      </c>
      <c r="B143" s="5" t="s">
        <v>265</v>
      </c>
      <c r="C143" s="28">
        <v>45407</v>
      </c>
      <c r="D143" s="28">
        <v>37670</v>
      </c>
      <c r="E143" s="28">
        <v>0</v>
      </c>
      <c r="F143" s="28">
        <f t="shared" si="33"/>
        <v>7737</v>
      </c>
      <c r="G143" s="28">
        <v>123951</v>
      </c>
      <c r="H143" s="28">
        <v>61029</v>
      </c>
      <c r="I143" s="28">
        <v>0</v>
      </c>
      <c r="J143" s="28">
        <f t="shared" si="34"/>
        <v>62922</v>
      </c>
      <c r="K143" s="28">
        <v>26672</v>
      </c>
      <c r="L143" s="28">
        <v>0</v>
      </c>
      <c r="M143" s="28">
        <v>8852</v>
      </c>
      <c r="N143" s="28">
        <v>10434</v>
      </c>
      <c r="O143" s="28">
        <v>9742</v>
      </c>
    </row>
    <row r="144" spans="1:15" ht="12.75" customHeight="1">
      <c r="A144" s="10"/>
      <c r="B144" s="9" t="s">
        <v>266</v>
      </c>
      <c r="C144" s="30">
        <f t="shared" ref="C144:O144" si="35">SUM(C136:C143)</f>
        <v>165358</v>
      </c>
      <c r="D144" s="30">
        <f t="shared" si="35"/>
        <v>145320</v>
      </c>
      <c r="E144" s="30">
        <f t="shared" si="35"/>
        <v>0</v>
      </c>
      <c r="F144" s="30">
        <f t="shared" si="35"/>
        <v>20038</v>
      </c>
      <c r="G144" s="30">
        <f t="shared" si="35"/>
        <v>401574</v>
      </c>
      <c r="H144" s="30">
        <f t="shared" si="35"/>
        <v>285136</v>
      </c>
      <c r="I144" s="30">
        <f t="shared" si="35"/>
        <v>0</v>
      </c>
      <c r="J144" s="30">
        <f t="shared" si="35"/>
        <v>116438</v>
      </c>
      <c r="K144" s="30">
        <f t="shared" si="35"/>
        <v>57862</v>
      </c>
      <c r="L144" s="30">
        <f t="shared" si="35"/>
        <v>6222</v>
      </c>
      <c r="M144" s="30">
        <f t="shared" si="35"/>
        <v>33148</v>
      </c>
      <c r="N144" s="30">
        <f t="shared" si="35"/>
        <v>46053</v>
      </c>
      <c r="O144" s="30">
        <f t="shared" si="35"/>
        <v>40631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5202942</v>
      </c>
      <c r="D145" s="31">
        <f t="shared" si="36"/>
        <v>3827980</v>
      </c>
      <c r="E145" s="31">
        <f t="shared" si="36"/>
        <v>167884</v>
      </c>
      <c r="F145" s="31">
        <f t="shared" si="36"/>
        <v>1207078</v>
      </c>
      <c r="G145" s="31">
        <f t="shared" si="36"/>
        <v>15360086</v>
      </c>
      <c r="H145" s="31">
        <f t="shared" si="36"/>
        <v>7858150</v>
      </c>
      <c r="I145" s="31">
        <f t="shared" si="36"/>
        <v>770917</v>
      </c>
      <c r="J145" s="31">
        <f t="shared" si="36"/>
        <v>6731019</v>
      </c>
      <c r="K145" s="31">
        <f t="shared" si="36"/>
        <v>651216</v>
      </c>
      <c r="L145" s="31">
        <f t="shared" si="36"/>
        <v>34277</v>
      </c>
      <c r="M145" s="31">
        <f t="shared" si="36"/>
        <v>1226659</v>
      </c>
      <c r="N145" s="31">
        <f t="shared" si="36"/>
        <v>1231020</v>
      </c>
      <c r="O145" s="31">
        <f t="shared" si="36"/>
        <v>445705</v>
      </c>
    </row>
  </sheetData>
  <mergeCells count="29">
    <mergeCell ref="A1:D1"/>
    <mergeCell ref="E1:L1"/>
    <mergeCell ref="A2:D2"/>
    <mergeCell ref="A3:C3"/>
    <mergeCell ref="E3:L3"/>
    <mergeCell ref="A4:C4"/>
    <mergeCell ref="E4:L4"/>
    <mergeCell ref="A6:D6"/>
    <mergeCell ref="I6:M6"/>
    <mergeCell ref="L7:O7"/>
    <mergeCell ref="L8:O8"/>
    <mergeCell ref="A11:B11"/>
    <mergeCell ref="C11:F11"/>
    <mergeCell ref="G11:J11"/>
    <mergeCell ref="K11:M11"/>
    <mergeCell ref="N11:O11"/>
    <mergeCell ref="A12:A13"/>
    <mergeCell ref="B12:B13"/>
    <mergeCell ref="C12:C13"/>
    <mergeCell ref="D12:E12"/>
    <mergeCell ref="F12:F13"/>
    <mergeCell ref="G12:G13"/>
    <mergeCell ref="N12:N13"/>
    <mergeCell ref="H12:H13"/>
    <mergeCell ref="I12:I13"/>
    <mergeCell ref="J12:J13"/>
    <mergeCell ref="K12:K13"/>
    <mergeCell ref="L12:L13"/>
    <mergeCell ref="M12:M1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2014-06-24T11:54:17Z</dcterms:created>
  <dcterms:modified xsi:type="dcterms:W3CDTF">2016-01-18T15:36:32Z</dcterms:modified>
</cp:coreProperties>
</file>