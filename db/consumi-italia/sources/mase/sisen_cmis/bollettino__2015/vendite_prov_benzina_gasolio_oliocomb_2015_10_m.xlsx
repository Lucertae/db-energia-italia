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J81"/>
  <c r="F82"/>
  <c r="F86" s="1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J90"/>
  <c r="F91"/>
  <c r="F95" s="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F135"/>
  <c r="G135"/>
  <c r="G145" s="1"/>
  <c r="H135"/>
  <c r="I135"/>
  <c r="J135"/>
  <c r="K135"/>
  <c r="K145" s="1"/>
  <c r="L135"/>
  <c r="M135"/>
  <c r="N135"/>
  <c r="O135"/>
  <c r="O145" s="1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E144"/>
  <c r="E145" s="1"/>
  <c r="G144"/>
  <c r="H144"/>
  <c r="I144"/>
  <c r="I145" s="1"/>
  <c r="J144"/>
  <c r="K144"/>
  <c r="L144"/>
  <c r="M144"/>
  <c r="M145" s="1"/>
  <c r="N144"/>
  <c r="N145" s="1"/>
  <c r="O144"/>
  <c r="D145"/>
  <c r="H145"/>
  <c r="L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J145" l="1"/>
  <c r="J145" i="1"/>
  <c r="F145"/>
  <c r="F145" i="2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<sst xmlns="http://schemas.openxmlformats.org/spreadsheetml/2006/main" count="544" uniqueCount="271">
  <si>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</si>
  <si>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</si>
  <si>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</si>
  <si>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</si>
  <si>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</si>
  <si>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</si>
  <si>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</si>
  <si>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ottobre 2015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</si>
  <si>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</si>
  <si>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</si>
  <si>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</si>
  <si>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</si>
  <si>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</si>
  <si>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</si>
  <si>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</si>
  <si>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</si>
  <si>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</si>
  <si>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</si>
  <si>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</si>
  <si>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</si>
  <si>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</si>
  <si>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</si>
  <si>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</si>
  <si>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</si>
  <si>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</si>
  <si>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</si>
  <si>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</si>
  <si>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</si>
  <si>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</si>
  <si>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</si>
  <si>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</si>
  <si>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</si>
  <si>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</si>
  <si>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</si>
  <si>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</si>
  <si>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</si>
  <si>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</si>
  <si>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</si>
  <si>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</si>
  <si>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</si>
  <si>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</si>
  <si>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</si>
  <si>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</si>
  <si>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</si>
  <si>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</si>
  <si>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</si>
  <si>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</si>
  <si>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</si>
  <si>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</si>
  <si>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</si>
  <si>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</si>
  <si>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</si>
  <si>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</si>
  <si>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</si>
  <si>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</si>
  <si>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</si>
  <si>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</si>
  <si>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</si>
  <si>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</si>
  <si>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</si>
  <si>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</si>
  <si>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</si>
  <si>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</si>
  <si>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</si>
  <si>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</si>
  <si>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</si>
  <si>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</si>
  <si>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</si>
  <si>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</si>
  <si>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</si>
  <si>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</si>
  <si>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</si>
  <si>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</si>
  <si>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</si>
  <si>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</si>
  <si>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</si>
  <si>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</si>
  <si>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</si>
  <si>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</si>
  <si>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</si>
  <si>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</si>
  <si>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</si>
  <si>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</si>
  <si>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</si>
  <si>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</si>
  <si>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</si>
  <si>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</si>
  <si>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</si>
  <si>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</si>
  <si>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</si>
  <si>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</si>
  <si>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</si>
  <si>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</si>
  <si>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</si>
  <si>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</si>
  <si>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</si>
  <si>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</si>
  <si>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</si>
  <si>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</si>
  <si>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</si>
  <si>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</si>
  <si>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</si>
  <si>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</si>
  <si>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</si>
  <si>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</si>
  <si>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</si>
  <si>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</si>
  <si>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</si>
  <si>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</si>
  <si>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</si>
  <si>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</si>
  <si>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</si>
  <si>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</si>
  <si>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</si>
  <si>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</si>
  <si>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</si>
  <si>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</si>
  <si>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</si>
  <si>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</si>
  <si>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</si>
  <si>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</si>
  <si>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</si>
  <si>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</si>
  <si>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</si>
  <si>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</si>
  <si>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</si>
  <si>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</si>
  <si>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</si>
  <si>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</si>
  <si>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</si>
  <si>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</si>
  <si>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</si>
  <si>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</si>
  <si>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</si>
  <si>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</si>
  <si>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</si>
  <si>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</si>
  <si>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</si>
  <si>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</si>
  <si>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</si>
  <si>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</si>
  <si>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</si>
  <si>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</si>
  <si>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</si>
  <si>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</si>
  <si>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</si>
  <si>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</si>
  <si>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</si>
  <si>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</si>
  <si>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</si>
  <si>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</si>
  <si>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</si>
  <si>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</si>
  <si>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</si>
  <si>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</si>
  <si>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</si>
  <si>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</si>
  <si>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</si>
  <si>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</si>
  <si>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</si>
  <si>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</si>
  <si>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</si>
  <si>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</si>
  <si>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</si>
  <si>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</si>
  <si>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</si>
  <si>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</si>
  <si>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</si>
  <si>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</si>
  <si>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</si>
  <si>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</si>
  <si>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</si>
  <si>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</si>
  <si>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</si>
  <si>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</si>
  <si>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</si>
  <si>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</si>
  <si>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</si>
  <si>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</si>
  <si>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</si>
  <si>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</si>
  <si>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</si>
  <si>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</si>
  <si>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</si>
  <si>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</si>
  <si>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</si>
  <si>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</si>
  <si>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</si>
  <si>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</si>
  <si>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</si>
  <si>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</si>
  <si>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</si>
  <si>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</si>
  <si>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</si>
  <si>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</si>
  <si>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</si>
  <si>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</si>
  <si>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</si>
  <si>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</si>
  <si>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</si>
  <si>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</si>
  <si>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</si>
  <si>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</si>
  <si>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</si>
  <si>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</si>
  <si>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</si>
  <si>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</si>
  <si>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</si>
  <si>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</si>
  <si>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</si>
  <si>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</si>
  <si>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</si>
  <si>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</si>
  <si>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</si>
  <si>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</si>
  <si>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</si>
  <si>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</si>
  <si>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</si>
  <si>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</si>
  <si>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</si>
  <si>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</si>
  <si>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</si>
  <si>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</si>
  <si>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</si>
  <si>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</si>
  <si>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</si>
  <si>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</si>
  <si>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</si>
  <si>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</si>
  <si>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</si>
  <si>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</si>
  <si>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</si>
  <si>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</si>
  <si>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</si>
  <si>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</si>
  <si>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</si>
  <si>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</si>
  <si>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</si>
  <si>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</si>
  <si>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</si>
  <si>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</si>
  <si>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</si>
  <si>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</si>
  <si>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</si>
  <si>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</si>
  <si>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</si>
  <si>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</si>
  <si>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</si>
  <si>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</si>
  <si>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</si>
  <si>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</si>
  <si>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</si>
  <si>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</si>
  <si>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</si>
  <si>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</si>
  <si>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</si>
  <si>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</si>
  <si>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</si>
  <si>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</si>
  <si>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</si>
  <si>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</si>
  <si>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</si>
  <si>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</si>
  <si>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</si>
  <si>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</si>
  <si>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</si>
  <si>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</si>
  <si>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</si>
  <si>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</si>
  <si>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</si>
  <si>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gennaio-ottobre 2015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</si>
</sst>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6952</v>
      </c>
      <c r="D15" s="28">
        <v>3862</v>
      </c>
      <c r="E15" s="28">
        <v>497</v>
      </c>
      <c r="F15" s="28">
        <f t="shared" ref="F15:F22" si="0">SUM(C15-D15-E15)</f>
        <v>2593</v>
      </c>
      <c r="G15" s="28">
        <v>27706</v>
      </c>
      <c r="H15" s="28">
        <v>10364</v>
      </c>
      <c r="I15" s="28">
        <v>2729</v>
      </c>
      <c r="J15" s="28">
        <f t="shared" ref="J15:J22" si="1">SUM(G15-H15-I15)</f>
        <v>14613</v>
      </c>
      <c r="K15" s="28">
        <v>2171</v>
      </c>
      <c r="L15" s="28">
        <v>0</v>
      </c>
      <c r="M15" s="28">
        <v>3502</v>
      </c>
      <c r="N15" s="28">
        <v>1135</v>
      </c>
      <c r="O15" s="28">
        <v>1135</v>
      </c>
    </row>
    <row r="16" spans="1:15" ht="12.75" customHeight="1">
      <c r="A16" s="4" t="s">
        <v>29</v>
      </c>
      <c r="B16" s="5" t="s">
        <v>30</v>
      </c>
      <c r="C16" s="28">
        <v>4111</v>
      </c>
      <c r="D16" s="28">
        <v>1767</v>
      </c>
      <c r="E16" s="28">
        <v>95</v>
      </c>
      <c r="F16" s="28">
        <f t="shared" si="0"/>
        <v>2249</v>
      </c>
      <c r="G16" s="28">
        <v>24339</v>
      </c>
      <c r="H16" s="28">
        <v>4044</v>
      </c>
      <c r="I16" s="28">
        <v>609</v>
      </c>
      <c r="J16" s="28">
        <f t="shared" si="1"/>
        <v>19686</v>
      </c>
      <c r="K16" s="28">
        <v>955</v>
      </c>
      <c r="L16" s="28">
        <v>0</v>
      </c>
      <c r="M16" s="28">
        <v>2734</v>
      </c>
      <c r="N16" s="28">
        <v>84</v>
      </c>
      <c r="O16" s="28">
        <v>84</v>
      </c>
    </row>
    <row r="17" spans="1:15" ht="12.75" customHeight="1">
      <c r="A17" s="4" t="s">
        <v>31</v>
      </c>
      <c r="B17" s="5" t="s">
        <v>32</v>
      </c>
      <c r="C17" s="28">
        <v>1883</v>
      </c>
      <c r="D17" s="28">
        <v>1868</v>
      </c>
      <c r="E17" s="28">
        <v>0</v>
      </c>
      <c r="F17" s="28">
        <f t="shared" si="0"/>
        <v>15</v>
      </c>
      <c r="G17" s="28">
        <v>3677</v>
      </c>
      <c r="H17" s="28">
        <v>3261</v>
      </c>
      <c r="I17" s="28">
        <v>0</v>
      </c>
      <c r="J17" s="28">
        <f t="shared" si="1"/>
        <v>416</v>
      </c>
      <c r="K17" s="28">
        <v>346</v>
      </c>
      <c r="L17" s="28">
        <v>0</v>
      </c>
      <c r="M17" s="28">
        <v>316</v>
      </c>
      <c r="N17" s="28">
        <v>153</v>
      </c>
      <c r="O17" s="28">
        <v>153</v>
      </c>
    </row>
    <row r="18" spans="1:15" ht="12.75" customHeight="1">
      <c r="A18" s="4" t="s">
        <v>33</v>
      </c>
      <c r="B18" s="5" t="s">
        <v>34</v>
      </c>
      <c r="C18" s="28">
        <v>4527</v>
      </c>
      <c r="D18" s="28">
        <v>4371</v>
      </c>
      <c r="E18" s="28">
        <v>65</v>
      </c>
      <c r="F18" s="28">
        <f t="shared" si="0"/>
        <v>91</v>
      </c>
      <c r="G18" s="28">
        <v>13807</v>
      </c>
      <c r="H18" s="28">
        <v>10572</v>
      </c>
      <c r="I18" s="28">
        <v>353</v>
      </c>
      <c r="J18" s="28">
        <f t="shared" si="1"/>
        <v>2882</v>
      </c>
      <c r="K18" s="28">
        <v>1796</v>
      </c>
      <c r="L18" s="28">
        <v>0</v>
      </c>
      <c r="M18" s="28">
        <v>1459</v>
      </c>
      <c r="N18" s="28">
        <v>233</v>
      </c>
      <c r="O18" s="28">
        <v>233</v>
      </c>
    </row>
    <row r="19" spans="1:15" ht="12.75" customHeight="1">
      <c r="A19" s="4" t="s">
        <v>35</v>
      </c>
      <c r="B19" s="5" t="s">
        <v>36</v>
      </c>
      <c r="C19" s="28">
        <v>3947</v>
      </c>
      <c r="D19" s="28">
        <v>3702</v>
      </c>
      <c r="E19" s="28">
        <v>201</v>
      </c>
      <c r="F19" s="28">
        <f t="shared" si="0"/>
        <v>44</v>
      </c>
      <c r="G19" s="28">
        <v>9963</v>
      </c>
      <c r="H19" s="28">
        <v>8128</v>
      </c>
      <c r="I19" s="28">
        <v>984</v>
      </c>
      <c r="J19" s="28">
        <f t="shared" si="1"/>
        <v>851</v>
      </c>
      <c r="K19" s="28">
        <v>131</v>
      </c>
      <c r="L19" s="28">
        <v>0</v>
      </c>
      <c r="M19" s="28">
        <v>13</v>
      </c>
      <c r="N19" s="28">
        <v>109</v>
      </c>
      <c r="O19" s="28">
        <v>109</v>
      </c>
    </row>
    <row r="20" spans="1:15" ht="12.75" customHeight="1">
      <c r="A20" s="4" t="s">
        <v>37</v>
      </c>
      <c r="B20" s="5" t="s">
        <v>38</v>
      </c>
      <c r="C20" s="28">
        <v>22725</v>
      </c>
      <c r="D20" s="28">
        <v>20954</v>
      </c>
      <c r="E20" s="28">
        <v>593</v>
      </c>
      <c r="F20" s="28">
        <f t="shared" si="0"/>
        <v>1178</v>
      </c>
      <c r="G20" s="28">
        <v>53028</v>
      </c>
      <c r="H20" s="28">
        <v>40874</v>
      </c>
      <c r="I20" s="28">
        <v>3198</v>
      </c>
      <c r="J20" s="28">
        <f t="shared" si="1"/>
        <v>8956</v>
      </c>
      <c r="K20" s="28">
        <v>3016</v>
      </c>
      <c r="L20" s="28">
        <v>0</v>
      </c>
      <c r="M20" s="28">
        <v>2486</v>
      </c>
      <c r="N20" s="28">
        <v>2251</v>
      </c>
      <c r="O20" s="28">
        <v>2167</v>
      </c>
    </row>
    <row r="21" spans="1:15" ht="12.75" customHeight="1">
      <c r="A21" s="4" t="s">
        <v>39</v>
      </c>
      <c r="B21" s="5" t="s">
        <v>40</v>
      </c>
      <c r="C21" s="28">
        <v>1799</v>
      </c>
      <c r="D21" s="28">
        <v>1707</v>
      </c>
      <c r="E21" s="28">
        <v>0</v>
      </c>
      <c r="F21" s="28">
        <f t="shared" si="0"/>
        <v>92</v>
      </c>
      <c r="G21" s="28">
        <v>3168</v>
      </c>
      <c r="H21" s="28">
        <v>2958</v>
      </c>
      <c r="I21" s="28">
        <v>0</v>
      </c>
      <c r="J21" s="28">
        <f t="shared" si="1"/>
        <v>210</v>
      </c>
      <c r="K21" s="28">
        <v>0</v>
      </c>
      <c r="L21" s="28">
        <v>0</v>
      </c>
      <c r="M21" s="28">
        <v>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1691</v>
      </c>
      <c r="D22" s="28">
        <v>1405</v>
      </c>
      <c r="E22" s="28">
        <v>213</v>
      </c>
      <c r="F22" s="28">
        <f t="shared" si="0"/>
        <v>73</v>
      </c>
      <c r="G22" s="28">
        <v>4355</v>
      </c>
      <c r="H22" s="28">
        <v>2778</v>
      </c>
      <c r="I22" s="28">
        <v>878</v>
      </c>
      <c r="J22" s="28">
        <f t="shared" si="1"/>
        <v>699</v>
      </c>
      <c r="K22" s="28">
        <v>419</v>
      </c>
      <c r="L22" s="28">
        <v>0</v>
      </c>
      <c r="M22" s="28">
        <v>1881</v>
      </c>
      <c r="N22" s="28">
        <v>137</v>
      </c>
      <c r="O22" s="28">
        <v>137</v>
      </c>
    </row>
    <row r="23" spans="1:15" ht="12.75" customHeight="1">
      <c r="A23" s="8"/>
      <c r="B23" s="9" t="s">
        <v>43</v>
      </c>
      <c r="C23" s="29">
        <f t="shared" ref="C23:O23" si="2">SUM(C15:C22)</f>
        <v>47635</v>
      </c>
      <c r="D23" s="29">
        <f t="shared" si="2"/>
        <v>39636</v>
      </c>
      <c r="E23" s="29">
        <f t="shared" si="2"/>
        <v>1664</v>
      </c>
      <c r="F23" s="29">
        <f t="shared" si="2"/>
        <v>6335</v>
      </c>
      <c r="G23" s="29">
        <f t="shared" si="2"/>
        <v>140043</v>
      </c>
      <c r="H23" s="29">
        <f t="shared" si="2"/>
        <v>82979</v>
      </c>
      <c r="I23" s="29">
        <f t="shared" si="2"/>
        <v>8751</v>
      </c>
      <c r="J23" s="29">
        <f t="shared" si="2"/>
        <v>48313</v>
      </c>
      <c r="K23" s="29">
        <f t="shared" si="2"/>
        <v>8834</v>
      </c>
      <c r="L23" s="29">
        <f t="shared" si="2"/>
        <v>0</v>
      </c>
      <c r="M23" s="29">
        <f t="shared" si="2"/>
        <v>12391</v>
      </c>
      <c r="N23" s="29">
        <f t="shared" si="2"/>
        <v>4110</v>
      </c>
      <c r="O23" s="29">
        <f t="shared" si="2"/>
        <v>4026</v>
      </c>
    </row>
    <row r="24" spans="1:15" ht="14.25" customHeight="1">
      <c r="A24" s="4" t="s">
        <v>44</v>
      </c>
      <c r="B24" s="5" t="s">
        <v>45</v>
      </c>
      <c r="C24" s="28">
        <v>1874</v>
      </c>
      <c r="D24" s="28">
        <v>1721</v>
      </c>
      <c r="E24" s="28">
        <v>123</v>
      </c>
      <c r="F24" s="28">
        <f>SUM(C24-D24-E24)</f>
        <v>30</v>
      </c>
      <c r="G24" s="28">
        <v>4025</v>
      </c>
      <c r="H24" s="28">
        <v>2562</v>
      </c>
      <c r="I24" s="28">
        <v>460</v>
      </c>
      <c r="J24" s="28">
        <f>SUM(G24-H24-I24)</f>
        <v>1003</v>
      </c>
      <c r="K24" s="28">
        <v>1706</v>
      </c>
      <c r="L24" s="28">
        <v>0</v>
      </c>
      <c r="M24" s="28">
        <v>271</v>
      </c>
      <c r="N24" s="28">
        <v>187</v>
      </c>
      <c r="O24" s="28">
        <v>187</v>
      </c>
    </row>
    <row r="25" spans="1:15" ht="14.25" customHeight="1">
      <c r="A25" s="10"/>
      <c r="B25" s="9" t="s">
        <v>46</v>
      </c>
      <c r="C25" s="29">
        <f t="shared" ref="C25:O25" si="3">SUM(C24)</f>
        <v>1874</v>
      </c>
      <c r="D25" s="29">
        <f t="shared" si="3"/>
        <v>1721</v>
      </c>
      <c r="E25" s="29">
        <f t="shared" si="3"/>
        <v>123</v>
      </c>
      <c r="F25" s="29">
        <f t="shared" si="3"/>
        <v>30</v>
      </c>
      <c r="G25" s="29">
        <f t="shared" si="3"/>
        <v>4025</v>
      </c>
      <c r="H25" s="29">
        <f t="shared" si="3"/>
        <v>2562</v>
      </c>
      <c r="I25" s="29">
        <f t="shared" si="3"/>
        <v>460</v>
      </c>
      <c r="J25" s="29">
        <f t="shared" si="3"/>
        <v>1003</v>
      </c>
      <c r="K25" s="29">
        <f t="shared" si="3"/>
        <v>1706</v>
      </c>
      <c r="L25" s="29">
        <f t="shared" si="3"/>
        <v>0</v>
      </c>
      <c r="M25" s="29">
        <f t="shared" si="3"/>
        <v>271</v>
      </c>
      <c r="N25" s="29">
        <f t="shared" si="3"/>
        <v>187</v>
      </c>
      <c r="O25" s="29">
        <f t="shared" si="3"/>
        <v>187</v>
      </c>
    </row>
    <row r="26" spans="1:15" ht="12.75" customHeight="1">
      <c r="A26" s="4" t="s">
        <v>47</v>
      </c>
      <c r="B26" s="5" t="s">
        <v>48</v>
      </c>
      <c r="C26" s="28">
        <v>17925</v>
      </c>
      <c r="D26" s="28">
        <v>7232</v>
      </c>
      <c r="E26" s="28">
        <v>450</v>
      </c>
      <c r="F26" s="28">
        <f>SUM(C26-D26-E26)</f>
        <v>10243</v>
      </c>
      <c r="G26" s="28">
        <v>42575</v>
      </c>
      <c r="H26" s="28">
        <v>11516</v>
      </c>
      <c r="I26" s="28">
        <v>1576</v>
      </c>
      <c r="J26" s="28">
        <f>SUM(G26-H26-I26)</f>
        <v>29483</v>
      </c>
      <c r="K26" s="28">
        <v>4000</v>
      </c>
      <c r="L26" s="28">
        <v>41</v>
      </c>
      <c r="M26" s="28">
        <v>2391</v>
      </c>
      <c r="N26" s="28">
        <v>721</v>
      </c>
      <c r="O26" s="28">
        <v>721</v>
      </c>
    </row>
    <row r="27" spans="1:15" ht="12.75" customHeight="1">
      <c r="A27" s="4" t="s">
        <v>49</v>
      </c>
      <c r="B27" s="5" t="s">
        <v>50</v>
      </c>
      <c r="C27" s="28">
        <v>2412</v>
      </c>
      <c r="D27" s="28">
        <v>2210</v>
      </c>
      <c r="E27" s="28">
        <v>142</v>
      </c>
      <c r="F27" s="28">
        <f>SUM(C27-D27-E27)</f>
        <v>60</v>
      </c>
      <c r="G27" s="28">
        <v>4886</v>
      </c>
      <c r="H27" s="28">
        <v>3002</v>
      </c>
      <c r="I27" s="28">
        <v>534</v>
      </c>
      <c r="J27" s="28">
        <f>SUM(G27-H27-I27)</f>
        <v>1350</v>
      </c>
      <c r="K27" s="28">
        <v>1126</v>
      </c>
      <c r="L27" s="28">
        <v>0</v>
      </c>
      <c r="M27" s="28">
        <v>262</v>
      </c>
      <c r="N27" s="28">
        <v>141</v>
      </c>
      <c r="O27" s="28">
        <v>141</v>
      </c>
    </row>
    <row r="28" spans="1:15" ht="12.75" customHeight="1">
      <c r="A28" s="4" t="s">
        <v>51</v>
      </c>
      <c r="B28" s="5" t="s">
        <v>52</v>
      </c>
      <c r="C28" s="28">
        <v>2496</v>
      </c>
      <c r="D28" s="28">
        <v>1702</v>
      </c>
      <c r="E28" s="28">
        <v>207</v>
      </c>
      <c r="F28" s="28">
        <f>SUM(C28-D28-E28)</f>
        <v>587</v>
      </c>
      <c r="G28" s="28">
        <v>6399</v>
      </c>
      <c r="H28" s="28">
        <v>3562</v>
      </c>
      <c r="I28" s="28">
        <v>1233</v>
      </c>
      <c r="J28" s="28">
        <f>SUM(G28-H28-I28)</f>
        <v>1604</v>
      </c>
      <c r="K28" s="28">
        <v>175</v>
      </c>
      <c r="L28" s="28">
        <v>183</v>
      </c>
      <c r="M28" s="28">
        <v>53</v>
      </c>
      <c r="N28" s="28">
        <v>12</v>
      </c>
      <c r="O28" s="28">
        <v>12</v>
      </c>
    </row>
    <row r="29" spans="1:15" ht="12.75" customHeight="1">
      <c r="A29" s="4" t="s">
        <v>53</v>
      </c>
      <c r="B29" s="5" t="s">
        <v>54</v>
      </c>
      <c r="C29" s="28">
        <v>3248</v>
      </c>
      <c r="D29" s="28">
        <v>2846</v>
      </c>
      <c r="E29" s="28">
        <v>332</v>
      </c>
      <c r="F29" s="28">
        <f>SUM(C29-D29-E29)</f>
        <v>70</v>
      </c>
      <c r="G29" s="28">
        <v>6902</v>
      </c>
      <c r="H29" s="28">
        <v>5481</v>
      </c>
      <c r="I29" s="28">
        <v>1321</v>
      </c>
      <c r="J29" s="28">
        <f>SUM(G29-H29-I29)</f>
        <v>100</v>
      </c>
      <c r="K29" s="28">
        <v>0</v>
      </c>
      <c r="L29" s="28">
        <v>35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26081</v>
      </c>
      <c r="D30" s="29">
        <f t="shared" si="4"/>
        <v>13990</v>
      </c>
      <c r="E30" s="29">
        <f t="shared" si="4"/>
        <v>1131</v>
      </c>
      <c r="F30" s="29">
        <f t="shared" si="4"/>
        <v>10960</v>
      </c>
      <c r="G30" s="29">
        <f t="shared" si="4"/>
        <v>60762</v>
      </c>
      <c r="H30" s="29">
        <f t="shared" si="4"/>
        <v>23561</v>
      </c>
      <c r="I30" s="29">
        <f t="shared" si="4"/>
        <v>4664</v>
      </c>
      <c r="J30" s="29">
        <f t="shared" si="4"/>
        <v>32537</v>
      </c>
      <c r="K30" s="29">
        <f t="shared" si="4"/>
        <v>5301</v>
      </c>
      <c r="L30" s="29">
        <f t="shared" si="4"/>
        <v>259</v>
      </c>
      <c r="M30" s="29">
        <f t="shared" si="4"/>
        <v>2706</v>
      </c>
      <c r="N30" s="29">
        <f t="shared" si="4"/>
        <v>874</v>
      </c>
      <c r="O30" s="29">
        <f t="shared" si="4"/>
        <v>874</v>
      </c>
    </row>
    <row r="31" spans="1:15" ht="12.75" customHeight="1">
      <c r="A31" s="4" t="s">
        <v>56</v>
      </c>
      <c r="B31" s="5" t="s">
        <v>57</v>
      </c>
      <c r="C31" s="28">
        <v>10235</v>
      </c>
      <c r="D31" s="28">
        <v>9622</v>
      </c>
      <c r="E31" s="28">
        <v>197</v>
      </c>
      <c r="F31" s="28">
        <f t="shared" ref="F31:F42" si="5">SUM(C31-D31-E31)</f>
        <v>416</v>
      </c>
      <c r="G31" s="28">
        <v>26829</v>
      </c>
      <c r="H31" s="28">
        <v>18782</v>
      </c>
      <c r="I31" s="28">
        <v>934</v>
      </c>
      <c r="J31" s="28">
        <f t="shared" ref="J31:J42" si="6">SUM(G31-H31-I31)</f>
        <v>7113</v>
      </c>
      <c r="K31" s="28">
        <v>719</v>
      </c>
      <c r="L31" s="28">
        <v>0</v>
      </c>
      <c r="M31" s="28">
        <v>392</v>
      </c>
      <c r="N31" s="28">
        <v>176</v>
      </c>
      <c r="O31" s="28">
        <v>176</v>
      </c>
    </row>
    <row r="32" spans="1:15" ht="12.75" customHeight="1">
      <c r="A32" s="4" t="s">
        <v>58</v>
      </c>
      <c r="B32" s="5" t="s">
        <v>59</v>
      </c>
      <c r="C32" s="28">
        <v>12644</v>
      </c>
      <c r="D32" s="28">
        <v>11420</v>
      </c>
      <c r="E32" s="28">
        <v>538</v>
      </c>
      <c r="F32" s="28">
        <f t="shared" si="5"/>
        <v>686</v>
      </c>
      <c r="G32" s="28">
        <v>46955</v>
      </c>
      <c r="H32" s="28">
        <v>26904</v>
      </c>
      <c r="I32" s="28">
        <v>3011</v>
      </c>
      <c r="J32" s="28">
        <f t="shared" si="6"/>
        <v>17040</v>
      </c>
      <c r="K32" s="28">
        <v>2321</v>
      </c>
      <c r="L32" s="28">
        <v>0</v>
      </c>
      <c r="M32" s="28">
        <v>4727</v>
      </c>
      <c r="N32" s="28">
        <v>1031</v>
      </c>
      <c r="O32" s="28">
        <v>1031</v>
      </c>
    </row>
    <row r="33" spans="1:256" ht="12.75" customHeight="1">
      <c r="A33" s="4" t="s">
        <v>60</v>
      </c>
      <c r="B33" s="5" t="s">
        <v>61</v>
      </c>
      <c r="C33" s="28">
        <v>6768</v>
      </c>
      <c r="D33" s="28">
        <v>5815</v>
      </c>
      <c r="E33" s="28">
        <v>188</v>
      </c>
      <c r="F33" s="28">
        <f t="shared" si="5"/>
        <v>765</v>
      </c>
      <c r="G33" s="28">
        <v>24267</v>
      </c>
      <c r="H33" s="28">
        <v>7756</v>
      </c>
      <c r="I33" s="28">
        <v>585</v>
      </c>
      <c r="J33" s="28">
        <f t="shared" si="6"/>
        <v>15926</v>
      </c>
      <c r="K33" s="28">
        <v>3829</v>
      </c>
      <c r="L33" s="28">
        <v>0</v>
      </c>
      <c r="M33" s="28">
        <v>2970</v>
      </c>
      <c r="N33" s="28">
        <v>225</v>
      </c>
      <c r="O33" s="28">
        <v>225</v>
      </c>
    </row>
    <row r="34" spans="1:256" ht="12.75" customHeight="1">
      <c r="A34" s="4" t="s">
        <v>62</v>
      </c>
      <c r="B34" s="5" t="s">
        <v>63</v>
      </c>
      <c r="C34" s="28">
        <v>7798</v>
      </c>
      <c r="D34" s="28">
        <v>2954</v>
      </c>
      <c r="E34" s="28">
        <v>36</v>
      </c>
      <c r="F34" s="28">
        <f t="shared" si="5"/>
        <v>4808</v>
      </c>
      <c r="G34" s="28">
        <v>17595</v>
      </c>
      <c r="H34" s="28">
        <v>7002</v>
      </c>
      <c r="I34" s="28">
        <v>234</v>
      </c>
      <c r="J34" s="28">
        <f t="shared" si="6"/>
        <v>10359</v>
      </c>
      <c r="K34" s="28">
        <v>557</v>
      </c>
      <c r="L34" s="28">
        <v>0</v>
      </c>
      <c r="M34" s="28">
        <v>4203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3382</v>
      </c>
      <c r="D35" s="28">
        <v>3296</v>
      </c>
      <c r="E35" s="28">
        <v>0</v>
      </c>
      <c r="F35" s="28">
        <f t="shared" si="5"/>
        <v>86</v>
      </c>
      <c r="G35" s="28">
        <v>5837</v>
      </c>
      <c r="H35" s="28">
        <v>5539</v>
      </c>
      <c r="I35" s="28">
        <v>0</v>
      </c>
      <c r="J35" s="28">
        <f t="shared" si="6"/>
        <v>298</v>
      </c>
      <c r="K35" s="28">
        <v>38</v>
      </c>
      <c r="L35" s="28">
        <v>0</v>
      </c>
      <c r="M35" s="28">
        <v>0</v>
      </c>
      <c r="N35" s="28">
        <v>203</v>
      </c>
      <c r="O35" s="28">
        <v>203</v>
      </c>
    </row>
    <row r="36" spans="1:256" ht="12.75" customHeight="1">
      <c r="A36" s="4" t="s">
        <v>66</v>
      </c>
      <c r="B36" s="5" t="s">
        <v>67</v>
      </c>
      <c r="C36" s="28">
        <v>2121</v>
      </c>
      <c r="D36" s="28">
        <v>1852</v>
      </c>
      <c r="E36" s="28">
        <v>186</v>
      </c>
      <c r="F36" s="28">
        <f t="shared" si="5"/>
        <v>83</v>
      </c>
      <c r="G36" s="28">
        <v>6141</v>
      </c>
      <c r="H36" s="28">
        <v>4494</v>
      </c>
      <c r="I36" s="28">
        <v>1243</v>
      </c>
      <c r="J36" s="28">
        <f t="shared" si="6"/>
        <v>404</v>
      </c>
      <c r="K36" s="28">
        <v>64</v>
      </c>
      <c r="L36" s="28">
        <v>0</v>
      </c>
      <c r="M36" s="28">
        <v>50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3540</v>
      </c>
      <c r="D37" s="28">
        <v>3174</v>
      </c>
      <c r="E37" s="28">
        <v>58</v>
      </c>
      <c r="F37" s="28">
        <f t="shared" si="5"/>
        <v>308</v>
      </c>
      <c r="G37" s="28">
        <v>17991</v>
      </c>
      <c r="H37" s="28">
        <v>7918</v>
      </c>
      <c r="I37" s="28">
        <v>213</v>
      </c>
      <c r="J37" s="28">
        <f t="shared" si="6"/>
        <v>9860</v>
      </c>
      <c r="K37" s="28">
        <v>1088</v>
      </c>
      <c r="L37" s="28">
        <v>0</v>
      </c>
      <c r="M37" s="28">
        <v>2891</v>
      </c>
      <c r="N37" s="28">
        <v>251</v>
      </c>
      <c r="O37" s="28">
        <v>251</v>
      </c>
    </row>
    <row r="38" spans="1:256" ht="12.75" customHeight="1">
      <c r="A38" s="4" t="s">
        <v>70</v>
      </c>
      <c r="B38" s="5" t="s">
        <v>71</v>
      </c>
      <c r="C38" s="28">
        <v>56770</v>
      </c>
      <c r="D38" s="28">
        <v>42101</v>
      </c>
      <c r="E38" s="28">
        <v>1585</v>
      </c>
      <c r="F38" s="28">
        <f t="shared" si="5"/>
        <v>13084</v>
      </c>
      <c r="G38" s="28">
        <v>161069</v>
      </c>
      <c r="H38" s="28">
        <v>66946</v>
      </c>
      <c r="I38" s="28">
        <v>6749</v>
      </c>
      <c r="J38" s="28">
        <f t="shared" si="6"/>
        <v>87374</v>
      </c>
      <c r="K38" s="28">
        <v>18716</v>
      </c>
      <c r="L38" s="28">
        <v>40</v>
      </c>
      <c r="M38" s="28">
        <v>12247</v>
      </c>
      <c r="N38" s="28">
        <v>36260</v>
      </c>
      <c r="O38" s="28">
        <v>11303</v>
      </c>
    </row>
    <row r="39" spans="1:256" ht="12.75" customHeight="1">
      <c r="A39" s="4" t="s">
        <v>72</v>
      </c>
      <c r="B39" s="5" t="s">
        <v>73</v>
      </c>
      <c r="C39" s="28">
        <v>5430</v>
      </c>
      <c r="D39" s="28">
        <v>4935</v>
      </c>
      <c r="E39" s="28">
        <v>268</v>
      </c>
      <c r="F39" s="28">
        <f t="shared" si="5"/>
        <v>227</v>
      </c>
      <c r="G39" s="28">
        <v>10256</v>
      </c>
      <c r="H39" s="28">
        <v>8043</v>
      </c>
      <c r="I39" s="28">
        <v>1530</v>
      </c>
      <c r="J39" s="28">
        <f t="shared" si="6"/>
        <v>683</v>
      </c>
      <c r="K39" s="28">
        <v>106</v>
      </c>
      <c r="L39" s="28">
        <v>0</v>
      </c>
      <c r="M39" s="28">
        <v>13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5611</v>
      </c>
      <c r="D40" s="28">
        <v>5016</v>
      </c>
      <c r="E40" s="28">
        <v>206</v>
      </c>
      <c r="F40" s="28">
        <f t="shared" si="5"/>
        <v>389</v>
      </c>
      <c r="G40" s="28">
        <v>14544</v>
      </c>
      <c r="H40" s="28">
        <v>9966</v>
      </c>
      <c r="I40" s="28">
        <v>1041</v>
      </c>
      <c r="J40" s="28">
        <f t="shared" si="6"/>
        <v>3537</v>
      </c>
      <c r="K40" s="28">
        <v>587</v>
      </c>
      <c r="L40" s="28">
        <v>0</v>
      </c>
      <c r="M40" s="28">
        <v>4326</v>
      </c>
      <c r="N40" s="28">
        <v>86</v>
      </c>
      <c r="O40" s="28">
        <v>86</v>
      </c>
    </row>
    <row r="41" spans="1:256" ht="12.75" customHeight="1">
      <c r="A41" s="4" t="s">
        <v>76</v>
      </c>
      <c r="B41" s="5" t="s">
        <v>77</v>
      </c>
      <c r="C41" s="28">
        <v>1844</v>
      </c>
      <c r="D41" s="28">
        <v>1513</v>
      </c>
      <c r="E41" s="28">
        <v>0</v>
      </c>
      <c r="F41" s="28">
        <f t="shared" si="5"/>
        <v>331</v>
      </c>
      <c r="G41" s="28">
        <v>6328</v>
      </c>
      <c r="H41" s="28">
        <v>4264</v>
      </c>
      <c r="I41" s="28">
        <v>0</v>
      </c>
      <c r="J41" s="28">
        <f t="shared" si="6"/>
        <v>2064</v>
      </c>
      <c r="K41" s="28">
        <v>1099</v>
      </c>
      <c r="L41" s="28">
        <v>0</v>
      </c>
      <c r="M41" s="28">
        <v>44</v>
      </c>
      <c r="N41" s="28">
        <v>40</v>
      </c>
      <c r="O41" s="28">
        <v>40</v>
      </c>
    </row>
    <row r="42" spans="1:256" ht="12.75" customHeight="1">
      <c r="A42" s="4" t="s">
        <v>78</v>
      </c>
      <c r="B42" s="5" t="s">
        <v>79</v>
      </c>
      <c r="C42" s="28">
        <v>11769</v>
      </c>
      <c r="D42" s="28">
        <v>9410</v>
      </c>
      <c r="E42" s="28">
        <v>275</v>
      </c>
      <c r="F42" s="28">
        <f t="shared" si="5"/>
        <v>2084</v>
      </c>
      <c r="G42" s="28">
        <v>19474</v>
      </c>
      <c r="H42" s="28">
        <v>14782</v>
      </c>
      <c r="I42" s="28">
        <v>680</v>
      </c>
      <c r="J42" s="28">
        <f t="shared" si="6"/>
        <v>4012</v>
      </c>
      <c r="K42" s="28">
        <v>493</v>
      </c>
      <c r="L42" s="28">
        <v>0</v>
      </c>
      <c r="M42" s="28">
        <v>14</v>
      </c>
      <c r="N42" s="28">
        <v>68</v>
      </c>
      <c r="O42" s="28">
        <v>68</v>
      </c>
    </row>
    <row r="43" spans="1:256" ht="12.75" customHeight="1">
      <c r="A43" s="8"/>
      <c r="B43" s="9" t="s">
        <v>80</v>
      </c>
      <c r="C43" s="29">
        <f t="shared" ref="C43:O43" si="7">SUM(C31:C42)</f>
        <v>127912</v>
      </c>
      <c r="D43" s="29">
        <f t="shared" si="7"/>
        <v>101108</v>
      </c>
      <c r="E43" s="29">
        <f t="shared" si="7"/>
        <v>3537</v>
      </c>
      <c r="F43" s="29">
        <f t="shared" si="7"/>
        <v>23267</v>
      </c>
      <c r="G43" s="29">
        <f t="shared" si="7"/>
        <v>357286</v>
      </c>
      <c r="H43" s="29">
        <f t="shared" si="7"/>
        <v>182396</v>
      </c>
      <c r="I43" s="29">
        <f t="shared" si="7"/>
        <v>16220</v>
      </c>
      <c r="J43" s="29">
        <f t="shared" si="7"/>
        <v>158670</v>
      </c>
      <c r="K43" s="29">
        <f t="shared" si="7"/>
        <v>29617</v>
      </c>
      <c r="L43" s="29">
        <f t="shared" si="7"/>
        <v>40</v>
      </c>
      <c r="M43" s="29">
        <f t="shared" si="7"/>
        <v>31877</v>
      </c>
      <c r="N43" s="29">
        <f t="shared" si="7"/>
        <v>38340</v>
      </c>
      <c r="O43" s="29">
        <f t="shared" si="7"/>
        <v>13383</v>
      </c>
    </row>
    <row r="44" spans="1:256" ht="12.75" customHeight="1">
      <c r="A44" s="4" t="s">
        <v>81</v>
      </c>
      <c r="B44" s="5" t="s">
        <v>82</v>
      </c>
      <c r="C44" s="28">
        <v>6372</v>
      </c>
      <c r="D44" s="28">
        <v>4799</v>
      </c>
      <c r="E44" s="28">
        <v>107</v>
      </c>
      <c r="F44" s="28">
        <f>SUM(C44-D44-E44)</f>
        <v>1466</v>
      </c>
      <c r="G44" s="28">
        <v>25501</v>
      </c>
      <c r="H44" s="28">
        <v>11710</v>
      </c>
      <c r="I44" s="28">
        <v>432</v>
      </c>
      <c r="J44" s="28">
        <f>SUM(G44-H44-I44)</f>
        <v>13359</v>
      </c>
      <c r="K44" s="28">
        <v>6085</v>
      </c>
      <c r="L44" s="28">
        <v>0</v>
      </c>
      <c r="M44" s="28">
        <v>2983</v>
      </c>
      <c r="N44" s="28">
        <v>356</v>
      </c>
      <c r="O44" s="28">
        <v>356</v>
      </c>
    </row>
    <row r="45" spans="1:256" ht="12.75" customHeight="1">
      <c r="A45" s="4" t="s">
        <v>83</v>
      </c>
      <c r="B45" s="5" t="s">
        <v>84</v>
      </c>
      <c r="C45" s="28">
        <v>6697</v>
      </c>
      <c r="D45" s="28">
        <v>5262</v>
      </c>
      <c r="E45" s="28">
        <v>138</v>
      </c>
      <c r="F45" s="28">
        <f>SUM(C45-D45-E45)</f>
        <v>1297</v>
      </c>
      <c r="G45" s="28">
        <v>26559</v>
      </c>
      <c r="H45" s="28">
        <v>12156</v>
      </c>
      <c r="I45" s="28">
        <v>739</v>
      </c>
      <c r="J45" s="28">
        <f>SUM(G45-H45-I45)</f>
        <v>13664</v>
      </c>
      <c r="K45" s="28">
        <v>7000</v>
      </c>
      <c r="L45" s="28">
        <v>0</v>
      </c>
      <c r="M45" s="28">
        <v>1012</v>
      </c>
      <c r="N45" s="28">
        <v>0</v>
      </c>
      <c r="O45" s="28">
        <v>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13069</v>
      </c>
      <c r="D46" s="29">
        <f t="shared" si="8"/>
        <v>10061</v>
      </c>
      <c r="E46" s="29">
        <f t="shared" si="8"/>
        <v>245</v>
      </c>
      <c r="F46" s="29">
        <f t="shared" si="8"/>
        <v>2763</v>
      </c>
      <c r="G46" s="29">
        <f t="shared" si="8"/>
        <v>52060</v>
      </c>
      <c r="H46" s="29">
        <f t="shared" si="8"/>
        <v>23866</v>
      </c>
      <c r="I46" s="29">
        <f t="shared" si="8"/>
        <v>1171</v>
      </c>
      <c r="J46" s="29">
        <f t="shared" si="8"/>
        <v>27023</v>
      </c>
      <c r="K46" s="29">
        <f t="shared" si="8"/>
        <v>13085</v>
      </c>
      <c r="L46" s="29">
        <f t="shared" si="8"/>
        <v>0</v>
      </c>
      <c r="M46" s="29">
        <f t="shared" si="8"/>
        <v>3995</v>
      </c>
      <c r="N46" s="29">
        <f t="shared" si="8"/>
        <v>356</v>
      </c>
      <c r="O46" s="29">
        <f t="shared" si="8"/>
        <v>356</v>
      </c>
    </row>
    <row r="47" spans="1:256" ht="12.75" customHeight="1">
      <c r="A47" s="4" t="s">
        <v>86</v>
      </c>
      <c r="B47" s="5" t="s">
        <v>87</v>
      </c>
      <c r="C47" s="28">
        <v>1447</v>
      </c>
      <c r="D47" s="28">
        <v>1370</v>
      </c>
      <c r="E47" s="28">
        <v>0</v>
      </c>
      <c r="F47" s="28">
        <f>SUM(C47-D47-E47)</f>
        <v>77</v>
      </c>
      <c r="G47" s="28">
        <v>1107</v>
      </c>
      <c r="H47" s="28">
        <v>920</v>
      </c>
      <c r="I47" s="28">
        <v>0</v>
      </c>
      <c r="J47" s="28">
        <f>SUM(G47-H47-I47)</f>
        <v>187</v>
      </c>
      <c r="K47" s="28">
        <v>22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3048</v>
      </c>
      <c r="D48" s="28">
        <v>3000</v>
      </c>
      <c r="E48" s="28">
        <v>27</v>
      </c>
      <c r="F48" s="28">
        <f>SUM(C48-D48-E48)</f>
        <v>21</v>
      </c>
      <c r="G48" s="28">
        <v>5367</v>
      </c>
      <c r="H48" s="28">
        <v>5179</v>
      </c>
      <c r="I48" s="28">
        <v>95</v>
      </c>
      <c r="J48" s="28">
        <f>SUM(G48-H48-I48)</f>
        <v>93</v>
      </c>
      <c r="K48" s="28">
        <v>65</v>
      </c>
      <c r="L48" s="28">
        <v>0</v>
      </c>
      <c r="M48" s="28">
        <v>62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1746</v>
      </c>
      <c r="D49" s="28">
        <v>1635</v>
      </c>
      <c r="E49" s="28">
        <v>77</v>
      </c>
      <c r="F49" s="28">
        <f>SUM(C49-D49-E49)</f>
        <v>34</v>
      </c>
      <c r="G49" s="28">
        <v>2579</v>
      </c>
      <c r="H49" s="28">
        <v>1233</v>
      </c>
      <c r="I49" s="28">
        <v>191</v>
      </c>
      <c r="J49" s="28">
        <f>SUM(G49-H49-I49)</f>
        <v>1155</v>
      </c>
      <c r="K49" s="28">
        <v>2529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8367</v>
      </c>
      <c r="D50" s="28">
        <v>8071</v>
      </c>
      <c r="E50" s="28">
        <v>151</v>
      </c>
      <c r="F50" s="28">
        <f>SUM(C50-D50-E50)</f>
        <v>145</v>
      </c>
      <c r="G50" s="28">
        <v>18853</v>
      </c>
      <c r="H50" s="28">
        <v>12948</v>
      </c>
      <c r="I50" s="28">
        <v>666</v>
      </c>
      <c r="J50" s="28">
        <f>SUM(G50-H50-I50)</f>
        <v>5239</v>
      </c>
      <c r="K50" s="28">
        <v>3195</v>
      </c>
      <c r="L50" s="28">
        <v>31</v>
      </c>
      <c r="M50" s="28">
        <v>1791</v>
      </c>
      <c r="N50" s="28">
        <v>209</v>
      </c>
      <c r="O50" s="28">
        <v>209</v>
      </c>
    </row>
    <row r="51" spans="1:15" ht="12.75" customHeight="1">
      <c r="A51" s="8"/>
      <c r="B51" s="9" t="s">
        <v>94</v>
      </c>
      <c r="C51" s="29">
        <f t="shared" ref="C51:O51" si="9">SUM(C47:C50)</f>
        <v>14608</v>
      </c>
      <c r="D51" s="29">
        <f t="shared" si="9"/>
        <v>14076</v>
      </c>
      <c r="E51" s="29">
        <f t="shared" si="9"/>
        <v>255</v>
      </c>
      <c r="F51" s="29">
        <f t="shared" si="9"/>
        <v>277</v>
      </c>
      <c r="G51" s="29">
        <f t="shared" si="9"/>
        <v>27906</v>
      </c>
      <c r="H51" s="29">
        <f t="shared" si="9"/>
        <v>20280</v>
      </c>
      <c r="I51" s="29">
        <f t="shared" si="9"/>
        <v>952</v>
      </c>
      <c r="J51" s="29">
        <f t="shared" si="9"/>
        <v>6674</v>
      </c>
      <c r="K51" s="29">
        <f t="shared" si="9"/>
        <v>5811</v>
      </c>
      <c r="L51" s="29">
        <f t="shared" si="9"/>
        <v>31</v>
      </c>
      <c r="M51" s="29">
        <f t="shared" si="9"/>
        <v>1853</v>
      </c>
      <c r="N51" s="29">
        <f t="shared" si="9"/>
        <v>209</v>
      </c>
      <c r="O51" s="29">
        <f t="shared" si="9"/>
        <v>209</v>
      </c>
    </row>
    <row r="52" spans="1:15" ht="12.75" customHeight="1">
      <c r="A52" s="4" t="s">
        <v>95</v>
      </c>
      <c r="B52" s="5" t="s">
        <v>96</v>
      </c>
      <c r="C52" s="28">
        <v>1385</v>
      </c>
      <c r="D52" s="28">
        <v>1292</v>
      </c>
      <c r="E52" s="28">
        <v>0</v>
      </c>
      <c r="F52" s="28">
        <f t="shared" ref="F52:F58" si="10">SUM(C52-D52-E52)</f>
        <v>93</v>
      </c>
      <c r="G52" s="28">
        <v>4721</v>
      </c>
      <c r="H52" s="28">
        <v>2941</v>
      </c>
      <c r="I52" s="28">
        <v>30</v>
      </c>
      <c r="J52" s="28">
        <f t="shared" ref="J52:J58" si="11">SUM(G52-H52-I52)</f>
        <v>1750</v>
      </c>
      <c r="K52" s="28">
        <v>3175</v>
      </c>
      <c r="L52" s="28">
        <v>0</v>
      </c>
      <c r="M52" s="28">
        <v>53</v>
      </c>
      <c r="N52" s="28">
        <v>58</v>
      </c>
      <c r="O52" s="28">
        <v>58</v>
      </c>
    </row>
    <row r="53" spans="1:15" ht="12.75" customHeight="1">
      <c r="A53" s="4" t="s">
        <v>97</v>
      </c>
      <c r="B53" s="5" t="s">
        <v>98</v>
      </c>
      <c r="C53" s="28">
        <v>11216</v>
      </c>
      <c r="D53" s="28">
        <v>7462</v>
      </c>
      <c r="E53" s="28">
        <v>128</v>
      </c>
      <c r="F53" s="28">
        <f t="shared" si="10"/>
        <v>3626</v>
      </c>
      <c r="G53" s="28">
        <v>30869</v>
      </c>
      <c r="H53" s="28">
        <v>18635</v>
      </c>
      <c r="I53" s="28">
        <v>784</v>
      </c>
      <c r="J53" s="28">
        <f t="shared" si="11"/>
        <v>11450</v>
      </c>
      <c r="K53" s="28">
        <v>1561</v>
      </c>
      <c r="L53" s="28">
        <v>0</v>
      </c>
      <c r="M53" s="28">
        <v>982</v>
      </c>
      <c r="N53" s="28">
        <v>395</v>
      </c>
      <c r="O53" s="28">
        <v>395</v>
      </c>
    </row>
    <row r="54" spans="1:15" ht="12.75" customHeight="1">
      <c r="A54" s="4" t="s">
        <v>99</v>
      </c>
      <c r="B54" s="5" t="s">
        <v>100</v>
      </c>
      <c r="C54" s="28">
        <v>1507</v>
      </c>
      <c r="D54" s="28">
        <v>961</v>
      </c>
      <c r="E54" s="28">
        <v>36</v>
      </c>
      <c r="F54" s="28">
        <f t="shared" si="10"/>
        <v>510</v>
      </c>
      <c r="G54" s="28">
        <v>4992</v>
      </c>
      <c r="H54" s="28">
        <v>2881</v>
      </c>
      <c r="I54" s="28">
        <v>341</v>
      </c>
      <c r="J54" s="28">
        <f t="shared" si="11"/>
        <v>1770</v>
      </c>
      <c r="K54" s="28">
        <v>46</v>
      </c>
      <c r="L54" s="28">
        <v>0</v>
      </c>
      <c r="M54" s="28">
        <v>114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7027</v>
      </c>
      <c r="D55" s="28">
        <v>5048</v>
      </c>
      <c r="E55" s="28">
        <v>97</v>
      </c>
      <c r="F55" s="28">
        <f t="shared" si="10"/>
        <v>1882</v>
      </c>
      <c r="G55" s="28">
        <v>22917</v>
      </c>
      <c r="H55" s="28">
        <v>11736</v>
      </c>
      <c r="I55" s="28">
        <v>448</v>
      </c>
      <c r="J55" s="28">
        <f t="shared" si="11"/>
        <v>10733</v>
      </c>
      <c r="K55" s="28">
        <v>3620</v>
      </c>
      <c r="L55" s="28">
        <v>0</v>
      </c>
      <c r="M55" s="28">
        <v>1263</v>
      </c>
      <c r="N55" s="28">
        <v>2109</v>
      </c>
      <c r="O55" s="28">
        <v>2109</v>
      </c>
    </row>
    <row r="56" spans="1:15" ht="12.75" customHeight="1">
      <c r="A56" s="4" t="s">
        <v>103</v>
      </c>
      <c r="B56" s="5" t="s">
        <v>104</v>
      </c>
      <c r="C56" s="28">
        <v>9318</v>
      </c>
      <c r="D56" s="28">
        <v>4148</v>
      </c>
      <c r="E56" s="28">
        <v>415</v>
      </c>
      <c r="F56" s="28">
        <f t="shared" si="10"/>
        <v>4755</v>
      </c>
      <c r="G56" s="28">
        <v>28900</v>
      </c>
      <c r="H56" s="28">
        <v>9411</v>
      </c>
      <c r="I56" s="28">
        <v>2475</v>
      </c>
      <c r="J56" s="28">
        <f t="shared" si="11"/>
        <v>17014</v>
      </c>
      <c r="K56" s="28">
        <v>3233</v>
      </c>
      <c r="L56" s="28">
        <v>112</v>
      </c>
      <c r="M56" s="28">
        <v>4019</v>
      </c>
      <c r="N56" s="28">
        <v>1845</v>
      </c>
      <c r="O56" s="28">
        <v>1845</v>
      </c>
    </row>
    <row r="57" spans="1:15" ht="12.75" customHeight="1">
      <c r="A57" s="4" t="s">
        <v>105</v>
      </c>
      <c r="B57" s="5" t="s">
        <v>106</v>
      </c>
      <c r="C57" s="28">
        <v>8414</v>
      </c>
      <c r="D57" s="28">
        <v>5093</v>
      </c>
      <c r="E57" s="28">
        <v>473</v>
      </c>
      <c r="F57" s="28">
        <f t="shared" si="10"/>
        <v>2848</v>
      </c>
      <c r="G57" s="28">
        <v>33338</v>
      </c>
      <c r="H57" s="28">
        <v>15157</v>
      </c>
      <c r="I57" s="28">
        <v>2388</v>
      </c>
      <c r="J57" s="28">
        <f t="shared" si="11"/>
        <v>15793</v>
      </c>
      <c r="K57" s="28">
        <v>715</v>
      </c>
      <c r="L57" s="28">
        <v>0</v>
      </c>
      <c r="M57" s="28">
        <v>1924</v>
      </c>
      <c r="N57" s="28">
        <v>0</v>
      </c>
      <c r="O57" s="28">
        <v>0</v>
      </c>
    </row>
    <row r="58" spans="1:15" ht="12.75" customHeight="1">
      <c r="A58" s="4" t="s">
        <v>107</v>
      </c>
      <c r="B58" s="5" t="s">
        <v>108</v>
      </c>
      <c r="C58" s="28">
        <v>9096</v>
      </c>
      <c r="D58" s="28">
        <v>5222</v>
      </c>
      <c r="E58" s="28">
        <v>167</v>
      </c>
      <c r="F58" s="28">
        <f t="shared" si="10"/>
        <v>3707</v>
      </c>
      <c r="G58" s="28">
        <v>29313</v>
      </c>
      <c r="H58" s="28">
        <v>11746</v>
      </c>
      <c r="I58" s="28">
        <v>833</v>
      </c>
      <c r="J58" s="28">
        <f t="shared" si="11"/>
        <v>16734</v>
      </c>
      <c r="K58" s="28">
        <v>1050</v>
      </c>
      <c r="L58" s="28">
        <v>1</v>
      </c>
      <c r="M58" s="28">
        <v>1088</v>
      </c>
      <c r="N58" s="28">
        <v>2272</v>
      </c>
      <c r="O58" s="28">
        <v>2272</v>
      </c>
    </row>
    <row r="59" spans="1:15" ht="12.75" customHeight="1">
      <c r="A59" s="8"/>
      <c r="B59" s="9" t="s">
        <v>109</v>
      </c>
      <c r="C59" s="29">
        <f t="shared" ref="C59:O59" si="12">SUM(C52:C58)</f>
        <v>47963</v>
      </c>
      <c r="D59" s="29">
        <f t="shared" si="12"/>
        <v>29226</v>
      </c>
      <c r="E59" s="29">
        <f t="shared" si="12"/>
        <v>1316</v>
      </c>
      <c r="F59" s="29">
        <f t="shared" si="12"/>
        <v>17421</v>
      </c>
      <c r="G59" s="29">
        <f t="shared" si="12"/>
        <v>155050</v>
      </c>
      <c r="H59" s="29">
        <f t="shared" si="12"/>
        <v>72507</v>
      </c>
      <c r="I59" s="29">
        <f t="shared" si="12"/>
        <v>7299</v>
      </c>
      <c r="J59" s="29">
        <f t="shared" si="12"/>
        <v>75244</v>
      </c>
      <c r="K59" s="29">
        <f t="shared" si="12"/>
        <v>13400</v>
      </c>
      <c r="L59" s="29">
        <f t="shared" si="12"/>
        <v>113</v>
      </c>
      <c r="M59" s="29">
        <f t="shared" si="12"/>
        <v>9443</v>
      </c>
      <c r="N59" s="29">
        <f t="shared" si="12"/>
        <v>6679</v>
      </c>
      <c r="O59" s="29">
        <f t="shared" si="12"/>
        <v>6679</v>
      </c>
    </row>
    <row r="60" spans="1:15" ht="12.75" customHeight="1">
      <c r="A60" s="4" t="s">
        <v>110</v>
      </c>
      <c r="B60" s="5" t="s">
        <v>111</v>
      </c>
      <c r="C60" s="28">
        <v>9937</v>
      </c>
      <c r="D60" s="28">
        <v>7756</v>
      </c>
      <c r="E60" s="28">
        <v>608</v>
      </c>
      <c r="F60" s="28">
        <f t="shared" ref="F60:F68" si="13">SUM(C60-D60-E60)</f>
        <v>1573</v>
      </c>
      <c r="G60" s="28">
        <v>30548</v>
      </c>
      <c r="H60" s="28">
        <v>18558</v>
      </c>
      <c r="I60" s="28">
        <v>4530</v>
      </c>
      <c r="J60" s="28">
        <f t="shared" ref="J60:J68" si="14">SUM(G60-H60-I60)</f>
        <v>7460</v>
      </c>
      <c r="K60" s="28">
        <v>421</v>
      </c>
      <c r="L60" s="28">
        <v>0</v>
      </c>
      <c r="M60" s="28">
        <v>1791</v>
      </c>
      <c r="N60" s="28">
        <v>424</v>
      </c>
      <c r="O60" s="28">
        <v>424</v>
      </c>
    </row>
    <row r="61" spans="1:15" ht="12.75" customHeight="1">
      <c r="A61" s="4" t="s">
        <v>112</v>
      </c>
      <c r="B61" s="5" t="s">
        <v>113</v>
      </c>
      <c r="C61" s="28">
        <v>2504</v>
      </c>
      <c r="D61" s="28">
        <v>2106</v>
      </c>
      <c r="E61" s="28">
        <v>30</v>
      </c>
      <c r="F61" s="28">
        <f t="shared" si="13"/>
        <v>368</v>
      </c>
      <c r="G61" s="28">
        <v>6033</v>
      </c>
      <c r="H61" s="28">
        <v>4973</v>
      </c>
      <c r="I61" s="28">
        <v>173</v>
      </c>
      <c r="J61" s="28">
        <f t="shared" si="14"/>
        <v>887</v>
      </c>
      <c r="K61" s="28">
        <v>5</v>
      </c>
      <c r="L61" s="28">
        <v>92</v>
      </c>
      <c r="M61" s="28">
        <v>746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4348</v>
      </c>
      <c r="D62" s="28">
        <v>2498</v>
      </c>
      <c r="E62" s="28">
        <v>150</v>
      </c>
      <c r="F62" s="28">
        <f t="shared" si="13"/>
        <v>1700</v>
      </c>
      <c r="G62" s="28">
        <v>18066</v>
      </c>
      <c r="H62" s="28">
        <v>6377</v>
      </c>
      <c r="I62" s="28">
        <v>1272</v>
      </c>
      <c r="J62" s="28">
        <f t="shared" si="14"/>
        <v>10417</v>
      </c>
      <c r="K62" s="28">
        <v>1713</v>
      </c>
      <c r="L62" s="28">
        <v>56</v>
      </c>
      <c r="M62" s="28">
        <v>1196</v>
      </c>
      <c r="N62" s="28">
        <v>1510</v>
      </c>
      <c r="O62" s="28">
        <v>1510</v>
      </c>
    </row>
    <row r="63" spans="1:15" ht="12.75" customHeight="1">
      <c r="A63" s="4" t="s">
        <v>116</v>
      </c>
      <c r="B63" s="5" t="s">
        <v>117</v>
      </c>
      <c r="C63" s="28">
        <v>6351</v>
      </c>
      <c r="D63" s="28">
        <v>4353</v>
      </c>
      <c r="E63" s="28">
        <v>217</v>
      </c>
      <c r="F63" s="28">
        <f t="shared" si="13"/>
        <v>1781</v>
      </c>
      <c r="G63" s="28">
        <v>21018</v>
      </c>
      <c r="H63" s="28">
        <v>12614</v>
      </c>
      <c r="I63" s="28">
        <v>2353</v>
      </c>
      <c r="J63" s="28">
        <f t="shared" si="14"/>
        <v>6051</v>
      </c>
      <c r="K63" s="28">
        <v>342</v>
      </c>
      <c r="L63" s="28">
        <v>0</v>
      </c>
      <c r="M63" s="28">
        <v>1120</v>
      </c>
      <c r="N63" s="28">
        <v>88</v>
      </c>
      <c r="O63" s="28">
        <v>88</v>
      </c>
    </row>
    <row r="64" spans="1:15" ht="12.75" customHeight="1">
      <c r="A64" s="4" t="s">
        <v>118</v>
      </c>
      <c r="B64" s="5" t="s">
        <v>119</v>
      </c>
      <c r="C64" s="28">
        <v>6258</v>
      </c>
      <c r="D64" s="28">
        <v>3342</v>
      </c>
      <c r="E64" s="28">
        <v>376</v>
      </c>
      <c r="F64" s="28">
        <f t="shared" si="13"/>
        <v>2540</v>
      </c>
      <c r="G64" s="28">
        <v>23205</v>
      </c>
      <c r="H64" s="28">
        <v>9193</v>
      </c>
      <c r="I64" s="28">
        <v>2381</v>
      </c>
      <c r="J64" s="28">
        <f t="shared" si="14"/>
        <v>11631</v>
      </c>
      <c r="K64" s="28">
        <v>49</v>
      </c>
      <c r="L64" s="28">
        <v>0</v>
      </c>
      <c r="M64" s="28">
        <v>624</v>
      </c>
      <c r="N64" s="28">
        <v>28</v>
      </c>
      <c r="O64" s="28">
        <v>28</v>
      </c>
    </row>
    <row r="65" spans="1:15" ht="12.75" customHeight="1">
      <c r="A65" s="4" t="s">
        <v>120</v>
      </c>
      <c r="B65" s="5" t="s">
        <v>121</v>
      </c>
      <c r="C65" s="28">
        <v>3133</v>
      </c>
      <c r="D65" s="28">
        <v>2370</v>
      </c>
      <c r="E65" s="28">
        <v>312</v>
      </c>
      <c r="F65" s="28">
        <f t="shared" si="13"/>
        <v>451</v>
      </c>
      <c r="G65" s="28">
        <v>13918</v>
      </c>
      <c r="H65" s="28">
        <v>6410</v>
      </c>
      <c r="I65" s="28">
        <v>1777</v>
      </c>
      <c r="J65" s="28">
        <f t="shared" si="14"/>
        <v>5731</v>
      </c>
      <c r="K65" s="28">
        <v>886</v>
      </c>
      <c r="L65" s="28">
        <v>0</v>
      </c>
      <c r="M65" s="28">
        <v>1208</v>
      </c>
      <c r="N65" s="28">
        <v>113</v>
      </c>
      <c r="O65" s="28">
        <v>113</v>
      </c>
    </row>
    <row r="66" spans="1:15" ht="12.75" customHeight="1">
      <c r="A66" s="4" t="s">
        <v>122</v>
      </c>
      <c r="B66" s="5" t="s">
        <v>123</v>
      </c>
      <c r="C66" s="28">
        <v>4738</v>
      </c>
      <c r="D66" s="28">
        <v>2101</v>
      </c>
      <c r="E66" s="28">
        <v>99</v>
      </c>
      <c r="F66" s="28">
        <f t="shared" si="13"/>
        <v>2538</v>
      </c>
      <c r="G66" s="28">
        <v>29954</v>
      </c>
      <c r="H66" s="28">
        <v>7729</v>
      </c>
      <c r="I66" s="28">
        <v>676</v>
      </c>
      <c r="J66" s="28">
        <f t="shared" si="14"/>
        <v>21549</v>
      </c>
      <c r="K66" s="28">
        <v>4498</v>
      </c>
      <c r="L66" s="28">
        <v>0</v>
      </c>
      <c r="M66" s="28">
        <v>5744</v>
      </c>
      <c r="N66" s="28">
        <v>94</v>
      </c>
      <c r="O66" s="28">
        <v>94</v>
      </c>
    </row>
    <row r="67" spans="1:15" ht="12.75" customHeight="1">
      <c r="A67" s="4" t="s">
        <v>124</v>
      </c>
      <c r="B67" s="5" t="s">
        <v>125</v>
      </c>
      <c r="C67" s="28">
        <v>10341</v>
      </c>
      <c r="D67" s="28">
        <v>2772</v>
      </c>
      <c r="E67" s="28">
        <v>0</v>
      </c>
      <c r="F67" s="28">
        <f t="shared" si="13"/>
        <v>7569</v>
      </c>
      <c r="G67" s="28">
        <v>44996</v>
      </c>
      <c r="H67" s="28">
        <v>6791</v>
      </c>
      <c r="I67" s="28">
        <v>0</v>
      </c>
      <c r="J67" s="28">
        <f t="shared" si="14"/>
        <v>38205</v>
      </c>
      <c r="K67" s="28">
        <v>4987</v>
      </c>
      <c r="L67" s="28">
        <v>0</v>
      </c>
      <c r="M67" s="28">
        <v>11923</v>
      </c>
      <c r="N67" s="28">
        <v>133</v>
      </c>
      <c r="O67" s="28">
        <v>133</v>
      </c>
    </row>
    <row r="68" spans="1:15" ht="12.75" customHeight="1">
      <c r="A68" s="4" t="s">
        <v>126</v>
      </c>
      <c r="B68" s="5" t="s">
        <v>127</v>
      </c>
      <c r="C68" s="28">
        <v>4159</v>
      </c>
      <c r="D68" s="28">
        <v>2952</v>
      </c>
      <c r="E68" s="28">
        <v>64</v>
      </c>
      <c r="F68" s="28">
        <f t="shared" si="13"/>
        <v>1143</v>
      </c>
      <c r="G68" s="28">
        <v>16033</v>
      </c>
      <c r="H68" s="28">
        <v>6635</v>
      </c>
      <c r="I68" s="28">
        <v>521</v>
      </c>
      <c r="J68" s="28">
        <f t="shared" si="14"/>
        <v>8877</v>
      </c>
      <c r="K68" s="28">
        <v>43</v>
      </c>
      <c r="L68" s="28">
        <v>42</v>
      </c>
      <c r="M68" s="28">
        <v>417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51769</v>
      </c>
      <c r="D69" s="29">
        <f t="shared" si="15"/>
        <v>30250</v>
      </c>
      <c r="E69" s="29">
        <f t="shared" si="15"/>
        <v>1856</v>
      </c>
      <c r="F69" s="29">
        <f t="shared" si="15"/>
        <v>19663</v>
      </c>
      <c r="G69" s="29">
        <f t="shared" si="15"/>
        <v>203771</v>
      </c>
      <c r="H69" s="29">
        <f t="shared" si="15"/>
        <v>79280</v>
      </c>
      <c r="I69" s="29">
        <f t="shared" si="15"/>
        <v>13683</v>
      </c>
      <c r="J69" s="29">
        <f t="shared" si="15"/>
        <v>110808</v>
      </c>
      <c r="K69" s="29">
        <f t="shared" si="15"/>
        <v>12944</v>
      </c>
      <c r="L69" s="29">
        <f t="shared" si="15"/>
        <v>190</v>
      </c>
      <c r="M69" s="29">
        <f t="shared" si="15"/>
        <v>24769</v>
      </c>
      <c r="N69" s="29">
        <f t="shared" si="15"/>
        <v>2393</v>
      </c>
      <c r="O69" s="29">
        <f t="shared" si="15"/>
        <v>2393</v>
      </c>
    </row>
    <row r="70" spans="1:15" ht="12.75" customHeight="1">
      <c r="A70" s="4" t="s">
        <v>129</v>
      </c>
      <c r="B70" s="5" t="s">
        <v>130</v>
      </c>
      <c r="C70" s="28">
        <v>3322</v>
      </c>
      <c r="D70" s="28">
        <v>2932</v>
      </c>
      <c r="E70" s="28">
        <v>211</v>
      </c>
      <c r="F70" s="28">
        <f t="shared" ref="F70:F79" si="16">SUM(C70-D70-E70)</f>
        <v>179</v>
      </c>
      <c r="G70" s="28">
        <v>10856</v>
      </c>
      <c r="H70" s="28">
        <v>7085</v>
      </c>
      <c r="I70" s="28">
        <v>1685</v>
      </c>
      <c r="J70" s="28">
        <f t="shared" ref="J70:J79" si="17">SUM(G70-H70-I70)</f>
        <v>2086</v>
      </c>
      <c r="K70" s="28">
        <v>417</v>
      </c>
      <c r="L70" s="28">
        <v>4</v>
      </c>
      <c r="M70" s="28">
        <v>330</v>
      </c>
      <c r="N70" s="28">
        <v>23</v>
      </c>
      <c r="O70" s="28">
        <v>23</v>
      </c>
    </row>
    <row r="71" spans="1:15" ht="12.75" customHeight="1">
      <c r="A71" s="4" t="s">
        <v>131</v>
      </c>
      <c r="B71" s="5" t="s">
        <v>132</v>
      </c>
      <c r="C71" s="28">
        <v>16777</v>
      </c>
      <c r="D71" s="28">
        <v>9314</v>
      </c>
      <c r="E71" s="28">
        <v>413</v>
      </c>
      <c r="F71" s="28">
        <f t="shared" si="16"/>
        <v>7050</v>
      </c>
      <c r="G71" s="28">
        <v>37444</v>
      </c>
      <c r="H71" s="28">
        <v>16400</v>
      </c>
      <c r="I71" s="28">
        <v>2415</v>
      </c>
      <c r="J71" s="28">
        <f t="shared" si="17"/>
        <v>18629</v>
      </c>
      <c r="K71" s="28">
        <v>1888</v>
      </c>
      <c r="L71" s="28">
        <v>0</v>
      </c>
      <c r="M71" s="28">
        <v>871</v>
      </c>
      <c r="N71" s="28">
        <v>3073</v>
      </c>
      <c r="O71" s="28">
        <v>3073</v>
      </c>
    </row>
    <row r="72" spans="1:15" ht="12.75" customHeight="1">
      <c r="A72" s="4" t="s">
        <v>133</v>
      </c>
      <c r="B72" s="5" t="s">
        <v>134</v>
      </c>
      <c r="C72" s="28">
        <v>2187</v>
      </c>
      <c r="D72" s="28">
        <v>1930</v>
      </c>
      <c r="E72" s="28">
        <v>0</v>
      </c>
      <c r="F72" s="28">
        <f t="shared" si="16"/>
        <v>257</v>
      </c>
      <c r="G72" s="28">
        <v>6446</v>
      </c>
      <c r="H72" s="28">
        <v>4822</v>
      </c>
      <c r="I72" s="28">
        <v>0</v>
      </c>
      <c r="J72" s="28">
        <f t="shared" si="17"/>
        <v>1624</v>
      </c>
      <c r="K72" s="28">
        <v>483</v>
      </c>
      <c r="L72" s="28">
        <v>16</v>
      </c>
      <c r="M72" s="28">
        <v>1281</v>
      </c>
      <c r="N72" s="28">
        <v>0</v>
      </c>
      <c r="O72" s="28">
        <v>0</v>
      </c>
    </row>
    <row r="73" spans="1:15" ht="12.75" customHeight="1">
      <c r="A73" s="4" t="s">
        <v>135</v>
      </c>
      <c r="B73" s="5" t="s">
        <v>136</v>
      </c>
      <c r="C73" s="28">
        <v>6511</v>
      </c>
      <c r="D73" s="28">
        <v>4663</v>
      </c>
      <c r="E73" s="28">
        <v>42</v>
      </c>
      <c r="F73" s="28">
        <f t="shared" si="16"/>
        <v>1806</v>
      </c>
      <c r="G73" s="28">
        <v>19626</v>
      </c>
      <c r="H73" s="28">
        <v>10244</v>
      </c>
      <c r="I73" s="28">
        <v>168</v>
      </c>
      <c r="J73" s="28">
        <f t="shared" si="17"/>
        <v>9214</v>
      </c>
      <c r="K73" s="28">
        <v>1033</v>
      </c>
      <c r="L73" s="28">
        <v>51</v>
      </c>
      <c r="M73" s="28">
        <v>2776</v>
      </c>
      <c r="N73" s="28">
        <v>9353</v>
      </c>
      <c r="O73" s="28">
        <v>9353</v>
      </c>
    </row>
    <row r="74" spans="1:15" ht="12.75" customHeight="1">
      <c r="A74" s="4" t="s">
        <v>137</v>
      </c>
      <c r="B74" s="5" t="s">
        <v>138</v>
      </c>
      <c r="C74" s="28">
        <v>4742</v>
      </c>
      <c r="D74" s="28">
        <v>3959</v>
      </c>
      <c r="E74" s="28">
        <v>149</v>
      </c>
      <c r="F74" s="28">
        <f t="shared" si="16"/>
        <v>634</v>
      </c>
      <c r="G74" s="28">
        <v>10475</v>
      </c>
      <c r="H74" s="28">
        <v>6844</v>
      </c>
      <c r="I74" s="28">
        <v>716</v>
      </c>
      <c r="J74" s="28">
        <f t="shared" si="17"/>
        <v>2915</v>
      </c>
      <c r="K74" s="28">
        <v>569</v>
      </c>
      <c r="L74" s="28">
        <v>0</v>
      </c>
      <c r="M74" s="28">
        <v>126</v>
      </c>
      <c r="N74" s="28">
        <v>137</v>
      </c>
      <c r="O74" s="28">
        <v>137</v>
      </c>
    </row>
    <row r="75" spans="1:15" ht="12.75" customHeight="1">
      <c r="A75" s="4" t="s">
        <v>139</v>
      </c>
      <c r="B75" s="5" t="s">
        <v>140</v>
      </c>
      <c r="C75" s="28">
        <v>2437</v>
      </c>
      <c r="D75" s="28">
        <v>2290</v>
      </c>
      <c r="E75" s="28">
        <v>56</v>
      </c>
      <c r="F75" s="28">
        <f t="shared" si="16"/>
        <v>91</v>
      </c>
      <c r="G75" s="28">
        <v>4947</v>
      </c>
      <c r="H75" s="28">
        <v>3958</v>
      </c>
      <c r="I75" s="28">
        <v>419</v>
      </c>
      <c r="J75" s="28">
        <f t="shared" si="17"/>
        <v>570</v>
      </c>
      <c r="K75" s="28">
        <v>30</v>
      </c>
      <c r="L75" s="28">
        <v>0</v>
      </c>
      <c r="M75" s="28">
        <v>6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5136</v>
      </c>
      <c r="D76" s="28">
        <v>3814</v>
      </c>
      <c r="E76" s="28">
        <v>96</v>
      </c>
      <c r="F76" s="28">
        <f t="shared" si="16"/>
        <v>1226</v>
      </c>
      <c r="G76" s="28">
        <v>13777</v>
      </c>
      <c r="H76" s="28">
        <v>8407</v>
      </c>
      <c r="I76" s="28">
        <v>393</v>
      </c>
      <c r="J76" s="28">
        <f t="shared" si="17"/>
        <v>4977</v>
      </c>
      <c r="K76" s="28">
        <v>216</v>
      </c>
      <c r="L76" s="28">
        <v>142</v>
      </c>
      <c r="M76" s="28">
        <v>203</v>
      </c>
      <c r="N76" s="28">
        <v>104</v>
      </c>
      <c r="O76" s="28">
        <v>104</v>
      </c>
    </row>
    <row r="77" spans="1:15" ht="12.75" customHeight="1">
      <c r="A77" s="4" t="s">
        <v>143</v>
      </c>
      <c r="B77" s="5" t="s">
        <v>144</v>
      </c>
      <c r="C77" s="28">
        <v>5412</v>
      </c>
      <c r="D77" s="28">
        <v>2757</v>
      </c>
      <c r="E77" s="28">
        <v>58</v>
      </c>
      <c r="F77" s="28">
        <f t="shared" si="16"/>
        <v>2597</v>
      </c>
      <c r="G77" s="28">
        <v>12822</v>
      </c>
      <c r="H77" s="28">
        <v>5166</v>
      </c>
      <c r="I77" s="28">
        <v>275</v>
      </c>
      <c r="J77" s="28">
        <f t="shared" si="17"/>
        <v>7381</v>
      </c>
      <c r="K77" s="28">
        <v>827</v>
      </c>
      <c r="L77" s="28">
        <v>0</v>
      </c>
      <c r="M77" s="28">
        <v>270</v>
      </c>
      <c r="N77" s="28">
        <v>32</v>
      </c>
      <c r="O77" s="28">
        <v>32</v>
      </c>
    </row>
    <row r="78" spans="1:15" ht="12.75" customHeight="1">
      <c r="A78" s="4" t="s">
        <v>145</v>
      </c>
      <c r="B78" s="5" t="s">
        <v>146</v>
      </c>
      <c r="C78" s="28">
        <v>2674</v>
      </c>
      <c r="D78" s="28">
        <v>2115</v>
      </c>
      <c r="E78" s="28">
        <v>0</v>
      </c>
      <c r="F78" s="28">
        <f t="shared" si="16"/>
        <v>559</v>
      </c>
      <c r="G78" s="28">
        <v>5211</v>
      </c>
      <c r="H78" s="28">
        <v>3785</v>
      </c>
      <c r="I78" s="28">
        <v>0</v>
      </c>
      <c r="J78" s="28">
        <f t="shared" si="17"/>
        <v>1426</v>
      </c>
      <c r="K78" s="28">
        <v>107</v>
      </c>
      <c r="L78" s="28">
        <v>0</v>
      </c>
      <c r="M78" s="28">
        <v>0</v>
      </c>
      <c r="N78" s="28">
        <v>26</v>
      </c>
      <c r="O78" s="28">
        <v>26</v>
      </c>
    </row>
    <row r="79" spans="1:15" ht="12.75" customHeight="1">
      <c r="A79" s="4" t="s">
        <v>147</v>
      </c>
      <c r="B79" s="5" t="s">
        <v>148</v>
      </c>
      <c r="C79" s="28">
        <v>3083</v>
      </c>
      <c r="D79" s="28">
        <v>2608</v>
      </c>
      <c r="E79" s="28">
        <v>77</v>
      </c>
      <c r="F79" s="28">
        <f t="shared" si="16"/>
        <v>398</v>
      </c>
      <c r="G79" s="28">
        <v>9363</v>
      </c>
      <c r="H79" s="28">
        <v>6306</v>
      </c>
      <c r="I79" s="28">
        <v>436</v>
      </c>
      <c r="J79" s="28">
        <f t="shared" si="17"/>
        <v>2621</v>
      </c>
      <c r="K79" s="28">
        <v>665</v>
      </c>
      <c r="L79" s="28">
        <v>9</v>
      </c>
      <c r="M79" s="28">
        <v>1846</v>
      </c>
      <c r="N79" s="28">
        <v>26</v>
      </c>
      <c r="O79" s="28">
        <v>26</v>
      </c>
    </row>
    <row r="80" spans="1:15" ht="12.75" customHeight="1">
      <c r="A80" s="8"/>
      <c r="B80" s="9" t="s">
        <v>149</v>
      </c>
      <c r="C80" s="29">
        <f t="shared" ref="C80:O80" si="18">SUM(C70:C79)</f>
        <v>52281</v>
      </c>
      <c r="D80" s="29">
        <f t="shared" si="18"/>
        <v>36382</v>
      </c>
      <c r="E80" s="29">
        <f t="shared" si="18"/>
        <v>1102</v>
      </c>
      <c r="F80" s="29">
        <f t="shared" si="18"/>
        <v>14797</v>
      </c>
      <c r="G80" s="29">
        <f t="shared" si="18"/>
        <v>130967</v>
      </c>
      <c r="H80" s="29">
        <f t="shared" si="18"/>
        <v>73017</v>
      </c>
      <c r="I80" s="29">
        <f t="shared" si="18"/>
        <v>6507</v>
      </c>
      <c r="J80" s="29">
        <f t="shared" si="18"/>
        <v>51443</v>
      </c>
      <c r="K80" s="29">
        <f t="shared" si="18"/>
        <v>6235</v>
      </c>
      <c r="L80" s="29">
        <f t="shared" si="18"/>
        <v>222</v>
      </c>
      <c r="M80" s="29">
        <f t="shared" si="18"/>
        <v>7709</v>
      </c>
      <c r="N80" s="29">
        <f t="shared" si="18"/>
        <v>12774</v>
      </c>
      <c r="O80" s="29">
        <f t="shared" si="18"/>
        <v>12774</v>
      </c>
    </row>
    <row r="81" spans="1:15" ht="12.75" customHeight="1">
      <c r="A81" s="4" t="s">
        <v>150</v>
      </c>
      <c r="B81" s="5" t="s">
        <v>151</v>
      </c>
      <c r="C81" s="28">
        <v>4574</v>
      </c>
      <c r="D81" s="28">
        <v>2776</v>
      </c>
      <c r="E81" s="28">
        <v>93</v>
      </c>
      <c r="F81" s="28">
        <f>SUM(C81-D81-E81)</f>
        <v>1705</v>
      </c>
      <c r="G81" s="28">
        <v>19777</v>
      </c>
      <c r="H81" s="28">
        <v>9561</v>
      </c>
      <c r="I81" s="28">
        <v>1101</v>
      </c>
      <c r="J81" s="28">
        <f>SUM(G81-H81-I81)</f>
        <v>9115</v>
      </c>
      <c r="K81" s="28">
        <v>300</v>
      </c>
      <c r="L81" s="28">
        <v>0</v>
      </c>
      <c r="M81" s="28">
        <v>997</v>
      </c>
      <c r="N81" s="28">
        <v>375</v>
      </c>
      <c r="O81" s="28">
        <v>375</v>
      </c>
    </row>
    <row r="82" spans="1:15" ht="12.75" customHeight="1">
      <c r="A82" s="4" t="s">
        <v>152</v>
      </c>
      <c r="B82" s="5" t="s">
        <v>153</v>
      </c>
      <c r="C82" s="28">
        <v>2181</v>
      </c>
      <c r="D82" s="28">
        <v>1666</v>
      </c>
      <c r="E82" s="28">
        <v>23</v>
      </c>
      <c r="F82" s="28">
        <f>SUM(C82-D82-E82)</f>
        <v>492</v>
      </c>
      <c r="G82" s="28">
        <v>10223</v>
      </c>
      <c r="H82" s="28">
        <v>5136</v>
      </c>
      <c r="I82" s="28">
        <v>213</v>
      </c>
      <c r="J82" s="28">
        <f>SUM(G82-H82-I82)</f>
        <v>4874</v>
      </c>
      <c r="K82" s="28">
        <v>134</v>
      </c>
      <c r="L82" s="28">
        <v>0</v>
      </c>
      <c r="M82" s="28">
        <v>1072</v>
      </c>
      <c r="N82" s="28">
        <v>58</v>
      </c>
      <c r="O82" s="28">
        <v>58</v>
      </c>
    </row>
    <row r="83" spans="1:15" ht="12.75" customHeight="1">
      <c r="A83" s="4" t="s">
        <v>154</v>
      </c>
      <c r="B83" s="5" t="s">
        <v>155</v>
      </c>
      <c r="C83" s="28">
        <v>666</v>
      </c>
      <c r="D83" s="28">
        <v>623</v>
      </c>
      <c r="E83" s="28">
        <v>43</v>
      </c>
      <c r="F83" s="28">
        <f>SUM(C83-D83-E83)</f>
        <v>0</v>
      </c>
      <c r="G83" s="28">
        <v>2386</v>
      </c>
      <c r="H83" s="28">
        <v>2025</v>
      </c>
      <c r="I83" s="28">
        <v>332</v>
      </c>
      <c r="J83" s="28">
        <f>SUM(G83-H83-I83)</f>
        <v>29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2242</v>
      </c>
      <c r="D84" s="28">
        <v>2036</v>
      </c>
      <c r="E84" s="28">
        <v>29</v>
      </c>
      <c r="F84" s="28">
        <f>SUM(C84-D84-E84)</f>
        <v>177</v>
      </c>
      <c r="G84" s="28">
        <v>9100</v>
      </c>
      <c r="H84" s="28">
        <v>6262</v>
      </c>
      <c r="I84" s="28">
        <v>262</v>
      </c>
      <c r="J84" s="28">
        <f>SUM(G84-H84-I84)</f>
        <v>2576</v>
      </c>
      <c r="K84" s="28">
        <v>156</v>
      </c>
      <c r="L84" s="28">
        <v>0</v>
      </c>
      <c r="M84" s="28">
        <v>726</v>
      </c>
      <c r="N84" s="28">
        <v>32</v>
      </c>
      <c r="O84" s="28">
        <v>32</v>
      </c>
    </row>
    <row r="85" spans="1:15" ht="12.75" customHeight="1">
      <c r="A85" s="4" t="s">
        <v>158</v>
      </c>
      <c r="B85" s="5" t="s">
        <v>159</v>
      </c>
      <c r="C85" s="28">
        <v>3317</v>
      </c>
      <c r="D85" s="28">
        <v>2990</v>
      </c>
      <c r="E85" s="28">
        <v>100</v>
      </c>
      <c r="F85" s="28">
        <f>SUM(C85-D85-E85)</f>
        <v>227</v>
      </c>
      <c r="G85" s="28">
        <v>9797</v>
      </c>
      <c r="H85" s="28">
        <v>7445</v>
      </c>
      <c r="I85" s="28">
        <v>716</v>
      </c>
      <c r="J85" s="28">
        <f>SUM(G85-H85-I85)</f>
        <v>1636</v>
      </c>
      <c r="K85" s="28">
        <v>411</v>
      </c>
      <c r="L85" s="28">
        <v>79</v>
      </c>
      <c r="M85" s="28">
        <v>554</v>
      </c>
      <c r="N85" s="28">
        <v>1753</v>
      </c>
      <c r="O85" s="28">
        <v>1753</v>
      </c>
    </row>
    <row r="86" spans="1:15" ht="12.75" customHeight="1">
      <c r="A86" s="8"/>
      <c r="B86" s="9" t="s">
        <v>160</v>
      </c>
      <c r="C86" s="29">
        <f t="shared" ref="C86:O86" si="19">SUM(C81:C85)</f>
        <v>12980</v>
      </c>
      <c r="D86" s="29">
        <f t="shared" si="19"/>
        <v>10091</v>
      </c>
      <c r="E86" s="29">
        <f t="shared" si="19"/>
        <v>288</v>
      </c>
      <c r="F86" s="29">
        <f t="shared" si="19"/>
        <v>2601</v>
      </c>
      <c r="G86" s="29">
        <f t="shared" si="19"/>
        <v>51283</v>
      </c>
      <c r="H86" s="29">
        <f t="shared" si="19"/>
        <v>30429</v>
      </c>
      <c r="I86" s="29">
        <f t="shared" si="19"/>
        <v>2624</v>
      </c>
      <c r="J86" s="29">
        <f t="shared" si="19"/>
        <v>18230</v>
      </c>
      <c r="K86" s="29">
        <f t="shared" si="19"/>
        <v>1001</v>
      </c>
      <c r="L86" s="29">
        <f t="shared" si="19"/>
        <v>79</v>
      </c>
      <c r="M86" s="29">
        <f t="shared" si="19"/>
        <v>3349</v>
      </c>
      <c r="N86" s="29">
        <f t="shared" si="19"/>
        <v>2218</v>
      </c>
      <c r="O86" s="29">
        <f t="shared" si="19"/>
        <v>2218</v>
      </c>
    </row>
    <row r="87" spans="1:15" ht="12.75" customHeight="1">
      <c r="A87" s="4" t="s">
        <v>161</v>
      </c>
      <c r="B87" s="5" t="s">
        <v>162</v>
      </c>
      <c r="C87" s="28">
        <v>5816</v>
      </c>
      <c r="D87" s="28">
        <v>4685</v>
      </c>
      <c r="E87" s="28">
        <v>0</v>
      </c>
      <c r="F87" s="28">
        <f>SUM(C87-D87-E87)</f>
        <v>1131</v>
      </c>
      <c r="G87" s="28">
        <v>23855</v>
      </c>
      <c r="H87" s="28">
        <v>13304</v>
      </c>
      <c r="I87" s="28">
        <v>0</v>
      </c>
      <c r="J87" s="28">
        <f>SUM(G87-H87-I87)</f>
        <v>10551</v>
      </c>
      <c r="K87" s="28">
        <v>437</v>
      </c>
      <c r="L87" s="28">
        <v>0</v>
      </c>
      <c r="M87" s="28">
        <v>2077</v>
      </c>
      <c r="N87" s="28">
        <v>80</v>
      </c>
      <c r="O87" s="28">
        <v>80</v>
      </c>
    </row>
    <row r="88" spans="1:15" ht="12.75" customHeight="1">
      <c r="A88" s="4" t="s">
        <v>163</v>
      </c>
      <c r="B88" s="5" t="s">
        <v>164</v>
      </c>
      <c r="C88" s="28">
        <v>4198</v>
      </c>
      <c r="D88" s="28">
        <v>2217</v>
      </c>
      <c r="E88" s="28">
        <v>163</v>
      </c>
      <c r="F88" s="28">
        <f>SUM(C88-D88-E88)</f>
        <v>1818</v>
      </c>
      <c r="G88" s="28">
        <v>12103</v>
      </c>
      <c r="H88" s="28">
        <v>5614</v>
      </c>
      <c r="I88" s="28">
        <v>1255</v>
      </c>
      <c r="J88" s="28">
        <f>SUM(G88-H88-I88)</f>
        <v>5234</v>
      </c>
      <c r="K88" s="28">
        <v>132</v>
      </c>
      <c r="L88" s="28">
        <v>17</v>
      </c>
      <c r="M88" s="28">
        <v>568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10014</v>
      </c>
      <c r="D89" s="29">
        <f t="shared" si="20"/>
        <v>6902</v>
      </c>
      <c r="E89" s="29">
        <f t="shared" si="20"/>
        <v>163</v>
      </c>
      <c r="F89" s="29">
        <f t="shared" si="20"/>
        <v>2949</v>
      </c>
      <c r="G89" s="29">
        <f t="shared" si="20"/>
        <v>35958</v>
      </c>
      <c r="H89" s="29">
        <f t="shared" si="20"/>
        <v>18918</v>
      </c>
      <c r="I89" s="29">
        <f t="shared" si="20"/>
        <v>1255</v>
      </c>
      <c r="J89" s="29">
        <f t="shared" si="20"/>
        <v>15785</v>
      </c>
      <c r="K89" s="29">
        <f t="shared" si="20"/>
        <v>569</v>
      </c>
      <c r="L89" s="29">
        <f t="shared" si="20"/>
        <v>17</v>
      </c>
      <c r="M89" s="29">
        <f t="shared" si="20"/>
        <v>2645</v>
      </c>
      <c r="N89" s="29">
        <f t="shared" si="20"/>
        <v>80</v>
      </c>
      <c r="O89" s="29">
        <f t="shared" si="20"/>
        <v>80</v>
      </c>
    </row>
    <row r="90" spans="1:15" ht="12.75" customHeight="1">
      <c r="A90" s="4" t="s">
        <v>166</v>
      </c>
      <c r="B90" s="5" t="s">
        <v>167</v>
      </c>
      <c r="C90" s="28">
        <v>4563</v>
      </c>
      <c r="D90" s="28">
        <v>3252</v>
      </c>
      <c r="E90" s="28">
        <v>323</v>
      </c>
      <c r="F90" s="28">
        <f>SUM(C90-D90-E90)</f>
        <v>988</v>
      </c>
      <c r="G90" s="28">
        <v>22712</v>
      </c>
      <c r="H90" s="28">
        <v>9604</v>
      </c>
      <c r="I90" s="28">
        <v>2500</v>
      </c>
      <c r="J90" s="28">
        <f>SUM(G90-H90-I90)</f>
        <v>10608</v>
      </c>
      <c r="K90" s="28">
        <v>254</v>
      </c>
      <c r="L90" s="28">
        <v>0</v>
      </c>
      <c r="M90" s="28">
        <v>519</v>
      </c>
      <c r="N90" s="28">
        <v>7</v>
      </c>
      <c r="O90" s="28">
        <v>7</v>
      </c>
    </row>
    <row r="91" spans="1:15" ht="12.75" customHeight="1">
      <c r="A91" s="4" t="s">
        <v>168</v>
      </c>
      <c r="B91" s="5" t="s">
        <v>169</v>
      </c>
      <c r="C91" s="28">
        <v>5883</v>
      </c>
      <c r="D91" s="28">
        <v>4611</v>
      </c>
      <c r="E91" s="28">
        <v>0</v>
      </c>
      <c r="F91" s="28">
        <f>SUM(C91-D91-E91)</f>
        <v>1272</v>
      </c>
      <c r="G91" s="28">
        <v>23545</v>
      </c>
      <c r="H91" s="28">
        <v>11243</v>
      </c>
      <c r="I91" s="28">
        <v>0</v>
      </c>
      <c r="J91" s="28">
        <f>SUM(G91-H91-I91)</f>
        <v>12302</v>
      </c>
      <c r="K91" s="28">
        <v>133</v>
      </c>
      <c r="L91" s="28">
        <v>53</v>
      </c>
      <c r="M91" s="28">
        <v>3142</v>
      </c>
      <c r="N91" s="28">
        <v>107</v>
      </c>
      <c r="O91" s="28">
        <v>107</v>
      </c>
    </row>
    <row r="92" spans="1:15" ht="12.75" customHeight="1">
      <c r="A92" s="4" t="s">
        <v>170</v>
      </c>
      <c r="B92" s="5" t="s">
        <v>171</v>
      </c>
      <c r="C92" s="28">
        <v>1270</v>
      </c>
      <c r="D92" s="28">
        <v>833</v>
      </c>
      <c r="E92" s="28">
        <v>133</v>
      </c>
      <c r="F92" s="28">
        <f>SUM(C92-D92-E92)</f>
        <v>304</v>
      </c>
      <c r="G92" s="28">
        <v>4145</v>
      </c>
      <c r="H92" s="28">
        <v>2072</v>
      </c>
      <c r="I92" s="28">
        <v>1223</v>
      </c>
      <c r="J92" s="28">
        <f>SUM(G92-H92-I92)</f>
        <v>850</v>
      </c>
      <c r="K92" s="28">
        <v>139</v>
      </c>
      <c r="L92" s="28">
        <v>0</v>
      </c>
      <c r="M92" s="28">
        <v>211</v>
      </c>
      <c r="N92" s="28">
        <v>13</v>
      </c>
      <c r="O92" s="28">
        <v>13</v>
      </c>
    </row>
    <row r="93" spans="1:15" ht="12.75" customHeight="1">
      <c r="A93" s="4" t="s">
        <v>172</v>
      </c>
      <c r="B93" s="5" t="s">
        <v>173</v>
      </c>
      <c r="C93" s="28">
        <v>60980</v>
      </c>
      <c r="D93" s="28">
        <v>41538</v>
      </c>
      <c r="E93" s="28">
        <v>2569</v>
      </c>
      <c r="F93" s="28">
        <f>SUM(C93-D93-E93)</f>
        <v>16873</v>
      </c>
      <c r="G93" s="28">
        <v>178116</v>
      </c>
      <c r="H93" s="28">
        <v>69955</v>
      </c>
      <c r="I93" s="28">
        <v>9428</v>
      </c>
      <c r="J93" s="28">
        <f>SUM(G93-H93-I93)</f>
        <v>98733</v>
      </c>
      <c r="K93" s="28">
        <v>14134</v>
      </c>
      <c r="L93" s="28">
        <v>12</v>
      </c>
      <c r="M93" s="28">
        <v>17811</v>
      </c>
      <c r="N93" s="28">
        <v>5299</v>
      </c>
      <c r="O93" s="28">
        <v>5191</v>
      </c>
    </row>
    <row r="94" spans="1:15" ht="12.75" customHeight="1">
      <c r="A94" s="4" t="s">
        <v>174</v>
      </c>
      <c r="B94" s="5" t="s">
        <v>175</v>
      </c>
      <c r="C94" s="28">
        <v>3949</v>
      </c>
      <c r="D94" s="28">
        <v>1328</v>
      </c>
      <c r="E94" s="28">
        <v>72</v>
      </c>
      <c r="F94" s="28">
        <f>SUM(C94-D94-E94)</f>
        <v>2549</v>
      </c>
      <c r="G94" s="28">
        <v>11506</v>
      </c>
      <c r="H94" s="28">
        <v>3876</v>
      </c>
      <c r="I94" s="28">
        <v>618</v>
      </c>
      <c r="J94" s="28">
        <f>SUM(G94-H94-I94)</f>
        <v>7012</v>
      </c>
      <c r="K94" s="28">
        <v>396</v>
      </c>
      <c r="L94" s="28">
        <v>189</v>
      </c>
      <c r="M94" s="28">
        <v>1661</v>
      </c>
      <c r="N94" s="28">
        <v>26</v>
      </c>
      <c r="O94" s="28">
        <v>26</v>
      </c>
    </row>
    <row r="95" spans="1:15" ht="12.75" customHeight="1">
      <c r="A95" s="8"/>
      <c r="B95" s="9" t="s">
        <v>176</v>
      </c>
      <c r="C95" s="29">
        <f t="shared" ref="C95:O95" si="21">SUM(C90:C94)</f>
        <v>76645</v>
      </c>
      <c r="D95" s="29">
        <f t="shared" si="21"/>
        <v>51562</v>
      </c>
      <c r="E95" s="29">
        <f t="shared" si="21"/>
        <v>3097</v>
      </c>
      <c r="F95" s="29">
        <f t="shared" si="21"/>
        <v>21986</v>
      </c>
      <c r="G95" s="29">
        <f t="shared" si="21"/>
        <v>240024</v>
      </c>
      <c r="H95" s="29">
        <f t="shared" si="21"/>
        <v>96750</v>
      </c>
      <c r="I95" s="29">
        <f t="shared" si="21"/>
        <v>13769</v>
      </c>
      <c r="J95" s="29">
        <f t="shared" si="21"/>
        <v>129505</v>
      </c>
      <c r="K95" s="29">
        <f t="shared" si="21"/>
        <v>15056</v>
      </c>
      <c r="L95" s="29">
        <f t="shared" si="21"/>
        <v>254</v>
      </c>
      <c r="M95" s="29">
        <f t="shared" si="21"/>
        <v>23344</v>
      </c>
      <c r="N95" s="29">
        <f t="shared" si="21"/>
        <v>5452</v>
      </c>
      <c r="O95" s="29">
        <f t="shared" si="21"/>
        <v>5344</v>
      </c>
    </row>
    <row r="96" spans="1:15" ht="12.75" customHeight="1">
      <c r="A96" s="4" t="s">
        <v>177</v>
      </c>
      <c r="B96" s="5" t="s">
        <v>178</v>
      </c>
      <c r="C96" s="28">
        <v>1116</v>
      </c>
      <c r="D96" s="28">
        <v>908</v>
      </c>
      <c r="E96" s="28">
        <v>38</v>
      </c>
      <c r="F96" s="28">
        <f>SUM(C96-D96-E96)</f>
        <v>170</v>
      </c>
      <c r="G96" s="28">
        <v>6739</v>
      </c>
      <c r="H96" s="28">
        <v>3640</v>
      </c>
      <c r="I96" s="28">
        <v>295</v>
      </c>
      <c r="J96" s="28">
        <f>SUM(G96-H96-I96)</f>
        <v>2804</v>
      </c>
      <c r="K96" s="28">
        <v>15</v>
      </c>
      <c r="L96" s="28">
        <v>0</v>
      </c>
      <c r="M96" s="28">
        <v>1479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400</v>
      </c>
      <c r="D97" s="28">
        <v>383</v>
      </c>
      <c r="E97" s="28">
        <v>0</v>
      </c>
      <c r="F97" s="28">
        <f>SUM(C97-D97-E97)</f>
        <v>17</v>
      </c>
      <c r="G97" s="28">
        <v>1368</v>
      </c>
      <c r="H97" s="28">
        <v>1276</v>
      </c>
      <c r="I97" s="28">
        <v>0</v>
      </c>
      <c r="J97" s="28">
        <f>SUM(G97-H97-I97)</f>
        <v>92</v>
      </c>
      <c r="K97" s="28">
        <v>15</v>
      </c>
      <c r="L97" s="28">
        <v>0</v>
      </c>
      <c r="M97" s="28">
        <v>2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1516</v>
      </c>
      <c r="D98" s="29">
        <f t="shared" si="22"/>
        <v>1291</v>
      </c>
      <c r="E98" s="29">
        <f t="shared" si="22"/>
        <v>38</v>
      </c>
      <c r="F98" s="29">
        <f t="shared" si="22"/>
        <v>187</v>
      </c>
      <c r="G98" s="29">
        <f t="shared" si="22"/>
        <v>8107</v>
      </c>
      <c r="H98" s="29">
        <f t="shared" si="22"/>
        <v>4916</v>
      </c>
      <c r="I98" s="29">
        <f t="shared" si="22"/>
        <v>295</v>
      </c>
      <c r="J98" s="29">
        <f t="shared" si="22"/>
        <v>2896</v>
      </c>
      <c r="K98" s="29">
        <f t="shared" si="22"/>
        <v>30</v>
      </c>
      <c r="L98" s="29">
        <f t="shared" si="22"/>
        <v>0</v>
      </c>
      <c r="M98" s="29">
        <f t="shared" si="22"/>
        <v>1481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3358</v>
      </c>
      <c r="D99" s="28">
        <v>2734</v>
      </c>
      <c r="E99" s="28">
        <v>70</v>
      </c>
      <c r="F99" s="28">
        <f>SUM(C99-D99-E99)</f>
        <v>554</v>
      </c>
      <c r="G99" s="28">
        <v>13359</v>
      </c>
      <c r="H99" s="28">
        <v>8544</v>
      </c>
      <c r="I99" s="28">
        <v>615</v>
      </c>
      <c r="J99" s="28">
        <f>SUM(G99-H99-I99)</f>
        <v>4200</v>
      </c>
      <c r="K99" s="28">
        <v>35</v>
      </c>
      <c r="L99" s="28">
        <v>0</v>
      </c>
      <c r="M99" s="28">
        <v>889</v>
      </c>
      <c r="N99" s="28">
        <v>42</v>
      </c>
      <c r="O99" s="28">
        <v>42</v>
      </c>
    </row>
    <row r="100" spans="1:15" ht="12.75" customHeight="1">
      <c r="A100" s="4" t="s">
        <v>184</v>
      </c>
      <c r="B100" s="5" t="s">
        <v>185</v>
      </c>
      <c r="C100" s="28">
        <v>3362</v>
      </c>
      <c r="D100" s="28">
        <v>1874</v>
      </c>
      <c r="E100" s="28">
        <v>154</v>
      </c>
      <c r="F100" s="28">
        <f>SUM(C100-D100-E100)</f>
        <v>1334</v>
      </c>
      <c r="G100" s="28">
        <v>11979</v>
      </c>
      <c r="H100" s="28">
        <v>5238</v>
      </c>
      <c r="I100" s="28">
        <v>770</v>
      </c>
      <c r="J100" s="28">
        <f>SUM(G100-H100-I100)</f>
        <v>5971</v>
      </c>
      <c r="K100" s="28">
        <v>164</v>
      </c>
      <c r="L100" s="28">
        <v>0</v>
      </c>
      <c r="M100" s="28">
        <v>786</v>
      </c>
      <c r="N100" s="28">
        <v>115</v>
      </c>
      <c r="O100" s="28">
        <v>115</v>
      </c>
    </row>
    <row r="101" spans="1:15" ht="12.75" customHeight="1">
      <c r="A101" s="4" t="s">
        <v>186</v>
      </c>
      <c r="B101" s="5" t="s">
        <v>187</v>
      </c>
      <c r="C101" s="28">
        <v>2090</v>
      </c>
      <c r="D101" s="28">
        <v>1513</v>
      </c>
      <c r="E101" s="28">
        <v>0</v>
      </c>
      <c r="F101" s="28">
        <f>SUM(C101-D101-E101)</f>
        <v>577</v>
      </c>
      <c r="G101" s="28">
        <v>5818</v>
      </c>
      <c r="H101" s="28">
        <v>3987</v>
      </c>
      <c r="I101" s="28">
        <v>0</v>
      </c>
      <c r="J101" s="28">
        <f>SUM(G101-H101-I101)</f>
        <v>1831</v>
      </c>
      <c r="K101" s="28">
        <v>13</v>
      </c>
      <c r="L101" s="28">
        <v>0</v>
      </c>
      <c r="M101" s="28">
        <v>256</v>
      </c>
      <c r="N101" s="28">
        <v>26</v>
      </c>
      <c r="O101" s="28">
        <v>26</v>
      </c>
    </row>
    <row r="102" spans="1:15" ht="12.75" customHeight="1">
      <c r="A102" s="4" t="s">
        <v>188</v>
      </c>
      <c r="B102" s="5" t="s">
        <v>189</v>
      </c>
      <c r="C102" s="28">
        <v>2642</v>
      </c>
      <c r="D102" s="28">
        <v>2279</v>
      </c>
      <c r="E102" s="28">
        <v>95</v>
      </c>
      <c r="F102" s="28">
        <f>SUM(C102-D102-E102)</f>
        <v>268</v>
      </c>
      <c r="G102" s="28">
        <v>9456</v>
      </c>
      <c r="H102" s="28">
        <v>5548</v>
      </c>
      <c r="I102" s="28">
        <v>1263</v>
      </c>
      <c r="J102" s="28">
        <f>SUM(G102-H102-I102)</f>
        <v>2645</v>
      </c>
      <c r="K102" s="28">
        <v>165</v>
      </c>
      <c r="L102" s="28">
        <v>0</v>
      </c>
      <c r="M102" s="28">
        <v>420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11452</v>
      </c>
      <c r="D103" s="29">
        <f t="shared" si="23"/>
        <v>8400</v>
      </c>
      <c r="E103" s="29">
        <f t="shared" si="23"/>
        <v>319</v>
      </c>
      <c r="F103" s="29">
        <f t="shared" si="23"/>
        <v>2733</v>
      </c>
      <c r="G103" s="29">
        <f t="shared" si="23"/>
        <v>40612</v>
      </c>
      <c r="H103" s="29">
        <f t="shared" si="23"/>
        <v>23317</v>
      </c>
      <c r="I103" s="29">
        <f t="shared" si="23"/>
        <v>2648</v>
      </c>
      <c r="J103" s="29">
        <f t="shared" si="23"/>
        <v>14647</v>
      </c>
      <c r="K103" s="29">
        <f t="shared" si="23"/>
        <v>377</v>
      </c>
      <c r="L103" s="29">
        <f t="shared" si="23"/>
        <v>0</v>
      </c>
      <c r="M103" s="29">
        <f t="shared" si="23"/>
        <v>2351</v>
      </c>
      <c r="N103" s="29">
        <f t="shared" si="23"/>
        <v>183</v>
      </c>
      <c r="O103" s="29">
        <f t="shared" si="23"/>
        <v>183</v>
      </c>
    </row>
    <row r="104" spans="1:15" ht="12.75" customHeight="1">
      <c r="A104" s="4" t="s">
        <v>191</v>
      </c>
      <c r="B104" s="5" t="s">
        <v>192</v>
      </c>
      <c r="C104" s="28">
        <v>2204</v>
      </c>
      <c r="D104" s="28">
        <v>1768</v>
      </c>
      <c r="E104" s="28">
        <v>67</v>
      </c>
      <c r="F104" s="28">
        <f>SUM(C104-D104-E104)</f>
        <v>369</v>
      </c>
      <c r="G104" s="28">
        <v>9435</v>
      </c>
      <c r="H104" s="28">
        <v>5609</v>
      </c>
      <c r="I104" s="28">
        <v>613</v>
      </c>
      <c r="J104" s="28">
        <f>SUM(G104-H104-I104)</f>
        <v>3213</v>
      </c>
      <c r="K104" s="28">
        <v>151</v>
      </c>
      <c r="L104" s="28">
        <v>0</v>
      </c>
      <c r="M104" s="28">
        <v>361</v>
      </c>
      <c r="N104" s="28">
        <v>71</v>
      </c>
      <c r="O104" s="28">
        <v>71</v>
      </c>
    </row>
    <row r="105" spans="1:15" ht="12.75" customHeight="1">
      <c r="A105" s="4" t="s">
        <v>193</v>
      </c>
      <c r="B105" s="5" t="s">
        <v>194</v>
      </c>
      <c r="C105" s="28">
        <v>1349</v>
      </c>
      <c r="D105" s="28">
        <v>1019</v>
      </c>
      <c r="E105" s="28">
        <v>0</v>
      </c>
      <c r="F105" s="28">
        <f>SUM(C105-D105-E105)</f>
        <v>330</v>
      </c>
      <c r="G105" s="28">
        <v>7963</v>
      </c>
      <c r="H105" s="28">
        <v>3241</v>
      </c>
      <c r="I105" s="28">
        <v>0</v>
      </c>
      <c r="J105" s="28">
        <f>SUM(G105-H105-I105)</f>
        <v>4722</v>
      </c>
      <c r="K105" s="28">
        <v>38</v>
      </c>
      <c r="L105" s="28">
        <v>0</v>
      </c>
      <c r="M105" s="28">
        <v>631</v>
      </c>
      <c r="N105" s="28">
        <v>0</v>
      </c>
      <c r="O105" s="28">
        <v>0</v>
      </c>
    </row>
    <row r="106" spans="1:15" ht="12.75" customHeight="1">
      <c r="A106" s="4" t="s">
        <v>195</v>
      </c>
      <c r="B106" s="5" t="s">
        <v>196</v>
      </c>
      <c r="C106" s="28">
        <v>7162</v>
      </c>
      <c r="D106" s="28">
        <v>4610</v>
      </c>
      <c r="E106" s="28">
        <v>177</v>
      </c>
      <c r="F106" s="28">
        <f>SUM(C106-D106-E106)</f>
        <v>2375</v>
      </c>
      <c r="G106" s="28">
        <v>36432</v>
      </c>
      <c r="H106" s="28">
        <v>14019</v>
      </c>
      <c r="I106" s="28">
        <v>1262</v>
      </c>
      <c r="J106" s="28">
        <f>SUM(G106-H106-I106)</f>
        <v>21151</v>
      </c>
      <c r="K106" s="28">
        <v>128</v>
      </c>
      <c r="L106" s="28">
        <v>0</v>
      </c>
      <c r="M106" s="28">
        <v>4304</v>
      </c>
      <c r="N106" s="28">
        <v>379</v>
      </c>
      <c r="O106" s="28">
        <v>379</v>
      </c>
    </row>
    <row r="107" spans="1:15" ht="12.75" customHeight="1">
      <c r="A107" s="4" t="s">
        <v>197</v>
      </c>
      <c r="B107" s="5" t="s">
        <v>198</v>
      </c>
      <c r="C107" s="28">
        <v>22207</v>
      </c>
      <c r="D107" s="28">
        <v>15582</v>
      </c>
      <c r="E107" s="28">
        <v>635</v>
      </c>
      <c r="F107" s="28">
        <f>SUM(C107-D107-E107)</f>
        <v>5990</v>
      </c>
      <c r="G107" s="28">
        <v>62932</v>
      </c>
      <c r="H107" s="28">
        <v>29887</v>
      </c>
      <c r="I107" s="28">
        <v>1781</v>
      </c>
      <c r="J107" s="28">
        <f>SUM(G107-H107-I107)</f>
        <v>31264</v>
      </c>
      <c r="K107" s="28">
        <v>1966</v>
      </c>
      <c r="L107" s="28">
        <v>0</v>
      </c>
      <c r="M107" s="28">
        <v>1922</v>
      </c>
      <c r="N107" s="28">
        <v>1391</v>
      </c>
      <c r="O107" s="28">
        <v>1391</v>
      </c>
    </row>
    <row r="108" spans="1:15" ht="12.75" customHeight="1">
      <c r="A108" s="4" t="s">
        <v>199</v>
      </c>
      <c r="B108" s="5" t="s">
        <v>200</v>
      </c>
      <c r="C108" s="28">
        <v>6316</v>
      </c>
      <c r="D108" s="28">
        <v>4488</v>
      </c>
      <c r="E108" s="28">
        <v>160</v>
      </c>
      <c r="F108" s="28">
        <f>SUM(C108-D108-E108)</f>
        <v>1668</v>
      </c>
      <c r="G108" s="28">
        <v>33563</v>
      </c>
      <c r="H108" s="28">
        <v>13110</v>
      </c>
      <c r="I108" s="28">
        <v>1318</v>
      </c>
      <c r="J108" s="28">
        <f>SUM(G108-H108-I108)</f>
        <v>19135</v>
      </c>
      <c r="K108" s="28">
        <v>161</v>
      </c>
      <c r="L108" s="28">
        <v>0</v>
      </c>
      <c r="M108" s="28">
        <v>1978</v>
      </c>
      <c r="N108" s="28">
        <v>846</v>
      </c>
      <c r="O108" s="28">
        <v>846</v>
      </c>
    </row>
    <row r="109" spans="1:15" ht="12.75" customHeight="1">
      <c r="A109" s="8"/>
      <c r="B109" s="9" t="s">
        <v>201</v>
      </c>
      <c r="C109" s="29">
        <f t="shared" ref="C109:O109" si="24">SUM(C104:C108)</f>
        <v>39238</v>
      </c>
      <c r="D109" s="29">
        <f t="shared" si="24"/>
        <v>27467</v>
      </c>
      <c r="E109" s="29">
        <f t="shared" si="24"/>
        <v>1039</v>
      </c>
      <c r="F109" s="29">
        <f t="shared" si="24"/>
        <v>10732</v>
      </c>
      <c r="G109" s="29">
        <f t="shared" si="24"/>
        <v>150325</v>
      </c>
      <c r="H109" s="29">
        <f t="shared" si="24"/>
        <v>65866</v>
      </c>
      <c r="I109" s="29">
        <f t="shared" si="24"/>
        <v>4974</v>
      </c>
      <c r="J109" s="29">
        <f t="shared" si="24"/>
        <v>79485</v>
      </c>
      <c r="K109" s="29">
        <f t="shared" si="24"/>
        <v>2444</v>
      </c>
      <c r="L109" s="29">
        <f t="shared" si="24"/>
        <v>0</v>
      </c>
      <c r="M109" s="29">
        <f t="shared" si="24"/>
        <v>9196</v>
      </c>
      <c r="N109" s="29">
        <f t="shared" si="24"/>
        <v>2687</v>
      </c>
      <c r="O109" s="29">
        <f t="shared" si="24"/>
        <v>2687</v>
      </c>
    </row>
    <row r="110" spans="1:15" ht="12.75" customHeight="1">
      <c r="A110" s="4" t="s">
        <v>202</v>
      </c>
      <c r="B110" s="5" t="s">
        <v>203</v>
      </c>
      <c r="C110" s="28">
        <v>10561</v>
      </c>
      <c r="D110" s="28">
        <v>8568</v>
      </c>
      <c r="E110" s="28">
        <v>83</v>
      </c>
      <c r="F110" s="28">
        <f t="shared" ref="F110:F115" si="25">SUM(C110-D110-E110)</f>
        <v>1910</v>
      </c>
      <c r="G110" s="28">
        <v>43630</v>
      </c>
      <c r="H110" s="28">
        <v>26068</v>
      </c>
      <c r="I110" s="28">
        <v>831</v>
      </c>
      <c r="J110" s="28">
        <f t="shared" ref="J110:J115" si="26">SUM(G110-H110-I110)</f>
        <v>16731</v>
      </c>
      <c r="K110" s="28">
        <v>557</v>
      </c>
      <c r="L110" s="28">
        <v>0</v>
      </c>
      <c r="M110" s="28">
        <v>5114</v>
      </c>
      <c r="N110" s="28">
        <v>246</v>
      </c>
      <c r="O110" s="28">
        <v>246</v>
      </c>
    </row>
    <row r="111" spans="1:15" ht="12.75" customHeight="1">
      <c r="A111" s="4" t="s">
        <v>204</v>
      </c>
      <c r="B111" s="5" t="s">
        <v>205</v>
      </c>
      <c r="C111" s="28">
        <v>1207</v>
      </c>
      <c r="D111" s="28">
        <v>1176</v>
      </c>
      <c r="E111" s="28">
        <v>16</v>
      </c>
      <c r="F111" s="28">
        <f t="shared" si="25"/>
        <v>15</v>
      </c>
      <c r="G111" s="28">
        <v>4058</v>
      </c>
      <c r="H111" s="28">
        <v>3213</v>
      </c>
      <c r="I111" s="28">
        <v>155</v>
      </c>
      <c r="J111" s="28">
        <f t="shared" si="26"/>
        <v>690</v>
      </c>
      <c r="K111" s="28">
        <v>7</v>
      </c>
      <c r="L111" s="28">
        <v>0</v>
      </c>
      <c r="M111" s="28">
        <v>681</v>
      </c>
      <c r="N111" s="28">
        <v>25</v>
      </c>
      <c r="O111" s="28">
        <v>25</v>
      </c>
    </row>
    <row r="112" spans="1:15" ht="12.75" customHeight="1">
      <c r="A112" s="4" t="s">
        <v>206</v>
      </c>
      <c r="B112" s="5" t="s">
        <v>207</v>
      </c>
      <c r="C112" s="28">
        <v>3150</v>
      </c>
      <c r="D112" s="28">
        <v>2670</v>
      </c>
      <c r="E112" s="28">
        <v>0</v>
      </c>
      <c r="F112" s="28">
        <f t="shared" si="25"/>
        <v>480</v>
      </c>
      <c r="G112" s="28">
        <v>10016</v>
      </c>
      <c r="H112" s="28">
        <v>7532</v>
      </c>
      <c r="I112" s="28">
        <v>0</v>
      </c>
      <c r="J112" s="28">
        <f t="shared" si="26"/>
        <v>2484</v>
      </c>
      <c r="K112" s="28">
        <v>57</v>
      </c>
      <c r="L112" s="28">
        <v>906</v>
      </c>
      <c r="M112" s="28">
        <v>826</v>
      </c>
      <c r="N112" s="28">
        <v>439</v>
      </c>
      <c r="O112" s="28">
        <v>439</v>
      </c>
    </row>
    <row r="113" spans="1:15" ht="12.75" customHeight="1">
      <c r="A113" s="4" t="s">
        <v>208</v>
      </c>
      <c r="B113" s="5" t="s">
        <v>209</v>
      </c>
      <c r="C113" s="28">
        <v>3271</v>
      </c>
      <c r="D113" s="28">
        <v>2324</v>
      </c>
      <c r="E113" s="28">
        <v>59</v>
      </c>
      <c r="F113" s="28">
        <f t="shared" si="25"/>
        <v>888</v>
      </c>
      <c r="G113" s="28">
        <v>12524</v>
      </c>
      <c r="H113" s="28">
        <v>7063</v>
      </c>
      <c r="I113" s="28">
        <v>483</v>
      </c>
      <c r="J113" s="28">
        <f t="shared" si="26"/>
        <v>4978</v>
      </c>
      <c r="K113" s="28">
        <v>329</v>
      </c>
      <c r="L113" s="28">
        <v>0</v>
      </c>
      <c r="M113" s="28">
        <v>5155</v>
      </c>
      <c r="N113" s="28">
        <v>43</v>
      </c>
      <c r="O113" s="28">
        <v>43</v>
      </c>
    </row>
    <row r="114" spans="1:15" ht="12.75" customHeight="1">
      <c r="A114" s="4" t="s">
        <v>210</v>
      </c>
      <c r="B114" s="5" t="s">
        <v>211</v>
      </c>
      <c r="C114" s="28">
        <v>8404</v>
      </c>
      <c r="D114" s="28">
        <v>6240</v>
      </c>
      <c r="E114" s="28">
        <v>0</v>
      </c>
      <c r="F114" s="28">
        <f t="shared" si="25"/>
        <v>2164</v>
      </c>
      <c r="G114" s="28">
        <v>25155</v>
      </c>
      <c r="H114" s="28">
        <v>14136</v>
      </c>
      <c r="I114" s="28">
        <v>0</v>
      </c>
      <c r="J114" s="28">
        <f t="shared" si="26"/>
        <v>11019</v>
      </c>
      <c r="K114" s="28">
        <v>2286</v>
      </c>
      <c r="L114" s="28">
        <v>0</v>
      </c>
      <c r="M114" s="28">
        <v>2779</v>
      </c>
      <c r="N114" s="28">
        <v>607</v>
      </c>
      <c r="O114" s="28">
        <v>607</v>
      </c>
    </row>
    <row r="115" spans="1:15" ht="12.75" customHeight="1">
      <c r="A115" s="4" t="s">
        <v>212</v>
      </c>
      <c r="B115" s="5" t="s">
        <v>213</v>
      </c>
      <c r="C115" s="28">
        <v>4102</v>
      </c>
      <c r="D115" s="28">
        <v>3696</v>
      </c>
      <c r="E115" s="28">
        <v>0</v>
      </c>
      <c r="F115" s="28">
        <f t="shared" si="25"/>
        <v>406</v>
      </c>
      <c r="G115" s="28">
        <v>12268</v>
      </c>
      <c r="H115" s="28">
        <v>10355</v>
      </c>
      <c r="I115" s="28">
        <v>0</v>
      </c>
      <c r="J115" s="28">
        <f t="shared" si="26"/>
        <v>1913</v>
      </c>
      <c r="K115" s="28">
        <v>4727</v>
      </c>
      <c r="L115" s="28">
        <v>0</v>
      </c>
      <c r="M115" s="28">
        <v>682</v>
      </c>
      <c r="N115" s="28">
        <v>553</v>
      </c>
      <c r="O115" s="28">
        <v>553</v>
      </c>
    </row>
    <row r="116" spans="1:15" ht="12.75" customHeight="1">
      <c r="A116" s="8"/>
      <c r="B116" s="9" t="s">
        <v>214</v>
      </c>
      <c r="C116" s="29">
        <f t="shared" ref="C116:O116" si="27">SUM(C110:C115)</f>
        <v>30695</v>
      </c>
      <c r="D116" s="29">
        <f t="shared" si="27"/>
        <v>24674</v>
      </c>
      <c r="E116" s="29">
        <f t="shared" si="27"/>
        <v>158</v>
      </c>
      <c r="F116" s="29">
        <f t="shared" si="27"/>
        <v>5863</v>
      </c>
      <c r="G116" s="29">
        <f t="shared" si="27"/>
        <v>107651</v>
      </c>
      <c r="H116" s="29">
        <f t="shared" si="27"/>
        <v>68367</v>
      </c>
      <c r="I116" s="29">
        <f t="shared" si="27"/>
        <v>1469</v>
      </c>
      <c r="J116" s="29">
        <f t="shared" si="27"/>
        <v>37815</v>
      </c>
      <c r="K116" s="29">
        <f t="shared" si="27"/>
        <v>7963</v>
      </c>
      <c r="L116" s="29">
        <f t="shared" si="27"/>
        <v>906</v>
      </c>
      <c r="M116" s="29">
        <f t="shared" si="27"/>
        <v>15237</v>
      </c>
      <c r="N116" s="29">
        <f t="shared" si="27"/>
        <v>1913</v>
      </c>
      <c r="O116" s="29">
        <f t="shared" si="27"/>
        <v>1913</v>
      </c>
    </row>
    <row r="117" spans="1:15" ht="12.75" customHeight="1">
      <c r="A117" s="4" t="s">
        <v>215</v>
      </c>
      <c r="B117" s="5" t="s">
        <v>216</v>
      </c>
      <c r="C117" s="28">
        <v>1166</v>
      </c>
      <c r="D117" s="28">
        <v>916</v>
      </c>
      <c r="E117" s="28">
        <v>0</v>
      </c>
      <c r="F117" s="28">
        <f>SUM(C117-D117-E117)</f>
        <v>250</v>
      </c>
      <c r="G117" s="28">
        <v>4558</v>
      </c>
      <c r="H117" s="28">
        <v>2863</v>
      </c>
      <c r="I117" s="28">
        <v>0</v>
      </c>
      <c r="J117" s="28">
        <f>SUM(G117-H117-I117)</f>
        <v>1695</v>
      </c>
      <c r="K117" s="28">
        <v>8</v>
      </c>
      <c r="L117" s="28">
        <v>0</v>
      </c>
      <c r="M117" s="28">
        <v>1224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2663</v>
      </c>
      <c r="D118" s="28">
        <v>2384</v>
      </c>
      <c r="E118" s="28">
        <v>40</v>
      </c>
      <c r="F118" s="28">
        <f>SUM(C118-D118-E118)</f>
        <v>239</v>
      </c>
      <c r="G118" s="28">
        <v>10991</v>
      </c>
      <c r="H118" s="28">
        <v>7094</v>
      </c>
      <c r="I118" s="28">
        <v>345</v>
      </c>
      <c r="J118" s="28">
        <f>SUM(G118-H118-I118)</f>
        <v>3552</v>
      </c>
      <c r="K118" s="28">
        <v>43</v>
      </c>
      <c r="L118" s="28">
        <v>0</v>
      </c>
      <c r="M118" s="28">
        <v>1426</v>
      </c>
      <c r="N118" s="28">
        <v>422</v>
      </c>
      <c r="O118" s="28">
        <v>422</v>
      </c>
    </row>
    <row r="119" spans="1:15" ht="12.75" customHeight="1">
      <c r="A119" s="8"/>
      <c r="B119" s="9" t="s">
        <v>219</v>
      </c>
      <c r="C119" s="29">
        <f t="shared" ref="C119:O119" si="28">SUM(C117:C118)</f>
        <v>3829</v>
      </c>
      <c r="D119" s="29">
        <f t="shared" si="28"/>
        <v>3300</v>
      </c>
      <c r="E119" s="29">
        <f t="shared" si="28"/>
        <v>40</v>
      </c>
      <c r="F119" s="29">
        <f t="shared" si="28"/>
        <v>489</v>
      </c>
      <c r="G119" s="29">
        <f t="shared" si="28"/>
        <v>15549</v>
      </c>
      <c r="H119" s="29">
        <f t="shared" si="28"/>
        <v>9957</v>
      </c>
      <c r="I119" s="29">
        <f t="shared" si="28"/>
        <v>345</v>
      </c>
      <c r="J119" s="29">
        <f t="shared" si="28"/>
        <v>5247</v>
      </c>
      <c r="K119" s="29">
        <f t="shared" si="28"/>
        <v>51</v>
      </c>
      <c r="L119" s="29">
        <f t="shared" si="28"/>
        <v>0</v>
      </c>
      <c r="M119" s="29">
        <f t="shared" si="28"/>
        <v>2650</v>
      </c>
      <c r="N119" s="29">
        <f t="shared" si="28"/>
        <v>422</v>
      </c>
      <c r="O119" s="29">
        <f t="shared" si="28"/>
        <v>422</v>
      </c>
    </row>
    <row r="120" spans="1:15" ht="12.75" customHeight="1">
      <c r="A120" s="4" t="s">
        <v>220</v>
      </c>
      <c r="B120" s="5" t="s">
        <v>221</v>
      </c>
      <c r="C120" s="28">
        <v>3224</v>
      </c>
      <c r="D120" s="28">
        <v>2979</v>
      </c>
      <c r="E120" s="28">
        <v>46</v>
      </c>
      <c r="F120" s="28">
        <f>SUM(C120-D120-E120)</f>
        <v>199</v>
      </c>
      <c r="G120" s="28">
        <v>9935</v>
      </c>
      <c r="H120" s="28">
        <v>8027</v>
      </c>
      <c r="I120" s="28">
        <v>482</v>
      </c>
      <c r="J120" s="28">
        <f>SUM(G120-H120-I120)</f>
        <v>1426</v>
      </c>
      <c r="K120" s="28">
        <v>233</v>
      </c>
      <c r="L120" s="28">
        <v>0</v>
      </c>
      <c r="M120" s="28">
        <v>620</v>
      </c>
      <c r="N120" s="28">
        <v>324</v>
      </c>
      <c r="O120" s="28">
        <v>324</v>
      </c>
    </row>
    <row r="121" spans="1:15" ht="12.75" customHeight="1">
      <c r="A121" s="4" t="s">
        <v>222</v>
      </c>
      <c r="B121" s="5" t="s">
        <v>223</v>
      </c>
      <c r="C121" s="28">
        <v>5264</v>
      </c>
      <c r="D121" s="28">
        <v>4833</v>
      </c>
      <c r="E121" s="28">
        <v>116</v>
      </c>
      <c r="F121" s="28">
        <f>SUM(C121-D121-E121)</f>
        <v>315</v>
      </c>
      <c r="G121" s="28">
        <v>17510</v>
      </c>
      <c r="H121" s="28">
        <v>13270</v>
      </c>
      <c r="I121" s="28">
        <v>852</v>
      </c>
      <c r="J121" s="28">
        <f>SUM(G121-H121-I121)</f>
        <v>3388</v>
      </c>
      <c r="K121" s="28">
        <v>49</v>
      </c>
      <c r="L121" s="28">
        <v>0</v>
      </c>
      <c r="M121" s="28">
        <v>834</v>
      </c>
      <c r="N121" s="28">
        <v>10</v>
      </c>
      <c r="O121" s="28">
        <v>10</v>
      </c>
    </row>
    <row r="122" spans="1:15" ht="12.75" customHeight="1">
      <c r="A122" s="4" t="s">
        <v>224</v>
      </c>
      <c r="B122" s="5" t="s">
        <v>225</v>
      </c>
      <c r="C122" s="28">
        <v>933</v>
      </c>
      <c r="D122" s="28">
        <v>801</v>
      </c>
      <c r="E122" s="28">
        <v>0</v>
      </c>
      <c r="F122" s="28">
        <f>SUM(C122-D122-E122)</f>
        <v>132</v>
      </c>
      <c r="G122" s="28">
        <v>2937</v>
      </c>
      <c r="H122" s="28">
        <v>2045</v>
      </c>
      <c r="I122" s="28">
        <v>0</v>
      </c>
      <c r="J122" s="28">
        <f>SUM(G122-H122-I122)</f>
        <v>892</v>
      </c>
      <c r="K122" s="28">
        <v>19</v>
      </c>
      <c r="L122" s="28">
        <v>0</v>
      </c>
      <c r="M122" s="28">
        <v>1116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4659</v>
      </c>
      <c r="D123" s="28">
        <v>4270</v>
      </c>
      <c r="E123" s="28">
        <v>48</v>
      </c>
      <c r="F123" s="28">
        <f>SUM(C123-D123-E123)</f>
        <v>341</v>
      </c>
      <c r="G123" s="28">
        <v>12986</v>
      </c>
      <c r="H123" s="28">
        <v>10291</v>
      </c>
      <c r="I123" s="28">
        <v>408</v>
      </c>
      <c r="J123" s="28">
        <f>SUM(G123-H123-I123)</f>
        <v>2287</v>
      </c>
      <c r="K123" s="28">
        <v>176</v>
      </c>
      <c r="L123" s="28">
        <v>0</v>
      </c>
      <c r="M123" s="28">
        <v>459</v>
      </c>
      <c r="N123" s="28">
        <v>0</v>
      </c>
      <c r="O123" s="28">
        <v>0</v>
      </c>
    </row>
    <row r="124" spans="1:15" ht="12.75" customHeight="1">
      <c r="A124" s="4" t="s">
        <v>228</v>
      </c>
      <c r="B124" s="5" t="s">
        <v>229</v>
      </c>
      <c r="C124" s="28">
        <v>1260</v>
      </c>
      <c r="D124" s="28">
        <v>1214</v>
      </c>
      <c r="E124" s="28">
        <v>21</v>
      </c>
      <c r="F124" s="28">
        <f>SUM(C124-D124-E124)</f>
        <v>25</v>
      </c>
      <c r="G124" s="28">
        <v>3433</v>
      </c>
      <c r="H124" s="28">
        <v>2854</v>
      </c>
      <c r="I124" s="28">
        <v>193</v>
      </c>
      <c r="J124" s="28">
        <f>SUM(G124-H124-I124)</f>
        <v>386</v>
      </c>
      <c r="K124" s="28">
        <v>15</v>
      </c>
      <c r="L124" s="28">
        <v>0</v>
      </c>
      <c r="M124" s="28">
        <v>17</v>
      </c>
      <c r="N124" s="28">
        <v>50</v>
      </c>
      <c r="O124" s="28">
        <v>50</v>
      </c>
    </row>
    <row r="125" spans="1:15" ht="12.75" customHeight="1">
      <c r="A125" s="8"/>
      <c r="B125" s="9" t="s">
        <v>230</v>
      </c>
      <c r="C125" s="29">
        <f t="shared" ref="C125:O125" si="29">SUM(C120:C124)</f>
        <v>15340</v>
      </c>
      <c r="D125" s="29">
        <f t="shared" si="29"/>
        <v>14097</v>
      </c>
      <c r="E125" s="29">
        <f t="shared" si="29"/>
        <v>231</v>
      </c>
      <c r="F125" s="29">
        <f t="shared" si="29"/>
        <v>1012</v>
      </c>
      <c r="G125" s="29">
        <f t="shared" si="29"/>
        <v>46801</v>
      </c>
      <c r="H125" s="29">
        <f t="shared" si="29"/>
        <v>36487</v>
      </c>
      <c r="I125" s="29">
        <f t="shared" si="29"/>
        <v>1935</v>
      </c>
      <c r="J125" s="29">
        <f t="shared" si="29"/>
        <v>8379</v>
      </c>
      <c r="K125" s="29">
        <f t="shared" si="29"/>
        <v>492</v>
      </c>
      <c r="L125" s="29">
        <f t="shared" si="29"/>
        <v>0</v>
      </c>
      <c r="M125" s="29">
        <f t="shared" si="29"/>
        <v>3046</v>
      </c>
      <c r="N125" s="29">
        <f t="shared" si="29"/>
        <v>384</v>
      </c>
      <c r="O125" s="29">
        <f t="shared" si="29"/>
        <v>384</v>
      </c>
    </row>
    <row r="126" spans="1:15" ht="12.75" customHeight="1">
      <c r="A126" s="4" t="s">
        <v>231</v>
      </c>
      <c r="B126" s="5" t="s">
        <v>232</v>
      </c>
      <c r="C126" s="28">
        <v>3532</v>
      </c>
      <c r="D126" s="28">
        <v>2646</v>
      </c>
      <c r="E126" s="28">
        <v>0</v>
      </c>
      <c r="F126" s="28">
        <f t="shared" ref="F126:F134" si="30">SUM(C126-D126-E126)</f>
        <v>886</v>
      </c>
      <c r="G126" s="28">
        <v>9284</v>
      </c>
      <c r="H126" s="28">
        <v>5559</v>
      </c>
      <c r="I126" s="28">
        <v>0</v>
      </c>
      <c r="J126" s="28">
        <f t="shared" ref="J126:J134" si="31">SUM(G126-H126-I126)</f>
        <v>3725</v>
      </c>
      <c r="K126" s="28">
        <v>30</v>
      </c>
      <c r="L126" s="28">
        <v>9</v>
      </c>
      <c r="M126" s="28">
        <v>927</v>
      </c>
      <c r="N126" s="28">
        <v>602</v>
      </c>
      <c r="O126" s="28">
        <v>602</v>
      </c>
    </row>
    <row r="127" spans="1:15" ht="12.75" customHeight="1">
      <c r="A127" s="4" t="s">
        <v>233</v>
      </c>
      <c r="B127" s="5" t="s">
        <v>234</v>
      </c>
      <c r="C127" s="28">
        <v>1728</v>
      </c>
      <c r="D127" s="28">
        <v>1451</v>
      </c>
      <c r="E127" s="28">
        <v>0</v>
      </c>
      <c r="F127" s="28">
        <f t="shared" si="30"/>
        <v>277</v>
      </c>
      <c r="G127" s="28">
        <v>4954</v>
      </c>
      <c r="H127" s="28">
        <v>3964</v>
      </c>
      <c r="I127" s="28">
        <v>0</v>
      </c>
      <c r="J127" s="28">
        <f t="shared" si="31"/>
        <v>990</v>
      </c>
      <c r="K127" s="28">
        <v>27</v>
      </c>
      <c r="L127" s="28">
        <v>0</v>
      </c>
      <c r="M127" s="28">
        <v>459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11791</v>
      </c>
      <c r="D128" s="28">
        <v>9111</v>
      </c>
      <c r="E128" s="28">
        <v>203</v>
      </c>
      <c r="F128" s="28">
        <f t="shared" si="30"/>
        <v>2477</v>
      </c>
      <c r="G128" s="28">
        <v>27461</v>
      </c>
      <c r="H128" s="28">
        <v>18954</v>
      </c>
      <c r="I128" s="28">
        <v>942</v>
      </c>
      <c r="J128" s="28">
        <f t="shared" si="31"/>
        <v>7565</v>
      </c>
      <c r="K128" s="28">
        <v>157</v>
      </c>
      <c r="L128" s="28">
        <v>0</v>
      </c>
      <c r="M128" s="28">
        <v>1528</v>
      </c>
      <c r="N128" s="28">
        <v>196</v>
      </c>
      <c r="O128" s="28">
        <v>196</v>
      </c>
    </row>
    <row r="129" spans="1:15" ht="12.75" customHeight="1">
      <c r="A129" s="4" t="s">
        <v>237</v>
      </c>
      <c r="B129" s="5" t="s">
        <v>238</v>
      </c>
      <c r="C129" s="28">
        <v>1053</v>
      </c>
      <c r="D129" s="28">
        <v>798</v>
      </c>
      <c r="E129" s="28">
        <v>43</v>
      </c>
      <c r="F129" s="28">
        <f t="shared" si="30"/>
        <v>212</v>
      </c>
      <c r="G129" s="28">
        <v>4190</v>
      </c>
      <c r="H129" s="28">
        <v>1975</v>
      </c>
      <c r="I129" s="28">
        <v>383</v>
      </c>
      <c r="J129" s="28">
        <f t="shared" si="31"/>
        <v>1832</v>
      </c>
      <c r="K129" s="28">
        <v>42</v>
      </c>
      <c r="L129" s="28">
        <v>0</v>
      </c>
      <c r="M129" s="28">
        <v>1743</v>
      </c>
      <c r="N129" s="28">
        <v>183</v>
      </c>
      <c r="O129" s="28">
        <v>183</v>
      </c>
    </row>
    <row r="130" spans="1:15" ht="12.75" customHeight="1">
      <c r="A130" s="4" t="s">
        <v>239</v>
      </c>
      <c r="B130" s="5" t="s">
        <v>240</v>
      </c>
      <c r="C130" s="28">
        <v>6496</v>
      </c>
      <c r="D130" s="28">
        <v>5619</v>
      </c>
      <c r="E130" s="28">
        <v>330</v>
      </c>
      <c r="F130" s="28">
        <f t="shared" si="30"/>
        <v>547</v>
      </c>
      <c r="G130" s="28">
        <v>16147</v>
      </c>
      <c r="H130" s="28">
        <v>8931</v>
      </c>
      <c r="I130" s="28">
        <v>1565</v>
      </c>
      <c r="J130" s="28">
        <f t="shared" si="31"/>
        <v>5651</v>
      </c>
      <c r="K130" s="28">
        <v>158</v>
      </c>
      <c r="L130" s="28">
        <v>463</v>
      </c>
      <c r="M130" s="28">
        <v>133</v>
      </c>
      <c r="N130" s="28">
        <v>89964</v>
      </c>
      <c r="O130" s="28">
        <v>10337</v>
      </c>
    </row>
    <row r="131" spans="1:15" ht="12.75" customHeight="1">
      <c r="A131" s="4" t="s">
        <v>241</v>
      </c>
      <c r="B131" s="5" t="s">
        <v>242</v>
      </c>
      <c r="C131" s="28">
        <v>13028</v>
      </c>
      <c r="D131" s="28">
        <v>10492</v>
      </c>
      <c r="E131" s="28">
        <v>78</v>
      </c>
      <c r="F131" s="28">
        <f t="shared" si="30"/>
        <v>2458</v>
      </c>
      <c r="G131" s="28">
        <v>29049</v>
      </c>
      <c r="H131" s="28">
        <v>15409</v>
      </c>
      <c r="I131" s="28">
        <v>396</v>
      </c>
      <c r="J131" s="28">
        <f t="shared" si="31"/>
        <v>13244</v>
      </c>
      <c r="K131" s="28">
        <v>51</v>
      </c>
      <c r="L131" s="28">
        <v>0</v>
      </c>
      <c r="M131" s="28">
        <v>773</v>
      </c>
      <c r="N131" s="28">
        <v>52</v>
      </c>
      <c r="O131" s="28">
        <v>52</v>
      </c>
    </row>
    <row r="132" spans="1:15" ht="12.75" customHeight="1">
      <c r="A132" s="4" t="s">
        <v>243</v>
      </c>
      <c r="B132" s="5" t="s">
        <v>244</v>
      </c>
      <c r="C132" s="28">
        <v>4985</v>
      </c>
      <c r="D132" s="28">
        <v>4301</v>
      </c>
      <c r="E132" s="28">
        <v>0</v>
      </c>
      <c r="F132" s="28">
        <f t="shared" si="30"/>
        <v>684</v>
      </c>
      <c r="G132" s="28">
        <v>15411</v>
      </c>
      <c r="H132" s="28">
        <v>9900</v>
      </c>
      <c r="I132" s="28">
        <v>0</v>
      </c>
      <c r="J132" s="28">
        <f t="shared" si="31"/>
        <v>5511</v>
      </c>
      <c r="K132" s="28">
        <v>731</v>
      </c>
      <c r="L132" s="28">
        <v>0</v>
      </c>
      <c r="M132" s="28">
        <v>1117</v>
      </c>
      <c r="N132" s="28">
        <v>13</v>
      </c>
      <c r="O132" s="28">
        <v>13</v>
      </c>
    </row>
    <row r="133" spans="1:15" ht="12.75" customHeight="1">
      <c r="A133" s="4" t="s">
        <v>245</v>
      </c>
      <c r="B133" s="5" t="s">
        <v>246</v>
      </c>
      <c r="C133" s="28">
        <v>4568</v>
      </c>
      <c r="D133" s="28">
        <v>4117</v>
      </c>
      <c r="E133" s="28">
        <v>0</v>
      </c>
      <c r="F133" s="28">
        <f t="shared" si="30"/>
        <v>451</v>
      </c>
      <c r="G133" s="28">
        <v>10257</v>
      </c>
      <c r="H133" s="28">
        <v>8549</v>
      </c>
      <c r="I133" s="28">
        <v>0</v>
      </c>
      <c r="J133" s="28">
        <f t="shared" si="31"/>
        <v>1708</v>
      </c>
      <c r="K133" s="28">
        <v>2068</v>
      </c>
      <c r="L133" s="28">
        <v>33</v>
      </c>
      <c r="M133" s="28">
        <v>820</v>
      </c>
      <c r="N133" s="28">
        <v>2232</v>
      </c>
      <c r="O133" s="28">
        <v>2232</v>
      </c>
    </row>
    <row r="134" spans="1:15" ht="12.75" customHeight="1">
      <c r="A134" s="4" t="s">
        <v>247</v>
      </c>
      <c r="B134" s="5" t="s">
        <v>248</v>
      </c>
      <c r="C134" s="28">
        <v>3501</v>
      </c>
      <c r="D134" s="28">
        <v>2459</v>
      </c>
      <c r="E134" s="28">
        <v>0</v>
      </c>
      <c r="F134" s="28">
        <f t="shared" si="30"/>
        <v>1042</v>
      </c>
      <c r="G134" s="28">
        <v>16048</v>
      </c>
      <c r="H134" s="28">
        <v>4850</v>
      </c>
      <c r="I134" s="28">
        <v>0</v>
      </c>
      <c r="J134" s="28">
        <f t="shared" si="31"/>
        <v>11198</v>
      </c>
      <c r="K134" s="28">
        <v>13</v>
      </c>
      <c r="L134" s="28">
        <v>0</v>
      </c>
      <c r="M134" s="28">
        <v>1137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50682</v>
      </c>
      <c r="D135" s="29">
        <f t="shared" si="32"/>
        <v>40994</v>
      </c>
      <c r="E135" s="29">
        <f t="shared" si="32"/>
        <v>654</v>
      </c>
      <c r="F135" s="29">
        <f t="shared" si="32"/>
        <v>9034</v>
      </c>
      <c r="G135" s="29">
        <f t="shared" si="32"/>
        <v>132801</v>
      </c>
      <c r="H135" s="29">
        <f t="shared" si="32"/>
        <v>78091</v>
      </c>
      <c r="I135" s="29">
        <f t="shared" si="32"/>
        <v>3286</v>
      </c>
      <c r="J135" s="29">
        <f t="shared" si="32"/>
        <v>51424</v>
      </c>
      <c r="K135" s="29">
        <f t="shared" si="32"/>
        <v>3277</v>
      </c>
      <c r="L135" s="29">
        <f t="shared" si="32"/>
        <v>505</v>
      </c>
      <c r="M135" s="29">
        <f t="shared" si="32"/>
        <v>8637</v>
      </c>
      <c r="N135" s="29">
        <f t="shared" si="32"/>
        <v>93242</v>
      </c>
      <c r="O135" s="29">
        <f t="shared" si="32"/>
        <v>13615</v>
      </c>
    </row>
    <row r="136" spans="1:15" ht="12.75" customHeight="1">
      <c r="A136" s="4" t="s">
        <v>250</v>
      </c>
      <c r="B136" s="5" t="s">
        <v>251</v>
      </c>
      <c r="C136" s="28">
        <v>7651</v>
      </c>
      <c r="D136" s="28">
        <v>7163</v>
      </c>
      <c r="E136" s="28">
        <v>0</v>
      </c>
      <c r="F136" s="28">
        <f t="shared" ref="F136:F143" si="33">SUM(C136-D136-E136)</f>
        <v>488</v>
      </c>
      <c r="G136" s="28">
        <v>17548</v>
      </c>
      <c r="H136" s="28">
        <v>13992</v>
      </c>
      <c r="I136" s="28">
        <v>0</v>
      </c>
      <c r="J136" s="28">
        <f t="shared" ref="J136:J143" si="34">SUM(G136-H136-I136)</f>
        <v>3556</v>
      </c>
      <c r="K136" s="28">
        <v>1419</v>
      </c>
      <c r="L136" s="28">
        <v>887</v>
      </c>
      <c r="M136" s="28">
        <v>2493</v>
      </c>
      <c r="N136" s="28">
        <v>3184</v>
      </c>
      <c r="O136" s="28">
        <v>3013</v>
      </c>
    </row>
    <row r="137" spans="1:15" ht="12.75" customHeight="1">
      <c r="A137" s="4" t="s">
        <v>252</v>
      </c>
      <c r="B137" s="5" t="s">
        <v>253</v>
      </c>
      <c r="C137" s="28">
        <v>1047</v>
      </c>
      <c r="D137" s="28">
        <v>797</v>
      </c>
      <c r="E137" s="28">
        <v>0</v>
      </c>
      <c r="F137" s="28">
        <f t="shared" si="33"/>
        <v>250</v>
      </c>
      <c r="G137" s="28">
        <v>2104</v>
      </c>
      <c r="H137" s="28">
        <v>1596</v>
      </c>
      <c r="I137" s="28">
        <v>0</v>
      </c>
      <c r="J137" s="28">
        <f t="shared" si="34"/>
        <v>508</v>
      </c>
      <c r="K137" s="28">
        <v>8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515</v>
      </c>
      <c r="D138" s="28">
        <v>460</v>
      </c>
      <c r="E138" s="28">
        <v>0</v>
      </c>
      <c r="F138" s="28">
        <f t="shared" si="33"/>
        <v>55</v>
      </c>
      <c r="G138" s="28">
        <v>1258</v>
      </c>
      <c r="H138" s="28">
        <v>1082</v>
      </c>
      <c r="I138" s="28">
        <v>0</v>
      </c>
      <c r="J138" s="28">
        <f t="shared" si="34"/>
        <v>176</v>
      </c>
      <c r="K138" s="28">
        <v>0</v>
      </c>
      <c r="L138" s="28">
        <v>0</v>
      </c>
      <c r="M138" s="28">
        <v>148</v>
      </c>
      <c r="N138" s="28">
        <v>248</v>
      </c>
      <c r="O138" s="28">
        <v>27</v>
      </c>
    </row>
    <row r="139" spans="1:15" ht="12.75" customHeight="1">
      <c r="A139" s="4" t="s">
        <v>256</v>
      </c>
      <c r="B139" s="5" t="s">
        <v>257</v>
      </c>
      <c r="C139" s="28">
        <v>1755</v>
      </c>
      <c r="D139" s="28">
        <v>1749</v>
      </c>
      <c r="E139" s="28">
        <v>0</v>
      </c>
      <c r="F139" s="28">
        <f t="shared" si="33"/>
        <v>6</v>
      </c>
      <c r="G139" s="28">
        <v>4806</v>
      </c>
      <c r="H139" s="28">
        <v>4295</v>
      </c>
      <c r="I139" s="28">
        <v>0</v>
      </c>
      <c r="J139" s="28">
        <f t="shared" si="34"/>
        <v>511</v>
      </c>
      <c r="K139" s="28">
        <v>1602</v>
      </c>
      <c r="L139" s="28">
        <v>1191</v>
      </c>
      <c r="M139" s="28">
        <v>917</v>
      </c>
      <c r="N139" s="28">
        <v>72</v>
      </c>
      <c r="O139" s="28">
        <v>71</v>
      </c>
    </row>
    <row r="140" spans="1:15" ht="12.75" customHeight="1">
      <c r="A140" s="4" t="s">
        <v>258</v>
      </c>
      <c r="B140" s="5" t="s">
        <v>259</v>
      </c>
      <c r="C140" s="28">
        <v>308</v>
      </c>
      <c r="D140" s="28">
        <v>242</v>
      </c>
      <c r="E140" s="28">
        <v>0</v>
      </c>
      <c r="F140" s="28">
        <f t="shared" si="33"/>
        <v>66</v>
      </c>
      <c r="G140" s="28">
        <v>685</v>
      </c>
      <c r="H140" s="28">
        <v>476</v>
      </c>
      <c r="I140" s="28">
        <v>0</v>
      </c>
      <c r="J140" s="28">
        <f t="shared" si="34"/>
        <v>209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1293</v>
      </c>
      <c r="D141" s="28">
        <v>1218</v>
      </c>
      <c r="E141" s="28">
        <v>0</v>
      </c>
      <c r="F141" s="28">
        <f t="shared" si="33"/>
        <v>75</v>
      </c>
      <c r="G141" s="28">
        <v>3048</v>
      </c>
      <c r="H141" s="28">
        <v>2327</v>
      </c>
      <c r="I141" s="28">
        <v>0</v>
      </c>
      <c r="J141" s="28">
        <f t="shared" si="34"/>
        <v>721</v>
      </c>
      <c r="K141" s="28">
        <v>479</v>
      </c>
      <c r="L141" s="28">
        <v>0</v>
      </c>
      <c r="M141" s="28">
        <v>218</v>
      </c>
      <c r="N141" s="28">
        <v>325</v>
      </c>
      <c r="O141" s="28">
        <v>325</v>
      </c>
    </row>
    <row r="142" spans="1:15" ht="12.75" customHeight="1">
      <c r="A142" s="4" t="s">
        <v>262</v>
      </c>
      <c r="B142" s="5" t="s">
        <v>263</v>
      </c>
      <c r="C142" s="28">
        <v>1670</v>
      </c>
      <c r="D142" s="28">
        <v>1276</v>
      </c>
      <c r="E142" s="28">
        <v>0</v>
      </c>
      <c r="F142" s="28">
        <f t="shared" si="33"/>
        <v>394</v>
      </c>
      <c r="G142" s="28">
        <v>5169</v>
      </c>
      <c r="H142" s="28">
        <v>3921</v>
      </c>
      <c r="I142" s="28">
        <v>0</v>
      </c>
      <c r="J142" s="28">
        <f t="shared" si="34"/>
        <v>1248</v>
      </c>
      <c r="K142" s="28">
        <v>748</v>
      </c>
      <c r="L142" s="28">
        <v>0</v>
      </c>
      <c r="M142" s="28">
        <v>1622</v>
      </c>
      <c r="N142" s="28">
        <v>383</v>
      </c>
      <c r="O142" s="28">
        <v>383</v>
      </c>
    </row>
    <row r="143" spans="1:15" ht="12.75" customHeight="1">
      <c r="A143" s="4" t="s">
        <v>264</v>
      </c>
      <c r="B143" s="5" t="s">
        <v>265</v>
      </c>
      <c r="C143" s="28">
        <v>5010</v>
      </c>
      <c r="D143" s="28">
        <v>4330</v>
      </c>
      <c r="E143" s="28">
        <v>0</v>
      </c>
      <c r="F143" s="28">
        <f t="shared" si="33"/>
        <v>680</v>
      </c>
      <c r="G143" s="28">
        <v>14639</v>
      </c>
      <c r="H143" s="28">
        <v>7371</v>
      </c>
      <c r="I143" s="28">
        <v>0</v>
      </c>
      <c r="J143" s="28">
        <f t="shared" si="34"/>
        <v>7268</v>
      </c>
      <c r="K143" s="28">
        <v>3969</v>
      </c>
      <c r="L143" s="28">
        <v>0</v>
      </c>
      <c r="M143" s="28">
        <v>1449</v>
      </c>
      <c r="N143" s="28">
        <v>1301</v>
      </c>
      <c r="O143" s="28">
        <v>1274</v>
      </c>
    </row>
    <row r="144" spans="1:15" ht="12.75" customHeight="1">
      <c r="A144" s="10"/>
      <c r="B144" s="9" t="s">
        <v>266</v>
      </c>
      <c r="C144" s="30">
        <f t="shared" ref="C144:O144" si="35">SUM(C136:C143)</f>
        <v>19249</v>
      </c>
      <c r="D144" s="30">
        <f t="shared" si="35"/>
        <v>17235</v>
      </c>
      <c r="E144" s="30">
        <f t="shared" si="35"/>
        <v>0</v>
      </c>
      <c r="F144" s="30">
        <f t="shared" si="35"/>
        <v>2014</v>
      </c>
      <c r="G144" s="30">
        <f t="shared" si="35"/>
        <v>49257</v>
      </c>
      <c r="H144" s="30">
        <f t="shared" si="35"/>
        <v>35060</v>
      </c>
      <c r="I144" s="30">
        <f t="shared" si="35"/>
        <v>0</v>
      </c>
      <c r="J144" s="30">
        <f t="shared" si="35"/>
        <v>14197</v>
      </c>
      <c r="K144" s="30">
        <f t="shared" si="35"/>
        <v>8225</v>
      </c>
      <c r="L144" s="30">
        <f t="shared" si="35"/>
        <v>2078</v>
      </c>
      <c r="M144" s="30">
        <f t="shared" si="35"/>
        <v>6847</v>
      </c>
      <c r="N144" s="30">
        <f t="shared" si="35"/>
        <v>5513</v>
      </c>
      <c r="O144" s="30">
        <f t="shared" si="35"/>
        <v>5093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654832</v>
      </c>
      <c r="D145" s="31">
        <f t="shared" si="36"/>
        <v>482463</v>
      </c>
      <c r="E145" s="31">
        <f t="shared" si="36"/>
        <v>17256</v>
      </c>
      <c r="F145" s="31">
        <f t="shared" si="36"/>
        <v>155113</v>
      </c>
      <c r="G145" s="31">
        <f t="shared" si="36"/>
        <v>2010238</v>
      </c>
      <c r="H145" s="31">
        <f t="shared" si="36"/>
        <v>1028606</v>
      </c>
      <c r="I145" s="31">
        <f t="shared" si="36"/>
        <v>92307</v>
      </c>
      <c r="J145" s="31">
        <f t="shared" si="36"/>
        <v>889325</v>
      </c>
      <c r="K145" s="31">
        <f t="shared" si="36"/>
        <v>136418</v>
      </c>
      <c r="L145" s="31">
        <f t="shared" si="36"/>
        <v>4694</v>
      </c>
      <c r="M145" s="31">
        <f t="shared" si="36"/>
        <v>173797</v>
      </c>
      <c r="N145" s="31">
        <f t="shared" si="36"/>
        <v>178016</v>
      </c>
      <c r="O145" s="31">
        <f t="shared" si="36"/>
        <v>72820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69257</v>
      </c>
      <c r="D15" s="28">
        <v>37740</v>
      </c>
      <c r="E15" s="28">
        <v>6022</v>
      </c>
      <c r="F15" s="28">
        <f t="shared" ref="F15:F22" si="0">SUM(C15-D15-E15)</f>
        <v>25495</v>
      </c>
      <c r="G15" s="28">
        <v>260844</v>
      </c>
      <c r="H15" s="28">
        <v>93218</v>
      </c>
      <c r="I15" s="28">
        <v>27712</v>
      </c>
      <c r="J15" s="28">
        <f t="shared" ref="J15:J22" si="1">SUM(G15-H15-I15)</f>
        <v>139914</v>
      </c>
      <c r="K15" s="28">
        <v>12636</v>
      </c>
      <c r="L15" s="28">
        <v>0</v>
      </c>
      <c r="M15" s="28">
        <v>28838</v>
      </c>
      <c r="N15" s="28">
        <v>8104</v>
      </c>
      <c r="O15" s="28">
        <v>8104</v>
      </c>
    </row>
    <row r="16" spans="1:15" ht="12.75" customHeight="1">
      <c r="A16" s="4" t="s">
        <v>29</v>
      </c>
      <c r="B16" s="5" t="s">
        <v>30</v>
      </c>
      <c r="C16" s="28">
        <v>35407</v>
      </c>
      <c r="D16" s="28">
        <v>17954</v>
      </c>
      <c r="E16" s="28">
        <v>940</v>
      </c>
      <c r="F16" s="28">
        <f t="shared" si="0"/>
        <v>16513</v>
      </c>
      <c r="G16" s="28">
        <v>234957</v>
      </c>
      <c r="H16" s="28">
        <v>39035</v>
      </c>
      <c r="I16" s="28">
        <v>5698</v>
      </c>
      <c r="J16" s="28">
        <f t="shared" si="1"/>
        <v>190224</v>
      </c>
      <c r="K16" s="28">
        <v>6119</v>
      </c>
      <c r="L16" s="28">
        <v>0</v>
      </c>
      <c r="M16" s="28">
        <v>27756</v>
      </c>
      <c r="N16" s="28">
        <v>184</v>
      </c>
      <c r="O16" s="28">
        <v>184</v>
      </c>
    </row>
    <row r="17" spans="1:15" ht="12.75" customHeight="1">
      <c r="A17" s="4" t="s">
        <v>31</v>
      </c>
      <c r="B17" s="5" t="s">
        <v>32</v>
      </c>
      <c r="C17" s="28">
        <v>17946</v>
      </c>
      <c r="D17" s="28">
        <v>17024</v>
      </c>
      <c r="E17" s="28">
        <v>0</v>
      </c>
      <c r="F17" s="28">
        <f t="shared" si="0"/>
        <v>922</v>
      </c>
      <c r="G17" s="28">
        <v>36670</v>
      </c>
      <c r="H17" s="28">
        <v>30310</v>
      </c>
      <c r="I17" s="28">
        <v>0</v>
      </c>
      <c r="J17" s="28">
        <f t="shared" si="1"/>
        <v>6360</v>
      </c>
      <c r="K17" s="28">
        <v>2987</v>
      </c>
      <c r="L17" s="28">
        <v>0</v>
      </c>
      <c r="M17" s="28">
        <v>1425</v>
      </c>
      <c r="N17" s="28">
        <v>890</v>
      </c>
      <c r="O17" s="28">
        <v>890</v>
      </c>
    </row>
    <row r="18" spans="1:15" ht="12.75" customHeight="1">
      <c r="A18" s="4" t="s">
        <v>33</v>
      </c>
      <c r="B18" s="5" t="s">
        <v>34</v>
      </c>
      <c r="C18" s="28">
        <v>46297</v>
      </c>
      <c r="D18" s="28">
        <v>42739</v>
      </c>
      <c r="E18" s="28">
        <v>1020</v>
      </c>
      <c r="F18" s="28">
        <f t="shared" si="0"/>
        <v>2538</v>
      </c>
      <c r="G18" s="28">
        <v>133224</v>
      </c>
      <c r="H18" s="28">
        <v>96061</v>
      </c>
      <c r="I18" s="28">
        <v>4168</v>
      </c>
      <c r="J18" s="28">
        <f t="shared" si="1"/>
        <v>32995</v>
      </c>
      <c r="K18" s="28">
        <v>8914</v>
      </c>
      <c r="L18" s="28">
        <v>0</v>
      </c>
      <c r="M18" s="28">
        <v>14592</v>
      </c>
      <c r="N18" s="28">
        <v>1537</v>
      </c>
      <c r="O18" s="28">
        <v>1537</v>
      </c>
    </row>
    <row r="19" spans="1:15" ht="12.75" customHeight="1">
      <c r="A19" s="4" t="s">
        <v>35</v>
      </c>
      <c r="B19" s="5" t="s">
        <v>36</v>
      </c>
      <c r="C19" s="28">
        <v>38670</v>
      </c>
      <c r="D19" s="28">
        <v>36608</v>
      </c>
      <c r="E19" s="28">
        <v>1864</v>
      </c>
      <c r="F19" s="28">
        <f t="shared" si="0"/>
        <v>198</v>
      </c>
      <c r="G19" s="28">
        <v>92806</v>
      </c>
      <c r="H19" s="28">
        <v>76022</v>
      </c>
      <c r="I19" s="28">
        <v>9007</v>
      </c>
      <c r="J19" s="28">
        <f t="shared" si="1"/>
        <v>7777</v>
      </c>
      <c r="K19" s="28">
        <v>1025</v>
      </c>
      <c r="L19" s="28">
        <v>0</v>
      </c>
      <c r="M19" s="28">
        <v>118</v>
      </c>
      <c r="N19" s="28">
        <v>689</v>
      </c>
      <c r="O19" s="28">
        <v>689</v>
      </c>
    </row>
    <row r="20" spans="1:15" ht="12.75" customHeight="1">
      <c r="A20" s="4" t="s">
        <v>37</v>
      </c>
      <c r="B20" s="5" t="s">
        <v>38</v>
      </c>
      <c r="C20" s="28">
        <v>213269</v>
      </c>
      <c r="D20" s="28">
        <v>196688</v>
      </c>
      <c r="E20" s="28">
        <v>6514</v>
      </c>
      <c r="F20" s="28">
        <f t="shared" si="0"/>
        <v>10067</v>
      </c>
      <c r="G20" s="28">
        <v>478516</v>
      </c>
      <c r="H20" s="28">
        <v>371596</v>
      </c>
      <c r="I20" s="28">
        <v>32614</v>
      </c>
      <c r="J20" s="28">
        <f t="shared" si="1"/>
        <v>74306</v>
      </c>
      <c r="K20" s="28">
        <v>19314</v>
      </c>
      <c r="L20" s="28">
        <v>0</v>
      </c>
      <c r="M20" s="28">
        <v>15297</v>
      </c>
      <c r="N20" s="28">
        <v>19305</v>
      </c>
      <c r="O20" s="28">
        <v>17357</v>
      </c>
    </row>
    <row r="21" spans="1:15" ht="12.75" customHeight="1">
      <c r="A21" s="4" t="s">
        <v>39</v>
      </c>
      <c r="B21" s="5" t="s">
        <v>40</v>
      </c>
      <c r="C21" s="28">
        <v>18499</v>
      </c>
      <c r="D21" s="28">
        <v>17948</v>
      </c>
      <c r="E21" s="28">
        <v>0</v>
      </c>
      <c r="F21" s="28">
        <f t="shared" si="0"/>
        <v>551</v>
      </c>
      <c r="G21" s="28">
        <v>30220</v>
      </c>
      <c r="H21" s="28">
        <v>28659</v>
      </c>
      <c r="I21" s="28">
        <v>0</v>
      </c>
      <c r="J21" s="28">
        <f t="shared" si="1"/>
        <v>1561</v>
      </c>
      <c r="K21" s="28">
        <v>57</v>
      </c>
      <c r="L21" s="28">
        <v>0</v>
      </c>
      <c r="M21" s="28">
        <v>30</v>
      </c>
      <c r="N21" s="28">
        <v>48</v>
      </c>
      <c r="O21" s="28">
        <v>48</v>
      </c>
    </row>
    <row r="22" spans="1:15" ht="12.75" customHeight="1">
      <c r="A22" s="4" t="s">
        <v>41</v>
      </c>
      <c r="B22" s="5" t="s">
        <v>42</v>
      </c>
      <c r="C22" s="28">
        <v>16927</v>
      </c>
      <c r="D22" s="28">
        <v>13919</v>
      </c>
      <c r="E22" s="28">
        <v>2246</v>
      </c>
      <c r="F22" s="28">
        <f t="shared" si="0"/>
        <v>762</v>
      </c>
      <c r="G22" s="28">
        <v>42573</v>
      </c>
      <c r="H22" s="28">
        <v>26937</v>
      </c>
      <c r="I22" s="28">
        <v>8769</v>
      </c>
      <c r="J22" s="28">
        <f t="shared" si="1"/>
        <v>6867</v>
      </c>
      <c r="K22" s="28">
        <v>3042</v>
      </c>
      <c r="L22" s="28">
        <v>0</v>
      </c>
      <c r="M22" s="28">
        <v>9546</v>
      </c>
      <c r="N22" s="28">
        <v>1111</v>
      </c>
      <c r="O22" s="28">
        <v>1111</v>
      </c>
    </row>
    <row r="23" spans="1:15" ht="12.75" customHeight="1">
      <c r="A23" s="8"/>
      <c r="B23" s="9" t="s">
        <v>43</v>
      </c>
      <c r="C23" s="29">
        <f t="shared" ref="C23:O23" si="2">SUM(C15:C22)</f>
        <v>456272</v>
      </c>
      <c r="D23" s="29">
        <f t="shared" si="2"/>
        <v>380620</v>
      </c>
      <c r="E23" s="29">
        <f t="shared" si="2"/>
        <v>18606</v>
      </c>
      <c r="F23" s="29">
        <f t="shared" si="2"/>
        <v>57046</v>
      </c>
      <c r="G23" s="29">
        <f t="shared" si="2"/>
        <v>1309810</v>
      </c>
      <c r="H23" s="29">
        <f t="shared" si="2"/>
        <v>761838</v>
      </c>
      <c r="I23" s="29">
        <f t="shared" si="2"/>
        <v>87968</v>
      </c>
      <c r="J23" s="29">
        <f t="shared" si="2"/>
        <v>460004</v>
      </c>
      <c r="K23" s="29">
        <f t="shared" si="2"/>
        <v>54094</v>
      </c>
      <c r="L23" s="29">
        <f t="shared" si="2"/>
        <v>0</v>
      </c>
      <c r="M23" s="29">
        <f t="shared" si="2"/>
        <v>97602</v>
      </c>
      <c r="N23" s="29">
        <f t="shared" si="2"/>
        <v>31868</v>
      </c>
      <c r="O23" s="29">
        <f t="shared" si="2"/>
        <v>29920</v>
      </c>
    </row>
    <row r="24" spans="1:15" ht="14.25" customHeight="1">
      <c r="A24" s="4" t="s">
        <v>44</v>
      </c>
      <c r="B24" s="5" t="s">
        <v>45</v>
      </c>
      <c r="C24" s="28">
        <v>53229</v>
      </c>
      <c r="D24" s="28">
        <v>18287</v>
      </c>
      <c r="E24" s="28">
        <v>1395</v>
      </c>
      <c r="F24" s="28">
        <f>SUM(C24-D24-E24)</f>
        <v>33547</v>
      </c>
      <c r="G24" s="28">
        <v>154743</v>
      </c>
      <c r="H24" s="28">
        <v>25809</v>
      </c>
      <c r="I24" s="28">
        <v>4936</v>
      </c>
      <c r="J24" s="28">
        <f>SUM(G24-H24-I24)</f>
        <v>123998</v>
      </c>
      <c r="K24" s="28">
        <v>44220</v>
      </c>
      <c r="L24" s="28">
        <v>0</v>
      </c>
      <c r="M24" s="28">
        <v>12794</v>
      </c>
      <c r="N24" s="28">
        <v>5529</v>
      </c>
      <c r="O24" s="28">
        <v>5529</v>
      </c>
    </row>
    <row r="25" spans="1:15" ht="14.25" customHeight="1">
      <c r="A25" s="10"/>
      <c r="B25" s="9" t="s">
        <v>46</v>
      </c>
      <c r="C25" s="29">
        <f t="shared" ref="C25:O25" si="3">SUM(C24)</f>
        <v>53229</v>
      </c>
      <c r="D25" s="29">
        <f t="shared" si="3"/>
        <v>18287</v>
      </c>
      <c r="E25" s="29">
        <f t="shared" si="3"/>
        <v>1395</v>
      </c>
      <c r="F25" s="29">
        <f t="shared" si="3"/>
        <v>33547</v>
      </c>
      <c r="G25" s="29">
        <f t="shared" si="3"/>
        <v>154743</v>
      </c>
      <c r="H25" s="29">
        <f t="shared" si="3"/>
        <v>25809</v>
      </c>
      <c r="I25" s="29">
        <f t="shared" si="3"/>
        <v>4936</v>
      </c>
      <c r="J25" s="29">
        <f t="shared" si="3"/>
        <v>123998</v>
      </c>
      <c r="K25" s="29">
        <f t="shared" si="3"/>
        <v>44220</v>
      </c>
      <c r="L25" s="29">
        <f t="shared" si="3"/>
        <v>0</v>
      </c>
      <c r="M25" s="29">
        <f t="shared" si="3"/>
        <v>12794</v>
      </c>
      <c r="N25" s="29">
        <f t="shared" si="3"/>
        <v>5529</v>
      </c>
      <c r="O25" s="29">
        <f t="shared" si="3"/>
        <v>5529</v>
      </c>
    </row>
    <row r="26" spans="1:15" ht="12.75" customHeight="1">
      <c r="A26" s="4" t="s">
        <v>47</v>
      </c>
      <c r="B26" s="5" t="s">
        <v>48</v>
      </c>
      <c r="C26" s="28">
        <v>157067</v>
      </c>
      <c r="D26" s="28">
        <v>71373</v>
      </c>
      <c r="E26" s="28">
        <v>5273</v>
      </c>
      <c r="F26" s="28">
        <f>SUM(C26-D26-E26)</f>
        <v>80421</v>
      </c>
      <c r="G26" s="28">
        <v>346109</v>
      </c>
      <c r="H26" s="28">
        <v>108047</v>
      </c>
      <c r="I26" s="28">
        <v>16855</v>
      </c>
      <c r="J26" s="28">
        <f>SUM(G26-H26-I26)</f>
        <v>221207</v>
      </c>
      <c r="K26" s="28">
        <v>20650</v>
      </c>
      <c r="L26" s="28">
        <v>357</v>
      </c>
      <c r="M26" s="28">
        <v>15198</v>
      </c>
      <c r="N26" s="28">
        <v>5834</v>
      </c>
      <c r="O26" s="28">
        <v>5834</v>
      </c>
    </row>
    <row r="27" spans="1:15" ht="12.75" customHeight="1">
      <c r="A27" s="4" t="s">
        <v>49</v>
      </c>
      <c r="B27" s="5" t="s">
        <v>50</v>
      </c>
      <c r="C27" s="28">
        <v>25765</v>
      </c>
      <c r="D27" s="28">
        <v>23516</v>
      </c>
      <c r="E27" s="28">
        <v>1844</v>
      </c>
      <c r="F27" s="28">
        <f>SUM(C27-D27-E27)</f>
        <v>405</v>
      </c>
      <c r="G27" s="28">
        <v>53318</v>
      </c>
      <c r="H27" s="28">
        <v>30048</v>
      </c>
      <c r="I27" s="28">
        <v>6124</v>
      </c>
      <c r="J27" s="28">
        <f>SUM(G27-H27-I27)</f>
        <v>17146</v>
      </c>
      <c r="K27" s="28">
        <v>6734</v>
      </c>
      <c r="L27" s="28">
        <v>0</v>
      </c>
      <c r="M27" s="28">
        <v>1679</v>
      </c>
      <c r="N27" s="28">
        <v>1070</v>
      </c>
      <c r="O27" s="28">
        <v>1070</v>
      </c>
    </row>
    <row r="28" spans="1:15" ht="12.75" customHeight="1">
      <c r="A28" s="4" t="s">
        <v>51</v>
      </c>
      <c r="B28" s="5" t="s">
        <v>52</v>
      </c>
      <c r="C28" s="28">
        <v>27175</v>
      </c>
      <c r="D28" s="28">
        <v>19687</v>
      </c>
      <c r="E28" s="28">
        <v>2616</v>
      </c>
      <c r="F28" s="28">
        <f>SUM(C28-D28-E28)</f>
        <v>4872</v>
      </c>
      <c r="G28" s="28">
        <v>65922</v>
      </c>
      <c r="H28" s="28">
        <v>36428</v>
      </c>
      <c r="I28" s="28">
        <v>12826</v>
      </c>
      <c r="J28" s="28">
        <f>SUM(G28-H28-I28)</f>
        <v>16668</v>
      </c>
      <c r="K28" s="28">
        <v>2155</v>
      </c>
      <c r="L28" s="28">
        <v>2277</v>
      </c>
      <c r="M28" s="28">
        <v>306</v>
      </c>
      <c r="N28" s="28">
        <v>2971</v>
      </c>
      <c r="O28" s="28">
        <v>2971</v>
      </c>
    </row>
    <row r="29" spans="1:15" ht="12.75" customHeight="1">
      <c r="A29" s="4" t="s">
        <v>53</v>
      </c>
      <c r="B29" s="5" t="s">
        <v>54</v>
      </c>
      <c r="C29" s="28">
        <v>35425</v>
      </c>
      <c r="D29" s="28">
        <v>30320</v>
      </c>
      <c r="E29" s="28">
        <v>4187</v>
      </c>
      <c r="F29" s="28">
        <f>SUM(C29-D29-E29)</f>
        <v>918</v>
      </c>
      <c r="G29" s="28">
        <v>69565</v>
      </c>
      <c r="H29" s="28">
        <v>53790</v>
      </c>
      <c r="I29" s="28">
        <v>14346</v>
      </c>
      <c r="J29" s="28">
        <f>SUM(G29-H29-I29)</f>
        <v>1429</v>
      </c>
      <c r="K29" s="28">
        <v>302</v>
      </c>
      <c r="L29" s="28">
        <v>242</v>
      </c>
      <c r="M29" s="28">
        <v>15</v>
      </c>
      <c r="N29" s="28">
        <v>168</v>
      </c>
      <c r="O29" s="28">
        <v>168</v>
      </c>
    </row>
    <row r="30" spans="1:15" ht="12.75" customHeight="1">
      <c r="A30" s="8"/>
      <c r="B30" s="9" t="s">
        <v>55</v>
      </c>
      <c r="C30" s="29">
        <f t="shared" ref="C30:O30" si="4">SUM(C26:C29)</f>
        <v>245432</v>
      </c>
      <c r="D30" s="29">
        <f t="shared" si="4"/>
        <v>144896</v>
      </c>
      <c r="E30" s="29">
        <f t="shared" si="4"/>
        <v>13920</v>
      </c>
      <c r="F30" s="29">
        <f t="shared" si="4"/>
        <v>86616</v>
      </c>
      <c r="G30" s="29">
        <f t="shared" si="4"/>
        <v>534914</v>
      </c>
      <c r="H30" s="29">
        <f t="shared" si="4"/>
        <v>228313</v>
      </c>
      <c r="I30" s="29">
        <f t="shared" si="4"/>
        <v>50151</v>
      </c>
      <c r="J30" s="29">
        <f t="shared" si="4"/>
        <v>256450</v>
      </c>
      <c r="K30" s="29">
        <f t="shared" si="4"/>
        <v>29841</v>
      </c>
      <c r="L30" s="29">
        <f t="shared" si="4"/>
        <v>2876</v>
      </c>
      <c r="M30" s="29">
        <f t="shared" si="4"/>
        <v>17198</v>
      </c>
      <c r="N30" s="29">
        <f t="shared" si="4"/>
        <v>10043</v>
      </c>
      <c r="O30" s="29">
        <f t="shared" si="4"/>
        <v>10043</v>
      </c>
    </row>
    <row r="31" spans="1:15" ht="12.75" customHeight="1">
      <c r="A31" s="4" t="s">
        <v>56</v>
      </c>
      <c r="B31" s="5" t="s">
        <v>57</v>
      </c>
      <c r="C31" s="28">
        <v>103148</v>
      </c>
      <c r="D31" s="28">
        <v>95939</v>
      </c>
      <c r="E31" s="28">
        <v>2114</v>
      </c>
      <c r="F31" s="28">
        <f t="shared" ref="F31:F42" si="5">SUM(C31-D31-E31)</f>
        <v>5095</v>
      </c>
      <c r="G31" s="28">
        <v>256127</v>
      </c>
      <c r="H31" s="28">
        <v>181315</v>
      </c>
      <c r="I31" s="28">
        <v>8676</v>
      </c>
      <c r="J31" s="28">
        <f t="shared" ref="J31:J42" si="6">SUM(G31-H31-I31)</f>
        <v>66136</v>
      </c>
      <c r="K31" s="28">
        <v>3944</v>
      </c>
      <c r="L31" s="28">
        <v>0</v>
      </c>
      <c r="M31" s="28">
        <v>3849</v>
      </c>
      <c r="N31" s="28">
        <v>1638</v>
      </c>
      <c r="O31" s="28">
        <v>1638</v>
      </c>
    </row>
    <row r="32" spans="1:15" ht="12.75" customHeight="1">
      <c r="A32" s="4" t="s">
        <v>58</v>
      </c>
      <c r="B32" s="5" t="s">
        <v>59</v>
      </c>
      <c r="C32" s="28">
        <v>130270</v>
      </c>
      <c r="D32" s="28">
        <v>115331</v>
      </c>
      <c r="E32" s="28">
        <v>5787</v>
      </c>
      <c r="F32" s="28">
        <f t="shared" si="5"/>
        <v>9152</v>
      </c>
      <c r="G32" s="28">
        <v>461023</v>
      </c>
      <c r="H32" s="28">
        <v>256208</v>
      </c>
      <c r="I32" s="28">
        <v>29185</v>
      </c>
      <c r="J32" s="28">
        <f t="shared" si="6"/>
        <v>175630</v>
      </c>
      <c r="K32" s="28">
        <v>13294</v>
      </c>
      <c r="L32" s="28">
        <v>0</v>
      </c>
      <c r="M32" s="28">
        <v>60711</v>
      </c>
      <c r="N32" s="28">
        <v>7919</v>
      </c>
      <c r="O32" s="28">
        <v>7919</v>
      </c>
    </row>
    <row r="33" spans="1:256" ht="12.75" customHeight="1">
      <c r="A33" s="4" t="s">
        <v>60</v>
      </c>
      <c r="B33" s="5" t="s">
        <v>61</v>
      </c>
      <c r="C33" s="28">
        <v>66767</v>
      </c>
      <c r="D33" s="28">
        <v>55922</v>
      </c>
      <c r="E33" s="28">
        <v>2271</v>
      </c>
      <c r="F33" s="28">
        <f t="shared" si="5"/>
        <v>8574</v>
      </c>
      <c r="G33" s="28">
        <v>234638</v>
      </c>
      <c r="H33" s="28">
        <v>70687</v>
      </c>
      <c r="I33" s="28">
        <v>6111</v>
      </c>
      <c r="J33" s="28">
        <f t="shared" si="6"/>
        <v>157840</v>
      </c>
      <c r="K33" s="28">
        <v>20366</v>
      </c>
      <c r="L33" s="28">
        <v>87</v>
      </c>
      <c r="M33" s="28">
        <v>28875</v>
      </c>
      <c r="N33" s="28">
        <v>4130</v>
      </c>
      <c r="O33" s="28">
        <v>4130</v>
      </c>
    </row>
    <row r="34" spans="1:256" ht="12.75" customHeight="1">
      <c r="A34" s="4" t="s">
        <v>62</v>
      </c>
      <c r="B34" s="5" t="s">
        <v>63</v>
      </c>
      <c r="C34" s="28">
        <v>71710</v>
      </c>
      <c r="D34" s="28">
        <v>27481</v>
      </c>
      <c r="E34" s="28">
        <v>481</v>
      </c>
      <c r="F34" s="28">
        <f t="shared" si="5"/>
        <v>43748</v>
      </c>
      <c r="G34" s="28">
        <v>169869</v>
      </c>
      <c r="H34" s="28">
        <v>62096</v>
      </c>
      <c r="I34" s="28">
        <v>2188</v>
      </c>
      <c r="J34" s="28">
        <f t="shared" si="6"/>
        <v>105585</v>
      </c>
      <c r="K34" s="28">
        <v>3895</v>
      </c>
      <c r="L34" s="28">
        <v>0</v>
      </c>
      <c r="M34" s="28">
        <v>39649</v>
      </c>
      <c r="N34" s="28">
        <v>85</v>
      </c>
      <c r="O34" s="28">
        <v>85</v>
      </c>
    </row>
    <row r="35" spans="1:256" ht="12.75" customHeight="1">
      <c r="A35" s="4" t="s">
        <v>64</v>
      </c>
      <c r="B35" s="5" t="s">
        <v>65</v>
      </c>
      <c r="C35" s="28">
        <v>33130</v>
      </c>
      <c r="D35" s="28">
        <v>32838</v>
      </c>
      <c r="E35" s="28">
        <v>0</v>
      </c>
      <c r="F35" s="28">
        <f t="shared" si="5"/>
        <v>292</v>
      </c>
      <c r="G35" s="28">
        <v>56049</v>
      </c>
      <c r="H35" s="28">
        <v>52534</v>
      </c>
      <c r="I35" s="28">
        <v>0</v>
      </c>
      <c r="J35" s="28">
        <f t="shared" si="6"/>
        <v>3515</v>
      </c>
      <c r="K35" s="28">
        <v>311</v>
      </c>
      <c r="L35" s="28">
        <v>0</v>
      </c>
      <c r="M35" s="28">
        <v>129</v>
      </c>
      <c r="N35" s="28">
        <v>2368</v>
      </c>
      <c r="O35" s="28">
        <v>2368</v>
      </c>
    </row>
    <row r="36" spans="1:256" ht="12.75" customHeight="1">
      <c r="A36" s="4" t="s">
        <v>66</v>
      </c>
      <c r="B36" s="5" t="s">
        <v>67</v>
      </c>
      <c r="C36" s="28">
        <v>20351</v>
      </c>
      <c r="D36" s="28">
        <v>17413</v>
      </c>
      <c r="E36" s="28">
        <v>2066</v>
      </c>
      <c r="F36" s="28">
        <f t="shared" si="5"/>
        <v>872</v>
      </c>
      <c r="G36" s="28">
        <v>57768</v>
      </c>
      <c r="H36" s="28">
        <v>42307</v>
      </c>
      <c r="I36" s="28">
        <v>11353</v>
      </c>
      <c r="J36" s="28">
        <f t="shared" si="6"/>
        <v>4108</v>
      </c>
      <c r="K36" s="28">
        <v>185</v>
      </c>
      <c r="L36" s="28">
        <v>0</v>
      </c>
      <c r="M36" s="28">
        <v>1260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36757</v>
      </c>
      <c r="D37" s="28">
        <v>31043</v>
      </c>
      <c r="E37" s="28">
        <v>866</v>
      </c>
      <c r="F37" s="28">
        <f t="shared" si="5"/>
        <v>4848</v>
      </c>
      <c r="G37" s="28">
        <v>170812</v>
      </c>
      <c r="H37" s="28">
        <v>73503</v>
      </c>
      <c r="I37" s="28">
        <v>2829</v>
      </c>
      <c r="J37" s="28">
        <f t="shared" si="6"/>
        <v>94480</v>
      </c>
      <c r="K37" s="28">
        <v>7593</v>
      </c>
      <c r="L37" s="28">
        <v>6</v>
      </c>
      <c r="M37" s="28">
        <v>33550</v>
      </c>
      <c r="N37" s="28">
        <v>4798</v>
      </c>
      <c r="O37" s="28">
        <v>4728</v>
      </c>
    </row>
    <row r="38" spans="1:256" ht="12.75" customHeight="1">
      <c r="A38" s="4" t="s">
        <v>70</v>
      </c>
      <c r="B38" s="5" t="s">
        <v>71</v>
      </c>
      <c r="C38" s="28">
        <v>522428</v>
      </c>
      <c r="D38" s="28">
        <v>388781</v>
      </c>
      <c r="E38" s="28">
        <v>16152</v>
      </c>
      <c r="F38" s="28">
        <f t="shared" si="5"/>
        <v>117495</v>
      </c>
      <c r="G38" s="28">
        <v>1446673</v>
      </c>
      <c r="H38" s="28">
        <v>624658</v>
      </c>
      <c r="I38" s="28">
        <v>63839</v>
      </c>
      <c r="J38" s="28">
        <f t="shared" si="6"/>
        <v>758176</v>
      </c>
      <c r="K38" s="28">
        <v>113340</v>
      </c>
      <c r="L38" s="28">
        <v>389</v>
      </c>
      <c r="M38" s="28">
        <v>115942</v>
      </c>
      <c r="N38" s="28">
        <v>331153</v>
      </c>
      <c r="O38" s="28">
        <v>75838</v>
      </c>
    </row>
    <row r="39" spans="1:256" ht="12.75" customHeight="1">
      <c r="A39" s="4" t="s">
        <v>72</v>
      </c>
      <c r="B39" s="5" t="s">
        <v>73</v>
      </c>
      <c r="C39" s="28">
        <v>49149</v>
      </c>
      <c r="D39" s="28">
        <v>44742</v>
      </c>
      <c r="E39" s="28">
        <v>2555</v>
      </c>
      <c r="F39" s="28">
        <f t="shared" si="5"/>
        <v>1852</v>
      </c>
      <c r="G39" s="28">
        <v>92826</v>
      </c>
      <c r="H39" s="28">
        <v>72092</v>
      </c>
      <c r="I39" s="28">
        <v>13688</v>
      </c>
      <c r="J39" s="28">
        <f t="shared" si="6"/>
        <v>7046</v>
      </c>
      <c r="K39" s="28">
        <v>695</v>
      </c>
      <c r="L39" s="28">
        <v>0</v>
      </c>
      <c r="M39" s="28">
        <v>136</v>
      </c>
      <c r="N39" s="28">
        <v>37</v>
      </c>
      <c r="O39" s="28">
        <v>37</v>
      </c>
    </row>
    <row r="40" spans="1:256" ht="12.75" customHeight="1">
      <c r="A40" s="4" t="s">
        <v>74</v>
      </c>
      <c r="B40" s="5" t="s">
        <v>75</v>
      </c>
      <c r="C40" s="28">
        <v>53489</v>
      </c>
      <c r="D40" s="28">
        <v>48002</v>
      </c>
      <c r="E40" s="28">
        <v>2493</v>
      </c>
      <c r="F40" s="28">
        <f t="shared" si="5"/>
        <v>2994</v>
      </c>
      <c r="G40" s="28">
        <v>141976</v>
      </c>
      <c r="H40" s="28">
        <v>92593</v>
      </c>
      <c r="I40" s="28">
        <v>10591</v>
      </c>
      <c r="J40" s="28">
        <f t="shared" si="6"/>
        <v>38792</v>
      </c>
      <c r="K40" s="28">
        <v>2699</v>
      </c>
      <c r="L40" s="28">
        <v>0</v>
      </c>
      <c r="M40" s="28">
        <v>29310</v>
      </c>
      <c r="N40" s="28">
        <v>603</v>
      </c>
      <c r="O40" s="28">
        <v>603</v>
      </c>
    </row>
    <row r="41" spans="1:256" ht="12.75" customHeight="1">
      <c r="A41" s="4" t="s">
        <v>76</v>
      </c>
      <c r="B41" s="5" t="s">
        <v>77</v>
      </c>
      <c r="C41" s="28">
        <v>20915</v>
      </c>
      <c r="D41" s="28">
        <v>17829</v>
      </c>
      <c r="E41" s="28">
        <v>0</v>
      </c>
      <c r="F41" s="28">
        <f t="shared" si="5"/>
        <v>3086</v>
      </c>
      <c r="G41" s="28">
        <v>59852</v>
      </c>
      <c r="H41" s="28">
        <v>39161</v>
      </c>
      <c r="I41" s="28">
        <v>0</v>
      </c>
      <c r="J41" s="28">
        <f t="shared" si="6"/>
        <v>20691</v>
      </c>
      <c r="K41" s="28">
        <v>5025</v>
      </c>
      <c r="L41" s="28">
        <v>0</v>
      </c>
      <c r="M41" s="28">
        <v>817</v>
      </c>
      <c r="N41" s="28">
        <v>845</v>
      </c>
      <c r="O41" s="28">
        <v>845</v>
      </c>
    </row>
    <row r="42" spans="1:256" ht="12.75" customHeight="1">
      <c r="A42" s="4" t="s">
        <v>78</v>
      </c>
      <c r="B42" s="5" t="s">
        <v>79</v>
      </c>
      <c r="C42" s="28">
        <v>110171</v>
      </c>
      <c r="D42" s="28">
        <v>93854</v>
      </c>
      <c r="E42" s="28">
        <v>2966</v>
      </c>
      <c r="F42" s="28">
        <f t="shared" si="5"/>
        <v>13351</v>
      </c>
      <c r="G42" s="28">
        <v>178605</v>
      </c>
      <c r="H42" s="28">
        <v>138620</v>
      </c>
      <c r="I42" s="28">
        <v>6983</v>
      </c>
      <c r="J42" s="28">
        <f t="shared" si="6"/>
        <v>33002</v>
      </c>
      <c r="K42" s="28">
        <v>3516</v>
      </c>
      <c r="L42" s="28">
        <v>0</v>
      </c>
      <c r="M42" s="28">
        <v>105</v>
      </c>
      <c r="N42" s="28">
        <v>673</v>
      </c>
      <c r="O42" s="28">
        <v>673</v>
      </c>
    </row>
    <row r="43" spans="1:256" ht="12.75" customHeight="1">
      <c r="A43" s="8"/>
      <c r="B43" s="9" t="s">
        <v>80</v>
      </c>
      <c r="C43" s="29">
        <f t="shared" ref="C43:O43" si="7">SUM(C31:C42)</f>
        <v>1218285</v>
      </c>
      <c r="D43" s="29">
        <f t="shared" si="7"/>
        <v>969175</v>
      </c>
      <c r="E43" s="29">
        <f t="shared" si="7"/>
        <v>37751</v>
      </c>
      <c r="F43" s="29">
        <f t="shared" si="7"/>
        <v>211359</v>
      </c>
      <c r="G43" s="29">
        <f t="shared" si="7"/>
        <v>3326218</v>
      </c>
      <c r="H43" s="29">
        <f t="shared" si="7"/>
        <v>1705774</v>
      </c>
      <c r="I43" s="29">
        <f t="shared" si="7"/>
        <v>155443</v>
      </c>
      <c r="J43" s="29">
        <f t="shared" si="7"/>
        <v>1465001</v>
      </c>
      <c r="K43" s="29">
        <f t="shared" si="7"/>
        <v>174863</v>
      </c>
      <c r="L43" s="29">
        <f t="shared" si="7"/>
        <v>482</v>
      </c>
      <c r="M43" s="29">
        <f t="shared" si="7"/>
        <v>314333</v>
      </c>
      <c r="N43" s="29">
        <f t="shared" si="7"/>
        <v>354249</v>
      </c>
      <c r="O43" s="29">
        <f t="shared" si="7"/>
        <v>98864</v>
      </c>
    </row>
    <row r="44" spans="1:256" ht="12.75" customHeight="1">
      <c r="A44" s="4" t="s">
        <v>81</v>
      </c>
      <c r="B44" s="5" t="s">
        <v>82</v>
      </c>
      <c r="C44" s="28">
        <v>64359</v>
      </c>
      <c r="D44" s="28">
        <v>49095</v>
      </c>
      <c r="E44" s="28">
        <v>1608</v>
      </c>
      <c r="F44" s="28">
        <f>SUM(C44-D44-E44)</f>
        <v>13656</v>
      </c>
      <c r="G44" s="28">
        <v>231019</v>
      </c>
      <c r="H44" s="28">
        <v>112665</v>
      </c>
      <c r="I44" s="28">
        <v>5225</v>
      </c>
      <c r="J44" s="28">
        <f>SUM(G44-H44-I44)</f>
        <v>113129</v>
      </c>
      <c r="K44" s="28">
        <v>36243</v>
      </c>
      <c r="L44" s="28">
        <v>0</v>
      </c>
      <c r="M44" s="28">
        <v>22621</v>
      </c>
      <c r="N44" s="28">
        <v>2199</v>
      </c>
      <c r="O44" s="28">
        <v>2199</v>
      </c>
    </row>
    <row r="45" spans="1:256" ht="12.75" customHeight="1">
      <c r="A45" s="4" t="s">
        <v>83</v>
      </c>
      <c r="B45" s="5" t="s">
        <v>84</v>
      </c>
      <c r="C45" s="28">
        <v>69303</v>
      </c>
      <c r="D45" s="28">
        <v>55450</v>
      </c>
      <c r="E45" s="28">
        <v>2407</v>
      </c>
      <c r="F45" s="28">
        <f>SUM(C45-D45-E45)</f>
        <v>11446</v>
      </c>
      <c r="G45" s="28">
        <v>245386</v>
      </c>
      <c r="H45" s="28">
        <v>119374</v>
      </c>
      <c r="I45" s="28">
        <v>9157</v>
      </c>
      <c r="J45" s="28">
        <f>SUM(G45-H45-I45)</f>
        <v>116855</v>
      </c>
      <c r="K45" s="28">
        <v>43629</v>
      </c>
      <c r="L45" s="28">
        <v>0</v>
      </c>
      <c r="M45" s="28">
        <v>15192</v>
      </c>
      <c r="N45" s="28">
        <v>261</v>
      </c>
      <c r="O45" s="28">
        <v>261</v>
      </c>
    </row>
    <row r="46" spans="1:256" ht="12.75" customHeight="1">
      <c r="A46" s="8"/>
      <c r="B46" s="9" t="s">
        <v>85</v>
      </c>
      <c r="C46" s="29">
        <f t="shared" ref="C46:O46" si="8">SUM(C44:C45)</f>
        <v>133662</v>
      </c>
      <c r="D46" s="29">
        <f t="shared" si="8"/>
        <v>104545</v>
      </c>
      <c r="E46" s="29">
        <f t="shared" si="8"/>
        <v>4015</v>
      </c>
      <c r="F46" s="29">
        <f t="shared" si="8"/>
        <v>25102</v>
      </c>
      <c r="G46" s="29">
        <f t="shared" si="8"/>
        <v>476405</v>
      </c>
      <c r="H46" s="29">
        <f t="shared" si="8"/>
        <v>232039</v>
      </c>
      <c r="I46" s="29">
        <f t="shared" si="8"/>
        <v>14382</v>
      </c>
      <c r="J46" s="29">
        <f t="shared" si="8"/>
        <v>229984</v>
      </c>
      <c r="K46" s="29">
        <f t="shared" si="8"/>
        <v>79872</v>
      </c>
      <c r="L46" s="29">
        <f t="shared" si="8"/>
        <v>0</v>
      </c>
      <c r="M46" s="29">
        <f t="shared" si="8"/>
        <v>37813</v>
      </c>
      <c r="N46" s="29">
        <f t="shared" si="8"/>
        <v>2460</v>
      </c>
      <c r="O46" s="29">
        <f t="shared" si="8"/>
        <v>2460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14480</v>
      </c>
      <c r="D47" s="28">
        <v>13317</v>
      </c>
      <c r="E47" s="28">
        <v>0</v>
      </c>
      <c r="F47" s="28">
        <f>SUM(C47-D47-E47)</f>
        <v>1163</v>
      </c>
      <c r="G47" s="28">
        <v>12196</v>
      </c>
      <c r="H47" s="28">
        <v>9060</v>
      </c>
      <c r="I47" s="28">
        <v>0</v>
      </c>
      <c r="J47" s="28">
        <f>SUM(G47-H47-I47)</f>
        <v>3136</v>
      </c>
      <c r="K47" s="28">
        <v>630</v>
      </c>
      <c r="L47" s="28">
        <v>21</v>
      </c>
      <c r="M47" s="28">
        <v>152</v>
      </c>
      <c r="N47" s="28">
        <v>193</v>
      </c>
      <c r="O47" s="28">
        <v>193</v>
      </c>
    </row>
    <row r="48" spans="1:256" ht="12.75" customHeight="1">
      <c r="A48" s="4" t="s">
        <v>88</v>
      </c>
      <c r="B48" s="5" t="s">
        <v>89</v>
      </c>
      <c r="C48" s="28">
        <v>30362</v>
      </c>
      <c r="D48" s="28">
        <v>29057</v>
      </c>
      <c r="E48" s="28">
        <v>316</v>
      </c>
      <c r="F48" s="28">
        <f>SUM(C48-D48-E48)</f>
        <v>989</v>
      </c>
      <c r="G48" s="28">
        <v>51908</v>
      </c>
      <c r="H48" s="28">
        <v>48200</v>
      </c>
      <c r="I48" s="28">
        <v>1018</v>
      </c>
      <c r="J48" s="28">
        <f>SUM(G48-H48-I48)</f>
        <v>2690</v>
      </c>
      <c r="K48" s="28">
        <v>1478</v>
      </c>
      <c r="L48" s="28">
        <v>0</v>
      </c>
      <c r="M48" s="28">
        <v>848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16818</v>
      </c>
      <c r="D49" s="28">
        <v>15410</v>
      </c>
      <c r="E49" s="28">
        <v>1006</v>
      </c>
      <c r="F49" s="28">
        <f>SUM(C49-D49-E49)</f>
        <v>402</v>
      </c>
      <c r="G49" s="28">
        <v>19203</v>
      </c>
      <c r="H49" s="28">
        <v>11370</v>
      </c>
      <c r="I49" s="28">
        <v>2355</v>
      </c>
      <c r="J49" s="28">
        <f>SUM(G49-H49-I49)</f>
        <v>5478</v>
      </c>
      <c r="K49" s="28">
        <v>11795</v>
      </c>
      <c r="L49" s="28">
        <v>91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86280</v>
      </c>
      <c r="D50" s="28">
        <v>81743</v>
      </c>
      <c r="E50" s="28">
        <v>1873</v>
      </c>
      <c r="F50" s="28">
        <f>SUM(C50-D50-E50)</f>
        <v>2664</v>
      </c>
      <c r="G50" s="28">
        <v>182136</v>
      </c>
      <c r="H50" s="28">
        <v>126974</v>
      </c>
      <c r="I50" s="28">
        <v>6718</v>
      </c>
      <c r="J50" s="28">
        <f>SUM(G50-H50-I50)</f>
        <v>48444</v>
      </c>
      <c r="K50" s="28">
        <v>18751</v>
      </c>
      <c r="L50" s="28">
        <v>842</v>
      </c>
      <c r="M50" s="28">
        <v>16945</v>
      </c>
      <c r="N50" s="28">
        <v>1270</v>
      </c>
      <c r="O50" s="28">
        <v>1270</v>
      </c>
    </row>
    <row r="51" spans="1:15" ht="12.75" customHeight="1">
      <c r="A51" s="8"/>
      <c r="B51" s="9" t="s">
        <v>94</v>
      </c>
      <c r="C51" s="29">
        <f t="shared" ref="C51:O51" si="9">SUM(C47:C50)</f>
        <v>147940</v>
      </c>
      <c r="D51" s="29">
        <f t="shared" si="9"/>
        <v>139527</v>
      </c>
      <c r="E51" s="29">
        <f t="shared" si="9"/>
        <v>3195</v>
      </c>
      <c r="F51" s="29">
        <f t="shared" si="9"/>
        <v>5218</v>
      </c>
      <c r="G51" s="29">
        <f t="shared" si="9"/>
        <v>265443</v>
      </c>
      <c r="H51" s="29">
        <f t="shared" si="9"/>
        <v>195604</v>
      </c>
      <c r="I51" s="29">
        <f t="shared" si="9"/>
        <v>10091</v>
      </c>
      <c r="J51" s="29">
        <f t="shared" si="9"/>
        <v>59748</v>
      </c>
      <c r="K51" s="29">
        <f t="shared" si="9"/>
        <v>32654</v>
      </c>
      <c r="L51" s="29">
        <f t="shared" si="9"/>
        <v>954</v>
      </c>
      <c r="M51" s="29">
        <f t="shared" si="9"/>
        <v>17945</v>
      </c>
      <c r="N51" s="29">
        <f t="shared" si="9"/>
        <v>1463</v>
      </c>
      <c r="O51" s="29">
        <f t="shared" si="9"/>
        <v>1463</v>
      </c>
    </row>
    <row r="52" spans="1:15" ht="12.75" customHeight="1">
      <c r="A52" s="4" t="s">
        <v>95</v>
      </c>
      <c r="B52" s="5" t="s">
        <v>96</v>
      </c>
      <c r="C52" s="28">
        <v>15824</v>
      </c>
      <c r="D52" s="28">
        <v>14533</v>
      </c>
      <c r="E52" s="28">
        <v>146</v>
      </c>
      <c r="F52" s="28">
        <f t="shared" ref="F52:F58" si="10">SUM(C52-D52-E52)</f>
        <v>1145</v>
      </c>
      <c r="G52" s="28">
        <v>46645</v>
      </c>
      <c r="H52" s="28">
        <v>31012</v>
      </c>
      <c r="I52" s="28">
        <v>485</v>
      </c>
      <c r="J52" s="28">
        <f t="shared" ref="J52:J58" si="11">SUM(G52-H52-I52)</f>
        <v>15148</v>
      </c>
      <c r="K52" s="28">
        <v>18540</v>
      </c>
      <c r="L52" s="28">
        <v>0</v>
      </c>
      <c r="M52" s="28">
        <v>670</v>
      </c>
      <c r="N52" s="28">
        <v>953</v>
      </c>
      <c r="O52" s="28">
        <v>953</v>
      </c>
    </row>
    <row r="53" spans="1:15" ht="12.75" customHeight="1">
      <c r="A53" s="4" t="s">
        <v>97</v>
      </c>
      <c r="B53" s="5" t="s">
        <v>98</v>
      </c>
      <c r="C53" s="28">
        <v>102427</v>
      </c>
      <c r="D53" s="28">
        <v>70972</v>
      </c>
      <c r="E53" s="28">
        <v>1394</v>
      </c>
      <c r="F53" s="28">
        <f t="shared" si="10"/>
        <v>30061</v>
      </c>
      <c r="G53" s="28">
        <v>284569</v>
      </c>
      <c r="H53" s="28">
        <v>171907</v>
      </c>
      <c r="I53" s="28">
        <v>7986</v>
      </c>
      <c r="J53" s="28">
        <f t="shared" si="11"/>
        <v>104676</v>
      </c>
      <c r="K53" s="28">
        <v>9490</v>
      </c>
      <c r="L53" s="28">
        <v>0</v>
      </c>
      <c r="M53" s="28">
        <v>8127</v>
      </c>
      <c r="N53" s="28">
        <v>3728</v>
      </c>
      <c r="O53" s="28">
        <v>3728</v>
      </c>
    </row>
    <row r="54" spans="1:15" ht="12.75" customHeight="1">
      <c r="A54" s="4" t="s">
        <v>99</v>
      </c>
      <c r="B54" s="5" t="s">
        <v>100</v>
      </c>
      <c r="C54" s="28">
        <v>16128</v>
      </c>
      <c r="D54" s="28">
        <v>9515</v>
      </c>
      <c r="E54" s="28">
        <v>527</v>
      </c>
      <c r="F54" s="28">
        <f t="shared" si="10"/>
        <v>6086</v>
      </c>
      <c r="G54" s="28">
        <v>50644</v>
      </c>
      <c r="H54" s="28">
        <v>26544</v>
      </c>
      <c r="I54" s="28">
        <v>3696</v>
      </c>
      <c r="J54" s="28">
        <f t="shared" si="11"/>
        <v>20404</v>
      </c>
      <c r="K54" s="28">
        <v>561</v>
      </c>
      <c r="L54" s="28">
        <v>86</v>
      </c>
      <c r="M54" s="28">
        <v>2618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71057</v>
      </c>
      <c r="D55" s="28">
        <v>49378</v>
      </c>
      <c r="E55" s="28">
        <v>1451</v>
      </c>
      <c r="F55" s="28">
        <f t="shared" si="10"/>
        <v>20228</v>
      </c>
      <c r="G55" s="28">
        <v>211535</v>
      </c>
      <c r="H55" s="28">
        <v>108691</v>
      </c>
      <c r="I55" s="28">
        <v>5355</v>
      </c>
      <c r="J55" s="28">
        <f t="shared" si="11"/>
        <v>97489</v>
      </c>
      <c r="K55" s="28">
        <v>24070</v>
      </c>
      <c r="L55" s="28">
        <v>0</v>
      </c>
      <c r="M55" s="28">
        <v>13303</v>
      </c>
      <c r="N55" s="28">
        <v>15643</v>
      </c>
      <c r="O55" s="28">
        <v>15643</v>
      </c>
    </row>
    <row r="56" spans="1:15" ht="12.75" customHeight="1">
      <c r="A56" s="4" t="s">
        <v>103</v>
      </c>
      <c r="B56" s="5" t="s">
        <v>104</v>
      </c>
      <c r="C56" s="28">
        <v>100273</v>
      </c>
      <c r="D56" s="28">
        <v>43986</v>
      </c>
      <c r="E56" s="28">
        <v>5013</v>
      </c>
      <c r="F56" s="28">
        <f t="shared" si="10"/>
        <v>51274</v>
      </c>
      <c r="G56" s="28">
        <v>314347</v>
      </c>
      <c r="H56" s="28">
        <v>93447</v>
      </c>
      <c r="I56" s="28">
        <v>24321</v>
      </c>
      <c r="J56" s="28">
        <f t="shared" si="11"/>
        <v>196579</v>
      </c>
      <c r="K56" s="28">
        <v>26776</v>
      </c>
      <c r="L56" s="28">
        <v>1325</v>
      </c>
      <c r="M56" s="28">
        <v>43455</v>
      </c>
      <c r="N56" s="28">
        <v>6570</v>
      </c>
      <c r="O56" s="28">
        <v>6570</v>
      </c>
    </row>
    <row r="57" spans="1:15" ht="12.75" customHeight="1">
      <c r="A57" s="4" t="s">
        <v>105</v>
      </c>
      <c r="B57" s="5" t="s">
        <v>106</v>
      </c>
      <c r="C57" s="28">
        <v>89762</v>
      </c>
      <c r="D57" s="28">
        <v>51574</v>
      </c>
      <c r="E57" s="28">
        <v>5635</v>
      </c>
      <c r="F57" s="28">
        <f t="shared" si="10"/>
        <v>32553</v>
      </c>
      <c r="G57" s="28">
        <v>317094</v>
      </c>
      <c r="H57" s="28">
        <v>142928</v>
      </c>
      <c r="I57" s="28">
        <v>25309</v>
      </c>
      <c r="J57" s="28">
        <f t="shared" si="11"/>
        <v>148857</v>
      </c>
      <c r="K57" s="28">
        <v>5199</v>
      </c>
      <c r="L57" s="28">
        <v>0</v>
      </c>
      <c r="M57" s="28">
        <v>26420</v>
      </c>
      <c r="N57" s="28">
        <v>263</v>
      </c>
      <c r="O57" s="28">
        <v>263</v>
      </c>
    </row>
    <row r="58" spans="1:15" ht="12.75" customHeight="1">
      <c r="A58" s="4" t="s">
        <v>107</v>
      </c>
      <c r="B58" s="5" t="s">
        <v>108</v>
      </c>
      <c r="C58" s="28">
        <v>91406</v>
      </c>
      <c r="D58" s="28">
        <v>49946</v>
      </c>
      <c r="E58" s="28">
        <v>1754</v>
      </c>
      <c r="F58" s="28">
        <f t="shared" si="10"/>
        <v>39706</v>
      </c>
      <c r="G58" s="28">
        <v>276097</v>
      </c>
      <c r="H58" s="28">
        <v>109151</v>
      </c>
      <c r="I58" s="28">
        <v>8015</v>
      </c>
      <c r="J58" s="28">
        <f t="shared" si="11"/>
        <v>158931</v>
      </c>
      <c r="K58" s="28">
        <v>7066</v>
      </c>
      <c r="L58" s="28">
        <v>239</v>
      </c>
      <c r="M58" s="28">
        <v>14134</v>
      </c>
      <c r="N58" s="28">
        <v>28076</v>
      </c>
      <c r="O58" s="28">
        <v>28076</v>
      </c>
    </row>
    <row r="59" spans="1:15" ht="12.75" customHeight="1">
      <c r="A59" s="8"/>
      <c r="B59" s="9" t="s">
        <v>109</v>
      </c>
      <c r="C59" s="29">
        <f t="shared" ref="C59:O59" si="12">SUM(C52:C58)</f>
        <v>486877</v>
      </c>
      <c r="D59" s="29">
        <f t="shared" si="12"/>
        <v>289904</v>
      </c>
      <c r="E59" s="29">
        <f t="shared" si="12"/>
        <v>15920</v>
      </c>
      <c r="F59" s="29">
        <f t="shared" si="12"/>
        <v>181053</v>
      </c>
      <c r="G59" s="29">
        <f t="shared" si="12"/>
        <v>1500931</v>
      </c>
      <c r="H59" s="29">
        <f t="shared" si="12"/>
        <v>683680</v>
      </c>
      <c r="I59" s="29">
        <f t="shared" si="12"/>
        <v>75167</v>
      </c>
      <c r="J59" s="29">
        <f t="shared" si="12"/>
        <v>742084</v>
      </c>
      <c r="K59" s="29">
        <f t="shared" si="12"/>
        <v>91702</v>
      </c>
      <c r="L59" s="29">
        <f t="shared" si="12"/>
        <v>1650</v>
      </c>
      <c r="M59" s="29">
        <f t="shared" si="12"/>
        <v>108727</v>
      </c>
      <c r="N59" s="29">
        <f t="shared" si="12"/>
        <v>55233</v>
      </c>
      <c r="O59" s="29">
        <f t="shared" si="12"/>
        <v>55233</v>
      </c>
    </row>
    <row r="60" spans="1:15" ht="12.75" customHeight="1">
      <c r="A60" s="4" t="s">
        <v>110</v>
      </c>
      <c r="B60" s="5" t="s">
        <v>111</v>
      </c>
      <c r="C60" s="28">
        <v>102380</v>
      </c>
      <c r="D60" s="28">
        <v>76887</v>
      </c>
      <c r="E60" s="28">
        <v>8683</v>
      </c>
      <c r="F60" s="28">
        <f t="shared" ref="F60:F68" si="13">SUM(C60-D60-E60)</f>
        <v>16810</v>
      </c>
      <c r="G60" s="28">
        <v>293740</v>
      </c>
      <c r="H60" s="28">
        <v>170526</v>
      </c>
      <c r="I60" s="28">
        <v>47105</v>
      </c>
      <c r="J60" s="28">
        <f t="shared" ref="J60:J68" si="14">SUM(G60-H60-I60)</f>
        <v>76109</v>
      </c>
      <c r="K60" s="28">
        <v>2451</v>
      </c>
      <c r="L60" s="28">
        <v>0</v>
      </c>
      <c r="M60" s="28">
        <v>16973</v>
      </c>
      <c r="N60" s="28">
        <v>1909</v>
      </c>
      <c r="O60" s="28">
        <v>1909</v>
      </c>
    </row>
    <row r="61" spans="1:15" ht="12.75" customHeight="1">
      <c r="A61" s="4" t="s">
        <v>112</v>
      </c>
      <c r="B61" s="5" t="s">
        <v>113</v>
      </c>
      <c r="C61" s="28">
        <v>26616</v>
      </c>
      <c r="D61" s="28">
        <v>21683</v>
      </c>
      <c r="E61" s="28">
        <v>386</v>
      </c>
      <c r="F61" s="28">
        <f t="shared" si="13"/>
        <v>4547</v>
      </c>
      <c r="G61" s="28">
        <v>60867</v>
      </c>
      <c r="H61" s="28">
        <v>47659</v>
      </c>
      <c r="I61" s="28">
        <v>1791</v>
      </c>
      <c r="J61" s="28">
        <f t="shared" si="14"/>
        <v>11417</v>
      </c>
      <c r="K61" s="28">
        <v>72</v>
      </c>
      <c r="L61" s="28">
        <v>1148</v>
      </c>
      <c r="M61" s="28">
        <v>8762</v>
      </c>
      <c r="N61" s="28">
        <v>31</v>
      </c>
      <c r="O61" s="28">
        <v>31</v>
      </c>
    </row>
    <row r="62" spans="1:15" ht="12.75" customHeight="1">
      <c r="A62" s="4" t="s">
        <v>114</v>
      </c>
      <c r="B62" s="5" t="s">
        <v>115</v>
      </c>
      <c r="C62" s="28">
        <v>45859</v>
      </c>
      <c r="D62" s="28">
        <v>27081</v>
      </c>
      <c r="E62" s="28">
        <v>2657</v>
      </c>
      <c r="F62" s="28">
        <f t="shared" si="13"/>
        <v>16121</v>
      </c>
      <c r="G62" s="28">
        <v>174053</v>
      </c>
      <c r="H62" s="28">
        <v>66514</v>
      </c>
      <c r="I62" s="28">
        <v>14583</v>
      </c>
      <c r="J62" s="28">
        <f t="shared" si="14"/>
        <v>92956</v>
      </c>
      <c r="K62" s="28">
        <v>16902</v>
      </c>
      <c r="L62" s="28">
        <v>1210</v>
      </c>
      <c r="M62" s="28">
        <v>17013</v>
      </c>
      <c r="N62" s="28">
        <v>13386</v>
      </c>
      <c r="O62" s="28">
        <v>13386</v>
      </c>
    </row>
    <row r="63" spans="1:15" ht="12.75" customHeight="1">
      <c r="A63" s="4" t="s">
        <v>116</v>
      </c>
      <c r="B63" s="5" t="s">
        <v>117</v>
      </c>
      <c r="C63" s="28">
        <v>65609</v>
      </c>
      <c r="D63" s="28">
        <v>44450</v>
      </c>
      <c r="E63" s="28">
        <v>3768</v>
      </c>
      <c r="F63" s="28">
        <f t="shared" si="13"/>
        <v>17391</v>
      </c>
      <c r="G63" s="28">
        <v>205475</v>
      </c>
      <c r="H63" s="28">
        <v>120458</v>
      </c>
      <c r="I63" s="28">
        <v>24144</v>
      </c>
      <c r="J63" s="28">
        <f t="shared" si="14"/>
        <v>60873</v>
      </c>
      <c r="K63" s="28">
        <v>1516</v>
      </c>
      <c r="L63" s="28">
        <v>0</v>
      </c>
      <c r="M63" s="28">
        <v>12234</v>
      </c>
      <c r="N63" s="28">
        <v>174</v>
      </c>
      <c r="O63" s="28">
        <v>174</v>
      </c>
    </row>
    <row r="64" spans="1:15" ht="12.75" customHeight="1">
      <c r="A64" s="4" t="s">
        <v>118</v>
      </c>
      <c r="B64" s="5" t="s">
        <v>119</v>
      </c>
      <c r="C64" s="28">
        <v>59070</v>
      </c>
      <c r="D64" s="28">
        <v>32487</v>
      </c>
      <c r="E64" s="28">
        <v>4533</v>
      </c>
      <c r="F64" s="28">
        <f t="shared" si="13"/>
        <v>22050</v>
      </c>
      <c r="G64" s="28">
        <v>209889</v>
      </c>
      <c r="H64" s="28">
        <v>85352</v>
      </c>
      <c r="I64" s="28">
        <v>23232</v>
      </c>
      <c r="J64" s="28">
        <f t="shared" si="14"/>
        <v>101305</v>
      </c>
      <c r="K64" s="28">
        <v>683</v>
      </c>
      <c r="L64" s="28">
        <v>58</v>
      </c>
      <c r="M64" s="28">
        <v>5574</v>
      </c>
      <c r="N64" s="28">
        <v>378</v>
      </c>
      <c r="O64" s="28">
        <v>378</v>
      </c>
    </row>
    <row r="65" spans="1:15" ht="12.75" customHeight="1">
      <c r="A65" s="4" t="s">
        <v>120</v>
      </c>
      <c r="B65" s="5" t="s">
        <v>121</v>
      </c>
      <c r="C65" s="28">
        <v>30171</v>
      </c>
      <c r="D65" s="28">
        <v>23366</v>
      </c>
      <c r="E65" s="28">
        <v>3184</v>
      </c>
      <c r="F65" s="28">
        <f t="shared" si="13"/>
        <v>3621</v>
      </c>
      <c r="G65" s="28">
        <v>125236</v>
      </c>
      <c r="H65" s="28">
        <v>59549</v>
      </c>
      <c r="I65" s="28">
        <v>17204</v>
      </c>
      <c r="J65" s="28">
        <f t="shared" si="14"/>
        <v>48483</v>
      </c>
      <c r="K65" s="28">
        <v>5721</v>
      </c>
      <c r="L65" s="28">
        <v>1</v>
      </c>
      <c r="M65" s="28">
        <v>11165</v>
      </c>
      <c r="N65" s="28">
        <v>1965</v>
      </c>
      <c r="O65" s="28">
        <v>1965</v>
      </c>
    </row>
    <row r="66" spans="1:15" ht="12.75" customHeight="1">
      <c r="A66" s="4" t="s">
        <v>122</v>
      </c>
      <c r="B66" s="5" t="s">
        <v>123</v>
      </c>
      <c r="C66" s="28">
        <v>53947</v>
      </c>
      <c r="D66" s="28">
        <v>22386</v>
      </c>
      <c r="E66" s="28">
        <v>1866</v>
      </c>
      <c r="F66" s="28">
        <f t="shared" si="13"/>
        <v>29695</v>
      </c>
      <c r="G66" s="28">
        <v>297353</v>
      </c>
      <c r="H66" s="28">
        <v>56619</v>
      </c>
      <c r="I66" s="28">
        <v>8756</v>
      </c>
      <c r="J66" s="28">
        <f t="shared" si="14"/>
        <v>231978</v>
      </c>
      <c r="K66" s="28">
        <v>24338</v>
      </c>
      <c r="L66" s="28">
        <v>119</v>
      </c>
      <c r="M66" s="28">
        <v>56865</v>
      </c>
      <c r="N66" s="28">
        <v>833</v>
      </c>
      <c r="O66" s="28">
        <v>519</v>
      </c>
    </row>
    <row r="67" spans="1:15" ht="12.75" customHeight="1">
      <c r="A67" s="4" t="s">
        <v>124</v>
      </c>
      <c r="B67" s="5" t="s">
        <v>125</v>
      </c>
      <c r="C67" s="28">
        <v>100751</v>
      </c>
      <c r="D67" s="28">
        <v>30342</v>
      </c>
      <c r="E67" s="28">
        <v>0</v>
      </c>
      <c r="F67" s="28">
        <f t="shared" si="13"/>
        <v>70409</v>
      </c>
      <c r="G67" s="28">
        <v>441890</v>
      </c>
      <c r="H67" s="28">
        <v>69975</v>
      </c>
      <c r="I67" s="28">
        <v>0</v>
      </c>
      <c r="J67" s="28">
        <f t="shared" si="14"/>
        <v>371915</v>
      </c>
      <c r="K67" s="28">
        <v>27635</v>
      </c>
      <c r="L67" s="28">
        <v>0</v>
      </c>
      <c r="M67" s="28">
        <v>127708</v>
      </c>
      <c r="N67" s="28">
        <v>1445</v>
      </c>
      <c r="O67" s="28">
        <v>1445</v>
      </c>
    </row>
    <row r="68" spans="1:15" ht="12.75" customHeight="1">
      <c r="A68" s="4" t="s">
        <v>126</v>
      </c>
      <c r="B68" s="5" t="s">
        <v>127</v>
      </c>
      <c r="C68" s="28">
        <v>44493</v>
      </c>
      <c r="D68" s="28">
        <v>31352</v>
      </c>
      <c r="E68" s="28">
        <v>1063</v>
      </c>
      <c r="F68" s="28">
        <f t="shared" si="13"/>
        <v>12078</v>
      </c>
      <c r="G68" s="28">
        <v>155564</v>
      </c>
      <c r="H68" s="28">
        <v>64103</v>
      </c>
      <c r="I68" s="28">
        <v>5813</v>
      </c>
      <c r="J68" s="28">
        <f t="shared" si="14"/>
        <v>85648</v>
      </c>
      <c r="K68" s="28">
        <v>320</v>
      </c>
      <c r="L68" s="28">
        <v>92</v>
      </c>
      <c r="M68" s="28">
        <v>5596</v>
      </c>
      <c r="N68" s="28">
        <v>94</v>
      </c>
      <c r="O68" s="28">
        <v>94</v>
      </c>
    </row>
    <row r="69" spans="1:15" ht="12.75" customHeight="1">
      <c r="A69" s="8"/>
      <c r="B69" s="9" t="s">
        <v>128</v>
      </c>
      <c r="C69" s="29">
        <f t="shared" ref="C69:O69" si="15">SUM(C60:C68)</f>
        <v>528896</v>
      </c>
      <c r="D69" s="29">
        <f t="shared" si="15"/>
        <v>310034</v>
      </c>
      <c r="E69" s="29">
        <f t="shared" si="15"/>
        <v>26140</v>
      </c>
      <c r="F69" s="29">
        <f t="shared" si="15"/>
        <v>192722</v>
      </c>
      <c r="G69" s="29">
        <f t="shared" si="15"/>
        <v>1964067</v>
      </c>
      <c r="H69" s="29">
        <f t="shared" si="15"/>
        <v>740755</v>
      </c>
      <c r="I69" s="29">
        <f t="shared" si="15"/>
        <v>142628</v>
      </c>
      <c r="J69" s="29">
        <f t="shared" si="15"/>
        <v>1080684</v>
      </c>
      <c r="K69" s="29">
        <f t="shared" si="15"/>
        <v>79638</v>
      </c>
      <c r="L69" s="29">
        <f t="shared" si="15"/>
        <v>2628</v>
      </c>
      <c r="M69" s="29">
        <f t="shared" si="15"/>
        <v>261890</v>
      </c>
      <c r="N69" s="29">
        <f t="shared" si="15"/>
        <v>20215</v>
      </c>
      <c r="O69" s="29">
        <f t="shared" si="15"/>
        <v>19901</v>
      </c>
    </row>
    <row r="70" spans="1:15" ht="12.75" customHeight="1">
      <c r="A70" s="4" t="s">
        <v>129</v>
      </c>
      <c r="B70" s="5" t="s">
        <v>130</v>
      </c>
      <c r="C70" s="28">
        <v>34204</v>
      </c>
      <c r="D70" s="28">
        <v>28765</v>
      </c>
      <c r="E70" s="28">
        <v>2668</v>
      </c>
      <c r="F70" s="28">
        <f t="shared" ref="F70:F79" si="16">SUM(C70-D70-E70)</f>
        <v>2771</v>
      </c>
      <c r="G70" s="28">
        <v>104732</v>
      </c>
      <c r="H70" s="28">
        <v>65132</v>
      </c>
      <c r="I70" s="28">
        <v>17803</v>
      </c>
      <c r="J70" s="28">
        <f t="shared" ref="J70:J79" si="17">SUM(G70-H70-I70)</f>
        <v>21797</v>
      </c>
      <c r="K70" s="28">
        <v>2315</v>
      </c>
      <c r="L70" s="28">
        <v>25</v>
      </c>
      <c r="M70" s="28">
        <v>3407</v>
      </c>
      <c r="N70" s="28">
        <v>345</v>
      </c>
      <c r="O70" s="28">
        <v>345</v>
      </c>
    </row>
    <row r="71" spans="1:15" ht="12.75" customHeight="1">
      <c r="A71" s="4" t="s">
        <v>131</v>
      </c>
      <c r="B71" s="5" t="s">
        <v>132</v>
      </c>
      <c r="C71" s="28">
        <v>155324</v>
      </c>
      <c r="D71" s="28">
        <v>88355</v>
      </c>
      <c r="E71" s="28">
        <v>5625</v>
      </c>
      <c r="F71" s="28">
        <f t="shared" si="16"/>
        <v>61344</v>
      </c>
      <c r="G71" s="28">
        <v>344566</v>
      </c>
      <c r="H71" s="28">
        <v>151844</v>
      </c>
      <c r="I71" s="28">
        <v>27909</v>
      </c>
      <c r="J71" s="28">
        <f t="shared" si="17"/>
        <v>164813</v>
      </c>
      <c r="K71" s="28">
        <v>12092</v>
      </c>
      <c r="L71" s="28">
        <v>0</v>
      </c>
      <c r="M71" s="28">
        <v>9974</v>
      </c>
      <c r="N71" s="28">
        <v>19819</v>
      </c>
      <c r="O71" s="28">
        <v>19819</v>
      </c>
    </row>
    <row r="72" spans="1:15" ht="12.75" customHeight="1">
      <c r="A72" s="4" t="s">
        <v>133</v>
      </c>
      <c r="B72" s="5" t="s">
        <v>134</v>
      </c>
      <c r="C72" s="28">
        <v>27409</v>
      </c>
      <c r="D72" s="28">
        <v>23437</v>
      </c>
      <c r="E72" s="28">
        <v>0</v>
      </c>
      <c r="F72" s="28">
        <f t="shared" si="16"/>
        <v>3972</v>
      </c>
      <c r="G72" s="28">
        <v>72905</v>
      </c>
      <c r="H72" s="28">
        <v>54086</v>
      </c>
      <c r="I72" s="28">
        <v>0</v>
      </c>
      <c r="J72" s="28">
        <f t="shared" si="17"/>
        <v>18819</v>
      </c>
      <c r="K72" s="28">
        <v>3496</v>
      </c>
      <c r="L72" s="28">
        <v>1448</v>
      </c>
      <c r="M72" s="28">
        <v>11880</v>
      </c>
      <c r="N72" s="28">
        <v>185</v>
      </c>
      <c r="O72" s="28">
        <v>185</v>
      </c>
    </row>
    <row r="73" spans="1:15" ht="12.75" customHeight="1">
      <c r="A73" s="4" t="s">
        <v>135</v>
      </c>
      <c r="B73" s="5" t="s">
        <v>136</v>
      </c>
      <c r="C73" s="28">
        <v>67549</v>
      </c>
      <c r="D73" s="28">
        <v>48208</v>
      </c>
      <c r="E73" s="28">
        <v>708</v>
      </c>
      <c r="F73" s="28">
        <f t="shared" si="16"/>
        <v>18633</v>
      </c>
      <c r="G73" s="28">
        <v>190233</v>
      </c>
      <c r="H73" s="28">
        <v>98113</v>
      </c>
      <c r="I73" s="28">
        <v>2159</v>
      </c>
      <c r="J73" s="28">
        <f t="shared" si="17"/>
        <v>89961</v>
      </c>
      <c r="K73" s="28">
        <v>7753</v>
      </c>
      <c r="L73" s="28">
        <v>538</v>
      </c>
      <c r="M73" s="28">
        <v>22845</v>
      </c>
      <c r="N73" s="28">
        <v>49162</v>
      </c>
      <c r="O73" s="28">
        <v>48822</v>
      </c>
    </row>
    <row r="74" spans="1:15" ht="12.75" customHeight="1">
      <c r="A74" s="4" t="s">
        <v>137</v>
      </c>
      <c r="B74" s="5" t="s">
        <v>138</v>
      </c>
      <c r="C74" s="28">
        <v>50008</v>
      </c>
      <c r="D74" s="28">
        <v>41586</v>
      </c>
      <c r="E74" s="28">
        <v>1927</v>
      </c>
      <c r="F74" s="28">
        <f t="shared" si="16"/>
        <v>6495</v>
      </c>
      <c r="G74" s="28">
        <v>104806</v>
      </c>
      <c r="H74" s="28">
        <v>68812</v>
      </c>
      <c r="I74" s="28">
        <v>7862</v>
      </c>
      <c r="J74" s="28">
        <f t="shared" si="17"/>
        <v>28132</v>
      </c>
      <c r="K74" s="28">
        <v>3413</v>
      </c>
      <c r="L74" s="28">
        <v>0</v>
      </c>
      <c r="M74" s="28">
        <v>1576</v>
      </c>
      <c r="N74" s="28">
        <v>1388</v>
      </c>
      <c r="O74" s="28">
        <v>1388</v>
      </c>
    </row>
    <row r="75" spans="1:15" ht="12.75" customHeight="1">
      <c r="A75" s="4" t="s">
        <v>139</v>
      </c>
      <c r="B75" s="5" t="s">
        <v>140</v>
      </c>
      <c r="C75" s="28">
        <v>26058</v>
      </c>
      <c r="D75" s="28">
        <v>24600</v>
      </c>
      <c r="E75" s="28">
        <v>711</v>
      </c>
      <c r="F75" s="28">
        <f t="shared" si="16"/>
        <v>747</v>
      </c>
      <c r="G75" s="28">
        <v>48268</v>
      </c>
      <c r="H75" s="28">
        <v>38557</v>
      </c>
      <c r="I75" s="28">
        <v>4410</v>
      </c>
      <c r="J75" s="28">
        <f t="shared" si="17"/>
        <v>5301</v>
      </c>
      <c r="K75" s="28">
        <v>194</v>
      </c>
      <c r="L75" s="28">
        <v>0</v>
      </c>
      <c r="M75" s="28">
        <v>60</v>
      </c>
      <c r="N75" s="28">
        <v>68</v>
      </c>
      <c r="O75" s="28">
        <v>12</v>
      </c>
    </row>
    <row r="76" spans="1:15" ht="12.75" customHeight="1">
      <c r="A76" s="4" t="s">
        <v>141</v>
      </c>
      <c r="B76" s="5" t="s">
        <v>142</v>
      </c>
      <c r="C76" s="28">
        <v>51624</v>
      </c>
      <c r="D76" s="28">
        <v>38937</v>
      </c>
      <c r="E76" s="28">
        <v>1216</v>
      </c>
      <c r="F76" s="28">
        <f t="shared" si="16"/>
        <v>11471</v>
      </c>
      <c r="G76" s="28">
        <v>134190</v>
      </c>
      <c r="H76" s="28">
        <v>82193</v>
      </c>
      <c r="I76" s="28">
        <v>4470</v>
      </c>
      <c r="J76" s="28">
        <f t="shared" si="17"/>
        <v>47527</v>
      </c>
      <c r="K76" s="28">
        <v>1815</v>
      </c>
      <c r="L76" s="28">
        <v>702</v>
      </c>
      <c r="M76" s="28">
        <v>4932</v>
      </c>
      <c r="N76" s="28">
        <v>1246</v>
      </c>
      <c r="O76" s="28">
        <v>1246</v>
      </c>
    </row>
    <row r="77" spans="1:15" ht="12.75" customHeight="1">
      <c r="A77" s="4" t="s">
        <v>143</v>
      </c>
      <c r="B77" s="5" t="s">
        <v>144</v>
      </c>
      <c r="C77" s="28">
        <v>46888</v>
      </c>
      <c r="D77" s="28">
        <v>27655</v>
      </c>
      <c r="E77" s="28">
        <v>755</v>
      </c>
      <c r="F77" s="28">
        <f t="shared" si="16"/>
        <v>18478</v>
      </c>
      <c r="G77" s="28">
        <v>109884</v>
      </c>
      <c r="H77" s="28">
        <v>51630</v>
      </c>
      <c r="I77" s="28">
        <v>2971</v>
      </c>
      <c r="J77" s="28">
        <f t="shared" si="17"/>
        <v>55283</v>
      </c>
      <c r="K77" s="28">
        <v>5046</v>
      </c>
      <c r="L77" s="28">
        <v>0</v>
      </c>
      <c r="M77" s="28">
        <v>3942</v>
      </c>
      <c r="N77" s="28">
        <v>748</v>
      </c>
      <c r="O77" s="28">
        <v>748</v>
      </c>
    </row>
    <row r="78" spans="1:15" ht="12.75" customHeight="1">
      <c r="A78" s="4" t="s">
        <v>145</v>
      </c>
      <c r="B78" s="5" t="s">
        <v>146</v>
      </c>
      <c r="C78" s="28">
        <v>25497</v>
      </c>
      <c r="D78" s="28">
        <v>20570</v>
      </c>
      <c r="E78" s="28">
        <v>0</v>
      </c>
      <c r="F78" s="28">
        <f t="shared" si="16"/>
        <v>4927</v>
      </c>
      <c r="G78" s="28">
        <v>49116</v>
      </c>
      <c r="H78" s="28">
        <v>35080</v>
      </c>
      <c r="I78" s="28">
        <v>0</v>
      </c>
      <c r="J78" s="28">
        <f t="shared" si="17"/>
        <v>14036</v>
      </c>
      <c r="K78" s="28">
        <v>740</v>
      </c>
      <c r="L78" s="28">
        <v>0</v>
      </c>
      <c r="M78" s="28">
        <v>46</v>
      </c>
      <c r="N78" s="28">
        <v>293</v>
      </c>
      <c r="O78" s="28">
        <v>293</v>
      </c>
    </row>
    <row r="79" spans="1:15" ht="12.75" customHeight="1">
      <c r="A79" s="4" t="s">
        <v>147</v>
      </c>
      <c r="B79" s="5" t="s">
        <v>148</v>
      </c>
      <c r="C79" s="28">
        <v>28927</v>
      </c>
      <c r="D79" s="28">
        <v>25519</v>
      </c>
      <c r="E79" s="28">
        <v>792</v>
      </c>
      <c r="F79" s="28">
        <f t="shared" si="16"/>
        <v>2616</v>
      </c>
      <c r="G79" s="28">
        <v>85063</v>
      </c>
      <c r="H79" s="28">
        <v>58271</v>
      </c>
      <c r="I79" s="28">
        <v>4049</v>
      </c>
      <c r="J79" s="28">
        <f t="shared" si="17"/>
        <v>22743</v>
      </c>
      <c r="K79" s="28">
        <v>3499</v>
      </c>
      <c r="L79" s="28">
        <v>585</v>
      </c>
      <c r="M79" s="28">
        <v>18703</v>
      </c>
      <c r="N79" s="28">
        <v>548</v>
      </c>
      <c r="O79" s="28">
        <v>548</v>
      </c>
    </row>
    <row r="80" spans="1:15" ht="12.75" customHeight="1">
      <c r="A80" s="8"/>
      <c r="B80" s="9" t="s">
        <v>149</v>
      </c>
      <c r="C80" s="29">
        <f t="shared" ref="C80:O80" si="18">SUM(C70:C79)</f>
        <v>513488</v>
      </c>
      <c r="D80" s="29">
        <f t="shared" si="18"/>
        <v>367632</v>
      </c>
      <c r="E80" s="29">
        <f t="shared" si="18"/>
        <v>14402</v>
      </c>
      <c r="F80" s="29">
        <f t="shared" si="18"/>
        <v>131454</v>
      </c>
      <c r="G80" s="29">
        <f t="shared" si="18"/>
        <v>1243763</v>
      </c>
      <c r="H80" s="29">
        <f t="shared" si="18"/>
        <v>703718</v>
      </c>
      <c r="I80" s="29">
        <f t="shared" si="18"/>
        <v>71633</v>
      </c>
      <c r="J80" s="29">
        <f t="shared" si="18"/>
        <v>468412</v>
      </c>
      <c r="K80" s="29">
        <f t="shared" si="18"/>
        <v>40363</v>
      </c>
      <c r="L80" s="29">
        <f t="shared" si="18"/>
        <v>3298</v>
      </c>
      <c r="M80" s="29">
        <f t="shared" si="18"/>
        <v>77365</v>
      </c>
      <c r="N80" s="29">
        <f t="shared" si="18"/>
        <v>73802</v>
      </c>
      <c r="O80" s="29">
        <f t="shared" si="18"/>
        <v>73406</v>
      </c>
    </row>
    <row r="81" spans="1:15" ht="12.75" customHeight="1">
      <c r="A81" s="4" t="s">
        <v>150</v>
      </c>
      <c r="B81" s="5" t="s">
        <v>151</v>
      </c>
      <c r="C81" s="28">
        <v>48480</v>
      </c>
      <c r="D81" s="28">
        <v>29195</v>
      </c>
      <c r="E81" s="28">
        <v>1703</v>
      </c>
      <c r="F81" s="28">
        <f>SUM(C81-D81-E81)</f>
        <v>17582</v>
      </c>
      <c r="G81" s="28">
        <v>185442</v>
      </c>
      <c r="H81" s="28">
        <v>92098</v>
      </c>
      <c r="I81" s="28">
        <v>12407</v>
      </c>
      <c r="J81" s="28">
        <f>SUM(G81-H81-I81)</f>
        <v>80937</v>
      </c>
      <c r="K81" s="28">
        <v>1963</v>
      </c>
      <c r="L81" s="28">
        <v>0</v>
      </c>
      <c r="M81" s="28">
        <v>12745</v>
      </c>
      <c r="N81" s="28">
        <v>3397</v>
      </c>
      <c r="O81" s="28">
        <v>3397</v>
      </c>
    </row>
    <row r="82" spans="1:15" ht="12.75" customHeight="1">
      <c r="A82" s="4" t="s">
        <v>152</v>
      </c>
      <c r="B82" s="5" t="s">
        <v>153</v>
      </c>
      <c r="C82" s="28">
        <v>24169</v>
      </c>
      <c r="D82" s="28">
        <v>17833</v>
      </c>
      <c r="E82" s="28">
        <v>413</v>
      </c>
      <c r="F82" s="28">
        <f>SUM(C82-D82-E82)</f>
        <v>5923</v>
      </c>
      <c r="G82" s="28">
        <v>101831</v>
      </c>
      <c r="H82" s="28">
        <v>51095</v>
      </c>
      <c r="I82" s="28">
        <v>2943</v>
      </c>
      <c r="J82" s="28">
        <f>SUM(G82-H82-I82)</f>
        <v>47793</v>
      </c>
      <c r="K82" s="28">
        <v>795</v>
      </c>
      <c r="L82" s="28">
        <v>8</v>
      </c>
      <c r="M82" s="28">
        <v>10652</v>
      </c>
      <c r="N82" s="28">
        <v>680</v>
      </c>
      <c r="O82" s="28">
        <v>680</v>
      </c>
    </row>
    <row r="83" spans="1:15" ht="12.75" customHeight="1">
      <c r="A83" s="4" t="s">
        <v>154</v>
      </c>
      <c r="B83" s="5" t="s">
        <v>155</v>
      </c>
      <c r="C83" s="28">
        <v>7020</v>
      </c>
      <c r="D83" s="28">
        <v>6254</v>
      </c>
      <c r="E83" s="28">
        <v>749</v>
      </c>
      <c r="F83" s="28">
        <f>SUM(C83-D83-E83)</f>
        <v>17</v>
      </c>
      <c r="G83" s="28">
        <v>22290</v>
      </c>
      <c r="H83" s="28">
        <v>18337</v>
      </c>
      <c r="I83" s="28">
        <v>3728</v>
      </c>
      <c r="J83" s="28">
        <f>SUM(G83-H83-I83)</f>
        <v>225</v>
      </c>
      <c r="K83" s="28">
        <v>0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22248</v>
      </c>
      <c r="D84" s="28">
        <v>20020</v>
      </c>
      <c r="E84" s="28">
        <v>501</v>
      </c>
      <c r="F84" s="28">
        <f>SUM(C84-D84-E84)</f>
        <v>1727</v>
      </c>
      <c r="G84" s="28">
        <v>82701</v>
      </c>
      <c r="H84" s="28">
        <v>57780</v>
      </c>
      <c r="I84" s="28">
        <v>3264</v>
      </c>
      <c r="J84" s="28">
        <f>SUM(G84-H84-I84)</f>
        <v>21657</v>
      </c>
      <c r="K84" s="28">
        <v>942</v>
      </c>
      <c r="L84" s="28">
        <v>0</v>
      </c>
      <c r="M84" s="28">
        <v>8468</v>
      </c>
      <c r="N84" s="28">
        <v>281</v>
      </c>
      <c r="O84" s="28">
        <v>281</v>
      </c>
    </row>
    <row r="85" spans="1:15" ht="12.75" customHeight="1">
      <c r="A85" s="4" t="s">
        <v>158</v>
      </c>
      <c r="B85" s="5" t="s">
        <v>159</v>
      </c>
      <c r="C85" s="28">
        <v>34461</v>
      </c>
      <c r="D85" s="28">
        <v>30277</v>
      </c>
      <c r="E85" s="28">
        <v>1668</v>
      </c>
      <c r="F85" s="28">
        <f>SUM(C85-D85-E85)</f>
        <v>2516</v>
      </c>
      <c r="G85" s="28">
        <v>97936</v>
      </c>
      <c r="H85" s="28">
        <v>71447</v>
      </c>
      <c r="I85" s="28">
        <v>8090</v>
      </c>
      <c r="J85" s="28">
        <f>SUM(G85-H85-I85)</f>
        <v>18399</v>
      </c>
      <c r="K85" s="28">
        <v>2187</v>
      </c>
      <c r="L85" s="28">
        <v>251</v>
      </c>
      <c r="M85" s="28">
        <v>5954</v>
      </c>
      <c r="N85" s="28">
        <v>17412</v>
      </c>
      <c r="O85" s="28">
        <v>17412</v>
      </c>
    </row>
    <row r="86" spans="1:15" ht="12.75" customHeight="1">
      <c r="A86" s="8"/>
      <c r="B86" s="9" t="s">
        <v>160</v>
      </c>
      <c r="C86" s="29">
        <f t="shared" ref="C86:O86" si="19">SUM(C81:C85)</f>
        <v>136378</v>
      </c>
      <c r="D86" s="29">
        <f t="shared" si="19"/>
        <v>103579</v>
      </c>
      <c r="E86" s="29">
        <f t="shared" si="19"/>
        <v>5034</v>
      </c>
      <c r="F86" s="29">
        <f t="shared" si="19"/>
        <v>27765</v>
      </c>
      <c r="G86" s="29">
        <f t="shared" si="19"/>
        <v>490200</v>
      </c>
      <c r="H86" s="29">
        <f t="shared" si="19"/>
        <v>290757</v>
      </c>
      <c r="I86" s="29">
        <f t="shared" si="19"/>
        <v>30432</v>
      </c>
      <c r="J86" s="29">
        <f t="shared" si="19"/>
        <v>169011</v>
      </c>
      <c r="K86" s="29">
        <f t="shared" si="19"/>
        <v>5887</v>
      </c>
      <c r="L86" s="29">
        <f t="shared" si="19"/>
        <v>259</v>
      </c>
      <c r="M86" s="29">
        <f t="shared" si="19"/>
        <v>37834</v>
      </c>
      <c r="N86" s="29">
        <f t="shared" si="19"/>
        <v>21770</v>
      </c>
      <c r="O86" s="29">
        <f t="shared" si="19"/>
        <v>21770</v>
      </c>
    </row>
    <row r="87" spans="1:15" ht="12.75" customHeight="1">
      <c r="A87" s="4" t="s">
        <v>161</v>
      </c>
      <c r="B87" s="5" t="s">
        <v>162</v>
      </c>
      <c r="C87" s="28">
        <v>57524</v>
      </c>
      <c r="D87" s="28">
        <v>47590</v>
      </c>
      <c r="E87" s="28">
        <v>0</v>
      </c>
      <c r="F87" s="28">
        <f>SUM(C87-D87-E87)</f>
        <v>9934</v>
      </c>
      <c r="G87" s="28">
        <v>223304</v>
      </c>
      <c r="H87" s="28">
        <v>128687</v>
      </c>
      <c r="I87" s="28">
        <v>0</v>
      </c>
      <c r="J87" s="28">
        <f>SUM(G87-H87-I87)</f>
        <v>94617</v>
      </c>
      <c r="K87" s="28">
        <v>2749</v>
      </c>
      <c r="L87" s="28">
        <v>321</v>
      </c>
      <c r="M87" s="28">
        <v>16594</v>
      </c>
      <c r="N87" s="28">
        <v>1114</v>
      </c>
      <c r="O87" s="28">
        <v>1114</v>
      </c>
    </row>
    <row r="88" spans="1:15" ht="12.75" customHeight="1">
      <c r="A88" s="4" t="s">
        <v>163</v>
      </c>
      <c r="B88" s="5" t="s">
        <v>164</v>
      </c>
      <c r="C88" s="28">
        <v>45486</v>
      </c>
      <c r="D88" s="28">
        <v>21624</v>
      </c>
      <c r="E88" s="28">
        <v>1918</v>
      </c>
      <c r="F88" s="28">
        <f>SUM(C88-D88-E88)</f>
        <v>21944</v>
      </c>
      <c r="G88" s="28">
        <v>127978</v>
      </c>
      <c r="H88" s="28">
        <v>54117</v>
      </c>
      <c r="I88" s="28">
        <v>13760</v>
      </c>
      <c r="J88" s="28">
        <f>SUM(G88-H88-I88)</f>
        <v>60101</v>
      </c>
      <c r="K88" s="28">
        <v>885</v>
      </c>
      <c r="L88" s="28">
        <v>50</v>
      </c>
      <c r="M88" s="28">
        <v>5614</v>
      </c>
      <c r="N88" s="28">
        <v>245</v>
      </c>
      <c r="O88" s="28">
        <v>245</v>
      </c>
    </row>
    <row r="89" spans="1:15" ht="12.75" customHeight="1">
      <c r="A89" s="8"/>
      <c r="B89" s="9" t="s">
        <v>165</v>
      </c>
      <c r="C89" s="29">
        <f t="shared" ref="C89:O89" si="20">SUM(C87:C88)</f>
        <v>103010</v>
      </c>
      <c r="D89" s="29">
        <f t="shared" si="20"/>
        <v>69214</v>
      </c>
      <c r="E89" s="29">
        <f t="shared" si="20"/>
        <v>1918</v>
      </c>
      <c r="F89" s="29">
        <f t="shared" si="20"/>
        <v>31878</v>
      </c>
      <c r="G89" s="29">
        <f t="shared" si="20"/>
        <v>351282</v>
      </c>
      <c r="H89" s="29">
        <f t="shared" si="20"/>
        <v>182804</v>
      </c>
      <c r="I89" s="29">
        <f t="shared" si="20"/>
        <v>13760</v>
      </c>
      <c r="J89" s="29">
        <f t="shared" si="20"/>
        <v>154718</v>
      </c>
      <c r="K89" s="29">
        <f t="shared" si="20"/>
        <v>3634</v>
      </c>
      <c r="L89" s="29">
        <f t="shared" si="20"/>
        <v>371</v>
      </c>
      <c r="M89" s="29">
        <f t="shared" si="20"/>
        <v>22208</v>
      </c>
      <c r="N89" s="29">
        <f t="shared" si="20"/>
        <v>1359</v>
      </c>
      <c r="O89" s="29">
        <f t="shared" si="20"/>
        <v>1359</v>
      </c>
    </row>
    <row r="90" spans="1:15" ht="12.75" customHeight="1">
      <c r="A90" s="4" t="s">
        <v>166</v>
      </c>
      <c r="B90" s="5" t="s">
        <v>167</v>
      </c>
      <c r="C90" s="28">
        <v>49118</v>
      </c>
      <c r="D90" s="28">
        <v>33270</v>
      </c>
      <c r="E90" s="28">
        <v>3816</v>
      </c>
      <c r="F90" s="28">
        <f>SUM(C90-D90-E90)</f>
        <v>12032</v>
      </c>
      <c r="G90" s="28">
        <v>217177</v>
      </c>
      <c r="H90" s="28">
        <v>93284</v>
      </c>
      <c r="I90" s="28">
        <v>24944</v>
      </c>
      <c r="J90" s="28">
        <f>SUM(G90-H90-I90)</f>
        <v>98949</v>
      </c>
      <c r="K90" s="28">
        <v>1617</v>
      </c>
      <c r="L90" s="28">
        <v>67</v>
      </c>
      <c r="M90" s="28">
        <v>5045</v>
      </c>
      <c r="N90" s="28">
        <v>112</v>
      </c>
      <c r="O90" s="28">
        <v>112</v>
      </c>
    </row>
    <row r="91" spans="1:15" ht="12.75" customHeight="1">
      <c r="A91" s="4" t="s">
        <v>168</v>
      </c>
      <c r="B91" s="5" t="s">
        <v>169</v>
      </c>
      <c r="C91" s="28">
        <v>61479</v>
      </c>
      <c r="D91" s="28">
        <v>49333</v>
      </c>
      <c r="E91" s="28">
        <v>0</v>
      </c>
      <c r="F91" s="28">
        <f>SUM(C91-D91-E91)</f>
        <v>12146</v>
      </c>
      <c r="G91" s="28">
        <v>227789</v>
      </c>
      <c r="H91" s="28">
        <v>116347</v>
      </c>
      <c r="I91" s="28">
        <v>0</v>
      </c>
      <c r="J91" s="28">
        <f>SUM(G91-H91-I91)</f>
        <v>111442</v>
      </c>
      <c r="K91" s="28">
        <v>1070</v>
      </c>
      <c r="L91" s="28">
        <v>701</v>
      </c>
      <c r="M91" s="28">
        <v>21937</v>
      </c>
      <c r="N91" s="28">
        <v>1595</v>
      </c>
      <c r="O91" s="28">
        <v>1595</v>
      </c>
    </row>
    <row r="92" spans="1:15" ht="12.75" customHeight="1">
      <c r="A92" s="4" t="s">
        <v>170</v>
      </c>
      <c r="B92" s="5" t="s">
        <v>171</v>
      </c>
      <c r="C92" s="28">
        <v>13935</v>
      </c>
      <c r="D92" s="28">
        <v>8024</v>
      </c>
      <c r="E92" s="28">
        <v>1550</v>
      </c>
      <c r="F92" s="28">
        <f>SUM(C92-D92-E92)</f>
        <v>4361</v>
      </c>
      <c r="G92" s="28">
        <v>41482</v>
      </c>
      <c r="H92" s="28">
        <v>20222</v>
      </c>
      <c r="I92" s="28">
        <v>13536</v>
      </c>
      <c r="J92" s="28">
        <f>SUM(G92-H92-I92)</f>
        <v>7724</v>
      </c>
      <c r="K92" s="28">
        <v>716</v>
      </c>
      <c r="L92" s="28">
        <v>0</v>
      </c>
      <c r="M92" s="28">
        <v>1660</v>
      </c>
      <c r="N92" s="28">
        <v>116</v>
      </c>
      <c r="O92" s="28">
        <v>116</v>
      </c>
    </row>
    <row r="93" spans="1:15" ht="12.75" customHeight="1">
      <c r="A93" s="4" t="s">
        <v>172</v>
      </c>
      <c r="B93" s="5" t="s">
        <v>173</v>
      </c>
      <c r="C93" s="28">
        <v>539539</v>
      </c>
      <c r="D93" s="28">
        <v>394484</v>
      </c>
      <c r="E93" s="28">
        <v>25248</v>
      </c>
      <c r="F93" s="28">
        <f>SUM(C93-D93-E93)</f>
        <v>119807</v>
      </c>
      <c r="G93" s="28">
        <v>1547380</v>
      </c>
      <c r="H93" s="28">
        <v>656292</v>
      </c>
      <c r="I93" s="28">
        <v>84101</v>
      </c>
      <c r="J93" s="28">
        <f>SUM(G93-H93-I93)</f>
        <v>806987</v>
      </c>
      <c r="K93" s="28">
        <v>64572</v>
      </c>
      <c r="L93" s="28">
        <v>162</v>
      </c>
      <c r="M93" s="28">
        <v>148475</v>
      </c>
      <c r="N93" s="28">
        <v>44662</v>
      </c>
      <c r="O93" s="28">
        <v>40410</v>
      </c>
    </row>
    <row r="94" spans="1:15" ht="12.75" customHeight="1">
      <c r="A94" s="4" t="s">
        <v>174</v>
      </c>
      <c r="B94" s="5" t="s">
        <v>175</v>
      </c>
      <c r="C94" s="28">
        <v>41378</v>
      </c>
      <c r="D94" s="28">
        <v>14481</v>
      </c>
      <c r="E94" s="28">
        <v>899</v>
      </c>
      <c r="F94" s="28">
        <f>SUM(C94-D94-E94)</f>
        <v>25998</v>
      </c>
      <c r="G94" s="28">
        <v>128988</v>
      </c>
      <c r="H94" s="28">
        <v>39750</v>
      </c>
      <c r="I94" s="28">
        <v>6593</v>
      </c>
      <c r="J94" s="28">
        <f>SUM(G94-H94-I94)</f>
        <v>82645</v>
      </c>
      <c r="K94" s="28">
        <v>3310</v>
      </c>
      <c r="L94" s="28">
        <v>2612</v>
      </c>
      <c r="M94" s="28">
        <v>18020</v>
      </c>
      <c r="N94" s="28">
        <v>233</v>
      </c>
      <c r="O94" s="28">
        <v>233</v>
      </c>
    </row>
    <row r="95" spans="1:15" ht="12.75" customHeight="1">
      <c r="A95" s="8"/>
      <c r="B95" s="9" t="s">
        <v>176</v>
      </c>
      <c r="C95" s="29">
        <f t="shared" ref="C95:O95" si="21">SUM(C90:C94)</f>
        <v>705449</v>
      </c>
      <c r="D95" s="29">
        <f t="shared" si="21"/>
        <v>499592</v>
      </c>
      <c r="E95" s="29">
        <f t="shared" si="21"/>
        <v>31513</v>
      </c>
      <c r="F95" s="29">
        <f t="shared" si="21"/>
        <v>174344</v>
      </c>
      <c r="G95" s="29">
        <f t="shared" si="21"/>
        <v>2162816</v>
      </c>
      <c r="H95" s="29">
        <f t="shared" si="21"/>
        <v>925895</v>
      </c>
      <c r="I95" s="29">
        <f t="shared" si="21"/>
        <v>129174</v>
      </c>
      <c r="J95" s="29">
        <f t="shared" si="21"/>
        <v>1107747</v>
      </c>
      <c r="K95" s="29">
        <f t="shared" si="21"/>
        <v>71285</v>
      </c>
      <c r="L95" s="29">
        <f t="shared" si="21"/>
        <v>3542</v>
      </c>
      <c r="M95" s="29">
        <f t="shared" si="21"/>
        <v>195137</v>
      </c>
      <c r="N95" s="29">
        <f t="shared" si="21"/>
        <v>46718</v>
      </c>
      <c r="O95" s="29">
        <f t="shared" si="21"/>
        <v>42466</v>
      </c>
    </row>
    <row r="96" spans="1:15" ht="12.75" customHeight="1">
      <c r="A96" s="4" t="s">
        <v>177</v>
      </c>
      <c r="B96" s="5" t="s">
        <v>178</v>
      </c>
      <c r="C96" s="28">
        <v>11618</v>
      </c>
      <c r="D96" s="28">
        <v>9467</v>
      </c>
      <c r="E96" s="28">
        <v>635</v>
      </c>
      <c r="F96" s="28">
        <f>SUM(C96-D96-E96)</f>
        <v>1516</v>
      </c>
      <c r="G96" s="28">
        <v>62874</v>
      </c>
      <c r="H96" s="28">
        <v>35008</v>
      </c>
      <c r="I96" s="28">
        <v>3886</v>
      </c>
      <c r="J96" s="28">
        <f>SUM(G96-H96-I96)</f>
        <v>23980</v>
      </c>
      <c r="K96" s="28">
        <v>48</v>
      </c>
      <c r="L96" s="28">
        <v>0</v>
      </c>
      <c r="M96" s="28">
        <v>13878</v>
      </c>
      <c r="N96" s="28">
        <v>71</v>
      </c>
      <c r="O96" s="28">
        <v>71</v>
      </c>
    </row>
    <row r="97" spans="1:15" ht="12.75" customHeight="1">
      <c r="A97" s="4" t="s">
        <v>179</v>
      </c>
      <c r="B97" s="5" t="s">
        <v>180</v>
      </c>
      <c r="C97" s="28">
        <v>4353</v>
      </c>
      <c r="D97" s="28">
        <v>4018</v>
      </c>
      <c r="E97" s="28">
        <v>0</v>
      </c>
      <c r="F97" s="28">
        <f>SUM(C97-D97-E97)</f>
        <v>335</v>
      </c>
      <c r="G97" s="28">
        <v>13918</v>
      </c>
      <c r="H97" s="28">
        <v>12175</v>
      </c>
      <c r="I97" s="28">
        <v>0</v>
      </c>
      <c r="J97" s="28">
        <f>SUM(G97-H97-I97)</f>
        <v>1743</v>
      </c>
      <c r="K97" s="28">
        <v>33</v>
      </c>
      <c r="L97" s="28">
        <v>0</v>
      </c>
      <c r="M97" s="28">
        <v>9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15971</v>
      </c>
      <c r="D98" s="29">
        <f t="shared" si="22"/>
        <v>13485</v>
      </c>
      <c r="E98" s="29">
        <f t="shared" si="22"/>
        <v>635</v>
      </c>
      <c r="F98" s="29">
        <f t="shared" si="22"/>
        <v>1851</v>
      </c>
      <c r="G98" s="29">
        <f t="shared" si="22"/>
        <v>76792</v>
      </c>
      <c r="H98" s="29">
        <f t="shared" si="22"/>
        <v>47183</v>
      </c>
      <c r="I98" s="29">
        <f t="shared" si="22"/>
        <v>3886</v>
      </c>
      <c r="J98" s="29">
        <f t="shared" si="22"/>
        <v>25723</v>
      </c>
      <c r="K98" s="29">
        <f t="shared" si="22"/>
        <v>81</v>
      </c>
      <c r="L98" s="29">
        <f t="shared" si="22"/>
        <v>0</v>
      </c>
      <c r="M98" s="29">
        <f t="shared" si="22"/>
        <v>13887</v>
      </c>
      <c r="N98" s="29">
        <f t="shared" si="22"/>
        <v>71</v>
      </c>
      <c r="O98" s="29">
        <f t="shared" si="22"/>
        <v>71</v>
      </c>
    </row>
    <row r="99" spans="1:15" ht="12.75" customHeight="1">
      <c r="A99" s="4" t="s">
        <v>182</v>
      </c>
      <c r="B99" s="5" t="s">
        <v>183</v>
      </c>
      <c r="C99" s="28">
        <v>33233</v>
      </c>
      <c r="D99" s="28">
        <v>28125</v>
      </c>
      <c r="E99" s="28">
        <v>1373</v>
      </c>
      <c r="F99" s="28">
        <f>SUM(C99-D99-E99)</f>
        <v>3735</v>
      </c>
      <c r="G99" s="28">
        <v>130474</v>
      </c>
      <c r="H99" s="28">
        <v>82158</v>
      </c>
      <c r="I99" s="28">
        <v>7858</v>
      </c>
      <c r="J99" s="28">
        <f>SUM(G99-H99-I99)</f>
        <v>40458</v>
      </c>
      <c r="K99" s="28">
        <v>386</v>
      </c>
      <c r="L99" s="28">
        <v>0</v>
      </c>
      <c r="M99" s="28">
        <v>7928</v>
      </c>
      <c r="N99" s="28">
        <v>355</v>
      </c>
      <c r="O99" s="28">
        <v>355</v>
      </c>
    </row>
    <row r="100" spans="1:15" ht="12.75" customHeight="1">
      <c r="A100" s="4" t="s">
        <v>184</v>
      </c>
      <c r="B100" s="5" t="s">
        <v>185</v>
      </c>
      <c r="C100" s="28">
        <v>33361</v>
      </c>
      <c r="D100" s="28">
        <v>19083</v>
      </c>
      <c r="E100" s="28">
        <v>1711</v>
      </c>
      <c r="F100" s="28">
        <f>SUM(C100-D100-E100)</f>
        <v>12567</v>
      </c>
      <c r="G100" s="28">
        <v>108764</v>
      </c>
      <c r="H100" s="28">
        <v>50440</v>
      </c>
      <c r="I100" s="28">
        <v>8057</v>
      </c>
      <c r="J100" s="28">
        <f>SUM(G100-H100-I100)</f>
        <v>50267</v>
      </c>
      <c r="K100" s="28">
        <v>848</v>
      </c>
      <c r="L100" s="28">
        <v>0</v>
      </c>
      <c r="M100" s="28">
        <v>5211</v>
      </c>
      <c r="N100" s="28">
        <v>2538</v>
      </c>
      <c r="O100" s="28">
        <v>2538</v>
      </c>
    </row>
    <row r="101" spans="1:15" ht="12.75" customHeight="1">
      <c r="A101" s="4" t="s">
        <v>186</v>
      </c>
      <c r="B101" s="5" t="s">
        <v>187</v>
      </c>
      <c r="C101" s="28">
        <v>17996</v>
      </c>
      <c r="D101" s="28">
        <v>15092</v>
      </c>
      <c r="E101" s="28">
        <v>0</v>
      </c>
      <c r="F101" s="28">
        <f>SUM(C101-D101-E101)</f>
        <v>2904</v>
      </c>
      <c r="G101" s="28">
        <v>55665</v>
      </c>
      <c r="H101" s="28">
        <v>38937</v>
      </c>
      <c r="I101" s="28">
        <v>0</v>
      </c>
      <c r="J101" s="28">
        <f>SUM(G101-H101-I101)</f>
        <v>16728</v>
      </c>
      <c r="K101" s="28">
        <v>125</v>
      </c>
      <c r="L101" s="28">
        <v>0</v>
      </c>
      <c r="M101" s="28">
        <v>2548</v>
      </c>
      <c r="N101" s="28">
        <v>307</v>
      </c>
      <c r="O101" s="28">
        <v>307</v>
      </c>
    </row>
    <row r="102" spans="1:15" ht="12.75" customHeight="1">
      <c r="A102" s="4" t="s">
        <v>188</v>
      </c>
      <c r="B102" s="5" t="s">
        <v>189</v>
      </c>
      <c r="C102" s="28">
        <v>28659</v>
      </c>
      <c r="D102" s="28">
        <v>23808</v>
      </c>
      <c r="E102" s="28">
        <v>2032</v>
      </c>
      <c r="F102" s="28">
        <f>SUM(C102-D102-E102)</f>
        <v>2819</v>
      </c>
      <c r="G102" s="28">
        <v>99136</v>
      </c>
      <c r="H102" s="28">
        <v>56325</v>
      </c>
      <c r="I102" s="28">
        <v>15154</v>
      </c>
      <c r="J102" s="28">
        <f>SUM(G102-H102-I102)</f>
        <v>27657</v>
      </c>
      <c r="K102" s="28">
        <v>1084</v>
      </c>
      <c r="L102" s="28">
        <v>0</v>
      </c>
      <c r="M102" s="28">
        <v>4926</v>
      </c>
      <c r="N102" s="28">
        <v>39</v>
      </c>
      <c r="O102" s="28">
        <v>39</v>
      </c>
    </row>
    <row r="103" spans="1:15" ht="12.75" customHeight="1">
      <c r="A103" s="8"/>
      <c r="B103" s="9" t="s">
        <v>190</v>
      </c>
      <c r="C103" s="29">
        <f t="shared" ref="C103:O103" si="23">SUM(C99:C102)</f>
        <v>113249</v>
      </c>
      <c r="D103" s="29">
        <f t="shared" si="23"/>
        <v>86108</v>
      </c>
      <c r="E103" s="29">
        <f t="shared" si="23"/>
        <v>5116</v>
      </c>
      <c r="F103" s="29">
        <f t="shared" si="23"/>
        <v>22025</v>
      </c>
      <c r="G103" s="29">
        <f t="shared" si="23"/>
        <v>394039</v>
      </c>
      <c r="H103" s="29">
        <f t="shared" si="23"/>
        <v>227860</v>
      </c>
      <c r="I103" s="29">
        <f t="shared" si="23"/>
        <v>31069</v>
      </c>
      <c r="J103" s="29">
        <f t="shared" si="23"/>
        <v>135110</v>
      </c>
      <c r="K103" s="29">
        <f t="shared" si="23"/>
        <v>2443</v>
      </c>
      <c r="L103" s="29">
        <f t="shared" si="23"/>
        <v>0</v>
      </c>
      <c r="M103" s="29">
        <f t="shared" si="23"/>
        <v>20613</v>
      </c>
      <c r="N103" s="29">
        <f t="shared" si="23"/>
        <v>3239</v>
      </c>
      <c r="O103" s="29">
        <f t="shared" si="23"/>
        <v>3239</v>
      </c>
    </row>
    <row r="104" spans="1:15" ht="12.75" customHeight="1">
      <c r="A104" s="4" t="s">
        <v>191</v>
      </c>
      <c r="B104" s="5" t="s">
        <v>192</v>
      </c>
      <c r="C104" s="28">
        <v>21251</v>
      </c>
      <c r="D104" s="28">
        <v>16909</v>
      </c>
      <c r="E104" s="28">
        <v>864</v>
      </c>
      <c r="F104" s="28">
        <f>SUM(C104-D104-E104)</f>
        <v>3478</v>
      </c>
      <c r="G104" s="28">
        <v>88003</v>
      </c>
      <c r="H104" s="28">
        <v>52935</v>
      </c>
      <c r="I104" s="28">
        <v>6589</v>
      </c>
      <c r="J104" s="28">
        <f>SUM(G104-H104-I104)</f>
        <v>28479</v>
      </c>
      <c r="K104" s="28">
        <v>980</v>
      </c>
      <c r="L104" s="28">
        <v>0</v>
      </c>
      <c r="M104" s="28">
        <v>4972</v>
      </c>
      <c r="N104" s="28">
        <v>444</v>
      </c>
      <c r="O104" s="28">
        <v>444</v>
      </c>
    </row>
    <row r="105" spans="1:15" ht="12.75" customHeight="1">
      <c r="A105" s="4" t="s">
        <v>193</v>
      </c>
      <c r="B105" s="5" t="s">
        <v>194</v>
      </c>
      <c r="C105" s="28">
        <v>13950</v>
      </c>
      <c r="D105" s="28">
        <v>10201</v>
      </c>
      <c r="E105" s="28">
        <v>0</v>
      </c>
      <c r="F105" s="28">
        <f>SUM(C105-D105-E105)</f>
        <v>3749</v>
      </c>
      <c r="G105" s="28">
        <v>66748</v>
      </c>
      <c r="H105" s="28">
        <v>30666</v>
      </c>
      <c r="I105" s="28">
        <v>0</v>
      </c>
      <c r="J105" s="28">
        <f>SUM(G105-H105-I105)</f>
        <v>36082</v>
      </c>
      <c r="K105" s="28">
        <v>270</v>
      </c>
      <c r="L105" s="28">
        <v>0</v>
      </c>
      <c r="M105" s="28">
        <v>7288</v>
      </c>
      <c r="N105" s="28">
        <v>95</v>
      </c>
      <c r="O105" s="28">
        <v>95</v>
      </c>
    </row>
    <row r="106" spans="1:15" ht="12.75" customHeight="1">
      <c r="A106" s="4" t="s">
        <v>195</v>
      </c>
      <c r="B106" s="5" t="s">
        <v>196</v>
      </c>
      <c r="C106" s="28">
        <v>72464</v>
      </c>
      <c r="D106" s="28">
        <v>47279</v>
      </c>
      <c r="E106" s="28">
        <v>2353</v>
      </c>
      <c r="F106" s="28">
        <f>SUM(C106-D106-E106)</f>
        <v>22832</v>
      </c>
      <c r="G106" s="28">
        <v>341949</v>
      </c>
      <c r="H106" s="28">
        <v>136744</v>
      </c>
      <c r="I106" s="28">
        <v>13556</v>
      </c>
      <c r="J106" s="28">
        <f>SUM(G106-H106-I106)</f>
        <v>191649</v>
      </c>
      <c r="K106" s="28">
        <v>810</v>
      </c>
      <c r="L106" s="28">
        <v>0</v>
      </c>
      <c r="M106" s="28">
        <v>51601</v>
      </c>
      <c r="N106" s="28">
        <v>3451</v>
      </c>
      <c r="O106" s="28">
        <v>3451</v>
      </c>
    </row>
    <row r="107" spans="1:15" ht="12.75" customHeight="1">
      <c r="A107" s="4" t="s">
        <v>197</v>
      </c>
      <c r="B107" s="5" t="s">
        <v>198</v>
      </c>
      <c r="C107" s="28">
        <v>234462</v>
      </c>
      <c r="D107" s="28">
        <v>151099</v>
      </c>
      <c r="E107" s="28">
        <v>7056</v>
      </c>
      <c r="F107" s="28">
        <f>SUM(C107-D107-E107)</f>
        <v>76307</v>
      </c>
      <c r="G107" s="28">
        <v>657753</v>
      </c>
      <c r="H107" s="28">
        <v>275049</v>
      </c>
      <c r="I107" s="28">
        <v>18847</v>
      </c>
      <c r="J107" s="28">
        <f>SUM(G107-H107-I107)</f>
        <v>363857</v>
      </c>
      <c r="K107" s="28">
        <v>21969</v>
      </c>
      <c r="L107" s="28">
        <v>0</v>
      </c>
      <c r="M107" s="28">
        <v>14032</v>
      </c>
      <c r="N107" s="28">
        <v>17572</v>
      </c>
      <c r="O107" s="28">
        <v>17572</v>
      </c>
    </row>
    <row r="108" spans="1:15" ht="12.75" customHeight="1">
      <c r="A108" s="4" t="s">
        <v>199</v>
      </c>
      <c r="B108" s="5" t="s">
        <v>200</v>
      </c>
      <c r="C108" s="28">
        <v>64532</v>
      </c>
      <c r="D108" s="28">
        <v>46770</v>
      </c>
      <c r="E108" s="28">
        <v>2480</v>
      </c>
      <c r="F108" s="28">
        <f>SUM(C108-D108-E108)</f>
        <v>15282</v>
      </c>
      <c r="G108" s="28">
        <v>330221</v>
      </c>
      <c r="H108" s="28">
        <v>134205</v>
      </c>
      <c r="I108" s="28">
        <v>15316</v>
      </c>
      <c r="J108" s="28">
        <f>SUM(G108-H108-I108)</f>
        <v>180700</v>
      </c>
      <c r="K108" s="28">
        <v>1738</v>
      </c>
      <c r="L108" s="28">
        <v>0</v>
      </c>
      <c r="M108" s="28">
        <v>17578</v>
      </c>
      <c r="N108" s="28">
        <v>11757</v>
      </c>
      <c r="O108" s="28">
        <v>11757</v>
      </c>
    </row>
    <row r="109" spans="1:15" ht="12.75" customHeight="1">
      <c r="A109" s="8"/>
      <c r="B109" s="9" t="s">
        <v>201</v>
      </c>
      <c r="C109" s="29">
        <f t="shared" ref="C109:O109" si="24">SUM(C104:C108)</f>
        <v>406659</v>
      </c>
      <c r="D109" s="29">
        <f t="shared" si="24"/>
        <v>272258</v>
      </c>
      <c r="E109" s="29">
        <f t="shared" si="24"/>
        <v>12753</v>
      </c>
      <c r="F109" s="29">
        <f t="shared" si="24"/>
        <v>121648</v>
      </c>
      <c r="G109" s="29">
        <f t="shared" si="24"/>
        <v>1484674</v>
      </c>
      <c r="H109" s="29">
        <f t="shared" si="24"/>
        <v>629599</v>
      </c>
      <c r="I109" s="29">
        <f t="shared" si="24"/>
        <v>54308</v>
      </c>
      <c r="J109" s="29">
        <f t="shared" si="24"/>
        <v>800767</v>
      </c>
      <c r="K109" s="29">
        <f t="shared" si="24"/>
        <v>25767</v>
      </c>
      <c r="L109" s="29">
        <f t="shared" si="24"/>
        <v>0</v>
      </c>
      <c r="M109" s="29">
        <f t="shared" si="24"/>
        <v>95471</v>
      </c>
      <c r="N109" s="29">
        <f t="shared" si="24"/>
        <v>33319</v>
      </c>
      <c r="O109" s="29">
        <f t="shared" si="24"/>
        <v>33319</v>
      </c>
    </row>
    <row r="110" spans="1:15" ht="12.75" customHeight="1">
      <c r="A110" s="4" t="s">
        <v>202</v>
      </c>
      <c r="B110" s="5" t="s">
        <v>203</v>
      </c>
      <c r="C110" s="28">
        <v>104402</v>
      </c>
      <c r="D110" s="28">
        <v>87348</v>
      </c>
      <c r="E110" s="28">
        <v>1370</v>
      </c>
      <c r="F110" s="28">
        <f t="shared" ref="F110:F115" si="25">SUM(C110-D110-E110)</f>
        <v>15684</v>
      </c>
      <c r="G110" s="28">
        <v>419056</v>
      </c>
      <c r="H110" s="28">
        <v>260401</v>
      </c>
      <c r="I110" s="28">
        <v>10676</v>
      </c>
      <c r="J110" s="28">
        <f t="shared" ref="J110:J115" si="26">SUM(G110-H110-I110)</f>
        <v>147979</v>
      </c>
      <c r="K110" s="28">
        <v>5825</v>
      </c>
      <c r="L110" s="28">
        <v>0</v>
      </c>
      <c r="M110" s="28">
        <v>34149</v>
      </c>
      <c r="N110" s="28">
        <v>4573</v>
      </c>
      <c r="O110" s="28">
        <v>4573</v>
      </c>
    </row>
    <row r="111" spans="1:15" ht="12.75" customHeight="1">
      <c r="A111" s="4" t="s">
        <v>204</v>
      </c>
      <c r="B111" s="5" t="s">
        <v>205</v>
      </c>
      <c r="C111" s="28">
        <v>11505</v>
      </c>
      <c r="D111" s="28">
        <v>10766</v>
      </c>
      <c r="E111" s="28">
        <v>309</v>
      </c>
      <c r="F111" s="28">
        <f t="shared" si="25"/>
        <v>430</v>
      </c>
      <c r="G111" s="28">
        <v>38109</v>
      </c>
      <c r="H111" s="28">
        <v>28337</v>
      </c>
      <c r="I111" s="28">
        <v>1918</v>
      </c>
      <c r="J111" s="28">
        <f t="shared" si="26"/>
        <v>7854</v>
      </c>
      <c r="K111" s="28">
        <v>182</v>
      </c>
      <c r="L111" s="28">
        <v>0</v>
      </c>
      <c r="M111" s="28">
        <v>4664</v>
      </c>
      <c r="N111" s="28">
        <v>25</v>
      </c>
      <c r="O111" s="28">
        <v>25</v>
      </c>
    </row>
    <row r="112" spans="1:15" ht="12.75" customHeight="1">
      <c r="A112" s="4" t="s">
        <v>206</v>
      </c>
      <c r="B112" s="5" t="s">
        <v>207</v>
      </c>
      <c r="C112" s="28">
        <v>32523</v>
      </c>
      <c r="D112" s="28">
        <v>27939</v>
      </c>
      <c r="E112" s="28">
        <v>0</v>
      </c>
      <c r="F112" s="28">
        <f t="shared" si="25"/>
        <v>4584</v>
      </c>
      <c r="G112" s="28">
        <v>101880</v>
      </c>
      <c r="H112" s="28">
        <v>80735</v>
      </c>
      <c r="I112" s="28">
        <v>0</v>
      </c>
      <c r="J112" s="28">
        <f t="shared" si="26"/>
        <v>21145</v>
      </c>
      <c r="K112" s="28">
        <v>1198</v>
      </c>
      <c r="L112" s="28">
        <v>10119</v>
      </c>
      <c r="M112" s="28">
        <v>5821</v>
      </c>
      <c r="N112" s="28">
        <v>35992</v>
      </c>
      <c r="O112" s="28">
        <v>35992</v>
      </c>
    </row>
    <row r="113" spans="1:15" ht="12.75" customHeight="1">
      <c r="A113" s="4" t="s">
        <v>208</v>
      </c>
      <c r="B113" s="5" t="s">
        <v>209</v>
      </c>
      <c r="C113" s="28">
        <v>34628</v>
      </c>
      <c r="D113" s="28">
        <v>23623</v>
      </c>
      <c r="E113" s="28">
        <v>1644</v>
      </c>
      <c r="F113" s="28">
        <f t="shared" si="25"/>
        <v>9361</v>
      </c>
      <c r="G113" s="28">
        <v>126396</v>
      </c>
      <c r="H113" s="28">
        <v>70699</v>
      </c>
      <c r="I113" s="28">
        <v>8810</v>
      </c>
      <c r="J113" s="28">
        <f t="shared" si="26"/>
        <v>46887</v>
      </c>
      <c r="K113" s="28">
        <v>2003</v>
      </c>
      <c r="L113" s="28">
        <v>0</v>
      </c>
      <c r="M113" s="28">
        <v>35441</v>
      </c>
      <c r="N113" s="28">
        <v>534</v>
      </c>
      <c r="O113" s="28">
        <v>534</v>
      </c>
    </row>
    <row r="114" spans="1:15" ht="12.75" customHeight="1">
      <c r="A114" s="4" t="s">
        <v>210</v>
      </c>
      <c r="B114" s="5" t="s">
        <v>211</v>
      </c>
      <c r="C114" s="28">
        <v>119657</v>
      </c>
      <c r="D114" s="28">
        <v>66017</v>
      </c>
      <c r="E114" s="28">
        <v>0</v>
      </c>
      <c r="F114" s="28">
        <f t="shared" si="25"/>
        <v>53640</v>
      </c>
      <c r="G114" s="28">
        <v>338279</v>
      </c>
      <c r="H114" s="28">
        <v>151370</v>
      </c>
      <c r="I114" s="28">
        <v>0</v>
      </c>
      <c r="J114" s="28">
        <f t="shared" si="26"/>
        <v>186909</v>
      </c>
      <c r="K114" s="28">
        <v>22926</v>
      </c>
      <c r="L114" s="28">
        <v>0</v>
      </c>
      <c r="M114" s="28">
        <v>23356</v>
      </c>
      <c r="N114" s="28">
        <v>8887</v>
      </c>
      <c r="O114" s="28">
        <v>8887</v>
      </c>
    </row>
    <row r="115" spans="1:15" ht="12.75" customHeight="1">
      <c r="A115" s="4" t="s">
        <v>212</v>
      </c>
      <c r="B115" s="5" t="s">
        <v>213</v>
      </c>
      <c r="C115" s="28">
        <v>41872</v>
      </c>
      <c r="D115" s="28">
        <v>38783</v>
      </c>
      <c r="E115" s="28">
        <v>0</v>
      </c>
      <c r="F115" s="28">
        <f t="shared" si="25"/>
        <v>3089</v>
      </c>
      <c r="G115" s="28">
        <v>122570</v>
      </c>
      <c r="H115" s="28">
        <v>105326</v>
      </c>
      <c r="I115" s="28">
        <v>0</v>
      </c>
      <c r="J115" s="28">
        <f t="shared" si="26"/>
        <v>17244</v>
      </c>
      <c r="K115" s="28">
        <v>6453</v>
      </c>
      <c r="L115" s="28">
        <v>0</v>
      </c>
      <c r="M115" s="28">
        <v>5992</v>
      </c>
      <c r="N115" s="28">
        <v>2830</v>
      </c>
      <c r="O115" s="28">
        <v>2830</v>
      </c>
    </row>
    <row r="116" spans="1:15" ht="12.75" customHeight="1">
      <c r="A116" s="8"/>
      <c r="B116" s="9" t="s">
        <v>214</v>
      </c>
      <c r="C116" s="29">
        <f t="shared" ref="C116:O116" si="27">SUM(C110:C115)</f>
        <v>344587</v>
      </c>
      <c r="D116" s="29">
        <f t="shared" si="27"/>
        <v>254476</v>
      </c>
      <c r="E116" s="29">
        <f t="shared" si="27"/>
        <v>3323</v>
      </c>
      <c r="F116" s="29">
        <f t="shared" si="27"/>
        <v>86788</v>
      </c>
      <c r="G116" s="29">
        <f t="shared" si="27"/>
        <v>1146290</v>
      </c>
      <c r="H116" s="29">
        <f t="shared" si="27"/>
        <v>696868</v>
      </c>
      <c r="I116" s="29">
        <f t="shared" si="27"/>
        <v>21404</v>
      </c>
      <c r="J116" s="29">
        <f t="shared" si="27"/>
        <v>428018</v>
      </c>
      <c r="K116" s="29">
        <f t="shared" si="27"/>
        <v>38587</v>
      </c>
      <c r="L116" s="29">
        <f t="shared" si="27"/>
        <v>10119</v>
      </c>
      <c r="M116" s="29">
        <f t="shared" si="27"/>
        <v>109423</v>
      </c>
      <c r="N116" s="29">
        <f t="shared" si="27"/>
        <v>52841</v>
      </c>
      <c r="O116" s="29">
        <f t="shared" si="27"/>
        <v>52841</v>
      </c>
    </row>
    <row r="117" spans="1:15" ht="12.75" customHeight="1">
      <c r="A117" s="4" t="s">
        <v>215</v>
      </c>
      <c r="B117" s="5" t="s">
        <v>216</v>
      </c>
      <c r="C117" s="28">
        <v>11899</v>
      </c>
      <c r="D117" s="28">
        <v>9420</v>
      </c>
      <c r="E117" s="28">
        <v>0</v>
      </c>
      <c r="F117" s="28">
        <f>SUM(C117-D117-E117)</f>
        <v>2479</v>
      </c>
      <c r="G117" s="28">
        <v>44025</v>
      </c>
      <c r="H117" s="28">
        <v>29713</v>
      </c>
      <c r="I117" s="28">
        <v>0</v>
      </c>
      <c r="J117" s="28">
        <f>SUM(G117-H117-I117)</f>
        <v>14312</v>
      </c>
      <c r="K117" s="28">
        <v>26</v>
      </c>
      <c r="L117" s="28">
        <v>0</v>
      </c>
      <c r="M117" s="28">
        <v>10099</v>
      </c>
      <c r="N117" s="28">
        <v>82</v>
      </c>
      <c r="O117" s="28">
        <v>82</v>
      </c>
    </row>
    <row r="118" spans="1:15" ht="12.75" customHeight="1">
      <c r="A118" s="4" t="s">
        <v>217</v>
      </c>
      <c r="B118" s="5" t="s">
        <v>218</v>
      </c>
      <c r="C118" s="28">
        <v>27547</v>
      </c>
      <c r="D118" s="28">
        <v>24855</v>
      </c>
      <c r="E118" s="28">
        <v>669</v>
      </c>
      <c r="F118" s="28">
        <f>SUM(C118-D118-E118)</f>
        <v>2023</v>
      </c>
      <c r="G118" s="28">
        <v>108381</v>
      </c>
      <c r="H118" s="28">
        <v>70196</v>
      </c>
      <c r="I118" s="28">
        <v>4202</v>
      </c>
      <c r="J118" s="28">
        <f>SUM(G118-H118-I118)</f>
        <v>33983</v>
      </c>
      <c r="K118" s="28">
        <v>414</v>
      </c>
      <c r="L118" s="28">
        <v>0</v>
      </c>
      <c r="M118" s="28">
        <v>9236</v>
      </c>
      <c r="N118" s="28">
        <v>3877</v>
      </c>
      <c r="O118" s="28">
        <v>3877</v>
      </c>
    </row>
    <row r="119" spans="1:15" ht="12.75" customHeight="1">
      <c r="A119" s="8"/>
      <c r="B119" s="9" t="s">
        <v>219</v>
      </c>
      <c r="C119" s="29">
        <f t="shared" ref="C119:O119" si="28">SUM(C117:C118)</f>
        <v>39446</v>
      </c>
      <c r="D119" s="29">
        <f t="shared" si="28"/>
        <v>34275</v>
      </c>
      <c r="E119" s="29">
        <f t="shared" si="28"/>
        <v>669</v>
      </c>
      <c r="F119" s="29">
        <f t="shared" si="28"/>
        <v>4502</v>
      </c>
      <c r="G119" s="29">
        <f t="shared" si="28"/>
        <v>152406</v>
      </c>
      <c r="H119" s="29">
        <f t="shared" si="28"/>
        <v>99909</v>
      </c>
      <c r="I119" s="29">
        <f t="shared" si="28"/>
        <v>4202</v>
      </c>
      <c r="J119" s="29">
        <f t="shared" si="28"/>
        <v>48295</v>
      </c>
      <c r="K119" s="29">
        <f t="shared" si="28"/>
        <v>440</v>
      </c>
      <c r="L119" s="29">
        <f t="shared" si="28"/>
        <v>0</v>
      </c>
      <c r="M119" s="29">
        <f t="shared" si="28"/>
        <v>19335</v>
      </c>
      <c r="N119" s="29">
        <f t="shared" si="28"/>
        <v>3959</v>
      </c>
      <c r="O119" s="29">
        <f t="shared" si="28"/>
        <v>3959</v>
      </c>
    </row>
    <row r="120" spans="1:15" ht="12.75" customHeight="1">
      <c r="A120" s="4" t="s">
        <v>220</v>
      </c>
      <c r="B120" s="5" t="s">
        <v>221</v>
      </c>
      <c r="C120" s="28">
        <v>33603</v>
      </c>
      <c r="D120" s="28">
        <v>31251</v>
      </c>
      <c r="E120" s="28">
        <v>573</v>
      </c>
      <c r="F120" s="28">
        <f>SUM(C120-D120-E120)</f>
        <v>1779</v>
      </c>
      <c r="G120" s="28">
        <v>99938</v>
      </c>
      <c r="H120" s="28">
        <v>80969</v>
      </c>
      <c r="I120" s="28">
        <v>5487</v>
      </c>
      <c r="J120" s="28">
        <f>SUM(G120-H120-I120)</f>
        <v>13482</v>
      </c>
      <c r="K120" s="28">
        <v>3236</v>
      </c>
      <c r="L120" s="28">
        <v>0</v>
      </c>
      <c r="M120" s="28">
        <v>4820</v>
      </c>
      <c r="N120" s="28">
        <v>2459</v>
      </c>
      <c r="O120" s="28">
        <v>2459</v>
      </c>
    </row>
    <row r="121" spans="1:15" ht="12.75" customHeight="1">
      <c r="A121" s="4" t="s">
        <v>222</v>
      </c>
      <c r="B121" s="5" t="s">
        <v>223</v>
      </c>
      <c r="C121" s="28">
        <v>55082</v>
      </c>
      <c r="D121" s="28">
        <v>49994</v>
      </c>
      <c r="E121" s="28">
        <v>1672</v>
      </c>
      <c r="F121" s="28">
        <f>SUM(C121-D121-E121)</f>
        <v>3416</v>
      </c>
      <c r="G121" s="28">
        <v>178110</v>
      </c>
      <c r="H121" s="28">
        <v>134859</v>
      </c>
      <c r="I121" s="28">
        <v>10229</v>
      </c>
      <c r="J121" s="28">
        <f>SUM(G121-H121-I121)</f>
        <v>33022</v>
      </c>
      <c r="K121" s="28">
        <v>500</v>
      </c>
      <c r="L121" s="28">
        <v>113</v>
      </c>
      <c r="M121" s="28">
        <v>7280</v>
      </c>
      <c r="N121" s="28">
        <v>161</v>
      </c>
      <c r="O121" s="28">
        <v>161</v>
      </c>
    </row>
    <row r="122" spans="1:15" ht="12.75" customHeight="1">
      <c r="A122" s="4" t="s">
        <v>224</v>
      </c>
      <c r="B122" s="5" t="s">
        <v>225</v>
      </c>
      <c r="C122" s="28">
        <v>10208</v>
      </c>
      <c r="D122" s="28">
        <v>8467</v>
      </c>
      <c r="E122" s="28">
        <v>0</v>
      </c>
      <c r="F122" s="28">
        <f>SUM(C122-D122-E122)</f>
        <v>1741</v>
      </c>
      <c r="G122" s="28">
        <v>32369</v>
      </c>
      <c r="H122" s="28">
        <v>22168</v>
      </c>
      <c r="I122" s="28">
        <v>0</v>
      </c>
      <c r="J122" s="28">
        <f>SUM(G122-H122-I122)</f>
        <v>10201</v>
      </c>
      <c r="K122" s="28">
        <v>120</v>
      </c>
      <c r="L122" s="28">
        <v>0</v>
      </c>
      <c r="M122" s="28">
        <v>10221</v>
      </c>
      <c r="N122" s="28">
        <v>28</v>
      </c>
      <c r="O122" s="28">
        <v>28</v>
      </c>
    </row>
    <row r="123" spans="1:15" ht="12.75" customHeight="1">
      <c r="A123" s="4" t="s">
        <v>226</v>
      </c>
      <c r="B123" s="5" t="s">
        <v>227</v>
      </c>
      <c r="C123" s="28">
        <v>46509</v>
      </c>
      <c r="D123" s="28">
        <v>42439</v>
      </c>
      <c r="E123" s="28">
        <v>731</v>
      </c>
      <c r="F123" s="28">
        <f>SUM(C123-D123-E123)</f>
        <v>3339</v>
      </c>
      <c r="G123" s="28">
        <v>126413</v>
      </c>
      <c r="H123" s="28">
        <v>99511</v>
      </c>
      <c r="I123" s="28">
        <v>4829</v>
      </c>
      <c r="J123" s="28">
        <f>SUM(G123-H123-I123)</f>
        <v>22073</v>
      </c>
      <c r="K123" s="28">
        <v>1695</v>
      </c>
      <c r="L123" s="28">
        <v>0</v>
      </c>
      <c r="M123" s="28">
        <v>3968</v>
      </c>
      <c r="N123" s="28">
        <v>409</v>
      </c>
      <c r="O123" s="28">
        <v>409</v>
      </c>
    </row>
    <row r="124" spans="1:15" ht="12.75" customHeight="1">
      <c r="A124" s="4" t="s">
        <v>228</v>
      </c>
      <c r="B124" s="5" t="s">
        <v>229</v>
      </c>
      <c r="C124" s="28">
        <v>13434</v>
      </c>
      <c r="D124" s="28">
        <v>12793</v>
      </c>
      <c r="E124" s="28">
        <v>288</v>
      </c>
      <c r="F124" s="28">
        <f>SUM(C124-D124-E124)</f>
        <v>353</v>
      </c>
      <c r="G124" s="28">
        <v>36530</v>
      </c>
      <c r="H124" s="28">
        <v>30108</v>
      </c>
      <c r="I124" s="28">
        <v>2302</v>
      </c>
      <c r="J124" s="28">
        <f>SUM(G124-H124-I124)</f>
        <v>4120</v>
      </c>
      <c r="K124" s="28">
        <v>425</v>
      </c>
      <c r="L124" s="28">
        <v>0</v>
      </c>
      <c r="M124" s="28">
        <v>507</v>
      </c>
      <c r="N124" s="28">
        <v>336</v>
      </c>
      <c r="O124" s="28">
        <v>336</v>
      </c>
    </row>
    <row r="125" spans="1:15" ht="12.75" customHeight="1">
      <c r="A125" s="8"/>
      <c r="B125" s="9" t="s">
        <v>230</v>
      </c>
      <c r="C125" s="29">
        <f t="shared" ref="C125:O125" si="29">SUM(C120:C124)</f>
        <v>158836</v>
      </c>
      <c r="D125" s="29">
        <f t="shared" si="29"/>
        <v>144944</v>
      </c>
      <c r="E125" s="29">
        <f t="shared" si="29"/>
        <v>3264</v>
      </c>
      <c r="F125" s="29">
        <f t="shared" si="29"/>
        <v>10628</v>
      </c>
      <c r="G125" s="29">
        <f t="shared" si="29"/>
        <v>473360</v>
      </c>
      <c r="H125" s="29">
        <f t="shared" si="29"/>
        <v>367615</v>
      </c>
      <c r="I125" s="29">
        <f t="shared" si="29"/>
        <v>22847</v>
      </c>
      <c r="J125" s="29">
        <f t="shared" si="29"/>
        <v>82898</v>
      </c>
      <c r="K125" s="29">
        <f t="shared" si="29"/>
        <v>5976</v>
      </c>
      <c r="L125" s="29">
        <f t="shared" si="29"/>
        <v>113</v>
      </c>
      <c r="M125" s="29">
        <f t="shared" si="29"/>
        <v>26796</v>
      </c>
      <c r="N125" s="29">
        <f t="shared" si="29"/>
        <v>3393</v>
      </c>
      <c r="O125" s="29">
        <f t="shared" si="29"/>
        <v>3393</v>
      </c>
    </row>
    <row r="126" spans="1:15" ht="12.75" customHeight="1">
      <c r="A126" s="4" t="s">
        <v>231</v>
      </c>
      <c r="B126" s="5" t="s">
        <v>232</v>
      </c>
      <c r="C126" s="28">
        <v>34417</v>
      </c>
      <c r="D126" s="28">
        <v>27976</v>
      </c>
      <c r="E126" s="28">
        <v>0</v>
      </c>
      <c r="F126" s="28">
        <f t="shared" ref="F126:F134" si="30">SUM(C126-D126-E126)</f>
        <v>6441</v>
      </c>
      <c r="G126" s="28">
        <v>86162</v>
      </c>
      <c r="H126" s="28">
        <v>58161</v>
      </c>
      <c r="I126" s="28">
        <v>0</v>
      </c>
      <c r="J126" s="28">
        <f t="shared" ref="J126:J134" si="31">SUM(G126-H126-I126)</f>
        <v>28001</v>
      </c>
      <c r="K126" s="28">
        <v>288</v>
      </c>
      <c r="L126" s="28">
        <v>101</v>
      </c>
      <c r="M126" s="28">
        <v>9894</v>
      </c>
      <c r="N126" s="28">
        <v>5317</v>
      </c>
      <c r="O126" s="28">
        <v>5317</v>
      </c>
    </row>
    <row r="127" spans="1:15" ht="12.75" customHeight="1">
      <c r="A127" s="4" t="s">
        <v>233</v>
      </c>
      <c r="B127" s="5" t="s">
        <v>234</v>
      </c>
      <c r="C127" s="28">
        <v>18211</v>
      </c>
      <c r="D127" s="28">
        <v>15078</v>
      </c>
      <c r="E127" s="28">
        <v>0</v>
      </c>
      <c r="F127" s="28">
        <f t="shared" si="30"/>
        <v>3133</v>
      </c>
      <c r="G127" s="28">
        <v>50241</v>
      </c>
      <c r="H127" s="28">
        <v>40340</v>
      </c>
      <c r="I127" s="28">
        <v>0</v>
      </c>
      <c r="J127" s="28">
        <f t="shared" si="31"/>
        <v>9901</v>
      </c>
      <c r="K127" s="28">
        <v>221</v>
      </c>
      <c r="L127" s="28">
        <v>0</v>
      </c>
      <c r="M127" s="28">
        <v>3495</v>
      </c>
      <c r="N127" s="28">
        <v>186</v>
      </c>
      <c r="O127" s="28">
        <v>186</v>
      </c>
    </row>
    <row r="128" spans="1:15" ht="12.75" customHeight="1">
      <c r="A128" s="4" t="s">
        <v>235</v>
      </c>
      <c r="B128" s="5" t="s">
        <v>236</v>
      </c>
      <c r="C128" s="28">
        <v>124911</v>
      </c>
      <c r="D128" s="28">
        <v>94068</v>
      </c>
      <c r="E128" s="28">
        <v>2304</v>
      </c>
      <c r="F128" s="28">
        <f t="shared" si="30"/>
        <v>28539</v>
      </c>
      <c r="G128" s="28">
        <v>299159</v>
      </c>
      <c r="H128" s="28">
        <v>190223</v>
      </c>
      <c r="I128" s="28">
        <v>10214</v>
      </c>
      <c r="J128" s="28">
        <f t="shared" si="31"/>
        <v>98722</v>
      </c>
      <c r="K128" s="28">
        <v>4097</v>
      </c>
      <c r="L128" s="28">
        <v>0</v>
      </c>
      <c r="M128" s="28">
        <v>16170</v>
      </c>
      <c r="N128" s="28">
        <v>2266</v>
      </c>
      <c r="O128" s="28">
        <v>2266</v>
      </c>
    </row>
    <row r="129" spans="1:15" ht="12.75" customHeight="1">
      <c r="A129" s="4" t="s">
        <v>237</v>
      </c>
      <c r="B129" s="5" t="s">
        <v>238</v>
      </c>
      <c r="C129" s="28">
        <v>10320</v>
      </c>
      <c r="D129" s="28">
        <v>7934</v>
      </c>
      <c r="E129" s="28">
        <v>539</v>
      </c>
      <c r="F129" s="28">
        <f t="shared" si="30"/>
        <v>1847</v>
      </c>
      <c r="G129" s="28">
        <v>41138</v>
      </c>
      <c r="H129" s="28">
        <v>19342</v>
      </c>
      <c r="I129" s="28">
        <v>4075</v>
      </c>
      <c r="J129" s="28">
        <f t="shared" si="31"/>
        <v>17721</v>
      </c>
      <c r="K129" s="28">
        <v>441</v>
      </c>
      <c r="L129" s="28">
        <v>0</v>
      </c>
      <c r="M129" s="28">
        <v>12123</v>
      </c>
      <c r="N129" s="28">
        <v>784</v>
      </c>
      <c r="O129" s="28">
        <v>784</v>
      </c>
    </row>
    <row r="130" spans="1:15" ht="12.75" customHeight="1">
      <c r="A130" s="4" t="s">
        <v>239</v>
      </c>
      <c r="B130" s="5" t="s">
        <v>240</v>
      </c>
      <c r="C130" s="28">
        <v>66731</v>
      </c>
      <c r="D130" s="28">
        <v>57416</v>
      </c>
      <c r="E130" s="28">
        <v>3774</v>
      </c>
      <c r="F130" s="28">
        <f t="shared" si="30"/>
        <v>5541</v>
      </c>
      <c r="G130" s="28">
        <v>167386</v>
      </c>
      <c r="H130" s="28">
        <v>88325</v>
      </c>
      <c r="I130" s="28">
        <v>16723</v>
      </c>
      <c r="J130" s="28">
        <f t="shared" si="31"/>
        <v>62338</v>
      </c>
      <c r="K130" s="28">
        <v>1594</v>
      </c>
      <c r="L130" s="28">
        <v>6314</v>
      </c>
      <c r="M130" s="28">
        <v>842</v>
      </c>
      <c r="N130" s="28">
        <v>775729</v>
      </c>
      <c r="O130" s="28">
        <v>41352</v>
      </c>
    </row>
    <row r="131" spans="1:15" ht="12.75" customHeight="1">
      <c r="A131" s="4" t="s">
        <v>241</v>
      </c>
      <c r="B131" s="5" t="s">
        <v>242</v>
      </c>
      <c r="C131" s="28">
        <v>127054</v>
      </c>
      <c r="D131" s="28">
        <v>105455</v>
      </c>
      <c r="E131" s="28">
        <v>925</v>
      </c>
      <c r="F131" s="28">
        <f t="shared" si="30"/>
        <v>20674</v>
      </c>
      <c r="G131" s="28">
        <v>280992</v>
      </c>
      <c r="H131" s="28">
        <v>155056</v>
      </c>
      <c r="I131" s="28">
        <v>4475</v>
      </c>
      <c r="J131" s="28">
        <f t="shared" si="31"/>
        <v>121461</v>
      </c>
      <c r="K131" s="28">
        <v>2472</v>
      </c>
      <c r="L131" s="28">
        <v>64</v>
      </c>
      <c r="M131" s="28">
        <v>5604</v>
      </c>
      <c r="N131" s="28">
        <v>975</v>
      </c>
      <c r="O131" s="28">
        <v>975</v>
      </c>
    </row>
    <row r="132" spans="1:15" ht="12.75" customHeight="1">
      <c r="A132" s="4" t="s">
        <v>243</v>
      </c>
      <c r="B132" s="5" t="s">
        <v>244</v>
      </c>
      <c r="C132" s="28">
        <v>53326</v>
      </c>
      <c r="D132" s="28">
        <v>44926</v>
      </c>
      <c r="E132" s="28">
        <v>0</v>
      </c>
      <c r="F132" s="28">
        <f t="shared" si="30"/>
        <v>8400</v>
      </c>
      <c r="G132" s="28">
        <v>155454</v>
      </c>
      <c r="H132" s="28">
        <v>98548</v>
      </c>
      <c r="I132" s="28">
        <v>0</v>
      </c>
      <c r="J132" s="28">
        <f t="shared" si="31"/>
        <v>56906</v>
      </c>
      <c r="K132" s="28">
        <v>7063</v>
      </c>
      <c r="L132" s="28">
        <v>0</v>
      </c>
      <c r="M132" s="28">
        <v>10397</v>
      </c>
      <c r="N132" s="28">
        <v>252</v>
      </c>
      <c r="O132" s="28">
        <v>252</v>
      </c>
    </row>
    <row r="133" spans="1:15" ht="12.75" customHeight="1">
      <c r="A133" s="4" t="s">
        <v>245</v>
      </c>
      <c r="B133" s="5" t="s">
        <v>246</v>
      </c>
      <c r="C133" s="28">
        <v>42733</v>
      </c>
      <c r="D133" s="28">
        <v>38017</v>
      </c>
      <c r="E133" s="28">
        <v>0</v>
      </c>
      <c r="F133" s="28">
        <f t="shared" si="30"/>
        <v>4716</v>
      </c>
      <c r="G133" s="28">
        <v>104163</v>
      </c>
      <c r="H133" s="28">
        <v>78216</v>
      </c>
      <c r="I133" s="28">
        <v>0</v>
      </c>
      <c r="J133" s="28">
        <f t="shared" si="31"/>
        <v>25947</v>
      </c>
      <c r="K133" s="28">
        <v>3160</v>
      </c>
      <c r="L133" s="28">
        <v>470</v>
      </c>
      <c r="M133" s="28">
        <v>7950</v>
      </c>
      <c r="N133" s="28">
        <v>17409</v>
      </c>
      <c r="O133" s="28">
        <v>17409</v>
      </c>
    </row>
    <row r="134" spans="1:15" ht="12.75" customHeight="1">
      <c r="A134" s="4" t="s">
        <v>247</v>
      </c>
      <c r="B134" s="5" t="s">
        <v>248</v>
      </c>
      <c r="C134" s="28">
        <v>37824</v>
      </c>
      <c r="D134" s="28">
        <v>26869</v>
      </c>
      <c r="E134" s="28">
        <v>0</v>
      </c>
      <c r="F134" s="28">
        <f t="shared" si="30"/>
        <v>10955</v>
      </c>
      <c r="G134" s="28">
        <v>142523</v>
      </c>
      <c r="H134" s="28">
        <v>50110</v>
      </c>
      <c r="I134" s="28">
        <v>0</v>
      </c>
      <c r="J134" s="28">
        <f t="shared" si="31"/>
        <v>92413</v>
      </c>
      <c r="K134" s="28">
        <v>238</v>
      </c>
      <c r="L134" s="28">
        <v>0</v>
      </c>
      <c r="M134" s="28">
        <v>11057</v>
      </c>
      <c r="N134" s="28">
        <v>30</v>
      </c>
      <c r="O134" s="28">
        <v>30</v>
      </c>
    </row>
    <row r="135" spans="1:15" ht="12.75" customHeight="1">
      <c r="A135" s="10"/>
      <c r="B135" s="9" t="s">
        <v>249</v>
      </c>
      <c r="C135" s="29">
        <f t="shared" ref="C135:O135" si="32">SUM(C126:C134)</f>
        <v>515527</v>
      </c>
      <c r="D135" s="29">
        <f t="shared" si="32"/>
        <v>417739</v>
      </c>
      <c r="E135" s="29">
        <f t="shared" si="32"/>
        <v>7542</v>
      </c>
      <c r="F135" s="29">
        <f t="shared" si="32"/>
        <v>90246</v>
      </c>
      <c r="G135" s="29">
        <f t="shared" si="32"/>
        <v>1327218</v>
      </c>
      <c r="H135" s="29">
        <f t="shared" si="32"/>
        <v>778321</v>
      </c>
      <c r="I135" s="29">
        <f t="shared" si="32"/>
        <v>35487</v>
      </c>
      <c r="J135" s="29">
        <f t="shared" si="32"/>
        <v>513410</v>
      </c>
      <c r="K135" s="29">
        <f t="shared" si="32"/>
        <v>19574</v>
      </c>
      <c r="L135" s="29">
        <f t="shared" si="32"/>
        <v>6949</v>
      </c>
      <c r="M135" s="29">
        <f t="shared" si="32"/>
        <v>77532</v>
      </c>
      <c r="N135" s="29">
        <f t="shared" si="32"/>
        <v>802948</v>
      </c>
      <c r="O135" s="29">
        <f t="shared" si="32"/>
        <v>68571</v>
      </c>
    </row>
    <row r="136" spans="1:15" ht="12.75" customHeight="1">
      <c r="A136" s="4" t="s">
        <v>250</v>
      </c>
      <c r="B136" s="5" t="s">
        <v>251</v>
      </c>
      <c r="C136" s="28">
        <v>77761</v>
      </c>
      <c r="D136" s="28">
        <v>72838</v>
      </c>
      <c r="E136" s="28">
        <v>0</v>
      </c>
      <c r="F136" s="28">
        <f t="shared" ref="F136:F143" si="33">SUM(C136-D136-E136)</f>
        <v>4923</v>
      </c>
      <c r="G136" s="28">
        <v>171567</v>
      </c>
      <c r="H136" s="28">
        <v>138448</v>
      </c>
      <c r="I136" s="28">
        <v>0</v>
      </c>
      <c r="J136" s="28">
        <f t="shared" ref="J136:J143" si="34">SUM(G136-H136-I136)</f>
        <v>33119</v>
      </c>
      <c r="K136" s="28">
        <v>15561</v>
      </c>
      <c r="L136" s="28">
        <v>7368</v>
      </c>
      <c r="M136" s="28">
        <v>13154</v>
      </c>
      <c r="N136" s="28">
        <v>33250</v>
      </c>
      <c r="O136" s="28">
        <v>29628</v>
      </c>
    </row>
    <row r="137" spans="1:15" ht="12.75" customHeight="1">
      <c r="A137" s="4" t="s">
        <v>252</v>
      </c>
      <c r="B137" s="5" t="s">
        <v>253</v>
      </c>
      <c r="C137" s="28">
        <v>9705</v>
      </c>
      <c r="D137" s="28">
        <v>7348</v>
      </c>
      <c r="E137" s="28">
        <v>0</v>
      </c>
      <c r="F137" s="28">
        <f t="shared" si="33"/>
        <v>2357</v>
      </c>
      <c r="G137" s="28">
        <v>18664</v>
      </c>
      <c r="H137" s="28">
        <v>14005</v>
      </c>
      <c r="I137" s="28">
        <v>0</v>
      </c>
      <c r="J137" s="28">
        <f t="shared" si="34"/>
        <v>4659</v>
      </c>
      <c r="K137" s="28">
        <v>294</v>
      </c>
      <c r="L137" s="28">
        <v>0</v>
      </c>
      <c r="M137" s="28">
        <v>0</v>
      </c>
      <c r="N137" s="28">
        <v>7</v>
      </c>
      <c r="O137" s="28">
        <v>7</v>
      </c>
    </row>
    <row r="138" spans="1:15" ht="12.75" customHeight="1">
      <c r="A138" s="4" t="s">
        <v>254</v>
      </c>
      <c r="B138" s="5" t="s">
        <v>255</v>
      </c>
      <c r="C138" s="28">
        <v>4887</v>
      </c>
      <c r="D138" s="28">
        <v>4416</v>
      </c>
      <c r="E138" s="28">
        <v>0</v>
      </c>
      <c r="F138" s="28">
        <f t="shared" si="33"/>
        <v>471</v>
      </c>
      <c r="G138" s="28">
        <v>11436</v>
      </c>
      <c r="H138" s="28">
        <v>10411</v>
      </c>
      <c r="I138" s="28">
        <v>0</v>
      </c>
      <c r="J138" s="28">
        <f t="shared" si="34"/>
        <v>1025</v>
      </c>
      <c r="K138" s="28">
        <v>100</v>
      </c>
      <c r="L138" s="28">
        <v>0</v>
      </c>
      <c r="M138" s="28">
        <v>722</v>
      </c>
      <c r="N138" s="28">
        <v>1901</v>
      </c>
      <c r="O138" s="28">
        <v>229</v>
      </c>
    </row>
    <row r="139" spans="1:15" ht="12.75" customHeight="1">
      <c r="A139" s="4" t="s">
        <v>256</v>
      </c>
      <c r="B139" s="5" t="s">
        <v>257</v>
      </c>
      <c r="C139" s="28">
        <v>18893</v>
      </c>
      <c r="D139" s="28">
        <v>18495</v>
      </c>
      <c r="E139" s="28">
        <v>0</v>
      </c>
      <c r="F139" s="28">
        <f t="shared" si="33"/>
        <v>398</v>
      </c>
      <c r="G139" s="28">
        <v>48728</v>
      </c>
      <c r="H139" s="28">
        <v>43848</v>
      </c>
      <c r="I139" s="28">
        <v>0</v>
      </c>
      <c r="J139" s="28">
        <f t="shared" si="34"/>
        <v>4880</v>
      </c>
      <c r="K139" s="28">
        <v>10672</v>
      </c>
      <c r="L139" s="28">
        <v>1269</v>
      </c>
      <c r="M139" s="28">
        <v>7332</v>
      </c>
      <c r="N139" s="28">
        <v>1238</v>
      </c>
      <c r="O139" s="28">
        <v>1191</v>
      </c>
    </row>
    <row r="140" spans="1:15" ht="12.75" customHeight="1">
      <c r="A140" s="4" t="s">
        <v>258</v>
      </c>
      <c r="B140" s="5" t="s">
        <v>259</v>
      </c>
      <c r="C140" s="28">
        <v>3643</v>
      </c>
      <c r="D140" s="28">
        <v>2805</v>
      </c>
      <c r="E140" s="28">
        <v>0</v>
      </c>
      <c r="F140" s="28">
        <f t="shared" si="33"/>
        <v>838</v>
      </c>
      <c r="G140" s="28">
        <v>7785</v>
      </c>
      <c r="H140" s="28">
        <v>5541</v>
      </c>
      <c r="I140" s="28">
        <v>0</v>
      </c>
      <c r="J140" s="28">
        <f t="shared" si="34"/>
        <v>2244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16568</v>
      </c>
      <c r="D141" s="28">
        <v>15104</v>
      </c>
      <c r="E141" s="28">
        <v>0</v>
      </c>
      <c r="F141" s="28">
        <f t="shared" si="33"/>
        <v>1464</v>
      </c>
      <c r="G141" s="28">
        <v>36403</v>
      </c>
      <c r="H141" s="28">
        <v>27710</v>
      </c>
      <c r="I141" s="28">
        <v>0</v>
      </c>
      <c r="J141" s="28">
        <f t="shared" si="34"/>
        <v>8693</v>
      </c>
      <c r="K141" s="28">
        <v>4004</v>
      </c>
      <c r="L141" s="28">
        <v>0</v>
      </c>
      <c r="M141" s="28">
        <v>1552</v>
      </c>
      <c r="N141" s="28">
        <v>2286</v>
      </c>
      <c r="O141" s="28">
        <v>2286</v>
      </c>
    </row>
    <row r="142" spans="1:15" ht="12.75" customHeight="1">
      <c r="A142" s="4" t="s">
        <v>262</v>
      </c>
      <c r="B142" s="5" t="s">
        <v>263</v>
      </c>
      <c r="C142" s="28">
        <v>18267</v>
      </c>
      <c r="D142" s="28">
        <v>13640</v>
      </c>
      <c r="E142" s="28">
        <v>0</v>
      </c>
      <c r="F142" s="28">
        <f t="shared" si="33"/>
        <v>4627</v>
      </c>
      <c r="G142" s="28">
        <v>53605</v>
      </c>
      <c r="H142" s="28">
        <v>40768</v>
      </c>
      <c r="I142" s="28">
        <v>0</v>
      </c>
      <c r="J142" s="28">
        <f t="shared" si="34"/>
        <v>12837</v>
      </c>
      <c r="K142" s="28">
        <v>7892</v>
      </c>
      <c r="L142" s="28">
        <v>0</v>
      </c>
      <c r="M142" s="28">
        <v>11067</v>
      </c>
      <c r="N142" s="28">
        <v>5298</v>
      </c>
      <c r="O142" s="28">
        <v>4894</v>
      </c>
    </row>
    <row r="143" spans="1:15" ht="12.75" customHeight="1">
      <c r="A143" s="4" t="s">
        <v>264</v>
      </c>
      <c r="B143" s="5" t="s">
        <v>265</v>
      </c>
      <c r="C143" s="28">
        <v>56344</v>
      </c>
      <c r="D143" s="28">
        <v>47179</v>
      </c>
      <c r="E143" s="28">
        <v>0</v>
      </c>
      <c r="F143" s="28">
        <f t="shared" si="33"/>
        <v>9165</v>
      </c>
      <c r="G143" s="28">
        <v>155426</v>
      </c>
      <c r="H143" s="28">
        <v>76991</v>
      </c>
      <c r="I143" s="28">
        <v>0</v>
      </c>
      <c r="J143" s="28">
        <f t="shared" si="34"/>
        <v>78435</v>
      </c>
      <c r="K143" s="28">
        <v>32647</v>
      </c>
      <c r="L143" s="28">
        <v>0</v>
      </c>
      <c r="M143" s="28">
        <v>11696</v>
      </c>
      <c r="N143" s="28">
        <v>12934</v>
      </c>
      <c r="O143" s="28">
        <v>12172</v>
      </c>
    </row>
    <row r="144" spans="1:15" ht="12.75" customHeight="1">
      <c r="A144" s="10"/>
      <c r="B144" s="9" t="s">
        <v>266</v>
      </c>
      <c r="C144" s="30">
        <f t="shared" ref="C144:O144" si="35">SUM(C136:C143)</f>
        <v>206068</v>
      </c>
      <c r="D144" s="30">
        <f t="shared" si="35"/>
        <v>181825</v>
      </c>
      <c r="E144" s="30">
        <f t="shared" si="35"/>
        <v>0</v>
      </c>
      <c r="F144" s="30">
        <f t="shared" si="35"/>
        <v>24243</v>
      </c>
      <c r="G144" s="30">
        <f t="shared" si="35"/>
        <v>503614</v>
      </c>
      <c r="H144" s="30">
        <f t="shared" si="35"/>
        <v>357722</v>
      </c>
      <c r="I144" s="30">
        <f t="shared" si="35"/>
        <v>0</v>
      </c>
      <c r="J144" s="30">
        <f t="shared" si="35"/>
        <v>145892</v>
      </c>
      <c r="K144" s="30">
        <f t="shared" si="35"/>
        <v>71170</v>
      </c>
      <c r="L144" s="30">
        <f t="shared" si="35"/>
        <v>8637</v>
      </c>
      <c r="M144" s="30">
        <f t="shared" si="35"/>
        <v>45523</v>
      </c>
      <c r="N144" s="30">
        <f t="shared" si="35"/>
        <v>56914</v>
      </c>
      <c r="O144" s="30">
        <f t="shared" si="35"/>
        <v>50407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6529261</v>
      </c>
      <c r="D145" s="31">
        <f t="shared" si="36"/>
        <v>4802115</v>
      </c>
      <c r="E145" s="31">
        <f t="shared" si="36"/>
        <v>207111</v>
      </c>
      <c r="F145" s="31">
        <f t="shared" si="36"/>
        <v>1520035</v>
      </c>
      <c r="G145" s="31">
        <f t="shared" si="36"/>
        <v>19338985</v>
      </c>
      <c r="H145" s="31">
        <f t="shared" si="36"/>
        <v>9882063</v>
      </c>
      <c r="I145" s="31">
        <f t="shared" si="36"/>
        <v>958968</v>
      </c>
      <c r="J145" s="31">
        <f t="shared" si="36"/>
        <v>8497954</v>
      </c>
      <c r="K145" s="31">
        <f t="shared" si="36"/>
        <v>872091</v>
      </c>
      <c r="L145" s="31">
        <f t="shared" si="36"/>
        <v>41878</v>
      </c>
      <c r="M145" s="31">
        <f t="shared" si="36"/>
        <v>1609426</v>
      </c>
      <c r="N145" s="31">
        <f t="shared" si="36"/>
        <v>1581393</v>
      </c>
      <c r="O145" s="31">
        <f t="shared" si="36"/>
        <v>578214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2016-04-27T16:40:18Z</dcterms:modified>
</cp:coreProperties>
</file>