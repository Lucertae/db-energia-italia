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F16"/>
  <c r="J16"/>
  <c r="J23" s="1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F48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J59" s="1"/>
  <c r="F54"/>
  <c r="J54"/>
  <c r="F55"/>
  <c r="J55"/>
  <c r="F56"/>
  <c r="J56"/>
  <c r="F57"/>
  <c r="J57"/>
  <c r="F58"/>
  <c r="J58"/>
  <c r="C59"/>
  <c r="D59"/>
  <c r="E59"/>
  <c r="F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J88"/>
  <c r="C89"/>
  <c r="D89"/>
  <c r="E89"/>
  <c r="F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J97"/>
  <c r="C98"/>
  <c r="D98"/>
  <c r="E98"/>
  <c r="F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J104"/>
  <c r="F105"/>
  <c r="J105"/>
  <c r="J109" s="1"/>
  <c r="F106"/>
  <c r="J106"/>
  <c r="F107"/>
  <c r="J107"/>
  <c r="F108"/>
  <c r="J108"/>
  <c r="C109"/>
  <c r="D109"/>
  <c r="E109"/>
  <c r="F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D145" s="1"/>
  <c r="E135"/>
  <c r="F135"/>
  <c r="G135"/>
  <c r="H135"/>
  <c r="H145" s="1"/>
  <c r="I135"/>
  <c r="K135"/>
  <c r="L135"/>
  <c r="L145" s="1"/>
  <c r="M135"/>
  <c r="N135"/>
  <c r="O135"/>
  <c r="F136"/>
  <c r="F144" s="1"/>
  <c r="J136"/>
  <c r="J144" s="1"/>
  <c r="J145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E144"/>
  <c r="E145" s="1"/>
  <c r="G144"/>
  <c r="G145" s="1"/>
  <c r="H144"/>
  <c r="I144"/>
  <c r="I145" s="1"/>
  <c r="K144"/>
  <c r="K145" s="1"/>
  <c r="L144"/>
  <c r="M144"/>
  <c r="M145" s="1"/>
  <c r="N144"/>
  <c r="O144"/>
  <c r="O145" s="1"/>
  <c r="N145"/>
  <c r="F15" i="2"/>
  <c r="J15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F30" s="1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K43"/>
  <c r="L43"/>
  <c r="M43"/>
  <c r="N43"/>
  <c r="O43"/>
  <c r="F44"/>
  <c r="F46" s="1"/>
  <c r="J44"/>
  <c r="J46" s="1"/>
  <c r="F45"/>
  <c r="J45"/>
  <c r="C46"/>
  <c r="D46"/>
  <c r="E46"/>
  <c r="G46"/>
  <c r="H46"/>
  <c r="I46"/>
  <c r="K46"/>
  <c r="L46"/>
  <c r="M46"/>
  <c r="N46"/>
  <c r="O46"/>
  <c r="F47"/>
  <c r="J47"/>
  <c r="F48"/>
  <c r="J48"/>
  <c r="F49"/>
  <c r="J49"/>
  <c r="F50"/>
  <c r="J50"/>
  <c r="C51"/>
  <c r="D51"/>
  <c r="E51"/>
  <c r="F51"/>
  <c r="G51"/>
  <c r="H51"/>
  <c r="I51"/>
  <c r="J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K69"/>
  <c r="L69"/>
  <c r="M69"/>
  <c r="N69"/>
  <c r="O69"/>
  <c r="F70"/>
  <c r="F80" s="1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J81"/>
  <c r="F82"/>
  <c r="J82"/>
  <c r="J86" s="1"/>
  <c r="F83"/>
  <c r="J83"/>
  <c r="F84"/>
  <c r="J84"/>
  <c r="F85"/>
  <c r="J85"/>
  <c r="C86"/>
  <c r="D86"/>
  <c r="E86"/>
  <c r="F86"/>
  <c r="G86"/>
  <c r="H86"/>
  <c r="I86"/>
  <c r="K86"/>
  <c r="L86"/>
  <c r="M86"/>
  <c r="N86"/>
  <c r="O86"/>
  <c r="F87"/>
  <c r="F89" s="1"/>
  <c r="J87"/>
  <c r="J89" s="1"/>
  <c r="F88"/>
  <c r="J88"/>
  <c r="C89"/>
  <c r="D89"/>
  <c r="E89"/>
  <c r="G89"/>
  <c r="H89"/>
  <c r="I89"/>
  <c r="K89"/>
  <c r="L89"/>
  <c r="M89"/>
  <c r="N89"/>
  <c r="O89"/>
  <c r="F90"/>
  <c r="J90"/>
  <c r="F91"/>
  <c r="J91"/>
  <c r="J95" s="1"/>
  <c r="F92"/>
  <c r="J92"/>
  <c r="F93"/>
  <c r="J93"/>
  <c r="F94"/>
  <c r="J94"/>
  <c r="C95"/>
  <c r="D95"/>
  <c r="E95"/>
  <c r="F95"/>
  <c r="G95"/>
  <c r="H95"/>
  <c r="I95"/>
  <c r="K95"/>
  <c r="L95"/>
  <c r="M95"/>
  <c r="N95"/>
  <c r="O95"/>
  <c r="F96"/>
  <c r="F98" s="1"/>
  <c r="J96"/>
  <c r="J98" s="1"/>
  <c r="F97"/>
  <c r="J97"/>
  <c r="C98"/>
  <c r="D98"/>
  <c r="E98"/>
  <c r="G98"/>
  <c r="H98"/>
  <c r="I98"/>
  <c r="K98"/>
  <c r="L98"/>
  <c r="M98"/>
  <c r="N98"/>
  <c r="O98"/>
  <c r="F99"/>
  <c r="J99"/>
  <c r="F100"/>
  <c r="J100"/>
  <c r="F101"/>
  <c r="J101"/>
  <c r="F102"/>
  <c r="J102"/>
  <c r="C103"/>
  <c r="D103"/>
  <c r="E103"/>
  <c r="F103"/>
  <c r="G103"/>
  <c r="H103"/>
  <c r="I103"/>
  <c r="J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J110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J116"/>
  <c r="K116"/>
  <c r="L116"/>
  <c r="M116"/>
  <c r="N116"/>
  <c r="O116"/>
  <c r="F117"/>
  <c r="J117"/>
  <c r="F118"/>
  <c r="F119" s="1"/>
  <c r="J118"/>
  <c r="C119"/>
  <c r="D119"/>
  <c r="E119"/>
  <c r="G119"/>
  <c r="H119"/>
  <c r="I119"/>
  <c r="J119"/>
  <c r="K119"/>
  <c r="L119"/>
  <c r="M119"/>
  <c r="N119"/>
  <c r="O119"/>
  <c r="F120"/>
  <c r="J120"/>
  <c r="F121"/>
  <c r="J121"/>
  <c r="F122"/>
  <c r="J122"/>
  <c r="F123"/>
  <c r="J123"/>
  <c r="F124"/>
  <c r="J124"/>
  <c r="C125"/>
  <c r="D125"/>
  <c r="E125"/>
  <c r="F125"/>
  <c r="G125"/>
  <c r="H125"/>
  <c r="I125"/>
  <c r="J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K135"/>
  <c r="L135"/>
  <c r="M135"/>
  <c r="N135"/>
  <c r="O135"/>
  <c r="F136"/>
  <c r="J136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F144"/>
  <c r="F145" s="1"/>
  <c r="G144"/>
  <c r="G145" s="1"/>
  <c r="H144"/>
  <c r="H145" s="1"/>
  <c r="I144"/>
  <c r="J144"/>
  <c r="J145" s="1"/>
  <c r="K144"/>
  <c r="K145" s="1"/>
  <c r="L144"/>
  <c r="L145" s="1"/>
  <c r="M144"/>
  <c r="N144"/>
  <c r="N145" s="1"/>
  <c r="O144"/>
  <c r="O145" s="1"/>
  <c r="E145"/>
  <c r="I145"/>
  <c r="M145"/>
  <c r="F145" i="1" l="1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<sst xmlns="http://schemas.openxmlformats.org/spreadsheetml/2006/main" count="544" uniqueCount="271">
  <si>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</si>
  <si>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</si>
  <si>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</si>
  <si>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</si>
  <si>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</si>
  <si>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</si>
  <si>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</si>
  <si>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febbraio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</si>
  <si>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</si>
  <si>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</si>
  <si>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</si>
  <si>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</si>
  <si>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</si>
  <si>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</si>
  <si>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</si>
  <si>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</si>
  <si>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</si>
  <si>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</si>
  <si>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</si>
  <si>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</si>
  <si>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</si>
  <si>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</si>
  <si>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</si>
  <si>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</si>
  <si>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</si>
  <si>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</si>
  <si>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</si>
  <si>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</si>
  <si>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</si>
  <si>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</si>
  <si>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</si>
  <si>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</si>
  <si>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</si>
  <si>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</si>
  <si>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</si>
  <si>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</si>
  <si>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</si>
  <si>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</si>
  <si>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</si>
  <si>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</si>
  <si>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</si>
  <si>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</si>
  <si>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</si>
  <si>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</si>
  <si>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</si>
  <si>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</si>
  <si>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</si>
  <si>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</si>
  <si>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</si>
  <si>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</si>
  <si>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</si>
  <si>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</si>
  <si>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</si>
  <si>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</si>
  <si>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</si>
  <si>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</si>
  <si>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</si>
  <si>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</si>
  <si>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</si>
  <si>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</si>
  <si>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</si>
  <si>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</si>
  <si>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</si>
  <si>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</si>
  <si>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</si>
  <si>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</si>
  <si>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</si>
  <si>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</si>
  <si>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</si>
  <si>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</si>
  <si>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</si>
  <si>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</si>
  <si>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</si>
  <si>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</si>
  <si>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</si>
  <si>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</si>
  <si>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</si>
  <si>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</si>
  <si>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</si>
  <si>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</si>
  <si>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</si>
  <si>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</si>
  <si>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</si>
  <si>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</si>
  <si>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</si>
  <si>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</si>
  <si>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</si>
  <si>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</si>
  <si>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</si>
  <si>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</si>
  <si>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</si>
  <si>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</si>
  <si>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</si>
  <si>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</si>
  <si>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</si>
  <si>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</si>
  <si>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</si>
  <si>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</si>
  <si>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</si>
  <si>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</si>
  <si>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</si>
  <si>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</si>
  <si>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</si>
  <si>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</si>
  <si>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</si>
  <si>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</si>
  <si>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</si>
  <si>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</si>
  <si>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</si>
  <si>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</si>
  <si>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</si>
  <si>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</si>
  <si>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</si>
  <si>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</si>
  <si>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</si>
  <si>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</si>
  <si>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</si>
  <si>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</si>
  <si>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</si>
  <si>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</si>
  <si>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</si>
  <si>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</si>
  <si>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</si>
  <si>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</si>
  <si>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</si>
  <si>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</si>
  <si>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</si>
  <si>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</si>
  <si>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</si>
  <si>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</si>
  <si>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</si>
  <si>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</si>
  <si>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</si>
  <si>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</si>
  <si>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</si>
  <si>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</si>
  <si>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</si>
  <si>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</si>
  <si>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</si>
  <si>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</si>
  <si>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</si>
  <si>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</si>
  <si>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</si>
  <si>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</si>
  <si>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</si>
  <si>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</si>
  <si>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</si>
  <si>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</si>
  <si>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</si>
  <si>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</si>
  <si>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</si>
  <si>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</si>
  <si>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</si>
  <si>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</si>
  <si>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</si>
  <si>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</si>
  <si>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</si>
  <si>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</si>
  <si>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</si>
  <si>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</si>
  <si>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</si>
  <si>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</si>
  <si>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</si>
  <si>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</si>
  <si>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</si>
  <si>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</si>
  <si>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</si>
  <si>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</si>
  <si>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</si>
  <si>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</si>
  <si>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</si>
  <si>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</si>
  <si>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</si>
  <si>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</si>
  <si>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</si>
  <si>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</si>
  <si>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</si>
  <si>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</si>
  <si>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</si>
  <si>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</si>
  <si>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</si>
  <si>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</si>
  <si>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</si>
  <si>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</si>
  <si>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</si>
  <si>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</si>
  <si>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</si>
  <si>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</si>
  <si>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</si>
  <si>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</si>
  <si>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</si>
  <si>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</si>
  <si>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</si>
  <si>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</si>
  <si>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</si>
  <si>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</si>
  <si>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</si>
  <si>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</si>
  <si>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</si>
  <si>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</si>
  <si>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</si>
  <si>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</si>
  <si>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</si>
  <si>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</si>
  <si>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</si>
  <si>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</si>
  <si>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</si>
  <si>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</si>
  <si>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</si>
  <si>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</si>
  <si>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</si>
  <si>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</si>
  <si>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</si>
  <si>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</si>
  <si>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</si>
  <si>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</si>
  <si>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</si>
  <si>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</si>
  <si>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</si>
  <si>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</si>
  <si>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</si>
  <si>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</si>
  <si>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</si>
  <si>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</si>
  <si>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</si>
  <si>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</si>
  <si>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</si>
  <si>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</si>
  <si>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</si>
  <si>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</si>
  <si>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</si>
  <si>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</si>
  <si>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</si>
  <si>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</si>
  <si>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</si>
  <si>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</si>
  <si>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</si>
  <si>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</si>
  <si>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</si>
  <si>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</si>
  <si>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</si>
  <si>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</si>
  <si>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</si>
  <si>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</si>
  <si>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</si>
  <si>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</si>
  <si>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</si>
  <si>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</si>
  <si>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</si>
  <si>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</si>
  <si>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</si>
  <si>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</si>
  <si>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</si>
  <si>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</si>
  <si>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</si>
  <si>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</si>
  <si>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</si>
  <si>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</si>
  <si>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</si>
  <si>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</si>
  <si>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</si>
  <si>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</si>
  <si>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</si>
  <si>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</si>
  <si>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</si>
  <si>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</si>
  <si>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</si>
  <si>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</si>
  <si>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</si>
  <si>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</si>
  <si>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gennaio-febbraio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</si>
</sst>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5243</v>
      </c>
      <c r="D15" s="28">
        <v>3069</v>
      </c>
      <c r="E15" s="28">
        <v>287</v>
      </c>
      <c r="F15" s="28">
        <f t="shared" ref="F15:F22" si="0">SUM(C15-D15-E15)</f>
        <v>1887</v>
      </c>
      <c r="G15" s="28">
        <v>22854</v>
      </c>
      <c r="H15" s="28">
        <v>8096</v>
      </c>
      <c r="I15" s="28">
        <v>2223</v>
      </c>
      <c r="J15" s="28">
        <f t="shared" ref="J15:J22" si="1">SUM(G15-H15-I15)</f>
        <v>12535</v>
      </c>
      <c r="K15" s="28">
        <v>2521</v>
      </c>
      <c r="L15" s="28">
        <v>0</v>
      </c>
      <c r="M15" s="28">
        <v>1385</v>
      </c>
      <c r="N15" s="28">
        <v>761</v>
      </c>
      <c r="O15" s="28">
        <v>761</v>
      </c>
    </row>
    <row r="16" spans="1:15" ht="12.75" customHeight="1">
      <c r="A16" s="4" t="s">
        <v>29</v>
      </c>
      <c r="B16" s="5" t="s">
        <v>30</v>
      </c>
      <c r="C16" s="28">
        <v>2390</v>
      </c>
      <c r="D16" s="28">
        <v>1501</v>
      </c>
      <c r="E16" s="28">
        <v>59</v>
      </c>
      <c r="F16" s="28">
        <f t="shared" si="0"/>
        <v>830</v>
      </c>
      <c r="G16" s="28">
        <v>21410</v>
      </c>
      <c r="H16" s="28">
        <v>3680</v>
      </c>
      <c r="I16" s="28">
        <v>538</v>
      </c>
      <c r="J16" s="28">
        <f t="shared" si="1"/>
        <v>17192</v>
      </c>
      <c r="K16" s="28">
        <v>1190</v>
      </c>
      <c r="L16" s="28">
        <v>0</v>
      </c>
      <c r="M16" s="28">
        <v>2390</v>
      </c>
      <c r="N16" s="28">
        <v>14</v>
      </c>
      <c r="O16" s="28">
        <v>14</v>
      </c>
    </row>
    <row r="17" spans="1:15" ht="12.75" customHeight="1">
      <c r="A17" s="4" t="s">
        <v>31</v>
      </c>
      <c r="B17" s="5" t="s">
        <v>32</v>
      </c>
      <c r="C17" s="28">
        <v>1600</v>
      </c>
      <c r="D17" s="28">
        <v>1440</v>
      </c>
      <c r="E17" s="28">
        <v>0</v>
      </c>
      <c r="F17" s="28">
        <f t="shared" si="0"/>
        <v>160</v>
      </c>
      <c r="G17" s="28">
        <v>3328</v>
      </c>
      <c r="H17" s="28">
        <v>2734</v>
      </c>
      <c r="I17" s="28">
        <v>0</v>
      </c>
      <c r="J17" s="28">
        <f t="shared" si="1"/>
        <v>594</v>
      </c>
      <c r="K17" s="28">
        <v>710</v>
      </c>
      <c r="L17" s="28">
        <v>0</v>
      </c>
      <c r="M17" s="28">
        <v>74</v>
      </c>
      <c r="N17" s="28">
        <v>153</v>
      </c>
      <c r="O17" s="28">
        <v>153</v>
      </c>
    </row>
    <row r="18" spans="1:15" ht="12.75" customHeight="1">
      <c r="A18" s="4" t="s">
        <v>33</v>
      </c>
      <c r="B18" s="5" t="s">
        <v>34</v>
      </c>
      <c r="C18" s="28">
        <v>3873</v>
      </c>
      <c r="D18" s="28">
        <v>3570</v>
      </c>
      <c r="E18" s="28">
        <v>37</v>
      </c>
      <c r="F18" s="28">
        <f t="shared" si="0"/>
        <v>266</v>
      </c>
      <c r="G18" s="28">
        <v>12309</v>
      </c>
      <c r="H18" s="28">
        <v>8863</v>
      </c>
      <c r="I18" s="28">
        <v>369</v>
      </c>
      <c r="J18" s="28">
        <f t="shared" si="1"/>
        <v>3077</v>
      </c>
      <c r="K18" s="28">
        <v>1675</v>
      </c>
      <c r="L18" s="28">
        <v>0</v>
      </c>
      <c r="M18" s="28">
        <v>676</v>
      </c>
      <c r="N18" s="28">
        <v>254</v>
      </c>
      <c r="O18" s="28">
        <v>254</v>
      </c>
    </row>
    <row r="19" spans="1:15" ht="12.75" customHeight="1">
      <c r="A19" s="4" t="s">
        <v>35</v>
      </c>
      <c r="B19" s="5" t="s">
        <v>36</v>
      </c>
      <c r="C19" s="28">
        <v>3419</v>
      </c>
      <c r="D19" s="28">
        <v>3279</v>
      </c>
      <c r="E19" s="28">
        <v>122</v>
      </c>
      <c r="F19" s="28">
        <f t="shared" si="0"/>
        <v>18</v>
      </c>
      <c r="G19" s="28">
        <v>8882</v>
      </c>
      <c r="H19" s="28">
        <v>6951</v>
      </c>
      <c r="I19" s="28">
        <v>849</v>
      </c>
      <c r="J19" s="28">
        <f t="shared" si="1"/>
        <v>1082</v>
      </c>
      <c r="K19" s="28">
        <v>393</v>
      </c>
      <c r="L19" s="28">
        <v>0</v>
      </c>
      <c r="M19" s="28">
        <v>44</v>
      </c>
      <c r="N19" s="28">
        <v>29</v>
      </c>
      <c r="O19" s="28">
        <v>29</v>
      </c>
    </row>
    <row r="20" spans="1:15" ht="12.75" customHeight="1">
      <c r="A20" s="4" t="s">
        <v>37</v>
      </c>
      <c r="B20" s="5" t="s">
        <v>38</v>
      </c>
      <c r="C20" s="28">
        <v>19009</v>
      </c>
      <c r="D20" s="28">
        <v>17678</v>
      </c>
      <c r="E20" s="28">
        <v>460</v>
      </c>
      <c r="F20" s="28">
        <f t="shared" si="0"/>
        <v>871</v>
      </c>
      <c r="G20" s="28">
        <v>43417</v>
      </c>
      <c r="H20" s="28">
        <v>34183</v>
      </c>
      <c r="I20" s="28">
        <v>3009</v>
      </c>
      <c r="J20" s="28">
        <f t="shared" si="1"/>
        <v>6225</v>
      </c>
      <c r="K20" s="28">
        <v>4960</v>
      </c>
      <c r="L20" s="28">
        <v>0</v>
      </c>
      <c r="M20" s="28">
        <v>909</v>
      </c>
      <c r="N20" s="28">
        <v>2207</v>
      </c>
      <c r="O20" s="28">
        <v>2179</v>
      </c>
    </row>
    <row r="21" spans="1:15" ht="12.75" customHeight="1">
      <c r="A21" s="4" t="s">
        <v>39</v>
      </c>
      <c r="B21" s="5" t="s">
        <v>40</v>
      </c>
      <c r="C21" s="28">
        <v>1493</v>
      </c>
      <c r="D21" s="28">
        <v>1458</v>
      </c>
      <c r="E21" s="28">
        <v>0</v>
      </c>
      <c r="F21" s="28">
        <f t="shared" si="0"/>
        <v>35</v>
      </c>
      <c r="G21" s="28">
        <v>2582</v>
      </c>
      <c r="H21" s="28">
        <v>2471</v>
      </c>
      <c r="I21" s="28">
        <v>0</v>
      </c>
      <c r="J21" s="28">
        <f t="shared" si="1"/>
        <v>111</v>
      </c>
      <c r="K21" s="28">
        <v>42</v>
      </c>
      <c r="L21" s="28">
        <v>0</v>
      </c>
      <c r="M21" s="28">
        <v>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1470</v>
      </c>
      <c r="D22" s="28">
        <v>1239</v>
      </c>
      <c r="E22" s="28">
        <v>149</v>
      </c>
      <c r="F22" s="28">
        <f t="shared" si="0"/>
        <v>82</v>
      </c>
      <c r="G22" s="28">
        <v>3967</v>
      </c>
      <c r="H22" s="28">
        <v>2589</v>
      </c>
      <c r="I22" s="28">
        <v>779</v>
      </c>
      <c r="J22" s="28">
        <f t="shared" si="1"/>
        <v>599</v>
      </c>
      <c r="K22" s="28">
        <v>846</v>
      </c>
      <c r="L22" s="28">
        <v>0</v>
      </c>
      <c r="M22" s="28">
        <v>588</v>
      </c>
      <c r="N22" s="28">
        <v>309</v>
      </c>
      <c r="O22" s="28">
        <v>309</v>
      </c>
    </row>
    <row r="23" spans="1:15" ht="12.75" customHeight="1">
      <c r="A23" s="8"/>
      <c r="B23" s="9" t="s">
        <v>43</v>
      </c>
      <c r="C23" s="29">
        <f t="shared" ref="C23:O23" si="2">SUM(C15:C22)</f>
        <v>38497</v>
      </c>
      <c r="D23" s="29">
        <f t="shared" si="2"/>
        <v>33234</v>
      </c>
      <c r="E23" s="29">
        <f t="shared" si="2"/>
        <v>1114</v>
      </c>
      <c r="F23" s="29">
        <f t="shared" si="2"/>
        <v>4149</v>
      </c>
      <c r="G23" s="29">
        <f t="shared" si="2"/>
        <v>118749</v>
      </c>
      <c r="H23" s="29">
        <f t="shared" si="2"/>
        <v>69567</v>
      </c>
      <c r="I23" s="29">
        <f t="shared" si="2"/>
        <v>7767</v>
      </c>
      <c r="J23" s="29">
        <f t="shared" si="2"/>
        <v>41415</v>
      </c>
      <c r="K23" s="29">
        <f t="shared" si="2"/>
        <v>12337</v>
      </c>
      <c r="L23" s="29">
        <f t="shared" si="2"/>
        <v>0</v>
      </c>
      <c r="M23" s="29">
        <f t="shared" si="2"/>
        <v>6066</v>
      </c>
      <c r="N23" s="29">
        <f t="shared" si="2"/>
        <v>3727</v>
      </c>
      <c r="O23" s="29">
        <f t="shared" si="2"/>
        <v>3699</v>
      </c>
    </row>
    <row r="24" spans="1:15" ht="14.25" customHeight="1">
      <c r="A24" s="4" t="s">
        <v>44</v>
      </c>
      <c r="B24" s="5" t="s">
        <v>45</v>
      </c>
      <c r="C24" s="28">
        <v>6578</v>
      </c>
      <c r="D24" s="28">
        <v>1529</v>
      </c>
      <c r="E24" s="28">
        <v>81</v>
      </c>
      <c r="F24" s="28">
        <f>SUM(C24-D24-E24)</f>
        <v>4968</v>
      </c>
      <c r="G24" s="28">
        <v>19828</v>
      </c>
      <c r="H24" s="28">
        <v>2342</v>
      </c>
      <c r="I24" s="28">
        <v>451</v>
      </c>
      <c r="J24" s="28">
        <f>SUM(G24-H24-I24)</f>
        <v>17035</v>
      </c>
      <c r="K24" s="28">
        <v>10829</v>
      </c>
      <c r="L24" s="28">
        <v>0</v>
      </c>
      <c r="M24" s="28">
        <v>889</v>
      </c>
      <c r="N24" s="28">
        <v>1558</v>
      </c>
      <c r="O24" s="28">
        <v>1558</v>
      </c>
    </row>
    <row r="25" spans="1:15" ht="14.25" customHeight="1">
      <c r="A25" s="10"/>
      <c r="B25" s="9" t="s">
        <v>46</v>
      </c>
      <c r="C25" s="29">
        <f t="shared" ref="C25:O25" si="3">SUM(C24)</f>
        <v>6578</v>
      </c>
      <c r="D25" s="29">
        <f t="shared" si="3"/>
        <v>1529</v>
      </c>
      <c r="E25" s="29">
        <f t="shared" si="3"/>
        <v>81</v>
      </c>
      <c r="F25" s="29">
        <f t="shared" si="3"/>
        <v>4968</v>
      </c>
      <c r="G25" s="29">
        <f t="shared" si="3"/>
        <v>19828</v>
      </c>
      <c r="H25" s="29">
        <f t="shared" si="3"/>
        <v>2342</v>
      </c>
      <c r="I25" s="29">
        <f t="shared" si="3"/>
        <v>451</v>
      </c>
      <c r="J25" s="29">
        <f t="shared" si="3"/>
        <v>17035</v>
      </c>
      <c r="K25" s="29">
        <f t="shared" si="3"/>
        <v>10829</v>
      </c>
      <c r="L25" s="29">
        <f t="shared" si="3"/>
        <v>0</v>
      </c>
      <c r="M25" s="29">
        <f t="shared" si="3"/>
        <v>889</v>
      </c>
      <c r="N25" s="29">
        <f t="shared" si="3"/>
        <v>1558</v>
      </c>
      <c r="O25" s="29">
        <f t="shared" si="3"/>
        <v>1558</v>
      </c>
    </row>
    <row r="26" spans="1:15" ht="12.75" customHeight="1">
      <c r="A26" s="4" t="s">
        <v>47</v>
      </c>
      <c r="B26" s="5" t="s">
        <v>48</v>
      </c>
      <c r="C26" s="28">
        <v>11523</v>
      </c>
      <c r="D26" s="28">
        <v>5879</v>
      </c>
      <c r="E26" s="28">
        <v>299</v>
      </c>
      <c r="F26" s="28">
        <f>SUM(C26-D26-E26)</f>
        <v>5345</v>
      </c>
      <c r="G26" s="28">
        <v>28157</v>
      </c>
      <c r="H26" s="28">
        <v>9761</v>
      </c>
      <c r="I26" s="28">
        <v>1316</v>
      </c>
      <c r="J26" s="28">
        <f>SUM(G26-H26-I26)</f>
        <v>17080</v>
      </c>
      <c r="K26" s="28">
        <v>4022</v>
      </c>
      <c r="L26" s="28">
        <v>19</v>
      </c>
      <c r="M26" s="28">
        <v>1149</v>
      </c>
      <c r="N26" s="28">
        <v>643</v>
      </c>
      <c r="O26" s="28">
        <v>643</v>
      </c>
    </row>
    <row r="27" spans="1:15" ht="12.75" customHeight="1">
      <c r="A27" s="4" t="s">
        <v>49</v>
      </c>
      <c r="B27" s="5" t="s">
        <v>50</v>
      </c>
      <c r="C27" s="28">
        <v>1980</v>
      </c>
      <c r="D27" s="28">
        <v>1865</v>
      </c>
      <c r="E27" s="28">
        <v>99</v>
      </c>
      <c r="F27" s="28">
        <f>SUM(C27-D27-E27)</f>
        <v>16</v>
      </c>
      <c r="G27" s="28">
        <v>4323</v>
      </c>
      <c r="H27" s="28">
        <v>2614</v>
      </c>
      <c r="I27" s="28">
        <v>392</v>
      </c>
      <c r="J27" s="28">
        <f>SUM(G27-H27-I27)</f>
        <v>1317</v>
      </c>
      <c r="K27" s="28">
        <v>1759</v>
      </c>
      <c r="L27" s="28">
        <v>0</v>
      </c>
      <c r="M27" s="28">
        <v>241</v>
      </c>
      <c r="N27" s="28">
        <v>283</v>
      </c>
      <c r="O27" s="28">
        <v>283</v>
      </c>
    </row>
    <row r="28" spans="1:15" ht="12.75" customHeight="1">
      <c r="A28" s="4" t="s">
        <v>51</v>
      </c>
      <c r="B28" s="5" t="s">
        <v>52</v>
      </c>
      <c r="C28" s="28">
        <v>2074</v>
      </c>
      <c r="D28" s="28">
        <v>1669</v>
      </c>
      <c r="E28" s="28">
        <v>125</v>
      </c>
      <c r="F28" s="28">
        <f>SUM(C28-D28-E28)</f>
        <v>280</v>
      </c>
      <c r="G28" s="28">
        <v>5907</v>
      </c>
      <c r="H28" s="28">
        <v>3381</v>
      </c>
      <c r="I28" s="28">
        <v>1013</v>
      </c>
      <c r="J28" s="28">
        <f>SUM(G28-H28-I28)</f>
        <v>1513</v>
      </c>
      <c r="K28" s="28">
        <v>747</v>
      </c>
      <c r="L28" s="28">
        <v>804</v>
      </c>
      <c r="M28" s="28">
        <v>43</v>
      </c>
      <c r="N28" s="28">
        <v>1759</v>
      </c>
      <c r="O28" s="28">
        <v>1759</v>
      </c>
    </row>
    <row r="29" spans="1:15" ht="12.75" customHeight="1">
      <c r="A29" s="4" t="s">
        <v>53</v>
      </c>
      <c r="B29" s="5" t="s">
        <v>54</v>
      </c>
      <c r="C29" s="28">
        <v>2656</v>
      </c>
      <c r="D29" s="28">
        <v>2335</v>
      </c>
      <c r="E29" s="28">
        <v>234</v>
      </c>
      <c r="F29" s="28">
        <f>SUM(C29-D29-E29)</f>
        <v>87</v>
      </c>
      <c r="G29" s="28">
        <v>5816</v>
      </c>
      <c r="H29" s="28">
        <v>4562</v>
      </c>
      <c r="I29" s="28">
        <v>1109</v>
      </c>
      <c r="J29" s="28">
        <f>SUM(G29-H29-I29)</f>
        <v>145</v>
      </c>
      <c r="K29" s="28">
        <v>288</v>
      </c>
      <c r="L29" s="28">
        <v>24</v>
      </c>
      <c r="M29" s="28">
        <v>0</v>
      </c>
      <c r="N29" s="28">
        <v>61</v>
      </c>
      <c r="O29" s="28">
        <v>61</v>
      </c>
    </row>
    <row r="30" spans="1:15" ht="12.75" customHeight="1">
      <c r="A30" s="8"/>
      <c r="B30" s="9" t="s">
        <v>55</v>
      </c>
      <c r="C30" s="29">
        <f t="shared" ref="C30:O30" si="4">SUM(C26:C29)</f>
        <v>18233</v>
      </c>
      <c r="D30" s="29">
        <f t="shared" si="4"/>
        <v>11748</v>
      </c>
      <c r="E30" s="29">
        <f t="shared" si="4"/>
        <v>757</v>
      </c>
      <c r="F30" s="29">
        <f t="shared" si="4"/>
        <v>5728</v>
      </c>
      <c r="G30" s="29">
        <f t="shared" si="4"/>
        <v>44203</v>
      </c>
      <c r="H30" s="29">
        <f t="shared" si="4"/>
        <v>20318</v>
      </c>
      <c r="I30" s="29">
        <f t="shared" si="4"/>
        <v>3830</v>
      </c>
      <c r="J30" s="29">
        <f t="shared" si="4"/>
        <v>20055</v>
      </c>
      <c r="K30" s="29">
        <f t="shared" si="4"/>
        <v>6816</v>
      </c>
      <c r="L30" s="29">
        <f t="shared" si="4"/>
        <v>847</v>
      </c>
      <c r="M30" s="29">
        <f t="shared" si="4"/>
        <v>1433</v>
      </c>
      <c r="N30" s="29">
        <f t="shared" si="4"/>
        <v>2746</v>
      </c>
      <c r="O30" s="29">
        <f t="shared" si="4"/>
        <v>2746</v>
      </c>
    </row>
    <row r="31" spans="1:15" ht="12.75" customHeight="1">
      <c r="A31" s="4" t="s">
        <v>56</v>
      </c>
      <c r="B31" s="5" t="s">
        <v>57</v>
      </c>
      <c r="C31" s="28">
        <v>9713</v>
      </c>
      <c r="D31" s="28">
        <v>8842</v>
      </c>
      <c r="E31" s="28">
        <v>147</v>
      </c>
      <c r="F31" s="28">
        <f t="shared" ref="F31:F42" si="5">SUM(C31-D31-E31)</f>
        <v>724</v>
      </c>
      <c r="G31" s="28">
        <v>25508</v>
      </c>
      <c r="H31" s="28">
        <v>17472</v>
      </c>
      <c r="I31" s="28">
        <v>747</v>
      </c>
      <c r="J31" s="28">
        <f t="shared" ref="J31:J42" si="6">SUM(G31-H31-I31)</f>
        <v>7289</v>
      </c>
      <c r="K31" s="28">
        <v>1116</v>
      </c>
      <c r="L31" s="28">
        <v>0</v>
      </c>
      <c r="M31" s="28">
        <v>233</v>
      </c>
      <c r="N31" s="28">
        <v>311</v>
      </c>
      <c r="O31" s="28">
        <v>311</v>
      </c>
    </row>
    <row r="32" spans="1:15" ht="12.75" customHeight="1">
      <c r="A32" s="4" t="s">
        <v>58</v>
      </c>
      <c r="B32" s="5" t="s">
        <v>59</v>
      </c>
      <c r="C32" s="28">
        <v>11436</v>
      </c>
      <c r="D32" s="28">
        <v>10118</v>
      </c>
      <c r="E32" s="28">
        <v>386</v>
      </c>
      <c r="F32" s="28">
        <f t="shared" si="5"/>
        <v>932</v>
      </c>
      <c r="G32" s="28">
        <v>44375</v>
      </c>
      <c r="H32" s="28">
        <v>23986</v>
      </c>
      <c r="I32" s="28">
        <v>2748</v>
      </c>
      <c r="J32" s="28">
        <f t="shared" si="6"/>
        <v>17641</v>
      </c>
      <c r="K32" s="28">
        <v>2639</v>
      </c>
      <c r="L32" s="28">
        <v>0</v>
      </c>
      <c r="M32" s="28">
        <v>3850</v>
      </c>
      <c r="N32" s="28">
        <v>728</v>
      </c>
      <c r="O32" s="28">
        <v>728</v>
      </c>
    </row>
    <row r="33" spans="1:256" ht="12.75" customHeight="1">
      <c r="A33" s="4" t="s">
        <v>60</v>
      </c>
      <c r="B33" s="5" t="s">
        <v>61</v>
      </c>
      <c r="C33" s="28">
        <v>5952</v>
      </c>
      <c r="D33" s="28">
        <v>5002</v>
      </c>
      <c r="E33" s="28">
        <v>132</v>
      </c>
      <c r="F33" s="28">
        <f t="shared" si="5"/>
        <v>818</v>
      </c>
      <c r="G33" s="28">
        <v>22311</v>
      </c>
      <c r="H33" s="28">
        <v>6754</v>
      </c>
      <c r="I33" s="28">
        <v>448</v>
      </c>
      <c r="J33" s="28">
        <f t="shared" si="6"/>
        <v>15109</v>
      </c>
      <c r="K33" s="28">
        <v>4806</v>
      </c>
      <c r="L33" s="28">
        <v>0</v>
      </c>
      <c r="M33" s="28">
        <v>1981</v>
      </c>
      <c r="N33" s="28">
        <v>592</v>
      </c>
      <c r="O33" s="28">
        <v>592</v>
      </c>
    </row>
    <row r="34" spans="1:256" ht="12.75" customHeight="1">
      <c r="A34" s="4" t="s">
        <v>62</v>
      </c>
      <c r="B34" s="5" t="s">
        <v>63</v>
      </c>
      <c r="C34" s="28">
        <v>6497</v>
      </c>
      <c r="D34" s="28">
        <v>2396</v>
      </c>
      <c r="E34" s="28">
        <v>26</v>
      </c>
      <c r="F34" s="28">
        <f t="shared" si="5"/>
        <v>4075</v>
      </c>
      <c r="G34" s="28">
        <v>16240</v>
      </c>
      <c r="H34" s="28">
        <v>5550</v>
      </c>
      <c r="I34" s="28">
        <v>183</v>
      </c>
      <c r="J34" s="28">
        <f t="shared" si="6"/>
        <v>10507</v>
      </c>
      <c r="K34" s="28">
        <v>1089</v>
      </c>
      <c r="L34" s="28">
        <v>0</v>
      </c>
      <c r="M34" s="28">
        <v>2098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2988</v>
      </c>
      <c r="D35" s="28">
        <v>2954</v>
      </c>
      <c r="E35" s="28">
        <v>0</v>
      </c>
      <c r="F35" s="28">
        <f t="shared" si="5"/>
        <v>34</v>
      </c>
      <c r="G35" s="28">
        <v>5667</v>
      </c>
      <c r="H35" s="28">
        <v>5014</v>
      </c>
      <c r="I35" s="28">
        <v>0</v>
      </c>
      <c r="J35" s="28">
        <f t="shared" si="6"/>
        <v>653</v>
      </c>
      <c r="K35" s="28">
        <v>180</v>
      </c>
      <c r="L35" s="28">
        <v>0</v>
      </c>
      <c r="M35" s="28">
        <v>6</v>
      </c>
      <c r="N35" s="28">
        <v>355</v>
      </c>
      <c r="O35" s="28">
        <v>355</v>
      </c>
    </row>
    <row r="36" spans="1:256" ht="12.75" customHeight="1">
      <c r="A36" s="4" t="s">
        <v>66</v>
      </c>
      <c r="B36" s="5" t="s">
        <v>67</v>
      </c>
      <c r="C36" s="28">
        <v>1833</v>
      </c>
      <c r="D36" s="28">
        <v>1561</v>
      </c>
      <c r="E36" s="28">
        <v>106</v>
      </c>
      <c r="F36" s="28">
        <f t="shared" si="5"/>
        <v>166</v>
      </c>
      <c r="G36" s="28">
        <v>5548</v>
      </c>
      <c r="H36" s="28">
        <v>4037</v>
      </c>
      <c r="I36" s="28">
        <v>924</v>
      </c>
      <c r="J36" s="28">
        <f t="shared" si="6"/>
        <v>587</v>
      </c>
      <c r="K36" s="28">
        <v>70</v>
      </c>
      <c r="L36" s="28">
        <v>0</v>
      </c>
      <c r="M36" s="28">
        <v>59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3008</v>
      </c>
      <c r="D37" s="28">
        <v>2771</v>
      </c>
      <c r="E37" s="28">
        <v>45</v>
      </c>
      <c r="F37" s="28">
        <f t="shared" si="5"/>
        <v>192</v>
      </c>
      <c r="G37" s="28">
        <v>18252</v>
      </c>
      <c r="H37" s="28">
        <v>7003</v>
      </c>
      <c r="I37" s="28">
        <v>238</v>
      </c>
      <c r="J37" s="28">
        <f t="shared" si="6"/>
        <v>11011</v>
      </c>
      <c r="K37" s="28">
        <v>1471</v>
      </c>
      <c r="L37" s="28">
        <v>0</v>
      </c>
      <c r="M37" s="28">
        <v>2566</v>
      </c>
      <c r="N37" s="28">
        <v>187</v>
      </c>
      <c r="O37" s="28">
        <v>187</v>
      </c>
    </row>
    <row r="38" spans="1:256" ht="12.75" customHeight="1">
      <c r="A38" s="4" t="s">
        <v>70</v>
      </c>
      <c r="B38" s="5" t="s">
        <v>71</v>
      </c>
      <c r="C38" s="28">
        <v>45066</v>
      </c>
      <c r="D38" s="28">
        <v>34605</v>
      </c>
      <c r="E38" s="28">
        <v>1211</v>
      </c>
      <c r="F38" s="28">
        <f t="shared" si="5"/>
        <v>9250</v>
      </c>
      <c r="G38" s="28">
        <v>134078</v>
      </c>
      <c r="H38" s="28">
        <v>57483</v>
      </c>
      <c r="I38" s="28">
        <v>5750</v>
      </c>
      <c r="J38" s="28">
        <f t="shared" si="6"/>
        <v>70845</v>
      </c>
      <c r="K38" s="28">
        <v>26806</v>
      </c>
      <c r="L38" s="28">
        <v>107</v>
      </c>
      <c r="M38" s="28">
        <v>7554</v>
      </c>
      <c r="N38" s="28">
        <v>38554</v>
      </c>
      <c r="O38" s="28">
        <v>6020</v>
      </c>
    </row>
    <row r="39" spans="1:256" ht="12.75" customHeight="1">
      <c r="A39" s="4" t="s">
        <v>72</v>
      </c>
      <c r="B39" s="5" t="s">
        <v>73</v>
      </c>
      <c r="C39" s="28">
        <v>4487</v>
      </c>
      <c r="D39" s="28">
        <v>4115</v>
      </c>
      <c r="E39" s="28">
        <v>214</v>
      </c>
      <c r="F39" s="28">
        <f t="shared" si="5"/>
        <v>158</v>
      </c>
      <c r="G39" s="28">
        <v>8788</v>
      </c>
      <c r="H39" s="28">
        <v>6720</v>
      </c>
      <c r="I39" s="28">
        <v>1313</v>
      </c>
      <c r="J39" s="28">
        <f t="shared" si="6"/>
        <v>755</v>
      </c>
      <c r="K39" s="28">
        <v>241</v>
      </c>
      <c r="L39" s="28">
        <v>0</v>
      </c>
      <c r="M39" s="28">
        <v>1</v>
      </c>
      <c r="N39" s="28">
        <v>9</v>
      </c>
      <c r="O39" s="28">
        <v>9</v>
      </c>
    </row>
    <row r="40" spans="1:256" ht="12.75" customHeight="1">
      <c r="A40" s="4" t="s">
        <v>74</v>
      </c>
      <c r="B40" s="5" t="s">
        <v>75</v>
      </c>
      <c r="C40" s="28">
        <v>4773</v>
      </c>
      <c r="D40" s="28">
        <v>4241</v>
      </c>
      <c r="E40" s="28">
        <v>110</v>
      </c>
      <c r="F40" s="28">
        <f t="shared" si="5"/>
        <v>422</v>
      </c>
      <c r="G40" s="28">
        <v>14266</v>
      </c>
      <c r="H40" s="28">
        <v>8594</v>
      </c>
      <c r="I40" s="28">
        <v>932</v>
      </c>
      <c r="J40" s="28">
        <f t="shared" si="6"/>
        <v>4740</v>
      </c>
      <c r="K40" s="28">
        <v>727</v>
      </c>
      <c r="L40" s="28">
        <v>0</v>
      </c>
      <c r="M40" s="28">
        <v>1563</v>
      </c>
      <c r="N40" s="28">
        <v>81</v>
      </c>
      <c r="O40" s="28">
        <v>81</v>
      </c>
    </row>
    <row r="41" spans="1:256" ht="12.75" customHeight="1">
      <c r="A41" s="4" t="s">
        <v>76</v>
      </c>
      <c r="B41" s="5" t="s">
        <v>77</v>
      </c>
      <c r="C41" s="28">
        <v>1911</v>
      </c>
      <c r="D41" s="28">
        <v>1623</v>
      </c>
      <c r="E41" s="28">
        <v>0</v>
      </c>
      <c r="F41" s="28">
        <f t="shared" si="5"/>
        <v>288</v>
      </c>
      <c r="G41" s="28">
        <v>5743</v>
      </c>
      <c r="H41" s="28">
        <v>3484</v>
      </c>
      <c r="I41" s="28">
        <v>0</v>
      </c>
      <c r="J41" s="28">
        <f t="shared" si="6"/>
        <v>2259</v>
      </c>
      <c r="K41" s="28">
        <v>1073</v>
      </c>
      <c r="L41" s="28">
        <v>0</v>
      </c>
      <c r="M41" s="28">
        <v>56</v>
      </c>
      <c r="N41" s="28">
        <v>250</v>
      </c>
      <c r="O41" s="28">
        <v>250</v>
      </c>
    </row>
    <row r="42" spans="1:256" ht="12.75" customHeight="1">
      <c r="A42" s="4" t="s">
        <v>78</v>
      </c>
      <c r="B42" s="5" t="s">
        <v>79</v>
      </c>
      <c r="C42" s="28">
        <v>9925</v>
      </c>
      <c r="D42" s="28">
        <v>8421</v>
      </c>
      <c r="E42" s="28">
        <v>220</v>
      </c>
      <c r="F42" s="28">
        <f t="shared" si="5"/>
        <v>1284</v>
      </c>
      <c r="G42" s="28">
        <v>16895</v>
      </c>
      <c r="H42" s="28">
        <v>12494</v>
      </c>
      <c r="I42" s="28">
        <v>586</v>
      </c>
      <c r="J42" s="28">
        <f t="shared" si="6"/>
        <v>3815</v>
      </c>
      <c r="K42" s="28">
        <v>777</v>
      </c>
      <c r="L42" s="28">
        <v>0</v>
      </c>
      <c r="M42" s="28">
        <v>9</v>
      </c>
      <c r="N42" s="28">
        <v>80</v>
      </c>
      <c r="O42" s="28">
        <v>80</v>
      </c>
    </row>
    <row r="43" spans="1:256" ht="12.75" customHeight="1">
      <c r="A43" s="8"/>
      <c r="B43" s="9" t="s">
        <v>80</v>
      </c>
      <c r="C43" s="29">
        <f t="shared" ref="C43:O43" si="7">SUM(C31:C42)</f>
        <v>107589</v>
      </c>
      <c r="D43" s="29">
        <f t="shared" si="7"/>
        <v>86649</v>
      </c>
      <c r="E43" s="29">
        <f t="shared" si="7"/>
        <v>2597</v>
      </c>
      <c r="F43" s="29">
        <f t="shared" si="7"/>
        <v>18343</v>
      </c>
      <c r="G43" s="29">
        <f t="shared" si="7"/>
        <v>317671</v>
      </c>
      <c r="H43" s="29">
        <f t="shared" si="7"/>
        <v>158591</v>
      </c>
      <c r="I43" s="29">
        <f t="shared" si="7"/>
        <v>13869</v>
      </c>
      <c r="J43" s="29">
        <f t="shared" si="7"/>
        <v>145211</v>
      </c>
      <c r="K43" s="29">
        <f t="shared" si="7"/>
        <v>40995</v>
      </c>
      <c r="L43" s="29">
        <f t="shared" si="7"/>
        <v>107</v>
      </c>
      <c r="M43" s="29">
        <f t="shared" si="7"/>
        <v>19976</v>
      </c>
      <c r="N43" s="29">
        <f t="shared" si="7"/>
        <v>41147</v>
      </c>
      <c r="O43" s="29">
        <f t="shared" si="7"/>
        <v>8613</v>
      </c>
    </row>
    <row r="44" spans="1:256" ht="12.75" customHeight="1">
      <c r="A44" s="4" t="s">
        <v>81</v>
      </c>
      <c r="B44" s="5" t="s">
        <v>82</v>
      </c>
      <c r="C44" s="28">
        <v>4935</v>
      </c>
      <c r="D44" s="28">
        <v>3808</v>
      </c>
      <c r="E44" s="28">
        <v>98</v>
      </c>
      <c r="F44" s="28">
        <f>SUM(C44-D44-E44)</f>
        <v>1029</v>
      </c>
      <c r="G44" s="28">
        <v>19677</v>
      </c>
      <c r="H44" s="28">
        <v>10031</v>
      </c>
      <c r="I44" s="28">
        <v>471</v>
      </c>
      <c r="J44" s="28">
        <f>SUM(G44-H44-I44)</f>
        <v>9175</v>
      </c>
      <c r="K44" s="28">
        <v>5155</v>
      </c>
      <c r="L44" s="28">
        <v>0</v>
      </c>
      <c r="M44" s="28">
        <v>1138</v>
      </c>
      <c r="N44" s="28">
        <v>145</v>
      </c>
      <c r="O44" s="28">
        <v>145</v>
      </c>
    </row>
    <row r="45" spans="1:256" ht="12.75" customHeight="1">
      <c r="A45" s="4" t="s">
        <v>83</v>
      </c>
      <c r="B45" s="5" t="s">
        <v>84</v>
      </c>
      <c r="C45" s="28">
        <v>5284</v>
      </c>
      <c r="D45" s="28">
        <v>4396</v>
      </c>
      <c r="E45" s="28">
        <v>120</v>
      </c>
      <c r="F45" s="28">
        <f>SUM(C45-D45-E45)</f>
        <v>768</v>
      </c>
      <c r="G45" s="28">
        <v>23410</v>
      </c>
      <c r="H45" s="28">
        <v>10812</v>
      </c>
      <c r="I45" s="28">
        <v>901</v>
      </c>
      <c r="J45" s="28">
        <f>SUM(G45-H45-I45)</f>
        <v>11697</v>
      </c>
      <c r="K45" s="28">
        <v>7075</v>
      </c>
      <c r="L45" s="28">
        <v>0</v>
      </c>
      <c r="M45" s="28">
        <v>2194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10219</v>
      </c>
      <c r="D46" s="29">
        <f t="shared" si="8"/>
        <v>8204</v>
      </c>
      <c r="E46" s="29">
        <f t="shared" si="8"/>
        <v>218</v>
      </c>
      <c r="F46" s="29">
        <f t="shared" si="8"/>
        <v>1797</v>
      </c>
      <c r="G46" s="29">
        <f t="shared" si="8"/>
        <v>43087</v>
      </c>
      <c r="H46" s="29">
        <f t="shared" si="8"/>
        <v>20843</v>
      </c>
      <c r="I46" s="29">
        <f t="shared" si="8"/>
        <v>1372</v>
      </c>
      <c r="J46" s="29">
        <f t="shared" si="8"/>
        <v>20872</v>
      </c>
      <c r="K46" s="29">
        <f t="shared" si="8"/>
        <v>12230</v>
      </c>
      <c r="L46" s="29">
        <f t="shared" si="8"/>
        <v>0</v>
      </c>
      <c r="M46" s="29">
        <f t="shared" si="8"/>
        <v>3332</v>
      </c>
      <c r="N46" s="29">
        <f t="shared" si="8"/>
        <v>145</v>
      </c>
      <c r="O46" s="29">
        <f t="shared" si="8"/>
        <v>145</v>
      </c>
    </row>
    <row r="47" spans="1:256" ht="12.75" customHeight="1">
      <c r="A47" s="4" t="s">
        <v>86</v>
      </c>
      <c r="B47" s="5" t="s">
        <v>87</v>
      </c>
      <c r="C47" s="28">
        <v>1357</v>
      </c>
      <c r="D47" s="28">
        <v>1165</v>
      </c>
      <c r="E47" s="28">
        <v>0</v>
      </c>
      <c r="F47" s="28">
        <f>SUM(C47-D47-E47)</f>
        <v>192</v>
      </c>
      <c r="G47" s="28">
        <v>1251</v>
      </c>
      <c r="H47" s="28">
        <v>834</v>
      </c>
      <c r="I47" s="28">
        <v>0</v>
      </c>
      <c r="J47" s="28">
        <f>SUM(G47-H47-I47)</f>
        <v>417</v>
      </c>
      <c r="K47" s="28">
        <v>205</v>
      </c>
      <c r="L47" s="28">
        <v>8</v>
      </c>
      <c r="M47" s="28">
        <v>31</v>
      </c>
      <c r="N47" s="28">
        <v>105</v>
      </c>
      <c r="O47" s="28">
        <v>105</v>
      </c>
    </row>
    <row r="48" spans="1:256" ht="12.75" customHeight="1">
      <c r="A48" s="4" t="s">
        <v>88</v>
      </c>
      <c r="B48" s="5" t="s">
        <v>89</v>
      </c>
      <c r="C48" s="28">
        <v>2829</v>
      </c>
      <c r="D48" s="28">
        <v>2613</v>
      </c>
      <c r="E48" s="28">
        <v>31</v>
      </c>
      <c r="F48" s="28">
        <f>SUM(C48-D48-E48)</f>
        <v>185</v>
      </c>
      <c r="G48" s="28">
        <v>4983</v>
      </c>
      <c r="H48" s="28">
        <v>4456</v>
      </c>
      <c r="I48" s="28">
        <v>97</v>
      </c>
      <c r="J48" s="28">
        <f>SUM(G48-H48-I48)</f>
        <v>430</v>
      </c>
      <c r="K48" s="28">
        <v>325</v>
      </c>
      <c r="L48" s="28">
        <v>0</v>
      </c>
      <c r="M48" s="28">
        <v>62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1431</v>
      </c>
      <c r="D49" s="28">
        <v>1334</v>
      </c>
      <c r="E49" s="28">
        <v>65</v>
      </c>
      <c r="F49" s="28">
        <f>SUM(C49-D49-E49)</f>
        <v>32</v>
      </c>
      <c r="G49" s="28">
        <v>1298</v>
      </c>
      <c r="H49" s="28">
        <v>1081</v>
      </c>
      <c r="I49" s="28">
        <v>178</v>
      </c>
      <c r="J49" s="28">
        <f>SUM(G49-H49-I49)</f>
        <v>39</v>
      </c>
      <c r="K49" s="28">
        <v>2307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7671</v>
      </c>
      <c r="D50" s="28">
        <v>7270</v>
      </c>
      <c r="E50" s="28">
        <v>86</v>
      </c>
      <c r="F50" s="28">
        <f>SUM(C50-D50-E50)</f>
        <v>315</v>
      </c>
      <c r="G50" s="28">
        <v>17901</v>
      </c>
      <c r="H50" s="28">
        <v>11729</v>
      </c>
      <c r="I50" s="28">
        <v>501</v>
      </c>
      <c r="J50" s="28">
        <f>SUM(G50-H50-I50)</f>
        <v>5671</v>
      </c>
      <c r="K50" s="28">
        <v>3308</v>
      </c>
      <c r="L50" s="28">
        <v>71</v>
      </c>
      <c r="M50" s="28">
        <v>2068</v>
      </c>
      <c r="N50" s="28">
        <v>89</v>
      </c>
      <c r="O50" s="28">
        <v>89</v>
      </c>
    </row>
    <row r="51" spans="1:15" ht="12.75" customHeight="1">
      <c r="A51" s="8"/>
      <c r="B51" s="9" t="s">
        <v>94</v>
      </c>
      <c r="C51" s="29">
        <f t="shared" ref="C51:O51" si="9">SUM(C47:C50)</f>
        <v>13288</v>
      </c>
      <c r="D51" s="29">
        <f t="shared" si="9"/>
        <v>12382</v>
      </c>
      <c r="E51" s="29">
        <f t="shared" si="9"/>
        <v>182</v>
      </c>
      <c r="F51" s="29">
        <f t="shared" si="9"/>
        <v>724</v>
      </c>
      <c r="G51" s="29">
        <f t="shared" si="9"/>
        <v>25433</v>
      </c>
      <c r="H51" s="29">
        <f t="shared" si="9"/>
        <v>18100</v>
      </c>
      <c r="I51" s="29">
        <f t="shared" si="9"/>
        <v>776</v>
      </c>
      <c r="J51" s="29">
        <f t="shared" si="9"/>
        <v>6557</v>
      </c>
      <c r="K51" s="29">
        <f t="shared" si="9"/>
        <v>6145</v>
      </c>
      <c r="L51" s="29">
        <f t="shared" si="9"/>
        <v>170</v>
      </c>
      <c r="M51" s="29">
        <f t="shared" si="9"/>
        <v>2161</v>
      </c>
      <c r="N51" s="29">
        <f t="shared" si="9"/>
        <v>194</v>
      </c>
      <c r="O51" s="29">
        <f t="shared" si="9"/>
        <v>194</v>
      </c>
    </row>
    <row r="52" spans="1:15" ht="12.75" customHeight="1">
      <c r="A52" s="4" t="s">
        <v>95</v>
      </c>
      <c r="B52" s="5" t="s">
        <v>96</v>
      </c>
      <c r="C52" s="28">
        <v>1370</v>
      </c>
      <c r="D52" s="28">
        <v>1230</v>
      </c>
      <c r="E52" s="28">
        <v>12</v>
      </c>
      <c r="F52" s="28">
        <f t="shared" ref="F52:F58" si="10">SUM(C52-D52-E52)</f>
        <v>128</v>
      </c>
      <c r="G52" s="28">
        <v>4553</v>
      </c>
      <c r="H52" s="28">
        <v>2984</v>
      </c>
      <c r="I52" s="28">
        <v>52</v>
      </c>
      <c r="J52" s="28">
        <f t="shared" ref="J52:J58" si="11">SUM(G52-H52-I52)</f>
        <v>1517</v>
      </c>
      <c r="K52" s="28">
        <v>2434</v>
      </c>
      <c r="L52" s="28">
        <v>0</v>
      </c>
      <c r="M52" s="28">
        <v>58</v>
      </c>
      <c r="N52" s="28">
        <v>219</v>
      </c>
      <c r="O52" s="28">
        <v>219</v>
      </c>
    </row>
    <row r="53" spans="1:15" ht="12.75" customHeight="1">
      <c r="A53" s="4" t="s">
        <v>97</v>
      </c>
      <c r="B53" s="5" t="s">
        <v>98</v>
      </c>
      <c r="C53" s="28">
        <v>8414</v>
      </c>
      <c r="D53" s="28">
        <v>6350</v>
      </c>
      <c r="E53" s="28">
        <v>77</v>
      </c>
      <c r="F53" s="28">
        <f t="shared" si="10"/>
        <v>1987</v>
      </c>
      <c r="G53" s="28">
        <v>25733</v>
      </c>
      <c r="H53" s="28">
        <v>16180</v>
      </c>
      <c r="I53" s="28">
        <v>678</v>
      </c>
      <c r="J53" s="28">
        <f t="shared" si="11"/>
        <v>8875</v>
      </c>
      <c r="K53" s="28">
        <v>2013</v>
      </c>
      <c r="L53" s="28">
        <v>0</v>
      </c>
      <c r="M53" s="28">
        <v>551</v>
      </c>
      <c r="N53" s="28">
        <v>561</v>
      </c>
      <c r="O53" s="28">
        <v>561</v>
      </c>
    </row>
    <row r="54" spans="1:15" ht="12.75" customHeight="1">
      <c r="A54" s="4" t="s">
        <v>99</v>
      </c>
      <c r="B54" s="5" t="s">
        <v>100</v>
      </c>
      <c r="C54" s="28">
        <v>1366</v>
      </c>
      <c r="D54" s="28">
        <v>796</v>
      </c>
      <c r="E54" s="28">
        <v>32</v>
      </c>
      <c r="F54" s="28">
        <f t="shared" si="10"/>
        <v>538</v>
      </c>
      <c r="G54" s="28">
        <v>4670</v>
      </c>
      <c r="H54" s="28">
        <v>2443</v>
      </c>
      <c r="I54" s="28">
        <v>335</v>
      </c>
      <c r="J54" s="28">
        <f t="shared" si="11"/>
        <v>1892</v>
      </c>
      <c r="K54" s="28">
        <v>126</v>
      </c>
      <c r="L54" s="28">
        <v>0</v>
      </c>
      <c r="M54" s="28">
        <v>59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6521</v>
      </c>
      <c r="D55" s="28">
        <v>4389</v>
      </c>
      <c r="E55" s="28">
        <v>70</v>
      </c>
      <c r="F55" s="28">
        <f t="shared" si="10"/>
        <v>2062</v>
      </c>
      <c r="G55" s="28">
        <v>19689</v>
      </c>
      <c r="H55" s="28">
        <v>9770</v>
      </c>
      <c r="I55" s="28">
        <v>470</v>
      </c>
      <c r="J55" s="28">
        <f t="shared" si="11"/>
        <v>9449</v>
      </c>
      <c r="K55" s="28">
        <v>4522</v>
      </c>
      <c r="L55" s="28">
        <v>0</v>
      </c>
      <c r="M55" s="28">
        <v>1299</v>
      </c>
      <c r="N55" s="28">
        <v>2221</v>
      </c>
      <c r="O55" s="28">
        <v>2221</v>
      </c>
    </row>
    <row r="56" spans="1:15" ht="12.75" customHeight="1">
      <c r="A56" s="4" t="s">
        <v>103</v>
      </c>
      <c r="B56" s="5" t="s">
        <v>104</v>
      </c>
      <c r="C56" s="28">
        <v>7746</v>
      </c>
      <c r="D56" s="28">
        <v>3539</v>
      </c>
      <c r="E56" s="28">
        <v>324</v>
      </c>
      <c r="F56" s="28">
        <f t="shared" si="10"/>
        <v>3883</v>
      </c>
      <c r="G56" s="28">
        <v>27702</v>
      </c>
      <c r="H56" s="28">
        <v>7802</v>
      </c>
      <c r="I56" s="28">
        <v>2066</v>
      </c>
      <c r="J56" s="28">
        <f t="shared" si="11"/>
        <v>17834</v>
      </c>
      <c r="K56" s="28">
        <v>3714</v>
      </c>
      <c r="L56" s="28">
        <v>105</v>
      </c>
      <c r="M56" s="28">
        <v>3101</v>
      </c>
      <c r="N56" s="28">
        <v>257</v>
      </c>
      <c r="O56" s="28">
        <v>257</v>
      </c>
    </row>
    <row r="57" spans="1:15" ht="12.75" customHeight="1">
      <c r="A57" s="4" t="s">
        <v>105</v>
      </c>
      <c r="B57" s="5" t="s">
        <v>106</v>
      </c>
      <c r="C57" s="28">
        <v>7216</v>
      </c>
      <c r="D57" s="28">
        <v>4112</v>
      </c>
      <c r="E57" s="28">
        <v>323</v>
      </c>
      <c r="F57" s="28">
        <f t="shared" si="10"/>
        <v>2781</v>
      </c>
      <c r="G57" s="28">
        <v>28532</v>
      </c>
      <c r="H57" s="28">
        <v>13142</v>
      </c>
      <c r="I57" s="28">
        <v>2306</v>
      </c>
      <c r="J57" s="28">
        <f t="shared" si="11"/>
        <v>13084</v>
      </c>
      <c r="K57" s="28">
        <v>1000</v>
      </c>
      <c r="L57" s="28">
        <v>0</v>
      </c>
      <c r="M57" s="28">
        <v>2225</v>
      </c>
      <c r="N57" s="28">
        <v>101</v>
      </c>
      <c r="O57" s="28">
        <v>101</v>
      </c>
    </row>
    <row r="58" spans="1:15" ht="12.75" customHeight="1">
      <c r="A58" s="4" t="s">
        <v>107</v>
      </c>
      <c r="B58" s="5" t="s">
        <v>108</v>
      </c>
      <c r="C58" s="28">
        <v>8156</v>
      </c>
      <c r="D58" s="28">
        <v>4576</v>
      </c>
      <c r="E58" s="28">
        <v>116</v>
      </c>
      <c r="F58" s="28">
        <f t="shared" si="10"/>
        <v>3464</v>
      </c>
      <c r="G58" s="28">
        <v>25924</v>
      </c>
      <c r="H58" s="28">
        <v>10351</v>
      </c>
      <c r="I58" s="28">
        <v>721</v>
      </c>
      <c r="J58" s="28">
        <f t="shared" si="11"/>
        <v>14852</v>
      </c>
      <c r="K58" s="28">
        <v>1151</v>
      </c>
      <c r="L58" s="28">
        <v>48</v>
      </c>
      <c r="M58" s="28">
        <v>1529</v>
      </c>
      <c r="N58" s="28">
        <v>3784</v>
      </c>
      <c r="O58" s="28">
        <v>3784</v>
      </c>
    </row>
    <row r="59" spans="1:15" ht="12.75" customHeight="1">
      <c r="A59" s="8"/>
      <c r="B59" s="9" t="s">
        <v>109</v>
      </c>
      <c r="C59" s="29">
        <f t="shared" ref="C59:O59" si="12">SUM(C52:C58)</f>
        <v>40789</v>
      </c>
      <c r="D59" s="29">
        <f t="shared" si="12"/>
        <v>24992</v>
      </c>
      <c r="E59" s="29">
        <f t="shared" si="12"/>
        <v>954</v>
      </c>
      <c r="F59" s="29">
        <f t="shared" si="12"/>
        <v>14843</v>
      </c>
      <c r="G59" s="29">
        <f t="shared" si="12"/>
        <v>136803</v>
      </c>
      <c r="H59" s="29">
        <f t="shared" si="12"/>
        <v>62672</v>
      </c>
      <c r="I59" s="29">
        <f t="shared" si="12"/>
        <v>6628</v>
      </c>
      <c r="J59" s="29">
        <f t="shared" si="12"/>
        <v>67503</v>
      </c>
      <c r="K59" s="29">
        <f t="shared" si="12"/>
        <v>14960</v>
      </c>
      <c r="L59" s="29">
        <f t="shared" si="12"/>
        <v>153</v>
      </c>
      <c r="M59" s="29">
        <f t="shared" si="12"/>
        <v>8822</v>
      </c>
      <c r="N59" s="29">
        <f t="shared" si="12"/>
        <v>7143</v>
      </c>
      <c r="O59" s="29">
        <f t="shared" si="12"/>
        <v>7143</v>
      </c>
    </row>
    <row r="60" spans="1:15" ht="12.75" customHeight="1">
      <c r="A60" s="4" t="s">
        <v>110</v>
      </c>
      <c r="B60" s="5" t="s">
        <v>111</v>
      </c>
      <c r="C60" s="28">
        <v>9141</v>
      </c>
      <c r="D60" s="28">
        <v>6996</v>
      </c>
      <c r="E60" s="28">
        <v>355</v>
      </c>
      <c r="F60" s="28">
        <f t="shared" ref="F60:F68" si="13">SUM(C60-D60-E60)</f>
        <v>1790</v>
      </c>
      <c r="G60" s="28">
        <v>27105</v>
      </c>
      <c r="H60" s="28">
        <v>16029</v>
      </c>
      <c r="I60" s="28">
        <v>3867</v>
      </c>
      <c r="J60" s="28">
        <f t="shared" ref="J60:J68" si="14">SUM(G60-H60-I60)</f>
        <v>7209</v>
      </c>
      <c r="K60" s="28">
        <v>565</v>
      </c>
      <c r="L60" s="28">
        <v>0</v>
      </c>
      <c r="M60" s="28">
        <v>384</v>
      </c>
      <c r="N60" s="28">
        <v>188</v>
      </c>
      <c r="O60" s="28">
        <v>188</v>
      </c>
    </row>
    <row r="61" spans="1:15" ht="12.75" customHeight="1">
      <c r="A61" s="4" t="s">
        <v>112</v>
      </c>
      <c r="B61" s="5" t="s">
        <v>113</v>
      </c>
      <c r="C61" s="28">
        <v>2351</v>
      </c>
      <c r="D61" s="28">
        <v>1786</v>
      </c>
      <c r="E61" s="28">
        <v>20</v>
      </c>
      <c r="F61" s="28">
        <f t="shared" si="13"/>
        <v>545</v>
      </c>
      <c r="G61" s="28">
        <v>5574</v>
      </c>
      <c r="H61" s="28">
        <v>4189</v>
      </c>
      <c r="I61" s="28">
        <v>131</v>
      </c>
      <c r="J61" s="28">
        <f t="shared" si="14"/>
        <v>1254</v>
      </c>
      <c r="K61" s="28">
        <v>23</v>
      </c>
      <c r="L61" s="28">
        <v>85</v>
      </c>
      <c r="M61" s="28">
        <v>285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4012</v>
      </c>
      <c r="D62" s="28">
        <v>2374</v>
      </c>
      <c r="E62" s="28">
        <v>109</v>
      </c>
      <c r="F62" s="28">
        <f t="shared" si="13"/>
        <v>1529</v>
      </c>
      <c r="G62" s="28">
        <v>16403</v>
      </c>
      <c r="H62" s="28">
        <v>6384</v>
      </c>
      <c r="I62" s="28">
        <v>1238</v>
      </c>
      <c r="J62" s="28">
        <f t="shared" si="14"/>
        <v>8781</v>
      </c>
      <c r="K62" s="28">
        <v>3988</v>
      </c>
      <c r="L62" s="28">
        <v>81</v>
      </c>
      <c r="M62" s="28">
        <v>1695</v>
      </c>
      <c r="N62" s="28">
        <v>788</v>
      </c>
      <c r="O62" s="28">
        <v>788</v>
      </c>
    </row>
    <row r="63" spans="1:15" ht="12.75" customHeight="1">
      <c r="A63" s="4" t="s">
        <v>116</v>
      </c>
      <c r="B63" s="5" t="s">
        <v>117</v>
      </c>
      <c r="C63" s="28">
        <v>5925</v>
      </c>
      <c r="D63" s="28">
        <v>4369</v>
      </c>
      <c r="E63" s="28">
        <v>174</v>
      </c>
      <c r="F63" s="28">
        <f t="shared" si="13"/>
        <v>1382</v>
      </c>
      <c r="G63" s="28">
        <v>18711</v>
      </c>
      <c r="H63" s="28">
        <v>11589</v>
      </c>
      <c r="I63" s="28">
        <v>2186</v>
      </c>
      <c r="J63" s="28">
        <f t="shared" si="14"/>
        <v>4936</v>
      </c>
      <c r="K63" s="28">
        <v>385</v>
      </c>
      <c r="L63" s="28">
        <v>0</v>
      </c>
      <c r="M63" s="28">
        <v>729</v>
      </c>
      <c r="N63" s="28">
        <v>0</v>
      </c>
      <c r="O63" s="28">
        <v>0</v>
      </c>
    </row>
    <row r="64" spans="1:15" ht="12.75" customHeight="1">
      <c r="A64" s="4" t="s">
        <v>118</v>
      </c>
      <c r="B64" s="5" t="s">
        <v>119</v>
      </c>
      <c r="C64" s="28">
        <v>4939</v>
      </c>
      <c r="D64" s="28">
        <v>2757</v>
      </c>
      <c r="E64" s="28">
        <v>154</v>
      </c>
      <c r="F64" s="28">
        <f t="shared" si="13"/>
        <v>2028</v>
      </c>
      <c r="G64" s="28">
        <v>18176</v>
      </c>
      <c r="H64" s="28">
        <v>7778</v>
      </c>
      <c r="I64" s="28">
        <v>1787</v>
      </c>
      <c r="J64" s="28">
        <f t="shared" si="14"/>
        <v>8611</v>
      </c>
      <c r="K64" s="28">
        <v>171</v>
      </c>
      <c r="L64" s="28">
        <v>0</v>
      </c>
      <c r="M64" s="28">
        <v>220</v>
      </c>
      <c r="N64" s="28">
        <v>0</v>
      </c>
      <c r="O64" s="28">
        <v>0</v>
      </c>
    </row>
    <row r="65" spans="1:15" ht="12.75" customHeight="1">
      <c r="A65" s="4" t="s">
        <v>120</v>
      </c>
      <c r="B65" s="5" t="s">
        <v>121</v>
      </c>
      <c r="C65" s="28">
        <v>2290</v>
      </c>
      <c r="D65" s="28">
        <v>1890</v>
      </c>
      <c r="E65" s="28">
        <v>130</v>
      </c>
      <c r="F65" s="28">
        <f t="shared" si="13"/>
        <v>270</v>
      </c>
      <c r="G65" s="28">
        <v>11114</v>
      </c>
      <c r="H65" s="28">
        <v>5337</v>
      </c>
      <c r="I65" s="28">
        <v>1405</v>
      </c>
      <c r="J65" s="28">
        <f t="shared" si="14"/>
        <v>4372</v>
      </c>
      <c r="K65" s="28">
        <v>540</v>
      </c>
      <c r="L65" s="28">
        <v>0</v>
      </c>
      <c r="M65" s="28">
        <v>523</v>
      </c>
      <c r="N65" s="28">
        <v>56</v>
      </c>
      <c r="O65" s="28">
        <v>56</v>
      </c>
    </row>
    <row r="66" spans="1:15" ht="12.75" customHeight="1">
      <c r="A66" s="4" t="s">
        <v>122</v>
      </c>
      <c r="B66" s="5" t="s">
        <v>123</v>
      </c>
      <c r="C66" s="28">
        <v>4647</v>
      </c>
      <c r="D66" s="28">
        <v>1810</v>
      </c>
      <c r="E66" s="28">
        <v>72</v>
      </c>
      <c r="F66" s="28">
        <f t="shared" si="13"/>
        <v>2765</v>
      </c>
      <c r="G66" s="28">
        <v>29295</v>
      </c>
      <c r="H66" s="28">
        <v>4681</v>
      </c>
      <c r="I66" s="28">
        <v>745</v>
      </c>
      <c r="J66" s="28">
        <f t="shared" si="14"/>
        <v>23869</v>
      </c>
      <c r="K66" s="28">
        <v>4594</v>
      </c>
      <c r="L66" s="28">
        <v>30</v>
      </c>
      <c r="M66" s="28">
        <v>5458</v>
      </c>
      <c r="N66" s="28">
        <v>36</v>
      </c>
      <c r="O66" s="28">
        <v>36</v>
      </c>
    </row>
    <row r="67" spans="1:15" ht="12.75" customHeight="1">
      <c r="A67" s="4" t="s">
        <v>124</v>
      </c>
      <c r="B67" s="5" t="s">
        <v>125</v>
      </c>
      <c r="C67" s="28">
        <v>7804</v>
      </c>
      <c r="D67" s="28">
        <v>3033</v>
      </c>
      <c r="E67" s="28">
        <v>0</v>
      </c>
      <c r="F67" s="28">
        <f t="shared" si="13"/>
        <v>4771</v>
      </c>
      <c r="G67" s="28">
        <v>41177</v>
      </c>
      <c r="H67" s="28">
        <v>6911</v>
      </c>
      <c r="I67" s="28">
        <v>0</v>
      </c>
      <c r="J67" s="28">
        <f t="shared" si="14"/>
        <v>34266</v>
      </c>
      <c r="K67" s="28">
        <v>5187</v>
      </c>
      <c r="L67" s="28">
        <v>0</v>
      </c>
      <c r="M67" s="28">
        <v>8079</v>
      </c>
      <c r="N67" s="28">
        <v>85</v>
      </c>
      <c r="O67" s="28">
        <v>85</v>
      </c>
    </row>
    <row r="68" spans="1:15" ht="12.75" customHeight="1">
      <c r="A68" s="4" t="s">
        <v>126</v>
      </c>
      <c r="B68" s="5" t="s">
        <v>127</v>
      </c>
      <c r="C68" s="28">
        <v>3455</v>
      </c>
      <c r="D68" s="28">
        <v>2359</v>
      </c>
      <c r="E68" s="28">
        <v>48</v>
      </c>
      <c r="F68" s="28">
        <f t="shared" si="13"/>
        <v>1048</v>
      </c>
      <c r="G68" s="28">
        <v>12846</v>
      </c>
      <c r="H68" s="28">
        <v>5271</v>
      </c>
      <c r="I68" s="28">
        <v>399</v>
      </c>
      <c r="J68" s="28">
        <f t="shared" si="14"/>
        <v>7176</v>
      </c>
      <c r="K68" s="28">
        <v>31</v>
      </c>
      <c r="L68" s="28">
        <v>0</v>
      </c>
      <c r="M68" s="28">
        <v>172</v>
      </c>
      <c r="N68" s="28">
        <v>29</v>
      </c>
      <c r="O68" s="28">
        <v>29</v>
      </c>
    </row>
    <row r="69" spans="1:15" ht="12.75" customHeight="1">
      <c r="A69" s="8"/>
      <c r="B69" s="9" t="s">
        <v>128</v>
      </c>
      <c r="C69" s="29">
        <f t="shared" ref="C69:O69" si="15">SUM(C60:C68)</f>
        <v>44564</v>
      </c>
      <c r="D69" s="29">
        <f t="shared" si="15"/>
        <v>27374</v>
      </c>
      <c r="E69" s="29">
        <f t="shared" si="15"/>
        <v>1062</v>
      </c>
      <c r="F69" s="29">
        <f t="shared" si="15"/>
        <v>16128</v>
      </c>
      <c r="G69" s="29">
        <f t="shared" si="15"/>
        <v>180401</v>
      </c>
      <c r="H69" s="29">
        <f t="shared" si="15"/>
        <v>68169</v>
      </c>
      <c r="I69" s="29">
        <f t="shared" si="15"/>
        <v>11758</v>
      </c>
      <c r="J69" s="29">
        <f t="shared" si="15"/>
        <v>100474</v>
      </c>
      <c r="K69" s="29">
        <f t="shared" si="15"/>
        <v>15484</v>
      </c>
      <c r="L69" s="29">
        <f t="shared" si="15"/>
        <v>196</v>
      </c>
      <c r="M69" s="29">
        <f t="shared" si="15"/>
        <v>17545</v>
      </c>
      <c r="N69" s="29">
        <f t="shared" si="15"/>
        <v>1185</v>
      </c>
      <c r="O69" s="29">
        <f t="shared" si="15"/>
        <v>1185</v>
      </c>
    </row>
    <row r="70" spans="1:15" ht="12.75" customHeight="1">
      <c r="A70" s="4" t="s">
        <v>129</v>
      </c>
      <c r="B70" s="5" t="s">
        <v>130</v>
      </c>
      <c r="C70" s="28">
        <v>2789</v>
      </c>
      <c r="D70" s="28">
        <v>2437</v>
      </c>
      <c r="E70" s="28">
        <v>146</v>
      </c>
      <c r="F70" s="28">
        <f t="shared" ref="F70:F79" si="16">SUM(C70-D70-E70)</f>
        <v>206</v>
      </c>
      <c r="G70" s="28">
        <v>9033</v>
      </c>
      <c r="H70" s="28">
        <v>5790</v>
      </c>
      <c r="I70" s="28">
        <v>1437</v>
      </c>
      <c r="J70" s="28">
        <f t="shared" ref="J70:J79" si="17">SUM(G70-H70-I70)</f>
        <v>1806</v>
      </c>
      <c r="K70" s="28">
        <v>333</v>
      </c>
      <c r="L70" s="28">
        <v>0</v>
      </c>
      <c r="M70" s="28">
        <v>349</v>
      </c>
      <c r="N70" s="28">
        <v>57</v>
      </c>
      <c r="O70" s="28">
        <v>57</v>
      </c>
    </row>
    <row r="71" spans="1:15" ht="12.75" customHeight="1">
      <c r="A71" s="4" t="s">
        <v>131</v>
      </c>
      <c r="B71" s="5" t="s">
        <v>132</v>
      </c>
      <c r="C71" s="28">
        <v>12577</v>
      </c>
      <c r="D71" s="28">
        <v>7576</v>
      </c>
      <c r="E71" s="28">
        <v>308</v>
      </c>
      <c r="F71" s="28">
        <f t="shared" si="16"/>
        <v>4693</v>
      </c>
      <c r="G71" s="28">
        <v>30311</v>
      </c>
      <c r="H71" s="28">
        <v>13203</v>
      </c>
      <c r="I71" s="28">
        <v>2316</v>
      </c>
      <c r="J71" s="28">
        <f t="shared" si="17"/>
        <v>14792</v>
      </c>
      <c r="K71" s="28">
        <v>2840</v>
      </c>
      <c r="L71" s="28">
        <v>0</v>
      </c>
      <c r="M71" s="28">
        <v>871</v>
      </c>
      <c r="N71" s="28">
        <v>1870</v>
      </c>
      <c r="O71" s="28">
        <v>1870</v>
      </c>
    </row>
    <row r="72" spans="1:15" ht="12.75" customHeight="1">
      <c r="A72" s="4" t="s">
        <v>133</v>
      </c>
      <c r="B72" s="5" t="s">
        <v>134</v>
      </c>
      <c r="C72" s="28">
        <v>1759</v>
      </c>
      <c r="D72" s="28">
        <v>1547</v>
      </c>
      <c r="E72" s="28">
        <v>0</v>
      </c>
      <c r="F72" s="28">
        <f t="shared" si="16"/>
        <v>212</v>
      </c>
      <c r="G72" s="28">
        <v>4983</v>
      </c>
      <c r="H72" s="28">
        <v>3824</v>
      </c>
      <c r="I72" s="28">
        <v>0</v>
      </c>
      <c r="J72" s="28">
        <f t="shared" si="17"/>
        <v>1159</v>
      </c>
      <c r="K72" s="28">
        <v>707</v>
      </c>
      <c r="L72" s="28">
        <v>271</v>
      </c>
      <c r="M72" s="28">
        <v>740</v>
      </c>
      <c r="N72" s="28">
        <v>6</v>
      </c>
      <c r="O72" s="28">
        <v>6</v>
      </c>
    </row>
    <row r="73" spans="1:15" ht="12.75" customHeight="1">
      <c r="A73" s="4" t="s">
        <v>135</v>
      </c>
      <c r="B73" s="5" t="s">
        <v>136</v>
      </c>
      <c r="C73" s="28">
        <v>5621</v>
      </c>
      <c r="D73" s="28">
        <v>3369</v>
      </c>
      <c r="E73" s="28">
        <v>22</v>
      </c>
      <c r="F73" s="28">
        <f t="shared" si="16"/>
        <v>2230</v>
      </c>
      <c r="G73" s="28">
        <v>16708</v>
      </c>
      <c r="H73" s="28">
        <v>7383</v>
      </c>
      <c r="I73" s="28">
        <v>159</v>
      </c>
      <c r="J73" s="28">
        <f t="shared" si="17"/>
        <v>9166</v>
      </c>
      <c r="K73" s="28">
        <v>1421</v>
      </c>
      <c r="L73" s="28">
        <v>174</v>
      </c>
      <c r="M73" s="28">
        <v>1547</v>
      </c>
      <c r="N73" s="28">
        <v>3889</v>
      </c>
      <c r="O73" s="28">
        <v>3756</v>
      </c>
    </row>
    <row r="74" spans="1:15" ht="12.75" customHeight="1">
      <c r="A74" s="4" t="s">
        <v>137</v>
      </c>
      <c r="B74" s="5" t="s">
        <v>138</v>
      </c>
      <c r="C74" s="28">
        <v>3973</v>
      </c>
      <c r="D74" s="28">
        <v>3425</v>
      </c>
      <c r="E74" s="28">
        <v>86</v>
      </c>
      <c r="F74" s="28">
        <f t="shared" si="16"/>
        <v>462</v>
      </c>
      <c r="G74" s="28">
        <v>8727</v>
      </c>
      <c r="H74" s="28">
        <v>5933</v>
      </c>
      <c r="I74" s="28">
        <v>593</v>
      </c>
      <c r="J74" s="28">
        <f t="shared" si="17"/>
        <v>2201</v>
      </c>
      <c r="K74" s="28">
        <v>588</v>
      </c>
      <c r="L74" s="28">
        <v>0</v>
      </c>
      <c r="M74" s="28">
        <v>210</v>
      </c>
      <c r="N74" s="28">
        <v>117</v>
      </c>
      <c r="O74" s="28">
        <v>117</v>
      </c>
    </row>
    <row r="75" spans="1:15" ht="12.75" customHeight="1">
      <c r="A75" s="4" t="s">
        <v>139</v>
      </c>
      <c r="B75" s="5" t="s">
        <v>140</v>
      </c>
      <c r="C75" s="28">
        <v>2067</v>
      </c>
      <c r="D75" s="28">
        <v>1989</v>
      </c>
      <c r="E75" s="28">
        <v>27</v>
      </c>
      <c r="F75" s="28">
        <f t="shared" si="16"/>
        <v>51</v>
      </c>
      <c r="G75" s="28">
        <v>4293</v>
      </c>
      <c r="H75" s="28">
        <v>3350</v>
      </c>
      <c r="I75" s="28">
        <v>386</v>
      </c>
      <c r="J75" s="28">
        <f t="shared" si="17"/>
        <v>557</v>
      </c>
      <c r="K75" s="28">
        <v>32</v>
      </c>
      <c r="L75" s="28">
        <v>0</v>
      </c>
      <c r="M75" s="28">
        <v>8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4259</v>
      </c>
      <c r="D76" s="28">
        <v>3174</v>
      </c>
      <c r="E76" s="28">
        <v>44</v>
      </c>
      <c r="F76" s="28">
        <f t="shared" si="16"/>
        <v>1041</v>
      </c>
      <c r="G76" s="28">
        <v>11638</v>
      </c>
      <c r="H76" s="28">
        <v>7122</v>
      </c>
      <c r="I76" s="28">
        <v>314</v>
      </c>
      <c r="J76" s="28">
        <f t="shared" si="17"/>
        <v>4202</v>
      </c>
      <c r="K76" s="28">
        <v>385</v>
      </c>
      <c r="L76" s="28">
        <v>74</v>
      </c>
      <c r="M76" s="28">
        <v>270</v>
      </c>
      <c r="N76" s="28">
        <v>192</v>
      </c>
      <c r="O76" s="28">
        <v>192</v>
      </c>
    </row>
    <row r="77" spans="1:15" ht="12.75" customHeight="1">
      <c r="A77" s="4" t="s">
        <v>143</v>
      </c>
      <c r="B77" s="5" t="s">
        <v>144</v>
      </c>
      <c r="C77" s="28">
        <v>3720</v>
      </c>
      <c r="D77" s="28">
        <v>2636</v>
      </c>
      <c r="E77" s="28">
        <v>42</v>
      </c>
      <c r="F77" s="28">
        <f t="shared" si="16"/>
        <v>1042</v>
      </c>
      <c r="G77" s="28">
        <v>9205</v>
      </c>
      <c r="H77" s="28">
        <v>4954</v>
      </c>
      <c r="I77" s="28">
        <v>230</v>
      </c>
      <c r="J77" s="28">
        <f t="shared" si="17"/>
        <v>4021</v>
      </c>
      <c r="K77" s="28">
        <v>940</v>
      </c>
      <c r="L77" s="28">
        <v>0</v>
      </c>
      <c r="M77" s="28">
        <v>451</v>
      </c>
      <c r="N77" s="28">
        <v>173</v>
      </c>
      <c r="O77" s="28">
        <v>173</v>
      </c>
    </row>
    <row r="78" spans="1:15" ht="12.75" customHeight="1">
      <c r="A78" s="4" t="s">
        <v>145</v>
      </c>
      <c r="B78" s="5" t="s">
        <v>146</v>
      </c>
      <c r="C78" s="28">
        <v>2321</v>
      </c>
      <c r="D78" s="28">
        <v>2013</v>
      </c>
      <c r="E78" s="28">
        <v>0</v>
      </c>
      <c r="F78" s="28">
        <f t="shared" si="16"/>
        <v>308</v>
      </c>
      <c r="G78" s="28">
        <v>4408</v>
      </c>
      <c r="H78" s="28">
        <v>3395</v>
      </c>
      <c r="I78" s="28">
        <v>0</v>
      </c>
      <c r="J78" s="28">
        <f t="shared" si="17"/>
        <v>1013</v>
      </c>
      <c r="K78" s="28">
        <v>202</v>
      </c>
      <c r="L78" s="28">
        <v>0</v>
      </c>
      <c r="M78" s="28">
        <v>0</v>
      </c>
      <c r="N78" s="28">
        <v>27</v>
      </c>
      <c r="O78" s="28">
        <v>27</v>
      </c>
    </row>
    <row r="79" spans="1:15" ht="12.75" customHeight="1">
      <c r="A79" s="4" t="s">
        <v>147</v>
      </c>
      <c r="B79" s="5" t="s">
        <v>148</v>
      </c>
      <c r="C79" s="28">
        <v>2012</v>
      </c>
      <c r="D79" s="28">
        <v>1928</v>
      </c>
      <c r="E79" s="28">
        <v>32</v>
      </c>
      <c r="F79" s="28">
        <f t="shared" si="16"/>
        <v>52</v>
      </c>
      <c r="G79" s="28">
        <v>6985</v>
      </c>
      <c r="H79" s="28">
        <v>4774</v>
      </c>
      <c r="I79" s="28">
        <v>284</v>
      </c>
      <c r="J79" s="28">
        <f t="shared" si="17"/>
        <v>1927</v>
      </c>
      <c r="K79" s="28">
        <v>591</v>
      </c>
      <c r="L79" s="28">
        <v>0</v>
      </c>
      <c r="M79" s="28">
        <v>1261</v>
      </c>
      <c r="N79" s="28">
        <v>33</v>
      </c>
      <c r="O79" s="28">
        <v>33</v>
      </c>
    </row>
    <row r="80" spans="1:15" ht="12.75" customHeight="1">
      <c r="A80" s="8"/>
      <c r="B80" s="9" t="s">
        <v>149</v>
      </c>
      <c r="C80" s="29">
        <f t="shared" ref="C80:O80" si="18">SUM(C70:C79)</f>
        <v>41098</v>
      </c>
      <c r="D80" s="29">
        <f t="shared" si="18"/>
        <v>30094</v>
      </c>
      <c r="E80" s="29">
        <f t="shared" si="18"/>
        <v>707</v>
      </c>
      <c r="F80" s="29">
        <f t="shared" si="18"/>
        <v>10297</v>
      </c>
      <c r="G80" s="29">
        <f t="shared" si="18"/>
        <v>106291</v>
      </c>
      <c r="H80" s="29">
        <f t="shared" si="18"/>
        <v>59728</v>
      </c>
      <c r="I80" s="29">
        <f t="shared" si="18"/>
        <v>5719</v>
      </c>
      <c r="J80" s="29">
        <f t="shared" si="18"/>
        <v>40844</v>
      </c>
      <c r="K80" s="29">
        <f t="shared" si="18"/>
        <v>8039</v>
      </c>
      <c r="L80" s="29">
        <f t="shared" si="18"/>
        <v>519</v>
      </c>
      <c r="M80" s="29">
        <f t="shared" si="18"/>
        <v>5707</v>
      </c>
      <c r="N80" s="29">
        <f t="shared" si="18"/>
        <v>6364</v>
      </c>
      <c r="O80" s="29">
        <f t="shared" si="18"/>
        <v>6231</v>
      </c>
    </row>
    <row r="81" spans="1:15" ht="12.75" customHeight="1">
      <c r="A81" s="4" t="s">
        <v>150</v>
      </c>
      <c r="B81" s="5" t="s">
        <v>151</v>
      </c>
      <c r="C81" s="28">
        <v>3958</v>
      </c>
      <c r="D81" s="28">
        <v>2196</v>
      </c>
      <c r="E81" s="28">
        <v>48</v>
      </c>
      <c r="F81" s="28">
        <f>SUM(C81-D81-E81)</f>
        <v>1714</v>
      </c>
      <c r="G81" s="28">
        <v>15904</v>
      </c>
      <c r="H81" s="28">
        <v>7483</v>
      </c>
      <c r="I81" s="28">
        <v>921</v>
      </c>
      <c r="J81" s="28">
        <f>SUM(G81-H81-I81)</f>
        <v>7500</v>
      </c>
      <c r="K81" s="28">
        <v>388</v>
      </c>
      <c r="L81" s="28">
        <v>0</v>
      </c>
      <c r="M81" s="28">
        <v>819</v>
      </c>
      <c r="N81" s="28">
        <v>461</v>
      </c>
      <c r="O81" s="28">
        <v>461</v>
      </c>
    </row>
    <row r="82" spans="1:15" ht="12.75" customHeight="1">
      <c r="A82" s="4" t="s">
        <v>152</v>
      </c>
      <c r="B82" s="5" t="s">
        <v>153</v>
      </c>
      <c r="C82" s="28">
        <v>2027</v>
      </c>
      <c r="D82" s="28">
        <v>1448</v>
      </c>
      <c r="E82" s="28">
        <v>11</v>
      </c>
      <c r="F82" s="28">
        <f>SUM(C82-D82-E82)</f>
        <v>568</v>
      </c>
      <c r="G82" s="28">
        <v>9413</v>
      </c>
      <c r="H82" s="28">
        <v>4453</v>
      </c>
      <c r="I82" s="28">
        <v>168</v>
      </c>
      <c r="J82" s="28">
        <f>SUM(G82-H82-I82)</f>
        <v>4792</v>
      </c>
      <c r="K82" s="28">
        <v>128</v>
      </c>
      <c r="L82" s="28">
        <v>4</v>
      </c>
      <c r="M82" s="28">
        <v>732</v>
      </c>
      <c r="N82" s="28">
        <v>77</v>
      </c>
      <c r="O82" s="28">
        <v>77</v>
      </c>
    </row>
    <row r="83" spans="1:15" ht="12.75" customHeight="1">
      <c r="A83" s="4" t="s">
        <v>154</v>
      </c>
      <c r="B83" s="5" t="s">
        <v>155</v>
      </c>
      <c r="C83" s="28">
        <v>565</v>
      </c>
      <c r="D83" s="28">
        <v>545</v>
      </c>
      <c r="E83" s="28">
        <v>20</v>
      </c>
      <c r="F83" s="28">
        <f>SUM(C83-D83-E83)</f>
        <v>0</v>
      </c>
      <c r="G83" s="28">
        <v>1815</v>
      </c>
      <c r="H83" s="28">
        <v>1604</v>
      </c>
      <c r="I83" s="28">
        <v>207</v>
      </c>
      <c r="J83" s="28">
        <f>SUM(G83-H83-I83)</f>
        <v>4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1678</v>
      </c>
      <c r="D84" s="28">
        <v>1559</v>
      </c>
      <c r="E84" s="28">
        <v>15</v>
      </c>
      <c r="F84" s="28">
        <f>SUM(C84-D84-E84)</f>
        <v>104</v>
      </c>
      <c r="G84" s="28">
        <v>7134</v>
      </c>
      <c r="H84" s="28">
        <v>4763</v>
      </c>
      <c r="I84" s="28">
        <v>217</v>
      </c>
      <c r="J84" s="28">
        <f>SUM(G84-H84-I84)</f>
        <v>2154</v>
      </c>
      <c r="K84" s="28">
        <v>228</v>
      </c>
      <c r="L84" s="28">
        <v>0</v>
      </c>
      <c r="M84" s="28">
        <v>614</v>
      </c>
      <c r="N84" s="28">
        <v>17</v>
      </c>
      <c r="O84" s="28">
        <v>17</v>
      </c>
    </row>
    <row r="85" spans="1:15" ht="12.75" customHeight="1">
      <c r="A85" s="4" t="s">
        <v>158</v>
      </c>
      <c r="B85" s="5" t="s">
        <v>159</v>
      </c>
      <c r="C85" s="28">
        <v>2892</v>
      </c>
      <c r="D85" s="28">
        <v>2633</v>
      </c>
      <c r="E85" s="28">
        <v>66</v>
      </c>
      <c r="F85" s="28">
        <f>SUM(C85-D85-E85)</f>
        <v>193</v>
      </c>
      <c r="G85" s="28">
        <v>11838</v>
      </c>
      <c r="H85" s="28">
        <v>6596</v>
      </c>
      <c r="I85" s="28">
        <v>571</v>
      </c>
      <c r="J85" s="28">
        <f>SUM(G85-H85-I85)</f>
        <v>4671</v>
      </c>
      <c r="K85" s="28">
        <v>405</v>
      </c>
      <c r="L85" s="28">
        <v>0</v>
      </c>
      <c r="M85" s="28">
        <v>455</v>
      </c>
      <c r="N85" s="28">
        <v>2426</v>
      </c>
      <c r="O85" s="28">
        <v>2426</v>
      </c>
    </row>
    <row r="86" spans="1:15" ht="12.75" customHeight="1">
      <c r="A86" s="8"/>
      <c r="B86" s="9" t="s">
        <v>160</v>
      </c>
      <c r="C86" s="29">
        <f t="shared" ref="C86:O86" si="19">SUM(C81:C85)</f>
        <v>11120</v>
      </c>
      <c r="D86" s="29">
        <f t="shared" si="19"/>
        <v>8381</v>
      </c>
      <c r="E86" s="29">
        <f t="shared" si="19"/>
        <v>160</v>
      </c>
      <c r="F86" s="29">
        <f t="shared" si="19"/>
        <v>2579</v>
      </c>
      <c r="G86" s="29">
        <f t="shared" si="19"/>
        <v>46104</v>
      </c>
      <c r="H86" s="29">
        <f t="shared" si="19"/>
        <v>24899</v>
      </c>
      <c r="I86" s="29">
        <f t="shared" si="19"/>
        <v>2084</v>
      </c>
      <c r="J86" s="29">
        <f t="shared" si="19"/>
        <v>19121</v>
      </c>
      <c r="K86" s="29">
        <f t="shared" si="19"/>
        <v>1149</v>
      </c>
      <c r="L86" s="29">
        <f t="shared" si="19"/>
        <v>4</v>
      </c>
      <c r="M86" s="29">
        <f t="shared" si="19"/>
        <v>2620</v>
      </c>
      <c r="N86" s="29">
        <f t="shared" si="19"/>
        <v>2981</v>
      </c>
      <c r="O86" s="29">
        <f t="shared" si="19"/>
        <v>2981</v>
      </c>
    </row>
    <row r="87" spans="1:15" ht="12.75" customHeight="1">
      <c r="A87" s="4" t="s">
        <v>161</v>
      </c>
      <c r="B87" s="5" t="s">
        <v>162</v>
      </c>
      <c r="C87" s="28">
        <v>5033</v>
      </c>
      <c r="D87" s="28">
        <v>4378</v>
      </c>
      <c r="E87" s="28">
        <v>0</v>
      </c>
      <c r="F87" s="28">
        <f>SUM(C87-D87-E87)</f>
        <v>655</v>
      </c>
      <c r="G87" s="28">
        <v>20669</v>
      </c>
      <c r="H87" s="28">
        <v>12143</v>
      </c>
      <c r="I87" s="28">
        <v>0</v>
      </c>
      <c r="J87" s="28">
        <f>SUM(G87-H87-I87)</f>
        <v>8526</v>
      </c>
      <c r="K87" s="28">
        <v>613</v>
      </c>
      <c r="L87" s="28">
        <v>50</v>
      </c>
      <c r="M87" s="28">
        <v>1347</v>
      </c>
      <c r="N87" s="28">
        <v>204</v>
      </c>
      <c r="O87" s="28">
        <v>204</v>
      </c>
    </row>
    <row r="88" spans="1:15" ht="12.75" customHeight="1">
      <c r="A88" s="4" t="s">
        <v>163</v>
      </c>
      <c r="B88" s="5" t="s">
        <v>164</v>
      </c>
      <c r="C88" s="28">
        <v>4263</v>
      </c>
      <c r="D88" s="28">
        <v>1779</v>
      </c>
      <c r="E88" s="28">
        <v>77</v>
      </c>
      <c r="F88" s="28">
        <f>SUM(C88-D88-E88)</f>
        <v>2407</v>
      </c>
      <c r="G88" s="28">
        <v>12423</v>
      </c>
      <c r="H88" s="28">
        <v>4841</v>
      </c>
      <c r="I88" s="28">
        <v>1122</v>
      </c>
      <c r="J88" s="28">
        <f>SUM(G88-H88-I88)</f>
        <v>6460</v>
      </c>
      <c r="K88" s="28">
        <v>269</v>
      </c>
      <c r="L88" s="28">
        <v>0</v>
      </c>
      <c r="M88" s="28">
        <v>437</v>
      </c>
      <c r="N88" s="28">
        <v>54</v>
      </c>
      <c r="O88" s="28">
        <v>54</v>
      </c>
    </row>
    <row r="89" spans="1:15" ht="12.75" customHeight="1">
      <c r="A89" s="8"/>
      <c r="B89" s="9" t="s">
        <v>165</v>
      </c>
      <c r="C89" s="29">
        <f t="shared" ref="C89:O89" si="20">SUM(C87:C88)</f>
        <v>9296</v>
      </c>
      <c r="D89" s="29">
        <f t="shared" si="20"/>
        <v>6157</v>
      </c>
      <c r="E89" s="29">
        <f t="shared" si="20"/>
        <v>77</v>
      </c>
      <c r="F89" s="29">
        <f t="shared" si="20"/>
        <v>3062</v>
      </c>
      <c r="G89" s="29">
        <f t="shared" si="20"/>
        <v>33092</v>
      </c>
      <c r="H89" s="29">
        <f t="shared" si="20"/>
        <v>16984</v>
      </c>
      <c r="I89" s="29">
        <f t="shared" si="20"/>
        <v>1122</v>
      </c>
      <c r="J89" s="29">
        <f t="shared" si="20"/>
        <v>14986</v>
      </c>
      <c r="K89" s="29">
        <f t="shared" si="20"/>
        <v>882</v>
      </c>
      <c r="L89" s="29">
        <f t="shared" si="20"/>
        <v>50</v>
      </c>
      <c r="M89" s="29">
        <f t="shared" si="20"/>
        <v>1784</v>
      </c>
      <c r="N89" s="29">
        <f t="shared" si="20"/>
        <v>258</v>
      </c>
      <c r="O89" s="29">
        <f t="shared" si="20"/>
        <v>258</v>
      </c>
    </row>
    <row r="90" spans="1:15" ht="12.75" customHeight="1">
      <c r="A90" s="4" t="s">
        <v>166</v>
      </c>
      <c r="B90" s="5" t="s">
        <v>167</v>
      </c>
      <c r="C90" s="28">
        <v>3996</v>
      </c>
      <c r="D90" s="28">
        <v>2977</v>
      </c>
      <c r="E90" s="28">
        <v>170</v>
      </c>
      <c r="F90" s="28">
        <f>SUM(C90-D90-E90)</f>
        <v>849</v>
      </c>
      <c r="G90" s="28">
        <v>17692</v>
      </c>
      <c r="H90" s="28">
        <v>8335</v>
      </c>
      <c r="I90" s="28">
        <v>1850</v>
      </c>
      <c r="J90" s="28">
        <f>SUM(G90-H90-I90)</f>
        <v>7507</v>
      </c>
      <c r="K90" s="28">
        <v>427</v>
      </c>
      <c r="L90" s="28">
        <v>12</v>
      </c>
      <c r="M90" s="28">
        <v>376</v>
      </c>
      <c r="N90" s="28">
        <v>0</v>
      </c>
      <c r="O90" s="28">
        <v>0</v>
      </c>
    </row>
    <row r="91" spans="1:15" ht="12.75" customHeight="1">
      <c r="A91" s="4" t="s">
        <v>168</v>
      </c>
      <c r="B91" s="5" t="s">
        <v>169</v>
      </c>
      <c r="C91" s="28">
        <v>4793</v>
      </c>
      <c r="D91" s="28">
        <v>3968</v>
      </c>
      <c r="E91" s="28">
        <v>0</v>
      </c>
      <c r="F91" s="28">
        <f>SUM(C91-D91-E91)</f>
        <v>825</v>
      </c>
      <c r="G91" s="28">
        <v>18937</v>
      </c>
      <c r="H91" s="28">
        <v>10044</v>
      </c>
      <c r="I91" s="28">
        <v>0</v>
      </c>
      <c r="J91" s="28">
        <f>SUM(G91-H91-I91)</f>
        <v>8893</v>
      </c>
      <c r="K91" s="28">
        <v>234</v>
      </c>
      <c r="L91" s="28">
        <v>36</v>
      </c>
      <c r="M91" s="28">
        <v>1299</v>
      </c>
      <c r="N91" s="28">
        <v>98</v>
      </c>
      <c r="O91" s="28">
        <v>98</v>
      </c>
    </row>
    <row r="92" spans="1:15" ht="12.75" customHeight="1">
      <c r="A92" s="4" t="s">
        <v>170</v>
      </c>
      <c r="B92" s="5" t="s">
        <v>171</v>
      </c>
      <c r="C92" s="28">
        <v>925</v>
      </c>
      <c r="D92" s="28">
        <v>656</v>
      </c>
      <c r="E92" s="28">
        <v>79</v>
      </c>
      <c r="F92" s="28">
        <f>SUM(C92-D92-E92)</f>
        <v>190</v>
      </c>
      <c r="G92" s="28">
        <v>3366</v>
      </c>
      <c r="H92" s="28">
        <v>1807</v>
      </c>
      <c r="I92" s="28">
        <v>1119</v>
      </c>
      <c r="J92" s="28">
        <f>SUM(G92-H92-I92)</f>
        <v>440</v>
      </c>
      <c r="K92" s="28">
        <v>183</v>
      </c>
      <c r="L92" s="28">
        <v>0</v>
      </c>
      <c r="M92" s="28">
        <v>121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43718</v>
      </c>
      <c r="D93" s="28">
        <v>35449</v>
      </c>
      <c r="E93" s="28">
        <v>1840</v>
      </c>
      <c r="F93" s="28">
        <f>SUM(C93-D93-E93)</f>
        <v>6429</v>
      </c>
      <c r="G93" s="28">
        <v>123789</v>
      </c>
      <c r="H93" s="28">
        <v>58634</v>
      </c>
      <c r="I93" s="28">
        <v>6559</v>
      </c>
      <c r="J93" s="28">
        <f>SUM(G93-H93-I93)</f>
        <v>58596</v>
      </c>
      <c r="K93" s="28">
        <v>10083</v>
      </c>
      <c r="L93" s="28">
        <v>0</v>
      </c>
      <c r="M93" s="28">
        <v>8374</v>
      </c>
      <c r="N93" s="28">
        <v>3926</v>
      </c>
      <c r="O93" s="28">
        <v>3391</v>
      </c>
    </row>
    <row r="94" spans="1:15" ht="12.75" customHeight="1">
      <c r="A94" s="4" t="s">
        <v>174</v>
      </c>
      <c r="B94" s="5" t="s">
        <v>175</v>
      </c>
      <c r="C94" s="28">
        <v>3547</v>
      </c>
      <c r="D94" s="28">
        <v>1256</v>
      </c>
      <c r="E94" s="28">
        <v>40</v>
      </c>
      <c r="F94" s="28">
        <f>SUM(C94-D94-E94)</f>
        <v>2251</v>
      </c>
      <c r="G94" s="28">
        <v>11680</v>
      </c>
      <c r="H94" s="28">
        <v>3795</v>
      </c>
      <c r="I94" s="28">
        <v>481</v>
      </c>
      <c r="J94" s="28">
        <f>SUM(G94-H94-I94)</f>
        <v>7404</v>
      </c>
      <c r="K94" s="28">
        <v>864</v>
      </c>
      <c r="L94" s="28">
        <v>156</v>
      </c>
      <c r="M94" s="28">
        <v>1307</v>
      </c>
      <c r="N94" s="28">
        <v>27</v>
      </c>
      <c r="O94" s="28">
        <v>27</v>
      </c>
    </row>
    <row r="95" spans="1:15" ht="12.75" customHeight="1">
      <c r="A95" s="8"/>
      <c r="B95" s="9" t="s">
        <v>176</v>
      </c>
      <c r="C95" s="29">
        <f t="shared" ref="C95:O95" si="21">SUM(C90:C94)</f>
        <v>56979</v>
      </c>
      <c r="D95" s="29">
        <f t="shared" si="21"/>
        <v>44306</v>
      </c>
      <c r="E95" s="29">
        <f t="shared" si="21"/>
        <v>2129</v>
      </c>
      <c r="F95" s="29">
        <f t="shared" si="21"/>
        <v>10544</v>
      </c>
      <c r="G95" s="29">
        <f t="shared" si="21"/>
        <v>175464</v>
      </c>
      <c r="H95" s="29">
        <f t="shared" si="21"/>
        <v>82615</v>
      </c>
      <c r="I95" s="29">
        <f t="shared" si="21"/>
        <v>10009</v>
      </c>
      <c r="J95" s="29">
        <f t="shared" si="21"/>
        <v>82840</v>
      </c>
      <c r="K95" s="29">
        <f t="shared" si="21"/>
        <v>11791</v>
      </c>
      <c r="L95" s="29">
        <f t="shared" si="21"/>
        <v>204</v>
      </c>
      <c r="M95" s="29">
        <f t="shared" si="21"/>
        <v>11477</v>
      </c>
      <c r="N95" s="29">
        <f t="shared" si="21"/>
        <v>4051</v>
      </c>
      <c r="O95" s="29">
        <f t="shared" si="21"/>
        <v>3516</v>
      </c>
    </row>
    <row r="96" spans="1:15" ht="12.75" customHeight="1">
      <c r="A96" s="4" t="s">
        <v>177</v>
      </c>
      <c r="B96" s="5" t="s">
        <v>178</v>
      </c>
      <c r="C96" s="28">
        <v>882</v>
      </c>
      <c r="D96" s="28">
        <v>753</v>
      </c>
      <c r="E96" s="28">
        <v>15</v>
      </c>
      <c r="F96" s="28">
        <f>SUM(C96-D96-E96)</f>
        <v>114</v>
      </c>
      <c r="G96" s="28">
        <v>4867</v>
      </c>
      <c r="H96" s="28">
        <v>2820</v>
      </c>
      <c r="I96" s="28">
        <v>195</v>
      </c>
      <c r="J96" s="28">
        <f>SUM(G96-H96-I96)</f>
        <v>1852</v>
      </c>
      <c r="K96" s="28">
        <v>4</v>
      </c>
      <c r="L96" s="28">
        <v>0</v>
      </c>
      <c r="M96" s="28">
        <v>1222</v>
      </c>
      <c r="N96" s="28">
        <v>19</v>
      </c>
      <c r="O96" s="28">
        <v>19</v>
      </c>
    </row>
    <row r="97" spans="1:15" ht="12.75" customHeight="1">
      <c r="A97" s="4" t="s">
        <v>179</v>
      </c>
      <c r="B97" s="5" t="s">
        <v>180</v>
      </c>
      <c r="C97" s="28">
        <v>357</v>
      </c>
      <c r="D97" s="28">
        <v>315</v>
      </c>
      <c r="E97" s="28">
        <v>0</v>
      </c>
      <c r="F97" s="28">
        <f>SUM(C97-D97-E97)</f>
        <v>42</v>
      </c>
      <c r="G97" s="28">
        <v>1185</v>
      </c>
      <c r="H97" s="28">
        <v>984</v>
      </c>
      <c r="I97" s="28">
        <v>0</v>
      </c>
      <c r="J97" s="28">
        <f>SUM(G97-H97-I97)</f>
        <v>201</v>
      </c>
      <c r="K97" s="28">
        <v>2</v>
      </c>
      <c r="L97" s="28">
        <v>0</v>
      </c>
      <c r="M97" s="28">
        <v>3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1239</v>
      </c>
      <c r="D98" s="29">
        <f t="shared" si="22"/>
        <v>1068</v>
      </c>
      <c r="E98" s="29">
        <f t="shared" si="22"/>
        <v>15</v>
      </c>
      <c r="F98" s="29">
        <f t="shared" si="22"/>
        <v>156</v>
      </c>
      <c r="G98" s="29">
        <f t="shared" si="22"/>
        <v>6052</v>
      </c>
      <c r="H98" s="29">
        <f t="shared" si="22"/>
        <v>3804</v>
      </c>
      <c r="I98" s="29">
        <f t="shared" si="22"/>
        <v>195</v>
      </c>
      <c r="J98" s="29">
        <f t="shared" si="22"/>
        <v>2053</v>
      </c>
      <c r="K98" s="29">
        <f t="shared" si="22"/>
        <v>6</v>
      </c>
      <c r="L98" s="29">
        <f t="shared" si="22"/>
        <v>0</v>
      </c>
      <c r="M98" s="29">
        <f t="shared" si="22"/>
        <v>1225</v>
      </c>
      <c r="N98" s="29">
        <f t="shared" si="22"/>
        <v>19</v>
      </c>
      <c r="O98" s="29">
        <f t="shared" si="22"/>
        <v>19</v>
      </c>
    </row>
    <row r="99" spans="1:15" ht="12.75" customHeight="1">
      <c r="A99" s="4" t="s">
        <v>182</v>
      </c>
      <c r="B99" s="5" t="s">
        <v>183</v>
      </c>
      <c r="C99" s="28">
        <v>2627</v>
      </c>
      <c r="D99" s="28">
        <v>2419</v>
      </c>
      <c r="E99" s="28">
        <v>40</v>
      </c>
      <c r="F99" s="28">
        <f>SUM(C99-D99-E99)</f>
        <v>168</v>
      </c>
      <c r="G99" s="28">
        <v>11512</v>
      </c>
      <c r="H99" s="28">
        <v>7136</v>
      </c>
      <c r="I99" s="28">
        <v>561</v>
      </c>
      <c r="J99" s="28">
        <f>SUM(G99-H99-I99)</f>
        <v>3815</v>
      </c>
      <c r="K99" s="28">
        <v>83</v>
      </c>
      <c r="L99" s="28">
        <v>0</v>
      </c>
      <c r="M99" s="28">
        <v>701</v>
      </c>
      <c r="N99" s="28">
        <v>20</v>
      </c>
      <c r="O99" s="28">
        <v>20</v>
      </c>
    </row>
    <row r="100" spans="1:15" ht="12.75" customHeight="1">
      <c r="A100" s="4" t="s">
        <v>184</v>
      </c>
      <c r="B100" s="5" t="s">
        <v>185</v>
      </c>
      <c r="C100" s="28">
        <v>2759</v>
      </c>
      <c r="D100" s="28">
        <v>1582</v>
      </c>
      <c r="E100" s="28">
        <v>97</v>
      </c>
      <c r="F100" s="28">
        <f>SUM(C100-D100-E100)</f>
        <v>1080</v>
      </c>
      <c r="G100" s="28">
        <v>8523</v>
      </c>
      <c r="H100" s="28">
        <v>4348</v>
      </c>
      <c r="I100" s="28">
        <v>625</v>
      </c>
      <c r="J100" s="28">
        <f>SUM(G100-H100-I100)</f>
        <v>3550</v>
      </c>
      <c r="K100" s="28">
        <v>197</v>
      </c>
      <c r="L100" s="28">
        <v>0</v>
      </c>
      <c r="M100" s="28">
        <v>191</v>
      </c>
      <c r="N100" s="28">
        <v>285</v>
      </c>
      <c r="O100" s="28">
        <v>285</v>
      </c>
    </row>
    <row r="101" spans="1:15" ht="12.75" customHeight="1">
      <c r="A101" s="4" t="s">
        <v>186</v>
      </c>
      <c r="B101" s="5" t="s">
        <v>187</v>
      </c>
      <c r="C101" s="28">
        <v>1392</v>
      </c>
      <c r="D101" s="28">
        <v>1257</v>
      </c>
      <c r="E101" s="28">
        <v>0</v>
      </c>
      <c r="F101" s="28">
        <f>SUM(C101-D101-E101)</f>
        <v>135</v>
      </c>
      <c r="G101" s="28">
        <v>5031</v>
      </c>
      <c r="H101" s="28">
        <v>3361</v>
      </c>
      <c r="I101" s="28">
        <v>0</v>
      </c>
      <c r="J101" s="28">
        <f>SUM(G101-H101-I101)</f>
        <v>1670</v>
      </c>
      <c r="K101" s="28">
        <v>41</v>
      </c>
      <c r="L101" s="28">
        <v>0</v>
      </c>
      <c r="M101" s="28">
        <v>130</v>
      </c>
      <c r="N101" s="28">
        <v>14</v>
      </c>
      <c r="O101" s="28">
        <v>14</v>
      </c>
    </row>
    <row r="102" spans="1:15" ht="12.75" customHeight="1">
      <c r="A102" s="4" t="s">
        <v>188</v>
      </c>
      <c r="B102" s="5" t="s">
        <v>189</v>
      </c>
      <c r="C102" s="28">
        <v>2192</v>
      </c>
      <c r="D102" s="28">
        <v>1961</v>
      </c>
      <c r="E102" s="28">
        <v>47</v>
      </c>
      <c r="F102" s="28">
        <f>SUM(C102-D102-E102)</f>
        <v>184</v>
      </c>
      <c r="G102" s="28">
        <v>8172</v>
      </c>
      <c r="H102" s="28">
        <v>4661</v>
      </c>
      <c r="I102" s="28">
        <v>1061</v>
      </c>
      <c r="J102" s="28">
        <f>SUM(G102-H102-I102)</f>
        <v>2450</v>
      </c>
      <c r="K102" s="28">
        <v>267</v>
      </c>
      <c r="L102" s="28">
        <v>0</v>
      </c>
      <c r="M102" s="28">
        <v>489</v>
      </c>
      <c r="N102" s="28">
        <v>12</v>
      </c>
      <c r="O102" s="28">
        <v>12</v>
      </c>
    </row>
    <row r="103" spans="1:15" ht="12.75" customHeight="1">
      <c r="A103" s="8"/>
      <c r="B103" s="9" t="s">
        <v>190</v>
      </c>
      <c r="C103" s="29">
        <f t="shared" ref="C103:O103" si="23">SUM(C99:C102)</f>
        <v>8970</v>
      </c>
      <c r="D103" s="29">
        <f t="shared" si="23"/>
        <v>7219</v>
      </c>
      <c r="E103" s="29">
        <f t="shared" si="23"/>
        <v>184</v>
      </c>
      <c r="F103" s="29">
        <f t="shared" si="23"/>
        <v>1567</v>
      </c>
      <c r="G103" s="29">
        <f t="shared" si="23"/>
        <v>33238</v>
      </c>
      <c r="H103" s="29">
        <f t="shared" si="23"/>
        <v>19506</v>
      </c>
      <c r="I103" s="29">
        <f t="shared" si="23"/>
        <v>2247</v>
      </c>
      <c r="J103" s="29">
        <f t="shared" si="23"/>
        <v>11485</v>
      </c>
      <c r="K103" s="29">
        <f t="shared" si="23"/>
        <v>588</v>
      </c>
      <c r="L103" s="29">
        <f t="shared" si="23"/>
        <v>0</v>
      </c>
      <c r="M103" s="29">
        <f t="shared" si="23"/>
        <v>1511</v>
      </c>
      <c r="N103" s="29">
        <f t="shared" si="23"/>
        <v>331</v>
      </c>
      <c r="O103" s="29">
        <f t="shared" si="23"/>
        <v>331</v>
      </c>
    </row>
    <row r="104" spans="1:15" ht="12.75" customHeight="1">
      <c r="A104" s="4" t="s">
        <v>191</v>
      </c>
      <c r="B104" s="5" t="s">
        <v>192</v>
      </c>
      <c r="C104" s="28">
        <v>1781</v>
      </c>
      <c r="D104" s="28">
        <v>1416</v>
      </c>
      <c r="E104" s="28">
        <v>42</v>
      </c>
      <c r="F104" s="28">
        <f>SUM(C104-D104-E104)</f>
        <v>323</v>
      </c>
      <c r="G104" s="28">
        <v>7537</v>
      </c>
      <c r="H104" s="28">
        <v>4441</v>
      </c>
      <c r="I104" s="28">
        <v>569</v>
      </c>
      <c r="J104" s="28">
        <f>SUM(G104-H104-I104)</f>
        <v>2527</v>
      </c>
      <c r="K104" s="28">
        <v>145</v>
      </c>
      <c r="L104" s="28">
        <v>0</v>
      </c>
      <c r="M104" s="28">
        <v>329</v>
      </c>
      <c r="N104" s="28">
        <v>9</v>
      </c>
      <c r="O104" s="28">
        <v>9</v>
      </c>
    </row>
    <row r="105" spans="1:15" ht="12.75" customHeight="1">
      <c r="A105" s="4" t="s">
        <v>193</v>
      </c>
      <c r="B105" s="5" t="s">
        <v>194</v>
      </c>
      <c r="C105" s="28">
        <v>1284</v>
      </c>
      <c r="D105" s="28">
        <v>895</v>
      </c>
      <c r="E105" s="28">
        <v>0</v>
      </c>
      <c r="F105" s="28">
        <f>SUM(C105-D105-E105)</f>
        <v>389</v>
      </c>
      <c r="G105" s="28">
        <v>5820</v>
      </c>
      <c r="H105" s="28">
        <v>2531</v>
      </c>
      <c r="I105" s="28">
        <v>0</v>
      </c>
      <c r="J105" s="28">
        <f>SUM(G105-H105-I105)</f>
        <v>3289</v>
      </c>
      <c r="K105" s="28">
        <v>85</v>
      </c>
      <c r="L105" s="28">
        <v>0</v>
      </c>
      <c r="M105" s="28">
        <v>480</v>
      </c>
      <c r="N105" s="28">
        <v>18</v>
      </c>
      <c r="O105" s="28">
        <v>18</v>
      </c>
    </row>
    <row r="106" spans="1:15" ht="12.75" customHeight="1">
      <c r="A106" s="4" t="s">
        <v>195</v>
      </c>
      <c r="B106" s="5" t="s">
        <v>196</v>
      </c>
      <c r="C106" s="28">
        <v>6316</v>
      </c>
      <c r="D106" s="28">
        <v>3945</v>
      </c>
      <c r="E106" s="28">
        <v>118</v>
      </c>
      <c r="F106" s="28">
        <f>SUM(C106-D106-E106)</f>
        <v>2253</v>
      </c>
      <c r="G106" s="28">
        <v>30931</v>
      </c>
      <c r="H106" s="28">
        <v>11220</v>
      </c>
      <c r="I106" s="28">
        <v>946</v>
      </c>
      <c r="J106" s="28">
        <f>SUM(G106-H106-I106)</f>
        <v>18765</v>
      </c>
      <c r="K106" s="28">
        <v>158</v>
      </c>
      <c r="L106" s="28">
        <v>0</v>
      </c>
      <c r="M106" s="28">
        <v>3384</v>
      </c>
      <c r="N106" s="28">
        <v>317</v>
      </c>
      <c r="O106" s="28">
        <v>317</v>
      </c>
    </row>
    <row r="107" spans="1:15" ht="12.75" customHeight="1">
      <c r="A107" s="4" t="s">
        <v>197</v>
      </c>
      <c r="B107" s="5" t="s">
        <v>198</v>
      </c>
      <c r="C107" s="28">
        <v>21367</v>
      </c>
      <c r="D107" s="28">
        <v>12959</v>
      </c>
      <c r="E107" s="28">
        <v>540</v>
      </c>
      <c r="F107" s="28">
        <f>SUM(C107-D107-E107)</f>
        <v>7868</v>
      </c>
      <c r="G107" s="28">
        <v>58456</v>
      </c>
      <c r="H107" s="28">
        <v>23603</v>
      </c>
      <c r="I107" s="28">
        <v>1527</v>
      </c>
      <c r="J107" s="28">
        <f>SUM(G107-H107-I107)</f>
        <v>33326</v>
      </c>
      <c r="K107" s="28">
        <v>3040</v>
      </c>
      <c r="L107" s="28">
        <v>0</v>
      </c>
      <c r="M107" s="28">
        <v>486</v>
      </c>
      <c r="N107" s="28">
        <v>1628</v>
      </c>
      <c r="O107" s="28">
        <v>1628</v>
      </c>
    </row>
    <row r="108" spans="1:15" ht="12.75" customHeight="1">
      <c r="A108" s="4" t="s">
        <v>199</v>
      </c>
      <c r="B108" s="5" t="s">
        <v>200</v>
      </c>
      <c r="C108" s="28">
        <v>5090</v>
      </c>
      <c r="D108" s="28">
        <v>3585</v>
      </c>
      <c r="E108" s="28">
        <v>106</v>
      </c>
      <c r="F108" s="28">
        <f>SUM(C108-D108-E108)</f>
        <v>1399</v>
      </c>
      <c r="G108" s="28">
        <v>29008</v>
      </c>
      <c r="H108" s="28">
        <v>11032</v>
      </c>
      <c r="I108" s="28">
        <v>1043</v>
      </c>
      <c r="J108" s="28">
        <f>SUM(G108-H108-I108)</f>
        <v>16933</v>
      </c>
      <c r="K108" s="28">
        <v>410</v>
      </c>
      <c r="L108" s="28">
        <v>0</v>
      </c>
      <c r="M108" s="28">
        <v>1213</v>
      </c>
      <c r="N108" s="28">
        <v>512</v>
      </c>
      <c r="O108" s="28">
        <v>512</v>
      </c>
    </row>
    <row r="109" spans="1:15" ht="12.75" customHeight="1">
      <c r="A109" s="8"/>
      <c r="B109" s="9" t="s">
        <v>201</v>
      </c>
      <c r="C109" s="29">
        <f t="shared" ref="C109:O109" si="24">SUM(C104:C108)</f>
        <v>35838</v>
      </c>
      <c r="D109" s="29">
        <f t="shared" si="24"/>
        <v>22800</v>
      </c>
      <c r="E109" s="29">
        <f t="shared" si="24"/>
        <v>806</v>
      </c>
      <c r="F109" s="29">
        <f t="shared" si="24"/>
        <v>12232</v>
      </c>
      <c r="G109" s="29">
        <f t="shared" si="24"/>
        <v>131752</v>
      </c>
      <c r="H109" s="29">
        <f t="shared" si="24"/>
        <v>52827</v>
      </c>
      <c r="I109" s="29">
        <f t="shared" si="24"/>
        <v>4085</v>
      </c>
      <c r="J109" s="29">
        <f t="shared" si="24"/>
        <v>74840</v>
      </c>
      <c r="K109" s="29">
        <f t="shared" si="24"/>
        <v>3838</v>
      </c>
      <c r="L109" s="29">
        <f t="shared" si="24"/>
        <v>0</v>
      </c>
      <c r="M109" s="29">
        <f t="shared" si="24"/>
        <v>5892</v>
      </c>
      <c r="N109" s="29">
        <f t="shared" si="24"/>
        <v>2484</v>
      </c>
      <c r="O109" s="29">
        <f t="shared" si="24"/>
        <v>2484</v>
      </c>
    </row>
    <row r="110" spans="1:15" ht="12.75" customHeight="1">
      <c r="A110" s="4" t="s">
        <v>202</v>
      </c>
      <c r="B110" s="5" t="s">
        <v>203</v>
      </c>
      <c r="C110" s="28">
        <v>8700</v>
      </c>
      <c r="D110" s="28">
        <v>7377</v>
      </c>
      <c r="E110" s="28">
        <v>38</v>
      </c>
      <c r="F110" s="28">
        <f t="shared" ref="F110:F115" si="25">SUM(C110-D110-E110)</f>
        <v>1285</v>
      </c>
      <c r="G110" s="28">
        <v>35794</v>
      </c>
      <c r="H110" s="28">
        <v>22573</v>
      </c>
      <c r="I110" s="28">
        <v>784</v>
      </c>
      <c r="J110" s="28">
        <f t="shared" ref="J110:J115" si="26">SUM(G110-H110-I110)</f>
        <v>12437</v>
      </c>
      <c r="K110" s="28">
        <v>1070</v>
      </c>
      <c r="L110" s="28">
        <v>0</v>
      </c>
      <c r="M110" s="28">
        <v>2236</v>
      </c>
      <c r="N110" s="28">
        <v>356</v>
      </c>
      <c r="O110" s="28">
        <v>356</v>
      </c>
    </row>
    <row r="111" spans="1:15" ht="12.75" customHeight="1">
      <c r="A111" s="4" t="s">
        <v>204</v>
      </c>
      <c r="B111" s="5" t="s">
        <v>205</v>
      </c>
      <c r="C111" s="28">
        <v>1021</v>
      </c>
      <c r="D111" s="28">
        <v>968</v>
      </c>
      <c r="E111" s="28">
        <v>12</v>
      </c>
      <c r="F111" s="28">
        <f t="shared" si="25"/>
        <v>41</v>
      </c>
      <c r="G111" s="28">
        <v>3215</v>
      </c>
      <c r="H111" s="28">
        <v>2496</v>
      </c>
      <c r="I111" s="28">
        <v>122</v>
      </c>
      <c r="J111" s="28">
        <f t="shared" si="26"/>
        <v>597</v>
      </c>
      <c r="K111" s="28">
        <v>91</v>
      </c>
      <c r="L111" s="28">
        <v>0</v>
      </c>
      <c r="M111" s="28">
        <v>330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2714</v>
      </c>
      <c r="D112" s="28">
        <v>2254</v>
      </c>
      <c r="E112" s="28">
        <v>0</v>
      </c>
      <c r="F112" s="28">
        <f t="shared" si="25"/>
        <v>460</v>
      </c>
      <c r="G112" s="28">
        <v>9080</v>
      </c>
      <c r="H112" s="28">
        <v>6962</v>
      </c>
      <c r="I112" s="28">
        <v>0</v>
      </c>
      <c r="J112" s="28">
        <f t="shared" si="26"/>
        <v>2118</v>
      </c>
      <c r="K112" s="28">
        <v>222</v>
      </c>
      <c r="L112" s="28">
        <v>1150</v>
      </c>
      <c r="M112" s="28">
        <v>307</v>
      </c>
      <c r="N112" s="28">
        <v>1251</v>
      </c>
      <c r="O112" s="28">
        <v>1251</v>
      </c>
    </row>
    <row r="113" spans="1:15" ht="12.75" customHeight="1">
      <c r="A113" s="4" t="s">
        <v>208</v>
      </c>
      <c r="B113" s="5" t="s">
        <v>209</v>
      </c>
      <c r="C113" s="28">
        <v>2699</v>
      </c>
      <c r="D113" s="28">
        <v>1921</v>
      </c>
      <c r="E113" s="28">
        <v>52</v>
      </c>
      <c r="F113" s="28">
        <f t="shared" si="25"/>
        <v>726</v>
      </c>
      <c r="G113" s="28">
        <v>9909</v>
      </c>
      <c r="H113" s="28">
        <v>5807</v>
      </c>
      <c r="I113" s="28">
        <v>592</v>
      </c>
      <c r="J113" s="28">
        <f t="shared" si="26"/>
        <v>3510</v>
      </c>
      <c r="K113" s="28">
        <v>434</v>
      </c>
      <c r="L113" s="28">
        <v>0</v>
      </c>
      <c r="M113" s="28">
        <v>1208</v>
      </c>
      <c r="N113" s="28">
        <v>44</v>
      </c>
      <c r="O113" s="28">
        <v>44</v>
      </c>
    </row>
    <row r="114" spans="1:15" ht="12.75" customHeight="1">
      <c r="A114" s="4" t="s">
        <v>210</v>
      </c>
      <c r="B114" s="5" t="s">
        <v>211</v>
      </c>
      <c r="C114" s="28">
        <v>11232</v>
      </c>
      <c r="D114" s="28">
        <v>5269</v>
      </c>
      <c r="E114" s="28">
        <v>0</v>
      </c>
      <c r="F114" s="28">
        <f t="shared" si="25"/>
        <v>5963</v>
      </c>
      <c r="G114" s="28">
        <v>33413</v>
      </c>
      <c r="H114" s="28">
        <v>12433</v>
      </c>
      <c r="I114" s="28">
        <v>0</v>
      </c>
      <c r="J114" s="28">
        <f t="shared" si="26"/>
        <v>20980</v>
      </c>
      <c r="K114" s="28">
        <v>2108</v>
      </c>
      <c r="L114" s="28">
        <v>0</v>
      </c>
      <c r="M114" s="28">
        <v>2280</v>
      </c>
      <c r="N114" s="28">
        <v>632</v>
      </c>
      <c r="O114" s="28">
        <v>632</v>
      </c>
    </row>
    <row r="115" spans="1:15" ht="12.75" customHeight="1">
      <c r="A115" s="4" t="s">
        <v>212</v>
      </c>
      <c r="B115" s="5" t="s">
        <v>213</v>
      </c>
      <c r="C115" s="28">
        <v>3385</v>
      </c>
      <c r="D115" s="28">
        <v>3085</v>
      </c>
      <c r="E115" s="28">
        <v>0</v>
      </c>
      <c r="F115" s="28">
        <f t="shared" si="25"/>
        <v>300</v>
      </c>
      <c r="G115" s="28">
        <v>9968</v>
      </c>
      <c r="H115" s="28">
        <v>8458</v>
      </c>
      <c r="I115" s="28">
        <v>0</v>
      </c>
      <c r="J115" s="28">
        <f t="shared" si="26"/>
        <v>1510</v>
      </c>
      <c r="K115" s="28">
        <v>337</v>
      </c>
      <c r="L115" s="28">
        <v>0</v>
      </c>
      <c r="M115" s="28">
        <v>247</v>
      </c>
      <c r="N115" s="28">
        <v>83</v>
      </c>
      <c r="O115" s="28">
        <v>83</v>
      </c>
    </row>
    <row r="116" spans="1:15" ht="12.75" customHeight="1">
      <c r="A116" s="8"/>
      <c r="B116" s="9" t="s">
        <v>214</v>
      </c>
      <c r="C116" s="29">
        <f t="shared" ref="C116:O116" si="27">SUM(C110:C115)</f>
        <v>29751</v>
      </c>
      <c r="D116" s="29">
        <f t="shared" si="27"/>
        <v>20874</v>
      </c>
      <c r="E116" s="29">
        <f t="shared" si="27"/>
        <v>102</v>
      </c>
      <c r="F116" s="29">
        <f t="shared" si="27"/>
        <v>8775</v>
      </c>
      <c r="G116" s="29">
        <f t="shared" si="27"/>
        <v>101379</v>
      </c>
      <c r="H116" s="29">
        <f t="shared" si="27"/>
        <v>58729</v>
      </c>
      <c r="I116" s="29">
        <f t="shared" si="27"/>
        <v>1498</v>
      </c>
      <c r="J116" s="29">
        <f t="shared" si="27"/>
        <v>41152</v>
      </c>
      <c r="K116" s="29">
        <f t="shared" si="27"/>
        <v>4262</v>
      </c>
      <c r="L116" s="29">
        <f t="shared" si="27"/>
        <v>1150</v>
      </c>
      <c r="M116" s="29">
        <f t="shared" si="27"/>
        <v>6608</v>
      </c>
      <c r="N116" s="29">
        <f t="shared" si="27"/>
        <v>2366</v>
      </c>
      <c r="O116" s="29">
        <f t="shared" si="27"/>
        <v>2366</v>
      </c>
    </row>
    <row r="117" spans="1:15" ht="12.75" customHeight="1">
      <c r="A117" s="4" t="s">
        <v>215</v>
      </c>
      <c r="B117" s="5" t="s">
        <v>216</v>
      </c>
      <c r="C117" s="28">
        <v>964</v>
      </c>
      <c r="D117" s="28">
        <v>750</v>
      </c>
      <c r="E117" s="28">
        <v>0</v>
      </c>
      <c r="F117" s="28">
        <f>SUM(C117-D117-E117)</f>
        <v>214</v>
      </c>
      <c r="G117" s="28">
        <v>3614</v>
      </c>
      <c r="H117" s="28">
        <v>2452</v>
      </c>
      <c r="I117" s="28">
        <v>0</v>
      </c>
      <c r="J117" s="28">
        <f>SUM(G117-H117-I117)</f>
        <v>1162</v>
      </c>
      <c r="K117" s="28">
        <v>10</v>
      </c>
      <c r="L117" s="28">
        <v>0</v>
      </c>
      <c r="M117" s="28">
        <v>601</v>
      </c>
      <c r="N117" s="28">
        <v>27</v>
      </c>
      <c r="O117" s="28">
        <v>27</v>
      </c>
    </row>
    <row r="118" spans="1:15" ht="12.75" customHeight="1">
      <c r="A118" s="4" t="s">
        <v>217</v>
      </c>
      <c r="B118" s="5" t="s">
        <v>218</v>
      </c>
      <c r="C118" s="28">
        <v>2322</v>
      </c>
      <c r="D118" s="28">
        <v>2117</v>
      </c>
      <c r="E118" s="28">
        <v>29</v>
      </c>
      <c r="F118" s="28">
        <f>SUM(C118-D118-E118)</f>
        <v>176</v>
      </c>
      <c r="G118" s="28">
        <v>9604</v>
      </c>
      <c r="H118" s="28">
        <v>6025</v>
      </c>
      <c r="I118" s="28">
        <v>321</v>
      </c>
      <c r="J118" s="28">
        <f>SUM(G118-H118-I118)</f>
        <v>3258</v>
      </c>
      <c r="K118" s="28">
        <v>152</v>
      </c>
      <c r="L118" s="28">
        <v>0</v>
      </c>
      <c r="M118" s="28">
        <v>484</v>
      </c>
      <c r="N118" s="28">
        <v>95</v>
      </c>
      <c r="O118" s="28">
        <v>95</v>
      </c>
    </row>
    <row r="119" spans="1:15" ht="12.75" customHeight="1">
      <c r="A119" s="8"/>
      <c r="B119" s="9" t="s">
        <v>219</v>
      </c>
      <c r="C119" s="29">
        <f t="shared" ref="C119:O119" si="28">SUM(C117:C118)</f>
        <v>3286</v>
      </c>
      <c r="D119" s="29">
        <f t="shared" si="28"/>
        <v>2867</v>
      </c>
      <c r="E119" s="29">
        <f t="shared" si="28"/>
        <v>29</v>
      </c>
      <c r="F119" s="29">
        <f t="shared" si="28"/>
        <v>390</v>
      </c>
      <c r="G119" s="29">
        <f t="shared" si="28"/>
        <v>13218</v>
      </c>
      <c r="H119" s="29">
        <f t="shared" si="28"/>
        <v>8477</v>
      </c>
      <c r="I119" s="29">
        <f t="shared" si="28"/>
        <v>321</v>
      </c>
      <c r="J119" s="29">
        <f t="shared" si="28"/>
        <v>4420</v>
      </c>
      <c r="K119" s="29">
        <f t="shared" si="28"/>
        <v>162</v>
      </c>
      <c r="L119" s="29">
        <f t="shared" si="28"/>
        <v>0</v>
      </c>
      <c r="M119" s="29">
        <f t="shared" si="28"/>
        <v>1085</v>
      </c>
      <c r="N119" s="29">
        <f t="shared" si="28"/>
        <v>122</v>
      </c>
      <c r="O119" s="29">
        <f t="shared" si="28"/>
        <v>122</v>
      </c>
    </row>
    <row r="120" spans="1:15" ht="12.75" customHeight="1">
      <c r="A120" s="4" t="s">
        <v>220</v>
      </c>
      <c r="B120" s="5" t="s">
        <v>221</v>
      </c>
      <c r="C120" s="28">
        <v>2677</v>
      </c>
      <c r="D120" s="28">
        <v>2511</v>
      </c>
      <c r="E120" s="28">
        <v>24</v>
      </c>
      <c r="F120" s="28">
        <f>SUM(C120-D120-E120)</f>
        <v>142</v>
      </c>
      <c r="G120" s="28">
        <v>8512</v>
      </c>
      <c r="H120" s="28">
        <v>6811</v>
      </c>
      <c r="I120" s="28">
        <v>423</v>
      </c>
      <c r="J120" s="28">
        <f>SUM(G120-H120-I120)</f>
        <v>1278</v>
      </c>
      <c r="K120" s="28">
        <v>713</v>
      </c>
      <c r="L120" s="28">
        <v>0</v>
      </c>
      <c r="M120" s="28">
        <v>459</v>
      </c>
      <c r="N120" s="28">
        <v>355</v>
      </c>
      <c r="O120" s="28">
        <v>355</v>
      </c>
    </row>
    <row r="121" spans="1:15" ht="12.75" customHeight="1">
      <c r="A121" s="4" t="s">
        <v>222</v>
      </c>
      <c r="B121" s="5" t="s">
        <v>223</v>
      </c>
      <c r="C121" s="28">
        <v>4355</v>
      </c>
      <c r="D121" s="28">
        <v>4030</v>
      </c>
      <c r="E121" s="28">
        <v>78</v>
      </c>
      <c r="F121" s="28">
        <f>SUM(C121-D121-E121)</f>
        <v>247</v>
      </c>
      <c r="G121" s="28">
        <v>14692</v>
      </c>
      <c r="H121" s="28">
        <v>11156</v>
      </c>
      <c r="I121" s="28">
        <v>840</v>
      </c>
      <c r="J121" s="28">
        <f>SUM(G121-H121-I121)</f>
        <v>2696</v>
      </c>
      <c r="K121" s="28">
        <v>160</v>
      </c>
      <c r="L121" s="28">
        <v>0</v>
      </c>
      <c r="M121" s="28">
        <v>477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813</v>
      </c>
      <c r="D122" s="28">
        <v>664</v>
      </c>
      <c r="E122" s="28">
        <v>0</v>
      </c>
      <c r="F122" s="28">
        <f>SUM(C122-D122-E122)</f>
        <v>149</v>
      </c>
      <c r="G122" s="28">
        <v>2599</v>
      </c>
      <c r="H122" s="28">
        <v>1773</v>
      </c>
      <c r="I122" s="28">
        <v>0</v>
      </c>
      <c r="J122" s="28">
        <f>SUM(G122-H122-I122)</f>
        <v>826</v>
      </c>
      <c r="K122" s="28">
        <v>36</v>
      </c>
      <c r="L122" s="28">
        <v>0</v>
      </c>
      <c r="M122" s="28">
        <v>949</v>
      </c>
      <c r="N122" s="28">
        <v>15</v>
      </c>
      <c r="O122" s="28">
        <v>15</v>
      </c>
    </row>
    <row r="123" spans="1:15" ht="12.75" customHeight="1">
      <c r="A123" s="4" t="s">
        <v>226</v>
      </c>
      <c r="B123" s="5" t="s">
        <v>227</v>
      </c>
      <c r="C123" s="28">
        <v>3900</v>
      </c>
      <c r="D123" s="28">
        <v>3579</v>
      </c>
      <c r="E123" s="28">
        <v>31</v>
      </c>
      <c r="F123" s="28">
        <f>SUM(C123-D123-E123)</f>
        <v>290</v>
      </c>
      <c r="G123" s="28">
        <v>10756</v>
      </c>
      <c r="H123" s="28">
        <v>8479</v>
      </c>
      <c r="I123" s="28">
        <v>340</v>
      </c>
      <c r="J123" s="28">
        <f>SUM(G123-H123-I123)</f>
        <v>1937</v>
      </c>
      <c r="K123" s="28">
        <v>311</v>
      </c>
      <c r="L123" s="28">
        <v>0</v>
      </c>
      <c r="M123" s="28">
        <v>386</v>
      </c>
      <c r="N123" s="28">
        <v>56</v>
      </c>
      <c r="O123" s="28">
        <v>56</v>
      </c>
    </row>
    <row r="124" spans="1:15" ht="12.75" customHeight="1">
      <c r="A124" s="4" t="s">
        <v>228</v>
      </c>
      <c r="B124" s="5" t="s">
        <v>229</v>
      </c>
      <c r="C124" s="28">
        <v>992</v>
      </c>
      <c r="D124" s="28">
        <v>962</v>
      </c>
      <c r="E124" s="28">
        <v>14</v>
      </c>
      <c r="F124" s="28">
        <f>SUM(C124-D124-E124)</f>
        <v>16</v>
      </c>
      <c r="G124" s="28">
        <v>2720</v>
      </c>
      <c r="H124" s="28">
        <v>2192</v>
      </c>
      <c r="I124" s="28">
        <v>181</v>
      </c>
      <c r="J124" s="28">
        <f>SUM(G124-H124-I124)</f>
        <v>347</v>
      </c>
      <c r="K124" s="28">
        <v>74</v>
      </c>
      <c r="L124" s="28">
        <v>0</v>
      </c>
      <c r="M124" s="28">
        <v>23</v>
      </c>
      <c r="N124" s="28">
        <v>73</v>
      </c>
      <c r="O124" s="28">
        <v>73</v>
      </c>
    </row>
    <row r="125" spans="1:15" ht="12.75" customHeight="1">
      <c r="A125" s="8"/>
      <c r="B125" s="9" t="s">
        <v>230</v>
      </c>
      <c r="C125" s="29">
        <f t="shared" ref="C125:O125" si="29">SUM(C120:C124)</f>
        <v>12737</v>
      </c>
      <c r="D125" s="29">
        <f t="shared" si="29"/>
        <v>11746</v>
      </c>
      <c r="E125" s="29">
        <f t="shared" si="29"/>
        <v>147</v>
      </c>
      <c r="F125" s="29">
        <f t="shared" si="29"/>
        <v>844</v>
      </c>
      <c r="G125" s="29">
        <f t="shared" si="29"/>
        <v>39279</v>
      </c>
      <c r="H125" s="29">
        <f t="shared" si="29"/>
        <v>30411</v>
      </c>
      <c r="I125" s="29">
        <f t="shared" si="29"/>
        <v>1784</v>
      </c>
      <c r="J125" s="29">
        <f t="shared" si="29"/>
        <v>7084</v>
      </c>
      <c r="K125" s="29">
        <f t="shared" si="29"/>
        <v>1294</v>
      </c>
      <c r="L125" s="29">
        <f t="shared" si="29"/>
        <v>0</v>
      </c>
      <c r="M125" s="29">
        <f t="shared" si="29"/>
        <v>2294</v>
      </c>
      <c r="N125" s="29">
        <f t="shared" si="29"/>
        <v>499</v>
      </c>
      <c r="O125" s="29">
        <f t="shared" si="29"/>
        <v>499</v>
      </c>
    </row>
    <row r="126" spans="1:15" ht="12.75" customHeight="1">
      <c r="A126" s="4" t="s">
        <v>231</v>
      </c>
      <c r="B126" s="5" t="s">
        <v>232</v>
      </c>
      <c r="C126" s="28">
        <v>2557</v>
      </c>
      <c r="D126" s="28">
        <v>2187</v>
      </c>
      <c r="E126" s="28">
        <v>0</v>
      </c>
      <c r="F126" s="28">
        <f t="shared" ref="F126:F134" si="30">SUM(C126-D126-E126)</f>
        <v>370</v>
      </c>
      <c r="G126" s="28">
        <v>6641</v>
      </c>
      <c r="H126" s="28">
        <v>4941</v>
      </c>
      <c r="I126" s="28">
        <v>0</v>
      </c>
      <c r="J126" s="28">
        <f t="shared" ref="J126:J134" si="31">SUM(G126-H126-I126)</f>
        <v>1700</v>
      </c>
      <c r="K126" s="28">
        <v>69</v>
      </c>
      <c r="L126" s="28">
        <v>11</v>
      </c>
      <c r="M126" s="28">
        <v>723</v>
      </c>
      <c r="N126" s="28">
        <v>196</v>
      </c>
      <c r="O126" s="28">
        <v>196</v>
      </c>
    </row>
    <row r="127" spans="1:15" ht="12.75" customHeight="1">
      <c r="A127" s="4" t="s">
        <v>233</v>
      </c>
      <c r="B127" s="5" t="s">
        <v>234</v>
      </c>
      <c r="C127" s="28">
        <v>1597</v>
      </c>
      <c r="D127" s="28">
        <v>1331</v>
      </c>
      <c r="E127" s="28">
        <v>0</v>
      </c>
      <c r="F127" s="28">
        <f t="shared" si="30"/>
        <v>266</v>
      </c>
      <c r="G127" s="28">
        <v>4498</v>
      </c>
      <c r="H127" s="28">
        <v>3606</v>
      </c>
      <c r="I127" s="28">
        <v>0</v>
      </c>
      <c r="J127" s="28">
        <f t="shared" si="31"/>
        <v>892</v>
      </c>
      <c r="K127" s="28">
        <v>74</v>
      </c>
      <c r="L127" s="28">
        <v>0</v>
      </c>
      <c r="M127" s="28">
        <v>160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12371</v>
      </c>
      <c r="D128" s="28">
        <v>8006</v>
      </c>
      <c r="E128" s="28">
        <v>134</v>
      </c>
      <c r="F128" s="28">
        <f t="shared" si="30"/>
        <v>4231</v>
      </c>
      <c r="G128" s="28">
        <v>33066</v>
      </c>
      <c r="H128" s="28">
        <v>17098</v>
      </c>
      <c r="I128" s="28">
        <v>748</v>
      </c>
      <c r="J128" s="28">
        <f t="shared" si="31"/>
        <v>15220</v>
      </c>
      <c r="K128" s="28">
        <v>1188</v>
      </c>
      <c r="L128" s="28">
        <v>0</v>
      </c>
      <c r="M128" s="28">
        <v>1144</v>
      </c>
      <c r="N128" s="28">
        <v>463</v>
      </c>
      <c r="O128" s="28">
        <v>463</v>
      </c>
    </row>
    <row r="129" spans="1:15" ht="12.75" customHeight="1">
      <c r="A129" s="4" t="s">
        <v>237</v>
      </c>
      <c r="B129" s="5" t="s">
        <v>238</v>
      </c>
      <c r="C129" s="28">
        <v>824</v>
      </c>
      <c r="D129" s="28">
        <v>680</v>
      </c>
      <c r="E129" s="28">
        <v>37</v>
      </c>
      <c r="F129" s="28">
        <f t="shared" si="30"/>
        <v>107</v>
      </c>
      <c r="G129" s="28">
        <v>3771</v>
      </c>
      <c r="H129" s="28">
        <v>1680</v>
      </c>
      <c r="I129" s="28">
        <v>338</v>
      </c>
      <c r="J129" s="28">
        <f t="shared" si="31"/>
        <v>1753</v>
      </c>
      <c r="K129" s="28">
        <v>117</v>
      </c>
      <c r="L129" s="28">
        <v>0</v>
      </c>
      <c r="M129" s="28">
        <v>569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5270</v>
      </c>
      <c r="D130" s="28">
        <v>4625</v>
      </c>
      <c r="E130" s="28">
        <v>295</v>
      </c>
      <c r="F130" s="28">
        <f t="shared" si="30"/>
        <v>350</v>
      </c>
      <c r="G130" s="28">
        <v>13318</v>
      </c>
      <c r="H130" s="28">
        <v>7230</v>
      </c>
      <c r="I130" s="28">
        <v>1471</v>
      </c>
      <c r="J130" s="28">
        <f t="shared" si="31"/>
        <v>4617</v>
      </c>
      <c r="K130" s="28">
        <v>341</v>
      </c>
      <c r="L130" s="28">
        <v>318</v>
      </c>
      <c r="M130" s="28">
        <v>61</v>
      </c>
      <c r="N130" s="28">
        <v>83539</v>
      </c>
      <c r="O130" s="28">
        <v>547</v>
      </c>
    </row>
    <row r="131" spans="1:15" ht="12.75" customHeight="1">
      <c r="A131" s="4" t="s">
        <v>241</v>
      </c>
      <c r="B131" s="5" t="s">
        <v>242</v>
      </c>
      <c r="C131" s="28">
        <v>10315</v>
      </c>
      <c r="D131" s="28">
        <v>8622</v>
      </c>
      <c r="E131" s="28">
        <v>66</v>
      </c>
      <c r="F131" s="28">
        <f t="shared" si="30"/>
        <v>1627</v>
      </c>
      <c r="G131" s="28">
        <v>23780</v>
      </c>
      <c r="H131" s="28">
        <v>13081</v>
      </c>
      <c r="I131" s="28">
        <v>440</v>
      </c>
      <c r="J131" s="28">
        <f t="shared" si="31"/>
        <v>10259</v>
      </c>
      <c r="K131" s="28">
        <v>841</v>
      </c>
      <c r="L131" s="28">
        <v>0</v>
      </c>
      <c r="M131" s="28">
        <v>195</v>
      </c>
      <c r="N131" s="28">
        <v>114</v>
      </c>
      <c r="O131" s="28">
        <v>114</v>
      </c>
    </row>
    <row r="132" spans="1:15" ht="12.75" customHeight="1">
      <c r="A132" s="4" t="s">
        <v>243</v>
      </c>
      <c r="B132" s="5" t="s">
        <v>244</v>
      </c>
      <c r="C132" s="28">
        <v>4472</v>
      </c>
      <c r="D132" s="28">
        <v>3726</v>
      </c>
      <c r="E132" s="28">
        <v>0</v>
      </c>
      <c r="F132" s="28">
        <f t="shared" si="30"/>
        <v>746</v>
      </c>
      <c r="G132" s="28">
        <v>13945</v>
      </c>
      <c r="H132" s="28">
        <v>8862</v>
      </c>
      <c r="I132" s="28">
        <v>0</v>
      </c>
      <c r="J132" s="28">
        <f t="shared" si="31"/>
        <v>5083</v>
      </c>
      <c r="K132" s="28">
        <v>917</v>
      </c>
      <c r="L132" s="28">
        <v>0</v>
      </c>
      <c r="M132" s="28">
        <v>1010</v>
      </c>
      <c r="N132" s="28">
        <v>24</v>
      </c>
      <c r="O132" s="28">
        <v>24</v>
      </c>
    </row>
    <row r="133" spans="1:15" ht="12.75" customHeight="1">
      <c r="A133" s="4" t="s">
        <v>245</v>
      </c>
      <c r="B133" s="5" t="s">
        <v>246</v>
      </c>
      <c r="C133" s="28">
        <v>3127</v>
      </c>
      <c r="D133" s="28">
        <v>2800</v>
      </c>
      <c r="E133" s="28">
        <v>0</v>
      </c>
      <c r="F133" s="28">
        <f t="shared" si="30"/>
        <v>327</v>
      </c>
      <c r="G133" s="28">
        <v>9153</v>
      </c>
      <c r="H133" s="28">
        <v>6018</v>
      </c>
      <c r="I133" s="28">
        <v>0</v>
      </c>
      <c r="J133" s="28">
        <f t="shared" si="31"/>
        <v>3135</v>
      </c>
      <c r="K133" s="28">
        <v>303</v>
      </c>
      <c r="L133" s="28">
        <v>30</v>
      </c>
      <c r="M133" s="28">
        <v>1017</v>
      </c>
      <c r="N133" s="28">
        <v>576</v>
      </c>
      <c r="O133" s="28">
        <v>576</v>
      </c>
    </row>
    <row r="134" spans="1:15" ht="12.75" customHeight="1">
      <c r="A134" s="4" t="s">
        <v>247</v>
      </c>
      <c r="B134" s="5" t="s">
        <v>248</v>
      </c>
      <c r="C134" s="28">
        <v>2717</v>
      </c>
      <c r="D134" s="28">
        <v>2060</v>
      </c>
      <c r="E134" s="28">
        <v>0</v>
      </c>
      <c r="F134" s="28">
        <f t="shared" si="30"/>
        <v>657</v>
      </c>
      <c r="G134" s="28">
        <v>11515</v>
      </c>
      <c r="H134" s="28">
        <v>4088</v>
      </c>
      <c r="I134" s="28">
        <v>0</v>
      </c>
      <c r="J134" s="28">
        <f t="shared" si="31"/>
        <v>7427</v>
      </c>
      <c r="K134" s="28">
        <v>62</v>
      </c>
      <c r="L134" s="28">
        <v>0</v>
      </c>
      <c r="M134" s="28">
        <v>666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43250</v>
      </c>
      <c r="D135" s="29">
        <f t="shared" si="32"/>
        <v>34037</v>
      </c>
      <c r="E135" s="29">
        <f t="shared" si="32"/>
        <v>532</v>
      </c>
      <c r="F135" s="29">
        <f t="shared" si="32"/>
        <v>8681</v>
      </c>
      <c r="G135" s="29">
        <f t="shared" si="32"/>
        <v>119687</v>
      </c>
      <c r="H135" s="29">
        <f t="shared" si="32"/>
        <v>66604</v>
      </c>
      <c r="I135" s="29">
        <f t="shared" si="32"/>
        <v>2997</v>
      </c>
      <c r="J135" s="29">
        <f t="shared" si="32"/>
        <v>50086</v>
      </c>
      <c r="K135" s="29">
        <f t="shared" si="32"/>
        <v>3912</v>
      </c>
      <c r="L135" s="29">
        <f t="shared" si="32"/>
        <v>359</v>
      </c>
      <c r="M135" s="29">
        <f t="shared" si="32"/>
        <v>5545</v>
      </c>
      <c r="N135" s="29">
        <f t="shared" si="32"/>
        <v>85128</v>
      </c>
      <c r="O135" s="29">
        <f t="shared" si="32"/>
        <v>2136</v>
      </c>
    </row>
    <row r="136" spans="1:15" ht="12.75" customHeight="1">
      <c r="A136" s="4" t="s">
        <v>250</v>
      </c>
      <c r="B136" s="5" t="s">
        <v>251</v>
      </c>
      <c r="C136" s="28">
        <v>6464</v>
      </c>
      <c r="D136" s="28">
        <v>5912</v>
      </c>
      <c r="E136" s="28">
        <v>0</v>
      </c>
      <c r="F136" s="28">
        <f t="shared" ref="F136:F143" si="33">SUM(C136-D136-E136)</f>
        <v>552</v>
      </c>
      <c r="G136" s="28">
        <v>14286</v>
      </c>
      <c r="H136" s="28">
        <v>11489</v>
      </c>
      <c r="I136" s="28">
        <v>0</v>
      </c>
      <c r="J136" s="28">
        <f t="shared" ref="J136:J143" si="34">SUM(G136-H136-I136)</f>
        <v>2797</v>
      </c>
      <c r="K136" s="28">
        <v>3738</v>
      </c>
      <c r="L136" s="28">
        <v>294</v>
      </c>
      <c r="M136" s="28">
        <v>685</v>
      </c>
      <c r="N136" s="28">
        <v>3082</v>
      </c>
      <c r="O136" s="28">
        <v>2586</v>
      </c>
    </row>
    <row r="137" spans="1:15" ht="12.75" customHeight="1">
      <c r="A137" s="4" t="s">
        <v>252</v>
      </c>
      <c r="B137" s="5" t="s">
        <v>253</v>
      </c>
      <c r="C137" s="28">
        <v>569</v>
      </c>
      <c r="D137" s="28">
        <v>569</v>
      </c>
      <c r="E137" s="28">
        <v>0</v>
      </c>
      <c r="F137" s="28">
        <f t="shared" si="33"/>
        <v>0</v>
      </c>
      <c r="G137" s="28">
        <v>1145</v>
      </c>
      <c r="H137" s="28">
        <v>1145</v>
      </c>
      <c r="I137" s="28">
        <v>0</v>
      </c>
      <c r="J137" s="28">
        <f t="shared" si="34"/>
        <v>0</v>
      </c>
      <c r="K137" s="28">
        <v>109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407</v>
      </c>
      <c r="D138" s="28">
        <v>407</v>
      </c>
      <c r="E138" s="28">
        <v>0</v>
      </c>
      <c r="F138" s="28">
        <f t="shared" si="33"/>
        <v>0</v>
      </c>
      <c r="G138" s="28">
        <v>929</v>
      </c>
      <c r="H138" s="28">
        <v>927</v>
      </c>
      <c r="I138" s="28">
        <v>0</v>
      </c>
      <c r="J138" s="28">
        <f t="shared" si="34"/>
        <v>2</v>
      </c>
      <c r="K138" s="28">
        <v>24</v>
      </c>
      <c r="L138" s="28">
        <v>0</v>
      </c>
      <c r="M138" s="28">
        <v>16</v>
      </c>
      <c r="N138" s="28">
        <v>0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1433</v>
      </c>
      <c r="D139" s="28">
        <v>1320</v>
      </c>
      <c r="E139" s="28">
        <v>0</v>
      </c>
      <c r="F139" s="28">
        <f t="shared" si="33"/>
        <v>113</v>
      </c>
      <c r="G139" s="28">
        <v>4154</v>
      </c>
      <c r="H139" s="28">
        <v>3554</v>
      </c>
      <c r="I139" s="28">
        <v>0</v>
      </c>
      <c r="J139" s="28">
        <f t="shared" si="34"/>
        <v>600</v>
      </c>
      <c r="K139" s="28">
        <v>2229</v>
      </c>
      <c r="L139" s="28">
        <v>0</v>
      </c>
      <c r="M139" s="28">
        <v>742</v>
      </c>
      <c r="N139" s="28">
        <v>136</v>
      </c>
      <c r="O139" s="28">
        <v>115</v>
      </c>
    </row>
    <row r="140" spans="1:15" ht="12.75" customHeight="1">
      <c r="A140" s="4" t="s">
        <v>258</v>
      </c>
      <c r="B140" s="5" t="s">
        <v>259</v>
      </c>
      <c r="C140" s="28">
        <v>210</v>
      </c>
      <c r="D140" s="28">
        <v>210</v>
      </c>
      <c r="E140" s="28">
        <v>0</v>
      </c>
      <c r="F140" s="28">
        <f t="shared" si="33"/>
        <v>0</v>
      </c>
      <c r="G140" s="28">
        <v>461</v>
      </c>
      <c r="H140" s="28">
        <v>434</v>
      </c>
      <c r="I140" s="28">
        <v>0</v>
      </c>
      <c r="J140" s="28">
        <f t="shared" si="34"/>
        <v>27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935</v>
      </c>
      <c r="D141" s="28">
        <v>906</v>
      </c>
      <c r="E141" s="28">
        <v>0</v>
      </c>
      <c r="F141" s="28">
        <f t="shared" si="33"/>
        <v>29</v>
      </c>
      <c r="G141" s="28">
        <v>2211</v>
      </c>
      <c r="H141" s="28">
        <v>1681</v>
      </c>
      <c r="I141" s="28">
        <v>0</v>
      </c>
      <c r="J141" s="28">
        <f t="shared" si="34"/>
        <v>530</v>
      </c>
      <c r="K141" s="28">
        <v>610</v>
      </c>
      <c r="L141" s="28">
        <v>0</v>
      </c>
      <c r="M141" s="28">
        <v>134</v>
      </c>
      <c r="N141" s="28">
        <v>0</v>
      </c>
      <c r="O141" s="28">
        <v>0</v>
      </c>
    </row>
    <row r="142" spans="1:15" ht="12.75" customHeight="1">
      <c r="A142" s="4" t="s">
        <v>262</v>
      </c>
      <c r="B142" s="5" t="s">
        <v>263</v>
      </c>
      <c r="C142" s="28">
        <v>1444</v>
      </c>
      <c r="D142" s="28">
        <v>976</v>
      </c>
      <c r="E142" s="28">
        <v>0</v>
      </c>
      <c r="F142" s="28">
        <f t="shared" si="33"/>
        <v>468</v>
      </c>
      <c r="G142" s="28">
        <v>4556</v>
      </c>
      <c r="H142" s="28">
        <v>3236</v>
      </c>
      <c r="I142" s="28">
        <v>0</v>
      </c>
      <c r="J142" s="28">
        <f t="shared" si="34"/>
        <v>1320</v>
      </c>
      <c r="K142" s="28">
        <v>1678</v>
      </c>
      <c r="L142" s="28">
        <v>0</v>
      </c>
      <c r="M142" s="28">
        <v>779</v>
      </c>
      <c r="N142" s="28">
        <v>547</v>
      </c>
      <c r="O142" s="28">
        <v>484</v>
      </c>
    </row>
    <row r="143" spans="1:15" ht="12.75" customHeight="1">
      <c r="A143" s="4" t="s">
        <v>264</v>
      </c>
      <c r="B143" s="5" t="s">
        <v>265</v>
      </c>
      <c r="C143" s="28">
        <v>4245</v>
      </c>
      <c r="D143" s="28">
        <v>3557</v>
      </c>
      <c r="E143" s="28">
        <v>0</v>
      </c>
      <c r="F143" s="28">
        <f t="shared" si="33"/>
        <v>688</v>
      </c>
      <c r="G143" s="28">
        <v>12427</v>
      </c>
      <c r="H143" s="28">
        <v>5955</v>
      </c>
      <c r="I143" s="28">
        <v>0</v>
      </c>
      <c r="J143" s="28">
        <f t="shared" si="34"/>
        <v>6472</v>
      </c>
      <c r="K143" s="28">
        <v>7634</v>
      </c>
      <c r="L143" s="28">
        <v>0</v>
      </c>
      <c r="M143" s="28">
        <v>935</v>
      </c>
      <c r="N143" s="28">
        <v>1114</v>
      </c>
      <c r="O143" s="28">
        <v>1025</v>
      </c>
    </row>
    <row r="144" spans="1:15" ht="12.75" customHeight="1">
      <c r="A144" s="10"/>
      <c r="B144" s="9" t="s">
        <v>266</v>
      </c>
      <c r="C144" s="30">
        <f t="shared" ref="C144:O144" si="35">SUM(C136:C143)</f>
        <v>15707</v>
      </c>
      <c r="D144" s="30">
        <f t="shared" si="35"/>
        <v>13857</v>
      </c>
      <c r="E144" s="30">
        <f t="shared" si="35"/>
        <v>0</v>
      </c>
      <c r="F144" s="30">
        <f t="shared" si="35"/>
        <v>1850</v>
      </c>
      <c r="G144" s="30">
        <f t="shared" si="35"/>
        <v>40169</v>
      </c>
      <c r="H144" s="30">
        <f t="shared" si="35"/>
        <v>28421</v>
      </c>
      <c r="I144" s="30">
        <f t="shared" si="35"/>
        <v>0</v>
      </c>
      <c r="J144" s="30">
        <f t="shared" si="35"/>
        <v>11748</v>
      </c>
      <c r="K144" s="30">
        <f t="shared" si="35"/>
        <v>16022</v>
      </c>
      <c r="L144" s="30">
        <f t="shared" si="35"/>
        <v>294</v>
      </c>
      <c r="M144" s="30">
        <f t="shared" si="35"/>
        <v>3291</v>
      </c>
      <c r="N144" s="30">
        <f t="shared" si="35"/>
        <v>4879</v>
      </c>
      <c r="O144" s="30">
        <f t="shared" si="35"/>
        <v>4210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549028</v>
      </c>
      <c r="D145" s="31">
        <f t="shared" si="36"/>
        <v>409518</v>
      </c>
      <c r="E145" s="31">
        <f t="shared" si="36"/>
        <v>11853</v>
      </c>
      <c r="F145" s="31">
        <f t="shared" si="36"/>
        <v>127657</v>
      </c>
      <c r="G145" s="31">
        <f t="shared" si="36"/>
        <v>1731900</v>
      </c>
      <c r="H145" s="31">
        <f t="shared" si="36"/>
        <v>873607</v>
      </c>
      <c r="I145" s="31">
        <f t="shared" si="36"/>
        <v>78512</v>
      </c>
      <c r="J145" s="31">
        <f t="shared" si="36"/>
        <v>779781</v>
      </c>
      <c r="K145" s="31">
        <f t="shared" si="36"/>
        <v>171741</v>
      </c>
      <c r="L145" s="31">
        <f t="shared" si="36"/>
        <v>4053</v>
      </c>
      <c r="M145" s="31">
        <f t="shared" si="36"/>
        <v>109263</v>
      </c>
      <c r="N145" s="31">
        <f t="shared" si="36"/>
        <v>167327</v>
      </c>
      <c r="O145" s="31">
        <f t="shared" si="36"/>
        <v>50436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10611</v>
      </c>
      <c r="D15" s="28">
        <v>6487</v>
      </c>
      <c r="E15" s="28">
        <v>621</v>
      </c>
      <c r="F15" s="28">
        <f t="shared" ref="F15:F22" si="0">SUM(C15-D15-E15)</f>
        <v>3503</v>
      </c>
      <c r="G15" s="28">
        <v>44876</v>
      </c>
      <c r="H15" s="28">
        <v>16675</v>
      </c>
      <c r="I15" s="28">
        <v>4385</v>
      </c>
      <c r="J15" s="28">
        <f t="shared" ref="J15:J22" si="1">SUM(G15-H15-I15)</f>
        <v>23816</v>
      </c>
      <c r="K15" s="28">
        <v>4724</v>
      </c>
      <c r="L15" s="28">
        <v>0</v>
      </c>
      <c r="M15" s="28">
        <v>2582</v>
      </c>
      <c r="N15" s="28">
        <v>1542</v>
      </c>
      <c r="O15" s="28">
        <v>1542</v>
      </c>
    </row>
    <row r="16" spans="1:15" ht="12.75" customHeight="1">
      <c r="A16" s="4" t="s">
        <v>29</v>
      </c>
      <c r="B16" s="5" t="s">
        <v>30</v>
      </c>
      <c r="C16" s="28">
        <v>5032</v>
      </c>
      <c r="D16" s="28">
        <v>3214</v>
      </c>
      <c r="E16" s="28">
        <v>124</v>
      </c>
      <c r="F16" s="28">
        <f t="shared" si="0"/>
        <v>1694</v>
      </c>
      <c r="G16" s="28">
        <v>43509</v>
      </c>
      <c r="H16" s="28">
        <v>7450</v>
      </c>
      <c r="I16" s="28">
        <v>952</v>
      </c>
      <c r="J16" s="28">
        <f t="shared" si="1"/>
        <v>35107</v>
      </c>
      <c r="K16" s="28">
        <v>2599</v>
      </c>
      <c r="L16" s="28">
        <v>0</v>
      </c>
      <c r="M16" s="28">
        <v>4432</v>
      </c>
      <c r="N16" s="28">
        <v>14</v>
      </c>
      <c r="O16" s="28">
        <v>14</v>
      </c>
    </row>
    <row r="17" spans="1:15" ht="12.75" customHeight="1">
      <c r="A17" s="4" t="s">
        <v>31</v>
      </c>
      <c r="B17" s="5" t="s">
        <v>32</v>
      </c>
      <c r="C17" s="28">
        <v>3303</v>
      </c>
      <c r="D17" s="28">
        <v>3020</v>
      </c>
      <c r="E17" s="28">
        <v>0</v>
      </c>
      <c r="F17" s="28">
        <f t="shared" si="0"/>
        <v>283</v>
      </c>
      <c r="G17" s="28">
        <v>6716</v>
      </c>
      <c r="H17" s="28">
        <v>5698</v>
      </c>
      <c r="I17" s="28">
        <v>0</v>
      </c>
      <c r="J17" s="28">
        <f t="shared" si="1"/>
        <v>1018</v>
      </c>
      <c r="K17" s="28">
        <v>950</v>
      </c>
      <c r="L17" s="28">
        <v>0</v>
      </c>
      <c r="M17" s="28">
        <v>105</v>
      </c>
      <c r="N17" s="28">
        <v>324</v>
      </c>
      <c r="O17" s="28">
        <v>324</v>
      </c>
    </row>
    <row r="18" spans="1:15" ht="12.75" customHeight="1">
      <c r="A18" s="4" t="s">
        <v>33</v>
      </c>
      <c r="B18" s="5" t="s">
        <v>34</v>
      </c>
      <c r="C18" s="28">
        <v>8184</v>
      </c>
      <c r="D18" s="28">
        <v>7551</v>
      </c>
      <c r="E18" s="28">
        <v>79</v>
      </c>
      <c r="F18" s="28">
        <f t="shared" si="0"/>
        <v>554</v>
      </c>
      <c r="G18" s="28">
        <v>25348</v>
      </c>
      <c r="H18" s="28">
        <v>18166</v>
      </c>
      <c r="I18" s="28">
        <v>689</v>
      </c>
      <c r="J18" s="28">
        <f t="shared" si="1"/>
        <v>6493</v>
      </c>
      <c r="K18" s="28">
        <v>2982</v>
      </c>
      <c r="L18" s="28">
        <v>0</v>
      </c>
      <c r="M18" s="28">
        <v>1162</v>
      </c>
      <c r="N18" s="28">
        <v>425</v>
      </c>
      <c r="O18" s="28">
        <v>425</v>
      </c>
    </row>
    <row r="19" spans="1:15" ht="12.75" customHeight="1">
      <c r="A19" s="4" t="s">
        <v>35</v>
      </c>
      <c r="B19" s="5" t="s">
        <v>36</v>
      </c>
      <c r="C19" s="28">
        <v>7117</v>
      </c>
      <c r="D19" s="28">
        <v>6851</v>
      </c>
      <c r="E19" s="28">
        <v>249</v>
      </c>
      <c r="F19" s="28">
        <f t="shared" si="0"/>
        <v>17</v>
      </c>
      <c r="G19" s="28">
        <v>17631</v>
      </c>
      <c r="H19" s="28">
        <v>14321</v>
      </c>
      <c r="I19" s="28">
        <v>1551</v>
      </c>
      <c r="J19" s="28">
        <f t="shared" si="1"/>
        <v>1759</v>
      </c>
      <c r="K19" s="28">
        <v>492</v>
      </c>
      <c r="L19" s="28">
        <v>0</v>
      </c>
      <c r="M19" s="28">
        <v>44</v>
      </c>
      <c r="N19" s="28">
        <v>87</v>
      </c>
      <c r="O19" s="28">
        <v>87</v>
      </c>
    </row>
    <row r="20" spans="1:15" ht="12.75" customHeight="1">
      <c r="A20" s="4" t="s">
        <v>37</v>
      </c>
      <c r="B20" s="5" t="s">
        <v>38</v>
      </c>
      <c r="C20" s="28">
        <v>39810</v>
      </c>
      <c r="D20" s="28">
        <v>37006</v>
      </c>
      <c r="E20" s="28">
        <v>1033</v>
      </c>
      <c r="F20" s="28">
        <f t="shared" si="0"/>
        <v>1771</v>
      </c>
      <c r="G20" s="28">
        <v>87789</v>
      </c>
      <c r="H20" s="28">
        <v>69831</v>
      </c>
      <c r="I20" s="28">
        <v>5980</v>
      </c>
      <c r="J20" s="28">
        <f t="shared" si="1"/>
        <v>11978</v>
      </c>
      <c r="K20" s="28">
        <v>7337</v>
      </c>
      <c r="L20" s="28">
        <v>0</v>
      </c>
      <c r="M20" s="28">
        <v>1591</v>
      </c>
      <c r="N20" s="28">
        <v>4358</v>
      </c>
      <c r="O20" s="28">
        <v>4330</v>
      </c>
    </row>
    <row r="21" spans="1:15" ht="12.75" customHeight="1">
      <c r="A21" s="4" t="s">
        <v>39</v>
      </c>
      <c r="B21" s="5" t="s">
        <v>40</v>
      </c>
      <c r="C21" s="28">
        <v>3117</v>
      </c>
      <c r="D21" s="28">
        <v>3044</v>
      </c>
      <c r="E21" s="28">
        <v>0</v>
      </c>
      <c r="F21" s="28">
        <f t="shared" si="0"/>
        <v>73</v>
      </c>
      <c r="G21" s="28">
        <v>5320</v>
      </c>
      <c r="H21" s="28">
        <v>5022</v>
      </c>
      <c r="I21" s="28">
        <v>0</v>
      </c>
      <c r="J21" s="28">
        <f t="shared" si="1"/>
        <v>298</v>
      </c>
      <c r="K21" s="28">
        <v>57</v>
      </c>
      <c r="L21" s="28">
        <v>0</v>
      </c>
      <c r="M21" s="28">
        <v>30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3010</v>
      </c>
      <c r="D22" s="28">
        <v>2574</v>
      </c>
      <c r="E22" s="28">
        <v>282</v>
      </c>
      <c r="F22" s="28">
        <f t="shared" si="0"/>
        <v>154</v>
      </c>
      <c r="G22" s="28">
        <v>7993</v>
      </c>
      <c r="H22" s="28">
        <v>5205</v>
      </c>
      <c r="I22" s="28">
        <v>1469</v>
      </c>
      <c r="J22" s="28">
        <f t="shared" si="1"/>
        <v>1319</v>
      </c>
      <c r="K22" s="28">
        <v>1373</v>
      </c>
      <c r="L22" s="28">
        <v>0</v>
      </c>
      <c r="M22" s="28">
        <v>983</v>
      </c>
      <c r="N22" s="28">
        <v>655</v>
      </c>
      <c r="O22" s="28">
        <v>655</v>
      </c>
    </row>
    <row r="23" spans="1:15" ht="12.75" customHeight="1">
      <c r="A23" s="8"/>
      <c r="B23" s="9" t="s">
        <v>43</v>
      </c>
      <c r="C23" s="29">
        <f t="shared" ref="C23:O23" si="2">SUM(C15:C22)</f>
        <v>80184</v>
      </c>
      <c r="D23" s="29">
        <f t="shared" si="2"/>
        <v>69747</v>
      </c>
      <c r="E23" s="29">
        <f t="shared" si="2"/>
        <v>2388</v>
      </c>
      <c r="F23" s="29">
        <f t="shared" si="2"/>
        <v>8049</v>
      </c>
      <c r="G23" s="29">
        <f t="shared" si="2"/>
        <v>239182</v>
      </c>
      <c r="H23" s="29">
        <f t="shared" si="2"/>
        <v>142368</v>
      </c>
      <c r="I23" s="29">
        <f t="shared" si="2"/>
        <v>15026</v>
      </c>
      <c r="J23" s="29">
        <f t="shared" si="2"/>
        <v>81788</v>
      </c>
      <c r="K23" s="29">
        <f t="shared" si="2"/>
        <v>20514</v>
      </c>
      <c r="L23" s="29">
        <f t="shared" si="2"/>
        <v>0</v>
      </c>
      <c r="M23" s="29">
        <f t="shared" si="2"/>
        <v>10929</v>
      </c>
      <c r="N23" s="29">
        <f t="shared" si="2"/>
        <v>7405</v>
      </c>
      <c r="O23" s="29">
        <f t="shared" si="2"/>
        <v>7377</v>
      </c>
    </row>
    <row r="24" spans="1:15" ht="14.25" customHeight="1">
      <c r="A24" s="4" t="s">
        <v>44</v>
      </c>
      <c r="B24" s="5" t="s">
        <v>45</v>
      </c>
      <c r="C24" s="28">
        <v>13749</v>
      </c>
      <c r="D24" s="28">
        <v>3195</v>
      </c>
      <c r="E24" s="28">
        <v>182</v>
      </c>
      <c r="F24" s="28">
        <f>SUM(C24-D24-E24)</f>
        <v>10372</v>
      </c>
      <c r="G24" s="28">
        <v>41322</v>
      </c>
      <c r="H24" s="28">
        <v>4808</v>
      </c>
      <c r="I24" s="28">
        <v>900</v>
      </c>
      <c r="J24" s="28">
        <f>SUM(G24-H24-I24)</f>
        <v>35614</v>
      </c>
      <c r="K24" s="28">
        <v>24197</v>
      </c>
      <c r="L24" s="28">
        <v>0</v>
      </c>
      <c r="M24" s="28">
        <v>2095</v>
      </c>
      <c r="N24" s="28">
        <v>2478</v>
      </c>
      <c r="O24" s="28">
        <v>2478</v>
      </c>
    </row>
    <row r="25" spans="1:15" ht="14.25" customHeight="1">
      <c r="A25" s="10"/>
      <c r="B25" s="9" t="s">
        <v>46</v>
      </c>
      <c r="C25" s="29">
        <f t="shared" ref="C25:O25" si="3">SUM(C24)</f>
        <v>13749</v>
      </c>
      <c r="D25" s="29">
        <f t="shared" si="3"/>
        <v>3195</v>
      </c>
      <c r="E25" s="29">
        <f t="shared" si="3"/>
        <v>182</v>
      </c>
      <c r="F25" s="29">
        <f t="shared" si="3"/>
        <v>10372</v>
      </c>
      <c r="G25" s="29">
        <f t="shared" si="3"/>
        <v>41322</v>
      </c>
      <c r="H25" s="29">
        <f t="shared" si="3"/>
        <v>4808</v>
      </c>
      <c r="I25" s="29">
        <f t="shared" si="3"/>
        <v>900</v>
      </c>
      <c r="J25" s="29">
        <f t="shared" si="3"/>
        <v>35614</v>
      </c>
      <c r="K25" s="29">
        <f t="shared" si="3"/>
        <v>24197</v>
      </c>
      <c r="L25" s="29">
        <f t="shared" si="3"/>
        <v>0</v>
      </c>
      <c r="M25" s="29">
        <f t="shared" si="3"/>
        <v>2095</v>
      </c>
      <c r="N25" s="29">
        <f t="shared" si="3"/>
        <v>2478</v>
      </c>
      <c r="O25" s="29">
        <f t="shared" si="3"/>
        <v>2478</v>
      </c>
    </row>
    <row r="26" spans="1:15" ht="12.75" customHeight="1">
      <c r="A26" s="4" t="s">
        <v>47</v>
      </c>
      <c r="B26" s="5" t="s">
        <v>48</v>
      </c>
      <c r="C26" s="28">
        <v>24332</v>
      </c>
      <c r="D26" s="28">
        <v>12407</v>
      </c>
      <c r="E26" s="28">
        <v>624</v>
      </c>
      <c r="F26" s="28">
        <f>SUM(C26-D26-E26)</f>
        <v>11301</v>
      </c>
      <c r="G26" s="28">
        <v>55913</v>
      </c>
      <c r="H26" s="28">
        <v>19931</v>
      </c>
      <c r="I26" s="28">
        <v>2549</v>
      </c>
      <c r="J26" s="28">
        <f>SUM(G26-H26-I26)</f>
        <v>33433</v>
      </c>
      <c r="K26" s="28">
        <v>7198</v>
      </c>
      <c r="L26" s="28">
        <v>19</v>
      </c>
      <c r="M26" s="28">
        <v>1826</v>
      </c>
      <c r="N26" s="28">
        <v>1364</v>
      </c>
      <c r="O26" s="28">
        <v>1364</v>
      </c>
    </row>
    <row r="27" spans="1:15" ht="12.75" customHeight="1">
      <c r="A27" s="4" t="s">
        <v>49</v>
      </c>
      <c r="B27" s="5" t="s">
        <v>50</v>
      </c>
      <c r="C27" s="28">
        <v>4128</v>
      </c>
      <c r="D27" s="28">
        <v>3898</v>
      </c>
      <c r="E27" s="28">
        <v>197</v>
      </c>
      <c r="F27" s="28">
        <f>SUM(C27-D27-E27)</f>
        <v>33</v>
      </c>
      <c r="G27" s="28">
        <v>8805</v>
      </c>
      <c r="H27" s="28">
        <v>5272</v>
      </c>
      <c r="I27" s="28">
        <v>844</v>
      </c>
      <c r="J27" s="28">
        <f>SUM(G27-H27-I27)</f>
        <v>2689</v>
      </c>
      <c r="K27" s="28">
        <v>3043</v>
      </c>
      <c r="L27" s="28">
        <v>0</v>
      </c>
      <c r="M27" s="28">
        <v>408</v>
      </c>
      <c r="N27" s="28">
        <v>565</v>
      </c>
      <c r="O27" s="28">
        <v>565</v>
      </c>
    </row>
    <row r="28" spans="1:15" ht="12.75" customHeight="1">
      <c r="A28" s="4" t="s">
        <v>51</v>
      </c>
      <c r="B28" s="5" t="s">
        <v>52</v>
      </c>
      <c r="C28" s="28">
        <v>4206</v>
      </c>
      <c r="D28" s="28">
        <v>3484</v>
      </c>
      <c r="E28" s="28">
        <v>210</v>
      </c>
      <c r="F28" s="28">
        <f>SUM(C28-D28-E28)</f>
        <v>512</v>
      </c>
      <c r="G28" s="28">
        <v>11678</v>
      </c>
      <c r="H28" s="28">
        <v>7022</v>
      </c>
      <c r="I28" s="28">
        <v>1968</v>
      </c>
      <c r="J28" s="28">
        <f>SUM(G28-H28-I28)</f>
        <v>2688</v>
      </c>
      <c r="K28" s="28">
        <v>1300</v>
      </c>
      <c r="L28" s="28">
        <v>866</v>
      </c>
      <c r="M28" s="28">
        <v>73</v>
      </c>
      <c r="N28" s="28">
        <v>1996</v>
      </c>
      <c r="O28" s="28">
        <v>1996</v>
      </c>
    </row>
    <row r="29" spans="1:15" ht="12.75" customHeight="1">
      <c r="A29" s="4" t="s">
        <v>53</v>
      </c>
      <c r="B29" s="5" t="s">
        <v>54</v>
      </c>
      <c r="C29" s="28">
        <v>5509</v>
      </c>
      <c r="D29" s="28">
        <v>4839</v>
      </c>
      <c r="E29" s="28">
        <v>474</v>
      </c>
      <c r="F29" s="28">
        <f>SUM(C29-D29-E29)</f>
        <v>196</v>
      </c>
      <c r="G29" s="28">
        <v>11938</v>
      </c>
      <c r="H29" s="28">
        <v>9391</v>
      </c>
      <c r="I29" s="28">
        <v>2216</v>
      </c>
      <c r="J29" s="28">
        <f>SUM(G29-H29-I29)</f>
        <v>331</v>
      </c>
      <c r="K29" s="28">
        <v>294</v>
      </c>
      <c r="L29" s="28">
        <v>55</v>
      </c>
      <c r="M29" s="28">
        <v>0</v>
      </c>
      <c r="N29" s="28">
        <v>90</v>
      </c>
      <c r="O29" s="28">
        <v>90</v>
      </c>
    </row>
    <row r="30" spans="1:15" ht="12.75" customHeight="1">
      <c r="A30" s="8"/>
      <c r="B30" s="9" t="s">
        <v>55</v>
      </c>
      <c r="C30" s="29">
        <f t="shared" ref="C30:O30" si="4">SUM(C26:C29)</f>
        <v>38175</v>
      </c>
      <c r="D30" s="29">
        <f t="shared" si="4"/>
        <v>24628</v>
      </c>
      <c r="E30" s="29">
        <f t="shared" si="4"/>
        <v>1505</v>
      </c>
      <c r="F30" s="29">
        <f t="shared" si="4"/>
        <v>12042</v>
      </c>
      <c r="G30" s="29">
        <f t="shared" si="4"/>
        <v>88334</v>
      </c>
      <c r="H30" s="29">
        <f t="shared" si="4"/>
        <v>41616</v>
      </c>
      <c r="I30" s="29">
        <f t="shared" si="4"/>
        <v>7577</v>
      </c>
      <c r="J30" s="29">
        <f t="shared" si="4"/>
        <v>39141</v>
      </c>
      <c r="K30" s="29">
        <f t="shared" si="4"/>
        <v>11835</v>
      </c>
      <c r="L30" s="29">
        <f t="shared" si="4"/>
        <v>940</v>
      </c>
      <c r="M30" s="29">
        <f t="shared" si="4"/>
        <v>2307</v>
      </c>
      <c r="N30" s="29">
        <f t="shared" si="4"/>
        <v>4015</v>
      </c>
      <c r="O30" s="29">
        <f t="shared" si="4"/>
        <v>4015</v>
      </c>
    </row>
    <row r="31" spans="1:15" ht="12.75" customHeight="1">
      <c r="A31" s="4" t="s">
        <v>56</v>
      </c>
      <c r="B31" s="5" t="s">
        <v>57</v>
      </c>
      <c r="C31" s="28">
        <v>20375</v>
      </c>
      <c r="D31" s="28">
        <v>18683</v>
      </c>
      <c r="E31" s="28">
        <v>299</v>
      </c>
      <c r="F31" s="28">
        <f t="shared" ref="F31:F42" si="5">SUM(C31-D31-E31)</f>
        <v>1393</v>
      </c>
      <c r="G31" s="28">
        <v>51215</v>
      </c>
      <c r="H31" s="28">
        <v>35702</v>
      </c>
      <c r="I31" s="28">
        <v>1415</v>
      </c>
      <c r="J31" s="28">
        <f t="shared" ref="J31:J42" si="6">SUM(G31-H31-I31)</f>
        <v>14098</v>
      </c>
      <c r="K31" s="28">
        <v>1939</v>
      </c>
      <c r="L31" s="28">
        <v>0</v>
      </c>
      <c r="M31" s="28">
        <v>518</v>
      </c>
      <c r="N31" s="28">
        <v>569</v>
      </c>
      <c r="O31" s="28">
        <v>569</v>
      </c>
    </row>
    <row r="32" spans="1:15" ht="12.75" customHeight="1">
      <c r="A32" s="4" t="s">
        <v>58</v>
      </c>
      <c r="B32" s="5" t="s">
        <v>59</v>
      </c>
      <c r="C32" s="28">
        <v>23560</v>
      </c>
      <c r="D32" s="28">
        <v>21068</v>
      </c>
      <c r="E32" s="28">
        <v>761</v>
      </c>
      <c r="F32" s="28">
        <f t="shared" si="5"/>
        <v>1731</v>
      </c>
      <c r="G32" s="28">
        <v>86448</v>
      </c>
      <c r="H32" s="28">
        <v>48342</v>
      </c>
      <c r="I32" s="28">
        <v>5155</v>
      </c>
      <c r="J32" s="28">
        <f t="shared" si="6"/>
        <v>32951</v>
      </c>
      <c r="K32" s="28">
        <v>4973</v>
      </c>
      <c r="L32" s="28">
        <v>0</v>
      </c>
      <c r="M32" s="28">
        <v>7083</v>
      </c>
      <c r="N32" s="28">
        <v>1704</v>
      </c>
      <c r="O32" s="28">
        <v>1704</v>
      </c>
    </row>
    <row r="33" spans="1:256" ht="12.75" customHeight="1">
      <c r="A33" s="4" t="s">
        <v>60</v>
      </c>
      <c r="B33" s="5" t="s">
        <v>61</v>
      </c>
      <c r="C33" s="28">
        <v>12126</v>
      </c>
      <c r="D33" s="28">
        <v>10184</v>
      </c>
      <c r="E33" s="28">
        <v>260</v>
      </c>
      <c r="F33" s="28">
        <f t="shared" si="5"/>
        <v>1682</v>
      </c>
      <c r="G33" s="28">
        <v>43997</v>
      </c>
      <c r="H33" s="28">
        <v>13135</v>
      </c>
      <c r="I33" s="28">
        <v>826</v>
      </c>
      <c r="J33" s="28">
        <f t="shared" si="6"/>
        <v>30036</v>
      </c>
      <c r="K33" s="28">
        <v>9392</v>
      </c>
      <c r="L33" s="28">
        <v>0</v>
      </c>
      <c r="M33" s="28">
        <v>3314</v>
      </c>
      <c r="N33" s="28">
        <v>1076</v>
      </c>
      <c r="O33" s="28">
        <v>1076</v>
      </c>
    </row>
    <row r="34" spans="1:256" ht="12.75" customHeight="1">
      <c r="A34" s="4" t="s">
        <v>62</v>
      </c>
      <c r="B34" s="5" t="s">
        <v>63</v>
      </c>
      <c r="C34" s="28">
        <v>13408</v>
      </c>
      <c r="D34" s="28">
        <v>5089</v>
      </c>
      <c r="E34" s="28">
        <v>56</v>
      </c>
      <c r="F34" s="28">
        <f t="shared" si="5"/>
        <v>8263</v>
      </c>
      <c r="G34" s="28">
        <v>32094</v>
      </c>
      <c r="H34" s="28">
        <v>11372</v>
      </c>
      <c r="I34" s="28">
        <v>334</v>
      </c>
      <c r="J34" s="28">
        <f t="shared" si="6"/>
        <v>20388</v>
      </c>
      <c r="K34" s="28">
        <v>1993</v>
      </c>
      <c r="L34" s="28">
        <v>0</v>
      </c>
      <c r="M34" s="28">
        <v>3317</v>
      </c>
      <c r="N34" s="28">
        <v>28</v>
      </c>
      <c r="O34" s="28">
        <v>28</v>
      </c>
    </row>
    <row r="35" spans="1:256" ht="12.75" customHeight="1">
      <c r="A35" s="4" t="s">
        <v>64</v>
      </c>
      <c r="B35" s="5" t="s">
        <v>65</v>
      </c>
      <c r="C35" s="28">
        <v>6110</v>
      </c>
      <c r="D35" s="28">
        <v>6001</v>
      </c>
      <c r="E35" s="28">
        <v>0</v>
      </c>
      <c r="F35" s="28">
        <f t="shared" si="5"/>
        <v>109</v>
      </c>
      <c r="G35" s="28">
        <v>11028</v>
      </c>
      <c r="H35" s="28">
        <v>10010</v>
      </c>
      <c r="I35" s="28">
        <v>0</v>
      </c>
      <c r="J35" s="28">
        <f t="shared" si="6"/>
        <v>1018</v>
      </c>
      <c r="K35" s="28">
        <v>232</v>
      </c>
      <c r="L35" s="28">
        <v>0</v>
      </c>
      <c r="M35" s="28">
        <v>8</v>
      </c>
      <c r="N35" s="28">
        <v>736</v>
      </c>
      <c r="O35" s="28">
        <v>736</v>
      </c>
    </row>
    <row r="36" spans="1:256" ht="12.75" customHeight="1">
      <c r="A36" s="4" t="s">
        <v>66</v>
      </c>
      <c r="B36" s="5" t="s">
        <v>67</v>
      </c>
      <c r="C36" s="28">
        <v>3873</v>
      </c>
      <c r="D36" s="28">
        <v>3330</v>
      </c>
      <c r="E36" s="28">
        <v>222</v>
      </c>
      <c r="F36" s="28">
        <f t="shared" si="5"/>
        <v>321</v>
      </c>
      <c r="G36" s="28">
        <v>11413</v>
      </c>
      <c r="H36" s="28">
        <v>8427</v>
      </c>
      <c r="I36" s="28">
        <v>1755</v>
      </c>
      <c r="J36" s="28">
        <f t="shared" si="6"/>
        <v>1231</v>
      </c>
      <c r="K36" s="28">
        <v>96</v>
      </c>
      <c r="L36" s="28">
        <v>0</v>
      </c>
      <c r="M36" s="28">
        <v>121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6222</v>
      </c>
      <c r="D37" s="28">
        <v>5772</v>
      </c>
      <c r="E37" s="28">
        <v>90</v>
      </c>
      <c r="F37" s="28">
        <f t="shared" si="5"/>
        <v>360</v>
      </c>
      <c r="G37" s="28">
        <v>32657</v>
      </c>
      <c r="H37" s="28">
        <v>14135</v>
      </c>
      <c r="I37" s="28">
        <v>480</v>
      </c>
      <c r="J37" s="28">
        <f t="shared" si="6"/>
        <v>18042</v>
      </c>
      <c r="K37" s="28">
        <v>2919</v>
      </c>
      <c r="L37" s="28">
        <v>0</v>
      </c>
      <c r="M37" s="28">
        <v>4049</v>
      </c>
      <c r="N37" s="28">
        <v>330</v>
      </c>
      <c r="O37" s="28">
        <v>330</v>
      </c>
    </row>
    <row r="38" spans="1:256" ht="12.75" customHeight="1">
      <c r="A38" s="4" t="s">
        <v>70</v>
      </c>
      <c r="B38" s="5" t="s">
        <v>71</v>
      </c>
      <c r="C38" s="28">
        <v>93542</v>
      </c>
      <c r="D38" s="28">
        <v>73482</v>
      </c>
      <c r="E38" s="28">
        <v>2477</v>
      </c>
      <c r="F38" s="28">
        <f t="shared" si="5"/>
        <v>17583</v>
      </c>
      <c r="G38" s="28">
        <v>271739</v>
      </c>
      <c r="H38" s="28">
        <v>119448</v>
      </c>
      <c r="I38" s="28">
        <v>11217</v>
      </c>
      <c r="J38" s="28">
        <f t="shared" si="6"/>
        <v>141074</v>
      </c>
      <c r="K38" s="28">
        <v>47866</v>
      </c>
      <c r="L38" s="28">
        <v>213</v>
      </c>
      <c r="M38" s="28">
        <v>12847</v>
      </c>
      <c r="N38" s="28">
        <v>76456</v>
      </c>
      <c r="O38" s="28">
        <v>10871</v>
      </c>
    </row>
    <row r="39" spans="1:256" ht="12.75" customHeight="1">
      <c r="A39" s="4" t="s">
        <v>72</v>
      </c>
      <c r="B39" s="5" t="s">
        <v>73</v>
      </c>
      <c r="C39" s="28">
        <v>7466</v>
      </c>
      <c r="D39" s="28">
        <v>6611</v>
      </c>
      <c r="E39" s="28">
        <v>461</v>
      </c>
      <c r="F39" s="28">
        <f t="shared" si="5"/>
        <v>394</v>
      </c>
      <c r="G39" s="28">
        <v>15091</v>
      </c>
      <c r="H39" s="28">
        <v>10702</v>
      </c>
      <c r="I39" s="28">
        <v>2595</v>
      </c>
      <c r="J39" s="28">
        <f t="shared" si="6"/>
        <v>1794</v>
      </c>
      <c r="K39" s="28">
        <v>452</v>
      </c>
      <c r="L39" s="28">
        <v>0</v>
      </c>
      <c r="M39" s="28">
        <v>6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10019</v>
      </c>
      <c r="D40" s="28">
        <v>8849</v>
      </c>
      <c r="E40" s="28">
        <v>283</v>
      </c>
      <c r="F40" s="28">
        <f t="shared" si="5"/>
        <v>887</v>
      </c>
      <c r="G40" s="28">
        <v>27736</v>
      </c>
      <c r="H40" s="28">
        <v>17440</v>
      </c>
      <c r="I40" s="28">
        <v>1768</v>
      </c>
      <c r="J40" s="28">
        <f t="shared" si="6"/>
        <v>8528</v>
      </c>
      <c r="K40" s="28">
        <v>1304</v>
      </c>
      <c r="L40" s="28">
        <v>0</v>
      </c>
      <c r="M40" s="28">
        <v>2985</v>
      </c>
      <c r="N40" s="28">
        <v>199</v>
      </c>
      <c r="O40" s="28">
        <v>199</v>
      </c>
    </row>
    <row r="41" spans="1:256" ht="12.75" customHeight="1">
      <c r="A41" s="4" t="s">
        <v>76</v>
      </c>
      <c r="B41" s="5" t="s">
        <v>77</v>
      </c>
      <c r="C41" s="28">
        <v>3812</v>
      </c>
      <c r="D41" s="28">
        <v>3210</v>
      </c>
      <c r="E41" s="28">
        <v>0</v>
      </c>
      <c r="F41" s="28">
        <f t="shared" si="5"/>
        <v>602</v>
      </c>
      <c r="G41" s="28">
        <v>12016</v>
      </c>
      <c r="H41" s="28">
        <v>7158</v>
      </c>
      <c r="I41" s="28">
        <v>0</v>
      </c>
      <c r="J41" s="28">
        <f t="shared" si="6"/>
        <v>4858</v>
      </c>
      <c r="K41" s="28">
        <v>1896</v>
      </c>
      <c r="L41" s="28">
        <v>0</v>
      </c>
      <c r="M41" s="28">
        <v>116</v>
      </c>
      <c r="N41" s="28">
        <v>509</v>
      </c>
      <c r="O41" s="28">
        <v>509</v>
      </c>
    </row>
    <row r="42" spans="1:256" ht="12.75" customHeight="1">
      <c r="A42" s="4" t="s">
        <v>78</v>
      </c>
      <c r="B42" s="5" t="s">
        <v>79</v>
      </c>
      <c r="C42" s="28">
        <v>19791</v>
      </c>
      <c r="D42" s="28">
        <v>17412</v>
      </c>
      <c r="E42" s="28">
        <v>438</v>
      </c>
      <c r="F42" s="28">
        <f t="shared" si="5"/>
        <v>1941</v>
      </c>
      <c r="G42" s="28">
        <v>33032</v>
      </c>
      <c r="H42" s="28">
        <v>25495</v>
      </c>
      <c r="I42" s="28">
        <v>1150</v>
      </c>
      <c r="J42" s="28">
        <f t="shared" si="6"/>
        <v>6387</v>
      </c>
      <c r="K42" s="28">
        <v>1279</v>
      </c>
      <c r="L42" s="28">
        <v>0</v>
      </c>
      <c r="M42" s="28">
        <v>30</v>
      </c>
      <c r="N42" s="28">
        <v>187</v>
      </c>
      <c r="O42" s="28">
        <v>187</v>
      </c>
    </row>
    <row r="43" spans="1:256" ht="12.75" customHeight="1">
      <c r="A43" s="8"/>
      <c r="B43" s="9" t="s">
        <v>80</v>
      </c>
      <c r="C43" s="29">
        <f t="shared" ref="C43:O43" si="7">SUM(C31:C42)</f>
        <v>220304</v>
      </c>
      <c r="D43" s="29">
        <f t="shared" si="7"/>
        <v>179691</v>
      </c>
      <c r="E43" s="29">
        <f t="shared" si="7"/>
        <v>5347</v>
      </c>
      <c r="F43" s="29">
        <f t="shared" si="7"/>
        <v>35266</v>
      </c>
      <c r="G43" s="29">
        <f t="shared" si="7"/>
        <v>628466</v>
      </c>
      <c r="H43" s="29">
        <f t="shared" si="7"/>
        <v>321366</v>
      </c>
      <c r="I43" s="29">
        <f t="shared" si="7"/>
        <v>26695</v>
      </c>
      <c r="J43" s="29">
        <f t="shared" si="7"/>
        <v>280405</v>
      </c>
      <c r="K43" s="29">
        <f t="shared" si="7"/>
        <v>74341</v>
      </c>
      <c r="L43" s="29">
        <f t="shared" si="7"/>
        <v>213</v>
      </c>
      <c r="M43" s="29">
        <f t="shared" si="7"/>
        <v>34394</v>
      </c>
      <c r="N43" s="29">
        <f t="shared" si="7"/>
        <v>81831</v>
      </c>
      <c r="O43" s="29">
        <f t="shared" si="7"/>
        <v>16246</v>
      </c>
    </row>
    <row r="44" spans="1:256" ht="12.75" customHeight="1">
      <c r="A44" s="4" t="s">
        <v>81</v>
      </c>
      <c r="B44" s="5" t="s">
        <v>82</v>
      </c>
      <c r="C44" s="28">
        <v>10242</v>
      </c>
      <c r="D44" s="28">
        <v>7771</v>
      </c>
      <c r="E44" s="28">
        <v>169</v>
      </c>
      <c r="F44" s="28">
        <f>SUM(C44-D44-E44)</f>
        <v>2302</v>
      </c>
      <c r="G44" s="28">
        <v>39947</v>
      </c>
      <c r="H44" s="28">
        <v>20269</v>
      </c>
      <c r="I44" s="28">
        <v>902</v>
      </c>
      <c r="J44" s="28">
        <f>SUM(G44-H44-I44)</f>
        <v>18776</v>
      </c>
      <c r="K44" s="28">
        <v>10305</v>
      </c>
      <c r="L44" s="28">
        <v>0</v>
      </c>
      <c r="M44" s="28">
        <v>1940</v>
      </c>
      <c r="N44" s="28">
        <v>284</v>
      </c>
      <c r="O44" s="28">
        <v>284</v>
      </c>
    </row>
    <row r="45" spans="1:256" ht="12.75" customHeight="1">
      <c r="A45" s="4" t="s">
        <v>83</v>
      </c>
      <c r="B45" s="5" t="s">
        <v>84</v>
      </c>
      <c r="C45" s="28">
        <v>10874</v>
      </c>
      <c r="D45" s="28">
        <v>9183</v>
      </c>
      <c r="E45" s="28">
        <v>257</v>
      </c>
      <c r="F45" s="28">
        <f>SUM(C45-D45-E45)</f>
        <v>1434</v>
      </c>
      <c r="G45" s="28">
        <v>47393</v>
      </c>
      <c r="H45" s="28">
        <v>22255</v>
      </c>
      <c r="I45" s="28">
        <v>1766</v>
      </c>
      <c r="J45" s="28">
        <f>SUM(G45-H45-I45)</f>
        <v>23372</v>
      </c>
      <c r="K45" s="28">
        <v>15028</v>
      </c>
      <c r="L45" s="28">
        <v>0</v>
      </c>
      <c r="M45" s="28">
        <v>3044</v>
      </c>
      <c r="N45" s="28">
        <v>58</v>
      </c>
      <c r="O45" s="28">
        <v>58</v>
      </c>
    </row>
    <row r="46" spans="1:256" ht="12.75" customHeight="1">
      <c r="A46" s="8"/>
      <c r="B46" s="9" t="s">
        <v>85</v>
      </c>
      <c r="C46" s="29">
        <f t="shared" ref="C46:O46" si="8">SUM(C44:C45)</f>
        <v>21116</v>
      </c>
      <c r="D46" s="29">
        <f t="shared" si="8"/>
        <v>16954</v>
      </c>
      <c r="E46" s="29">
        <f t="shared" si="8"/>
        <v>426</v>
      </c>
      <c r="F46" s="29">
        <f t="shared" si="8"/>
        <v>3736</v>
      </c>
      <c r="G46" s="29">
        <f t="shared" si="8"/>
        <v>87340</v>
      </c>
      <c r="H46" s="29">
        <f t="shared" si="8"/>
        <v>42524</v>
      </c>
      <c r="I46" s="29">
        <f t="shared" si="8"/>
        <v>2668</v>
      </c>
      <c r="J46" s="29">
        <f t="shared" si="8"/>
        <v>42148</v>
      </c>
      <c r="K46" s="29">
        <f t="shared" si="8"/>
        <v>25333</v>
      </c>
      <c r="L46" s="29">
        <f t="shared" si="8"/>
        <v>0</v>
      </c>
      <c r="M46" s="29">
        <f t="shared" si="8"/>
        <v>4984</v>
      </c>
      <c r="N46" s="29">
        <f t="shared" si="8"/>
        <v>342</v>
      </c>
      <c r="O46" s="29">
        <f t="shared" si="8"/>
        <v>342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2730</v>
      </c>
      <c r="D47" s="28">
        <v>2418</v>
      </c>
      <c r="E47" s="28">
        <v>0</v>
      </c>
      <c r="F47" s="28">
        <f>SUM(C47-D47-E47)</f>
        <v>312</v>
      </c>
      <c r="G47" s="28">
        <v>2403</v>
      </c>
      <c r="H47" s="28">
        <v>1664</v>
      </c>
      <c r="I47" s="28">
        <v>0</v>
      </c>
      <c r="J47" s="28">
        <f>SUM(G47-H47-I47)</f>
        <v>739</v>
      </c>
      <c r="K47" s="28">
        <v>408</v>
      </c>
      <c r="L47" s="28">
        <v>8</v>
      </c>
      <c r="M47" s="28">
        <v>31</v>
      </c>
      <c r="N47" s="28">
        <v>164</v>
      </c>
      <c r="O47" s="28">
        <v>164</v>
      </c>
    </row>
    <row r="48" spans="1:256" ht="12.75" customHeight="1">
      <c r="A48" s="4" t="s">
        <v>88</v>
      </c>
      <c r="B48" s="5" t="s">
        <v>89</v>
      </c>
      <c r="C48" s="28">
        <v>5743</v>
      </c>
      <c r="D48" s="28">
        <v>5362</v>
      </c>
      <c r="E48" s="28">
        <v>51</v>
      </c>
      <c r="F48" s="28">
        <f>SUM(C48-D48-E48)</f>
        <v>330</v>
      </c>
      <c r="G48" s="28">
        <v>9908</v>
      </c>
      <c r="H48" s="28">
        <v>8985</v>
      </c>
      <c r="I48" s="28">
        <v>171</v>
      </c>
      <c r="J48" s="28">
        <f>SUM(G48-H48-I48)</f>
        <v>752</v>
      </c>
      <c r="K48" s="28">
        <v>689</v>
      </c>
      <c r="L48" s="28">
        <v>0</v>
      </c>
      <c r="M48" s="28">
        <v>62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2945</v>
      </c>
      <c r="D49" s="28">
        <v>2720</v>
      </c>
      <c r="E49" s="28">
        <v>147</v>
      </c>
      <c r="F49" s="28">
        <f>SUM(C49-D49-E49)</f>
        <v>78</v>
      </c>
      <c r="G49" s="28">
        <v>2555</v>
      </c>
      <c r="H49" s="28">
        <v>2116</v>
      </c>
      <c r="I49" s="28">
        <v>358</v>
      </c>
      <c r="J49" s="28">
        <f>SUM(G49-H49-I49)</f>
        <v>81</v>
      </c>
      <c r="K49" s="28">
        <v>3262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15444</v>
      </c>
      <c r="D50" s="28">
        <v>14795</v>
      </c>
      <c r="E50" s="28">
        <v>187</v>
      </c>
      <c r="F50" s="28">
        <f>SUM(C50-D50-E50)</f>
        <v>462</v>
      </c>
      <c r="G50" s="28">
        <v>34331</v>
      </c>
      <c r="H50" s="28">
        <v>23482</v>
      </c>
      <c r="I50" s="28">
        <v>962</v>
      </c>
      <c r="J50" s="28">
        <f>SUM(G50-H50-I50)</f>
        <v>9887</v>
      </c>
      <c r="K50" s="28">
        <v>6882</v>
      </c>
      <c r="L50" s="28">
        <v>177</v>
      </c>
      <c r="M50" s="28">
        <v>3508</v>
      </c>
      <c r="N50" s="28">
        <v>262</v>
      </c>
      <c r="O50" s="28">
        <v>262</v>
      </c>
    </row>
    <row r="51" spans="1:15" ht="12.75" customHeight="1">
      <c r="A51" s="8"/>
      <c r="B51" s="9" t="s">
        <v>94</v>
      </c>
      <c r="C51" s="29">
        <f t="shared" ref="C51:O51" si="9">SUM(C47:C50)</f>
        <v>26862</v>
      </c>
      <c r="D51" s="29">
        <f t="shared" si="9"/>
        <v>25295</v>
      </c>
      <c r="E51" s="29">
        <f t="shared" si="9"/>
        <v>385</v>
      </c>
      <c r="F51" s="29">
        <f t="shared" si="9"/>
        <v>1182</v>
      </c>
      <c r="G51" s="29">
        <f t="shared" si="9"/>
        <v>49197</v>
      </c>
      <c r="H51" s="29">
        <f t="shared" si="9"/>
        <v>36247</v>
      </c>
      <c r="I51" s="29">
        <f t="shared" si="9"/>
        <v>1491</v>
      </c>
      <c r="J51" s="29">
        <f t="shared" si="9"/>
        <v>11459</v>
      </c>
      <c r="K51" s="29">
        <f t="shared" si="9"/>
        <v>11241</v>
      </c>
      <c r="L51" s="29">
        <f t="shared" si="9"/>
        <v>276</v>
      </c>
      <c r="M51" s="29">
        <f t="shared" si="9"/>
        <v>3601</v>
      </c>
      <c r="N51" s="29">
        <f t="shared" si="9"/>
        <v>426</v>
      </c>
      <c r="O51" s="29">
        <f t="shared" si="9"/>
        <v>426</v>
      </c>
    </row>
    <row r="52" spans="1:15" ht="12.75" customHeight="1">
      <c r="A52" s="4" t="s">
        <v>95</v>
      </c>
      <c r="B52" s="5" t="s">
        <v>96</v>
      </c>
      <c r="C52" s="28">
        <v>2845</v>
      </c>
      <c r="D52" s="28">
        <v>2575</v>
      </c>
      <c r="E52" s="28">
        <v>16</v>
      </c>
      <c r="F52" s="28">
        <f t="shared" ref="F52:F58" si="10">SUM(C52-D52-E52)</f>
        <v>254</v>
      </c>
      <c r="G52" s="28">
        <v>9122</v>
      </c>
      <c r="H52" s="28">
        <v>6164</v>
      </c>
      <c r="I52" s="28">
        <v>54</v>
      </c>
      <c r="J52" s="28">
        <f t="shared" ref="J52:J58" si="11">SUM(G52-H52-I52)</f>
        <v>2904</v>
      </c>
      <c r="K52" s="28">
        <v>5146</v>
      </c>
      <c r="L52" s="28">
        <v>0</v>
      </c>
      <c r="M52" s="28">
        <v>80</v>
      </c>
      <c r="N52" s="28">
        <v>403</v>
      </c>
      <c r="O52" s="28">
        <v>403</v>
      </c>
    </row>
    <row r="53" spans="1:15" ht="12.75" customHeight="1">
      <c r="A53" s="4" t="s">
        <v>97</v>
      </c>
      <c r="B53" s="5" t="s">
        <v>98</v>
      </c>
      <c r="C53" s="28">
        <v>17004</v>
      </c>
      <c r="D53" s="28">
        <v>13071</v>
      </c>
      <c r="E53" s="28">
        <v>173</v>
      </c>
      <c r="F53" s="28">
        <f t="shared" si="10"/>
        <v>3760</v>
      </c>
      <c r="G53" s="28">
        <v>49437</v>
      </c>
      <c r="H53" s="28">
        <v>32346</v>
      </c>
      <c r="I53" s="28">
        <v>1312</v>
      </c>
      <c r="J53" s="28">
        <f t="shared" si="11"/>
        <v>15779</v>
      </c>
      <c r="K53" s="28">
        <v>3670</v>
      </c>
      <c r="L53" s="28">
        <v>0</v>
      </c>
      <c r="M53" s="28">
        <v>938</v>
      </c>
      <c r="N53" s="28">
        <v>1090</v>
      </c>
      <c r="O53" s="28">
        <v>1090</v>
      </c>
    </row>
    <row r="54" spans="1:15" ht="12.75" customHeight="1">
      <c r="A54" s="4" t="s">
        <v>99</v>
      </c>
      <c r="B54" s="5" t="s">
        <v>100</v>
      </c>
      <c r="C54" s="28">
        <v>2883</v>
      </c>
      <c r="D54" s="28">
        <v>1637</v>
      </c>
      <c r="E54" s="28">
        <v>67</v>
      </c>
      <c r="F54" s="28">
        <f t="shared" si="10"/>
        <v>1179</v>
      </c>
      <c r="G54" s="28">
        <v>9049</v>
      </c>
      <c r="H54" s="28">
        <v>4765</v>
      </c>
      <c r="I54" s="28">
        <v>658</v>
      </c>
      <c r="J54" s="28">
        <f t="shared" si="11"/>
        <v>3626</v>
      </c>
      <c r="K54" s="28">
        <v>247</v>
      </c>
      <c r="L54" s="28">
        <v>61</v>
      </c>
      <c r="M54" s="28">
        <v>89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13026</v>
      </c>
      <c r="D55" s="28">
        <v>9066</v>
      </c>
      <c r="E55" s="28">
        <v>158</v>
      </c>
      <c r="F55" s="28">
        <f t="shared" si="10"/>
        <v>3802</v>
      </c>
      <c r="G55" s="28">
        <v>39194</v>
      </c>
      <c r="H55" s="28">
        <v>19760</v>
      </c>
      <c r="I55" s="28">
        <v>903</v>
      </c>
      <c r="J55" s="28">
        <f t="shared" si="11"/>
        <v>18531</v>
      </c>
      <c r="K55" s="28">
        <v>9685</v>
      </c>
      <c r="L55" s="28">
        <v>0</v>
      </c>
      <c r="M55" s="28">
        <v>2143</v>
      </c>
      <c r="N55" s="28">
        <v>4268</v>
      </c>
      <c r="O55" s="28">
        <v>4268</v>
      </c>
    </row>
    <row r="56" spans="1:15" ht="12.75" customHeight="1">
      <c r="A56" s="4" t="s">
        <v>103</v>
      </c>
      <c r="B56" s="5" t="s">
        <v>104</v>
      </c>
      <c r="C56" s="28">
        <v>16627</v>
      </c>
      <c r="D56" s="28">
        <v>7298</v>
      </c>
      <c r="E56" s="28">
        <v>677</v>
      </c>
      <c r="F56" s="28">
        <f t="shared" si="10"/>
        <v>8652</v>
      </c>
      <c r="G56" s="28">
        <v>54972</v>
      </c>
      <c r="H56" s="28">
        <v>15660</v>
      </c>
      <c r="I56" s="28">
        <v>4027</v>
      </c>
      <c r="J56" s="28">
        <f t="shared" si="11"/>
        <v>35285</v>
      </c>
      <c r="K56" s="28">
        <v>8341</v>
      </c>
      <c r="L56" s="28">
        <v>202</v>
      </c>
      <c r="M56" s="28">
        <v>4846</v>
      </c>
      <c r="N56" s="28">
        <v>541</v>
      </c>
      <c r="O56" s="28">
        <v>541</v>
      </c>
    </row>
    <row r="57" spans="1:15" ht="12.75" customHeight="1">
      <c r="A57" s="4" t="s">
        <v>105</v>
      </c>
      <c r="B57" s="5" t="s">
        <v>106</v>
      </c>
      <c r="C57" s="28">
        <v>15159</v>
      </c>
      <c r="D57" s="28">
        <v>8685</v>
      </c>
      <c r="E57" s="28">
        <v>725</v>
      </c>
      <c r="F57" s="28">
        <f t="shared" si="10"/>
        <v>5749</v>
      </c>
      <c r="G57" s="28">
        <v>57924</v>
      </c>
      <c r="H57" s="28">
        <v>26606</v>
      </c>
      <c r="I57" s="28">
        <v>4492</v>
      </c>
      <c r="J57" s="28">
        <f t="shared" si="11"/>
        <v>26826</v>
      </c>
      <c r="K57" s="28">
        <v>2067</v>
      </c>
      <c r="L57" s="28">
        <v>0</v>
      </c>
      <c r="M57" s="28">
        <v>3269</v>
      </c>
      <c r="N57" s="28">
        <v>249</v>
      </c>
      <c r="O57" s="28">
        <v>249</v>
      </c>
    </row>
    <row r="58" spans="1:15" ht="12.75" customHeight="1">
      <c r="A58" s="4" t="s">
        <v>107</v>
      </c>
      <c r="B58" s="5" t="s">
        <v>108</v>
      </c>
      <c r="C58" s="28">
        <v>16671</v>
      </c>
      <c r="D58" s="28">
        <v>9600</v>
      </c>
      <c r="E58" s="28">
        <v>241</v>
      </c>
      <c r="F58" s="28">
        <f t="shared" si="10"/>
        <v>6830</v>
      </c>
      <c r="G58" s="28">
        <v>51361</v>
      </c>
      <c r="H58" s="28">
        <v>21132</v>
      </c>
      <c r="I58" s="28">
        <v>1412</v>
      </c>
      <c r="J58" s="28">
        <f t="shared" si="11"/>
        <v>28817</v>
      </c>
      <c r="K58" s="28">
        <v>2583</v>
      </c>
      <c r="L58" s="28">
        <v>70</v>
      </c>
      <c r="M58" s="28">
        <v>2046</v>
      </c>
      <c r="N58" s="28">
        <v>7573</v>
      </c>
      <c r="O58" s="28">
        <v>7573</v>
      </c>
    </row>
    <row r="59" spans="1:15" ht="12.75" customHeight="1">
      <c r="A59" s="8"/>
      <c r="B59" s="9" t="s">
        <v>109</v>
      </c>
      <c r="C59" s="29">
        <f t="shared" ref="C59:O59" si="12">SUM(C52:C58)</f>
        <v>84215</v>
      </c>
      <c r="D59" s="29">
        <f t="shared" si="12"/>
        <v>51932</v>
      </c>
      <c r="E59" s="29">
        <f t="shared" si="12"/>
        <v>2057</v>
      </c>
      <c r="F59" s="29">
        <f t="shared" si="12"/>
        <v>30226</v>
      </c>
      <c r="G59" s="29">
        <f t="shared" si="12"/>
        <v>271059</v>
      </c>
      <c r="H59" s="29">
        <f t="shared" si="12"/>
        <v>126433</v>
      </c>
      <c r="I59" s="29">
        <f t="shared" si="12"/>
        <v>12858</v>
      </c>
      <c r="J59" s="29">
        <f t="shared" si="12"/>
        <v>131768</v>
      </c>
      <c r="K59" s="29">
        <f t="shared" si="12"/>
        <v>31739</v>
      </c>
      <c r="L59" s="29">
        <f t="shared" si="12"/>
        <v>333</v>
      </c>
      <c r="M59" s="29">
        <f t="shared" si="12"/>
        <v>13411</v>
      </c>
      <c r="N59" s="29">
        <f t="shared" si="12"/>
        <v>14124</v>
      </c>
      <c r="O59" s="29">
        <f t="shared" si="12"/>
        <v>14124</v>
      </c>
    </row>
    <row r="60" spans="1:15" ht="12.75" customHeight="1">
      <c r="A60" s="4" t="s">
        <v>110</v>
      </c>
      <c r="B60" s="5" t="s">
        <v>111</v>
      </c>
      <c r="C60" s="28">
        <v>18700</v>
      </c>
      <c r="D60" s="28">
        <v>14546</v>
      </c>
      <c r="E60" s="28">
        <v>812</v>
      </c>
      <c r="F60" s="28">
        <f t="shared" ref="F60:F68" si="13">SUM(C60-D60-E60)</f>
        <v>3342</v>
      </c>
      <c r="G60" s="28">
        <v>53660</v>
      </c>
      <c r="H60" s="28">
        <v>32335</v>
      </c>
      <c r="I60" s="28">
        <v>7585</v>
      </c>
      <c r="J60" s="28">
        <f t="shared" ref="J60:J68" si="14">SUM(G60-H60-I60)</f>
        <v>13740</v>
      </c>
      <c r="K60" s="28">
        <v>1139</v>
      </c>
      <c r="L60" s="28">
        <v>0</v>
      </c>
      <c r="M60" s="28">
        <v>604</v>
      </c>
      <c r="N60" s="28">
        <v>383</v>
      </c>
      <c r="O60" s="28">
        <v>383</v>
      </c>
    </row>
    <row r="61" spans="1:15" ht="12.75" customHeight="1">
      <c r="A61" s="4" t="s">
        <v>112</v>
      </c>
      <c r="B61" s="5" t="s">
        <v>113</v>
      </c>
      <c r="C61" s="28">
        <v>4997</v>
      </c>
      <c r="D61" s="28">
        <v>3666</v>
      </c>
      <c r="E61" s="28">
        <v>40</v>
      </c>
      <c r="F61" s="28">
        <f t="shared" si="13"/>
        <v>1291</v>
      </c>
      <c r="G61" s="28">
        <v>11791</v>
      </c>
      <c r="H61" s="28">
        <v>8385</v>
      </c>
      <c r="I61" s="28">
        <v>235</v>
      </c>
      <c r="J61" s="28">
        <f t="shared" si="14"/>
        <v>3171</v>
      </c>
      <c r="K61" s="28">
        <v>62</v>
      </c>
      <c r="L61" s="28">
        <v>277</v>
      </c>
      <c r="M61" s="28">
        <v>441</v>
      </c>
      <c r="N61" s="28">
        <v>6</v>
      </c>
      <c r="O61" s="28">
        <v>6</v>
      </c>
    </row>
    <row r="62" spans="1:15" ht="12.75" customHeight="1">
      <c r="A62" s="4" t="s">
        <v>114</v>
      </c>
      <c r="B62" s="5" t="s">
        <v>115</v>
      </c>
      <c r="C62" s="28">
        <v>8190</v>
      </c>
      <c r="D62" s="28">
        <v>4935</v>
      </c>
      <c r="E62" s="28">
        <v>239</v>
      </c>
      <c r="F62" s="28">
        <f t="shared" si="13"/>
        <v>3016</v>
      </c>
      <c r="G62" s="28">
        <v>33712</v>
      </c>
      <c r="H62" s="28">
        <v>13533</v>
      </c>
      <c r="I62" s="28">
        <v>2474</v>
      </c>
      <c r="J62" s="28">
        <f t="shared" si="14"/>
        <v>17705</v>
      </c>
      <c r="K62" s="28">
        <v>7750</v>
      </c>
      <c r="L62" s="28">
        <v>140</v>
      </c>
      <c r="M62" s="28">
        <v>2589</v>
      </c>
      <c r="N62" s="28">
        <v>2011</v>
      </c>
      <c r="O62" s="28">
        <v>2011</v>
      </c>
    </row>
    <row r="63" spans="1:15" ht="12.75" customHeight="1">
      <c r="A63" s="4" t="s">
        <v>116</v>
      </c>
      <c r="B63" s="5" t="s">
        <v>117</v>
      </c>
      <c r="C63" s="28">
        <v>12409</v>
      </c>
      <c r="D63" s="28">
        <v>9007</v>
      </c>
      <c r="E63" s="28">
        <v>342</v>
      </c>
      <c r="F63" s="28">
        <f t="shared" si="13"/>
        <v>3060</v>
      </c>
      <c r="G63" s="28">
        <v>38230</v>
      </c>
      <c r="H63" s="28">
        <v>23387</v>
      </c>
      <c r="I63" s="28">
        <v>4046</v>
      </c>
      <c r="J63" s="28">
        <f t="shared" si="14"/>
        <v>10797</v>
      </c>
      <c r="K63" s="28">
        <v>686</v>
      </c>
      <c r="L63" s="28">
        <v>0</v>
      </c>
      <c r="M63" s="28">
        <v>1173</v>
      </c>
      <c r="N63" s="28">
        <v>28</v>
      </c>
      <c r="O63" s="28">
        <v>28</v>
      </c>
    </row>
    <row r="64" spans="1:15" ht="12.75" customHeight="1">
      <c r="A64" s="4" t="s">
        <v>118</v>
      </c>
      <c r="B64" s="5" t="s">
        <v>119</v>
      </c>
      <c r="C64" s="28">
        <v>10129</v>
      </c>
      <c r="D64" s="28">
        <v>5645</v>
      </c>
      <c r="E64" s="28">
        <v>333</v>
      </c>
      <c r="F64" s="28">
        <f t="shared" si="13"/>
        <v>4151</v>
      </c>
      <c r="G64" s="28">
        <v>37036</v>
      </c>
      <c r="H64" s="28">
        <v>15534</v>
      </c>
      <c r="I64" s="28">
        <v>3477</v>
      </c>
      <c r="J64" s="28">
        <f t="shared" si="14"/>
        <v>18025</v>
      </c>
      <c r="K64" s="28">
        <v>342</v>
      </c>
      <c r="L64" s="28">
        <v>15</v>
      </c>
      <c r="M64" s="28">
        <v>363</v>
      </c>
      <c r="N64" s="28">
        <v>26</v>
      </c>
      <c r="O64" s="28">
        <v>26</v>
      </c>
    </row>
    <row r="65" spans="1:15" ht="12.75" customHeight="1">
      <c r="A65" s="4" t="s">
        <v>120</v>
      </c>
      <c r="B65" s="5" t="s">
        <v>121</v>
      </c>
      <c r="C65" s="28">
        <v>4954</v>
      </c>
      <c r="D65" s="28">
        <v>4030</v>
      </c>
      <c r="E65" s="28">
        <v>257</v>
      </c>
      <c r="F65" s="28">
        <f t="shared" si="13"/>
        <v>667</v>
      </c>
      <c r="G65" s="28">
        <v>22071</v>
      </c>
      <c r="H65" s="28">
        <v>10748</v>
      </c>
      <c r="I65" s="28">
        <v>2621</v>
      </c>
      <c r="J65" s="28">
        <f t="shared" si="14"/>
        <v>8702</v>
      </c>
      <c r="K65" s="28">
        <v>1214</v>
      </c>
      <c r="L65" s="28">
        <v>0</v>
      </c>
      <c r="M65" s="28">
        <v>759</v>
      </c>
      <c r="N65" s="28">
        <v>112</v>
      </c>
      <c r="O65" s="28">
        <v>112</v>
      </c>
    </row>
    <row r="66" spans="1:15" ht="12.75" customHeight="1">
      <c r="A66" s="4" t="s">
        <v>122</v>
      </c>
      <c r="B66" s="5" t="s">
        <v>123</v>
      </c>
      <c r="C66" s="28">
        <v>9508</v>
      </c>
      <c r="D66" s="28">
        <v>3772</v>
      </c>
      <c r="E66" s="28">
        <v>169</v>
      </c>
      <c r="F66" s="28">
        <f t="shared" si="13"/>
        <v>5567</v>
      </c>
      <c r="G66" s="28">
        <v>57464</v>
      </c>
      <c r="H66" s="28">
        <v>9384</v>
      </c>
      <c r="I66" s="28">
        <v>1448</v>
      </c>
      <c r="J66" s="28">
        <f t="shared" si="14"/>
        <v>46632</v>
      </c>
      <c r="K66" s="28">
        <v>9564</v>
      </c>
      <c r="L66" s="28">
        <v>60</v>
      </c>
      <c r="M66" s="28">
        <v>8534</v>
      </c>
      <c r="N66" s="28">
        <v>65</v>
      </c>
      <c r="O66" s="28">
        <v>65</v>
      </c>
    </row>
    <row r="67" spans="1:15" ht="12.75" customHeight="1">
      <c r="A67" s="4" t="s">
        <v>124</v>
      </c>
      <c r="B67" s="5" t="s">
        <v>125</v>
      </c>
      <c r="C67" s="28">
        <v>15940</v>
      </c>
      <c r="D67" s="28">
        <v>6371</v>
      </c>
      <c r="E67" s="28">
        <v>0</v>
      </c>
      <c r="F67" s="28">
        <f t="shared" si="13"/>
        <v>9569</v>
      </c>
      <c r="G67" s="28">
        <v>81790</v>
      </c>
      <c r="H67" s="28">
        <v>14129</v>
      </c>
      <c r="I67" s="28">
        <v>0</v>
      </c>
      <c r="J67" s="28">
        <f t="shared" si="14"/>
        <v>67661</v>
      </c>
      <c r="K67" s="28">
        <v>10188</v>
      </c>
      <c r="L67" s="28">
        <v>0</v>
      </c>
      <c r="M67" s="28">
        <v>12804</v>
      </c>
      <c r="N67" s="28">
        <v>203</v>
      </c>
      <c r="O67" s="28">
        <v>203</v>
      </c>
    </row>
    <row r="68" spans="1:15" ht="12.75" customHeight="1">
      <c r="A68" s="4" t="s">
        <v>126</v>
      </c>
      <c r="B68" s="5" t="s">
        <v>127</v>
      </c>
      <c r="C68" s="28">
        <v>6974</v>
      </c>
      <c r="D68" s="28">
        <v>4933</v>
      </c>
      <c r="E68" s="28">
        <v>74</v>
      </c>
      <c r="F68" s="28">
        <f t="shared" si="13"/>
        <v>1967</v>
      </c>
      <c r="G68" s="28">
        <v>25534</v>
      </c>
      <c r="H68" s="28">
        <v>10809</v>
      </c>
      <c r="I68" s="28">
        <v>703</v>
      </c>
      <c r="J68" s="28">
        <f t="shared" si="14"/>
        <v>14022</v>
      </c>
      <c r="K68" s="28">
        <v>117</v>
      </c>
      <c r="L68" s="28">
        <v>0</v>
      </c>
      <c r="M68" s="28">
        <v>288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91801</v>
      </c>
      <c r="D69" s="29">
        <f t="shared" si="15"/>
        <v>56905</v>
      </c>
      <c r="E69" s="29">
        <f t="shared" si="15"/>
        <v>2266</v>
      </c>
      <c r="F69" s="29">
        <f t="shared" si="15"/>
        <v>32630</v>
      </c>
      <c r="G69" s="29">
        <f t="shared" si="15"/>
        <v>361288</v>
      </c>
      <c r="H69" s="29">
        <f t="shared" si="15"/>
        <v>138244</v>
      </c>
      <c r="I69" s="29">
        <f t="shared" si="15"/>
        <v>22589</v>
      </c>
      <c r="J69" s="29">
        <f t="shared" si="15"/>
        <v>200455</v>
      </c>
      <c r="K69" s="29">
        <f t="shared" si="15"/>
        <v>31062</v>
      </c>
      <c r="L69" s="29">
        <f t="shared" si="15"/>
        <v>492</v>
      </c>
      <c r="M69" s="29">
        <f t="shared" si="15"/>
        <v>27555</v>
      </c>
      <c r="N69" s="29">
        <f t="shared" si="15"/>
        <v>2928</v>
      </c>
      <c r="O69" s="29">
        <f t="shared" si="15"/>
        <v>2928</v>
      </c>
    </row>
    <row r="70" spans="1:15" ht="12.75" customHeight="1">
      <c r="A70" s="4" t="s">
        <v>129</v>
      </c>
      <c r="B70" s="5" t="s">
        <v>130</v>
      </c>
      <c r="C70" s="28">
        <v>5833</v>
      </c>
      <c r="D70" s="28">
        <v>5054</v>
      </c>
      <c r="E70" s="28">
        <v>333</v>
      </c>
      <c r="F70" s="28">
        <f t="shared" ref="F70:F79" si="16">SUM(C70-D70-E70)</f>
        <v>446</v>
      </c>
      <c r="G70" s="28">
        <v>18698</v>
      </c>
      <c r="H70" s="28">
        <v>11827</v>
      </c>
      <c r="I70" s="28">
        <v>2975</v>
      </c>
      <c r="J70" s="28">
        <f t="shared" ref="J70:J79" si="17">SUM(G70-H70-I70)</f>
        <v>3896</v>
      </c>
      <c r="K70" s="28">
        <v>766</v>
      </c>
      <c r="L70" s="28">
        <v>4</v>
      </c>
      <c r="M70" s="28">
        <v>592</v>
      </c>
      <c r="N70" s="28">
        <v>83</v>
      </c>
      <c r="O70" s="28">
        <v>83</v>
      </c>
    </row>
    <row r="71" spans="1:15" ht="12.75" customHeight="1">
      <c r="A71" s="4" t="s">
        <v>131</v>
      </c>
      <c r="B71" s="5" t="s">
        <v>132</v>
      </c>
      <c r="C71" s="28">
        <v>26534</v>
      </c>
      <c r="D71" s="28">
        <v>15781</v>
      </c>
      <c r="E71" s="28">
        <v>658</v>
      </c>
      <c r="F71" s="28">
        <f t="shared" si="16"/>
        <v>10095</v>
      </c>
      <c r="G71" s="28">
        <v>61944</v>
      </c>
      <c r="H71" s="28">
        <v>26997</v>
      </c>
      <c r="I71" s="28">
        <v>4675</v>
      </c>
      <c r="J71" s="28">
        <f t="shared" si="17"/>
        <v>30272</v>
      </c>
      <c r="K71" s="28">
        <v>5435</v>
      </c>
      <c r="L71" s="28">
        <v>0</v>
      </c>
      <c r="M71" s="28">
        <v>1436</v>
      </c>
      <c r="N71" s="28">
        <v>4052</v>
      </c>
      <c r="O71" s="28">
        <v>4052</v>
      </c>
    </row>
    <row r="72" spans="1:15" ht="12.75" customHeight="1">
      <c r="A72" s="4" t="s">
        <v>133</v>
      </c>
      <c r="B72" s="5" t="s">
        <v>134</v>
      </c>
      <c r="C72" s="28">
        <v>3916</v>
      </c>
      <c r="D72" s="28">
        <v>3192</v>
      </c>
      <c r="E72" s="28">
        <v>0</v>
      </c>
      <c r="F72" s="28">
        <f t="shared" si="16"/>
        <v>724</v>
      </c>
      <c r="G72" s="28">
        <v>11299</v>
      </c>
      <c r="H72" s="28">
        <v>7936</v>
      </c>
      <c r="I72" s="28">
        <v>0</v>
      </c>
      <c r="J72" s="28">
        <f t="shared" si="17"/>
        <v>3363</v>
      </c>
      <c r="K72" s="28">
        <v>1388</v>
      </c>
      <c r="L72" s="28">
        <v>421</v>
      </c>
      <c r="M72" s="28">
        <v>1532</v>
      </c>
      <c r="N72" s="28">
        <v>12</v>
      </c>
      <c r="O72" s="28">
        <v>12</v>
      </c>
    </row>
    <row r="73" spans="1:15" ht="12.75" customHeight="1">
      <c r="A73" s="4" t="s">
        <v>135</v>
      </c>
      <c r="B73" s="5" t="s">
        <v>136</v>
      </c>
      <c r="C73" s="28">
        <v>10161</v>
      </c>
      <c r="D73" s="28">
        <v>6877</v>
      </c>
      <c r="E73" s="28">
        <v>42</v>
      </c>
      <c r="F73" s="28">
        <f t="shared" si="16"/>
        <v>3242</v>
      </c>
      <c r="G73" s="28">
        <v>30858</v>
      </c>
      <c r="H73" s="28">
        <v>14711</v>
      </c>
      <c r="I73" s="28">
        <v>256</v>
      </c>
      <c r="J73" s="28">
        <f t="shared" si="17"/>
        <v>15891</v>
      </c>
      <c r="K73" s="28">
        <v>2936</v>
      </c>
      <c r="L73" s="28">
        <v>269</v>
      </c>
      <c r="M73" s="28">
        <v>2969</v>
      </c>
      <c r="N73" s="28">
        <v>3994</v>
      </c>
      <c r="O73" s="28">
        <v>3756</v>
      </c>
    </row>
    <row r="74" spans="1:15" ht="12.75" customHeight="1">
      <c r="A74" s="4" t="s">
        <v>137</v>
      </c>
      <c r="B74" s="5" t="s">
        <v>138</v>
      </c>
      <c r="C74" s="28">
        <v>8580</v>
      </c>
      <c r="D74" s="28">
        <v>7108</v>
      </c>
      <c r="E74" s="28">
        <v>183</v>
      </c>
      <c r="F74" s="28">
        <f t="shared" si="16"/>
        <v>1289</v>
      </c>
      <c r="G74" s="28">
        <v>18199</v>
      </c>
      <c r="H74" s="28">
        <v>12171</v>
      </c>
      <c r="I74" s="28">
        <v>1156</v>
      </c>
      <c r="J74" s="28">
        <f t="shared" si="17"/>
        <v>4872</v>
      </c>
      <c r="K74" s="28">
        <v>1327</v>
      </c>
      <c r="L74" s="28">
        <v>0</v>
      </c>
      <c r="M74" s="28">
        <v>353</v>
      </c>
      <c r="N74" s="28">
        <v>403</v>
      </c>
      <c r="O74" s="28">
        <v>403</v>
      </c>
    </row>
    <row r="75" spans="1:15" ht="12.75" customHeight="1">
      <c r="A75" s="4" t="s">
        <v>139</v>
      </c>
      <c r="B75" s="5" t="s">
        <v>140</v>
      </c>
      <c r="C75" s="28">
        <v>4283</v>
      </c>
      <c r="D75" s="28">
        <v>4124</v>
      </c>
      <c r="E75" s="28">
        <v>56</v>
      </c>
      <c r="F75" s="28">
        <f t="shared" si="16"/>
        <v>103</v>
      </c>
      <c r="G75" s="28">
        <v>8528</v>
      </c>
      <c r="H75" s="28">
        <v>6802</v>
      </c>
      <c r="I75" s="28">
        <v>691</v>
      </c>
      <c r="J75" s="28">
        <f t="shared" si="17"/>
        <v>1035</v>
      </c>
      <c r="K75" s="28">
        <v>63</v>
      </c>
      <c r="L75" s="28">
        <v>0</v>
      </c>
      <c r="M75" s="28">
        <v>10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8763</v>
      </c>
      <c r="D76" s="28">
        <v>6661</v>
      </c>
      <c r="E76" s="28">
        <v>92</v>
      </c>
      <c r="F76" s="28">
        <f t="shared" si="16"/>
        <v>2010</v>
      </c>
      <c r="G76" s="28">
        <v>23789</v>
      </c>
      <c r="H76" s="28">
        <v>14597</v>
      </c>
      <c r="I76" s="28">
        <v>558</v>
      </c>
      <c r="J76" s="28">
        <f t="shared" si="17"/>
        <v>8634</v>
      </c>
      <c r="K76" s="28">
        <v>772</v>
      </c>
      <c r="L76" s="28">
        <v>79</v>
      </c>
      <c r="M76" s="28">
        <v>555</v>
      </c>
      <c r="N76" s="28">
        <v>358</v>
      </c>
      <c r="O76" s="28">
        <v>358</v>
      </c>
    </row>
    <row r="77" spans="1:15" ht="12.75" customHeight="1">
      <c r="A77" s="4" t="s">
        <v>143</v>
      </c>
      <c r="B77" s="5" t="s">
        <v>144</v>
      </c>
      <c r="C77" s="28">
        <v>7729</v>
      </c>
      <c r="D77" s="28">
        <v>5338</v>
      </c>
      <c r="E77" s="28">
        <v>88</v>
      </c>
      <c r="F77" s="28">
        <f t="shared" si="16"/>
        <v>2303</v>
      </c>
      <c r="G77" s="28">
        <v>18211</v>
      </c>
      <c r="H77" s="28">
        <v>9794</v>
      </c>
      <c r="I77" s="28">
        <v>470</v>
      </c>
      <c r="J77" s="28">
        <f t="shared" si="17"/>
        <v>7947</v>
      </c>
      <c r="K77" s="28">
        <v>1909</v>
      </c>
      <c r="L77" s="28">
        <v>0</v>
      </c>
      <c r="M77" s="28">
        <v>904</v>
      </c>
      <c r="N77" s="28">
        <v>334</v>
      </c>
      <c r="O77" s="28">
        <v>334</v>
      </c>
    </row>
    <row r="78" spans="1:15" ht="12.75" customHeight="1">
      <c r="A78" s="4" t="s">
        <v>145</v>
      </c>
      <c r="B78" s="5" t="s">
        <v>146</v>
      </c>
      <c r="C78" s="28">
        <v>4797</v>
      </c>
      <c r="D78" s="28">
        <v>4274</v>
      </c>
      <c r="E78" s="28">
        <v>0</v>
      </c>
      <c r="F78" s="28">
        <f t="shared" si="16"/>
        <v>523</v>
      </c>
      <c r="G78" s="28">
        <v>8714</v>
      </c>
      <c r="H78" s="28">
        <v>6987</v>
      </c>
      <c r="I78" s="28">
        <v>0</v>
      </c>
      <c r="J78" s="28">
        <f t="shared" si="17"/>
        <v>1727</v>
      </c>
      <c r="K78" s="28">
        <v>324</v>
      </c>
      <c r="L78" s="28">
        <v>0</v>
      </c>
      <c r="M78" s="28">
        <v>0</v>
      </c>
      <c r="N78" s="28">
        <v>36</v>
      </c>
      <c r="O78" s="28">
        <v>36</v>
      </c>
    </row>
    <row r="79" spans="1:15" ht="12.75" customHeight="1">
      <c r="A79" s="4" t="s">
        <v>147</v>
      </c>
      <c r="B79" s="5" t="s">
        <v>148</v>
      </c>
      <c r="C79" s="28">
        <v>4268</v>
      </c>
      <c r="D79" s="28">
        <v>4044</v>
      </c>
      <c r="E79" s="28">
        <v>79</v>
      </c>
      <c r="F79" s="28">
        <f t="shared" si="16"/>
        <v>145</v>
      </c>
      <c r="G79" s="28">
        <v>14422</v>
      </c>
      <c r="H79" s="28">
        <v>9792</v>
      </c>
      <c r="I79" s="28">
        <v>570</v>
      </c>
      <c r="J79" s="28">
        <f t="shared" si="17"/>
        <v>4060</v>
      </c>
      <c r="K79" s="28">
        <v>1424</v>
      </c>
      <c r="L79" s="28">
        <v>0</v>
      </c>
      <c r="M79" s="28">
        <v>2403</v>
      </c>
      <c r="N79" s="28">
        <v>95</v>
      </c>
      <c r="O79" s="28">
        <v>95</v>
      </c>
    </row>
    <row r="80" spans="1:15" ht="12.75" customHeight="1">
      <c r="A80" s="8"/>
      <c r="B80" s="9" t="s">
        <v>149</v>
      </c>
      <c r="C80" s="29">
        <f t="shared" ref="C80:O80" si="18">SUM(C70:C79)</f>
        <v>84864</v>
      </c>
      <c r="D80" s="29">
        <f t="shared" si="18"/>
        <v>62453</v>
      </c>
      <c r="E80" s="29">
        <f t="shared" si="18"/>
        <v>1531</v>
      </c>
      <c r="F80" s="29">
        <f t="shared" si="18"/>
        <v>20880</v>
      </c>
      <c r="G80" s="29">
        <f t="shared" si="18"/>
        <v>214662</v>
      </c>
      <c r="H80" s="29">
        <f t="shared" si="18"/>
        <v>121614</v>
      </c>
      <c r="I80" s="29">
        <f t="shared" si="18"/>
        <v>11351</v>
      </c>
      <c r="J80" s="29">
        <f t="shared" si="18"/>
        <v>81697</v>
      </c>
      <c r="K80" s="29">
        <f t="shared" si="18"/>
        <v>16344</v>
      </c>
      <c r="L80" s="29">
        <f t="shared" si="18"/>
        <v>773</v>
      </c>
      <c r="M80" s="29">
        <f t="shared" si="18"/>
        <v>10754</v>
      </c>
      <c r="N80" s="29">
        <f t="shared" si="18"/>
        <v>9367</v>
      </c>
      <c r="O80" s="29">
        <f t="shared" si="18"/>
        <v>9129</v>
      </c>
    </row>
    <row r="81" spans="1:15" ht="12.75" customHeight="1">
      <c r="A81" s="4" t="s">
        <v>150</v>
      </c>
      <c r="B81" s="5" t="s">
        <v>151</v>
      </c>
      <c r="C81" s="28">
        <v>8006</v>
      </c>
      <c r="D81" s="28">
        <v>4718</v>
      </c>
      <c r="E81" s="28">
        <v>104</v>
      </c>
      <c r="F81" s="28">
        <f>SUM(C81-D81-E81)</f>
        <v>3184</v>
      </c>
      <c r="G81" s="28">
        <v>32542</v>
      </c>
      <c r="H81" s="28">
        <v>15641</v>
      </c>
      <c r="I81" s="28">
        <v>1940</v>
      </c>
      <c r="J81" s="28">
        <f>SUM(G81-H81-I81)</f>
        <v>14961</v>
      </c>
      <c r="K81" s="28">
        <v>898</v>
      </c>
      <c r="L81" s="28">
        <v>0</v>
      </c>
      <c r="M81" s="28">
        <v>1095</v>
      </c>
      <c r="N81" s="28">
        <v>791</v>
      </c>
      <c r="O81" s="28">
        <v>791</v>
      </c>
    </row>
    <row r="82" spans="1:15" ht="12.75" customHeight="1">
      <c r="A82" s="4" t="s">
        <v>152</v>
      </c>
      <c r="B82" s="5" t="s">
        <v>153</v>
      </c>
      <c r="C82" s="28">
        <v>4228</v>
      </c>
      <c r="D82" s="28">
        <v>3129</v>
      </c>
      <c r="E82" s="28">
        <v>44</v>
      </c>
      <c r="F82" s="28">
        <f>SUM(C82-D82-E82)</f>
        <v>1055</v>
      </c>
      <c r="G82" s="28">
        <v>19281</v>
      </c>
      <c r="H82" s="28">
        <v>9385</v>
      </c>
      <c r="I82" s="28">
        <v>582</v>
      </c>
      <c r="J82" s="28">
        <f>SUM(G82-H82-I82)</f>
        <v>9314</v>
      </c>
      <c r="K82" s="28">
        <v>290</v>
      </c>
      <c r="L82" s="28">
        <v>4</v>
      </c>
      <c r="M82" s="28">
        <v>1024</v>
      </c>
      <c r="N82" s="28">
        <v>149</v>
      </c>
      <c r="O82" s="28">
        <v>149</v>
      </c>
    </row>
    <row r="83" spans="1:15" ht="12.75" customHeight="1">
      <c r="A83" s="4" t="s">
        <v>154</v>
      </c>
      <c r="B83" s="5" t="s">
        <v>155</v>
      </c>
      <c r="C83" s="28">
        <v>1100</v>
      </c>
      <c r="D83" s="28">
        <v>1080</v>
      </c>
      <c r="E83" s="28">
        <v>20</v>
      </c>
      <c r="F83" s="28">
        <f>SUM(C83-D83-E83)</f>
        <v>0</v>
      </c>
      <c r="G83" s="28">
        <v>3432</v>
      </c>
      <c r="H83" s="28">
        <v>3189</v>
      </c>
      <c r="I83" s="28">
        <v>207</v>
      </c>
      <c r="J83" s="28">
        <f>SUM(G83-H83-I83)</f>
        <v>36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3503</v>
      </c>
      <c r="D84" s="28">
        <v>3263</v>
      </c>
      <c r="E84" s="28">
        <v>48</v>
      </c>
      <c r="F84" s="28">
        <f>SUM(C84-D84-E84)</f>
        <v>192</v>
      </c>
      <c r="G84" s="28">
        <v>14431</v>
      </c>
      <c r="H84" s="28">
        <v>9917</v>
      </c>
      <c r="I84" s="28">
        <v>509</v>
      </c>
      <c r="J84" s="28">
        <f>SUM(G84-H84-I84)</f>
        <v>4005</v>
      </c>
      <c r="K84" s="28">
        <v>407</v>
      </c>
      <c r="L84" s="28">
        <v>0</v>
      </c>
      <c r="M84" s="28">
        <v>752</v>
      </c>
      <c r="N84" s="28">
        <v>56</v>
      </c>
      <c r="O84" s="28">
        <v>56</v>
      </c>
    </row>
    <row r="85" spans="1:15" ht="12.75" customHeight="1">
      <c r="A85" s="4" t="s">
        <v>158</v>
      </c>
      <c r="B85" s="5" t="s">
        <v>159</v>
      </c>
      <c r="C85" s="28">
        <v>6007</v>
      </c>
      <c r="D85" s="28">
        <v>5462</v>
      </c>
      <c r="E85" s="28">
        <v>142</v>
      </c>
      <c r="F85" s="28">
        <f>SUM(C85-D85-E85)</f>
        <v>403</v>
      </c>
      <c r="G85" s="28">
        <v>20792</v>
      </c>
      <c r="H85" s="28">
        <v>13414</v>
      </c>
      <c r="I85" s="28">
        <v>1181</v>
      </c>
      <c r="J85" s="28">
        <f>SUM(G85-H85-I85)</f>
        <v>6197</v>
      </c>
      <c r="K85" s="28">
        <v>851</v>
      </c>
      <c r="L85" s="28">
        <v>0</v>
      </c>
      <c r="M85" s="28">
        <v>629</v>
      </c>
      <c r="N85" s="28">
        <v>6146</v>
      </c>
      <c r="O85" s="28">
        <v>6146</v>
      </c>
    </row>
    <row r="86" spans="1:15" ht="12.75" customHeight="1">
      <c r="A86" s="8"/>
      <c r="B86" s="9" t="s">
        <v>160</v>
      </c>
      <c r="C86" s="29">
        <f t="shared" ref="C86:O86" si="19">SUM(C81:C85)</f>
        <v>22844</v>
      </c>
      <c r="D86" s="29">
        <f t="shared" si="19"/>
        <v>17652</v>
      </c>
      <c r="E86" s="29">
        <f t="shared" si="19"/>
        <v>358</v>
      </c>
      <c r="F86" s="29">
        <f t="shared" si="19"/>
        <v>4834</v>
      </c>
      <c r="G86" s="29">
        <f t="shared" si="19"/>
        <v>90478</v>
      </c>
      <c r="H86" s="29">
        <f t="shared" si="19"/>
        <v>51546</v>
      </c>
      <c r="I86" s="29">
        <f t="shared" si="19"/>
        <v>4419</v>
      </c>
      <c r="J86" s="29">
        <f t="shared" si="19"/>
        <v>34513</v>
      </c>
      <c r="K86" s="29">
        <f t="shared" si="19"/>
        <v>2446</v>
      </c>
      <c r="L86" s="29">
        <f t="shared" si="19"/>
        <v>4</v>
      </c>
      <c r="M86" s="29">
        <f t="shared" si="19"/>
        <v>3500</v>
      </c>
      <c r="N86" s="29">
        <f t="shared" si="19"/>
        <v>7142</v>
      </c>
      <c r="O86" s="29">
        <f t="shared" si="19"/>
        <v>7142</v>
      </c>
    </row>
    <row r="87" spans="1:15" ht="12.75" customHeight="1">
      <c r="A87" s="4" t="s">
        <v>161</v>
      </c>
      <c r="B87" s="5" t="s">
        <v>162</v>
      </c>
      <c r="C87" s="28">
        <v>10290</v>
      </c>
      <c r="D87" s="28">
        <v>9047</v>
      </c>
      <c r="E87" s="28">
        <v>0</v>
      </c>
      <c r="F87" s="28">
        <f>SUM(C87-D87-E87)</f>
        <v>1243</v>
      </c>
      <c r="G87" s="28">
        <v>41400</v>
      </c>
      <c r="H87" s="28">
        <v>24977</v>
      </c>
      <c r="I87" s="28">
        <v>0</v>
      </c>
      <c r="J87" s="28">
        <f>SUM(G87-H87-I87)</f>
        <v>16423</v>
      </c>
      <c r="K87" s="28">
        <v>1326</v>
      </c>
      <c r="L87" s="28">
        <v>142</v>
      </c>
      <c r="M87" s="28">
        <v>1825</v>
      </c>
      <c r="N87" s="28">
        <v>376</v>
      </c>
      <c r="O87" s="28">
        <v>376</v>
      </c>
    </row>
    <row r="88" spans="1:15" ht="12.75" customHeight="1">
      <c r="A88" s="4" t="s">
        <v>163</v>
      </c>
      <c r="B88" s="5" t="s">
        <v>164</v>
      </c>
      <c r="C88" s="28">
        <v>9249</v>
      </c>
      <c r="D88" s="28">
        <v>3801</v>
      </c>
      <c r="E88" s="28">
        <v>196</v>
      </c>
      <c r="F88" s="28">
        <f>SUM(C88-D88-E88)</f>
        <v>5252</v>
      </c>
      <c r="G88" s="28">
        <v>26453</v>
      </c>
      <c r="H88" s="28">
        <v>9964</v>
      </c>
      <c r="I88" s="28">
        <v>2329</v>
      </c>
      <c r="J88" s="28">
        <f>SUM(G88-H88-I88)</f>
        <v>14160</v>
      </c>
      <c r="K88" s="28">
        <v>477</v>
      </c>
      <c r="L88" s="28">
        <v>0</v>
      </c>
      <c r="M88" s="28">
        <v>554</v>
      </c>
      <c r="N88" s="28">
        <v>102</v>
      </c>
      <c r="O88" s="28">
        <v>102</v>
      </c>
    </row>
    <row r="89" spans="1:15" ht="12.75" customHeight="1">
      <c r="A89" s="8"/>
      <c r="B89" s="9" t="s">
        <v>165</v>
      </c>
      <c r="C89" s="29">
        <f t="shared" ref="C89:O89" si="20">SUM(C87:C88)</f>
        <v>19539</v>
      </c>
      <c r="D89" s="29">
        <f t="shared" si="20"/>
        <v>12848</v>
      </c>
      <c r="E89" s="29">
        <f t="shared" si="20"/>
        <v>196</v>
      </c>
      <c r="F89" s="29">
        <f t="shared" si="20"/>
        <v>6495</v>
      </c>
      <c r="G89" s="29">
        <f t="shared" si="20"/>
        <v>67853</v>
      </c>
      <c r="H89" s="29">
        <f t="shared" si="20"/>
        <v>34941</v>
      </c>
      <c r="I89" s="29">
        <f t="shared" si="20"/>
        <v>2329</v>
      </c>
      <c r="J89" s="29">
        <f t="shared" si="20"/>
        <v>30583</v>
      </c>
      <c r="K89" s="29">
        <f t="shared" si="20"/>
        <v>1803</v>
      </c>
      <c r="L89" s="29">
        <f t="shared" si="20"/>
        <v>142</v>
      </c>
      <c r="M89" s="29">
        <f t="shared" si="20"/>
        <v>2379</v>
      </c>
      <c r="N89" s="29">
        <f t="shared" si="20"/>
        <v>478</v>
      </c>
      <c r="O89" s="29">
        <f t="shared" si="20"/>
        <v>478</v>
      </c>
    </row>
    <row r="90" spans="1:15" ht="12.75" customHeight="1">
      <c r="A90" s="4" t="s">
        <v>166</v>
      </c>
      <c r="B90" s="5" t="s">
        <v>167</v>
      </c>
      <c r="C90" s="28">
        <v>8391</v>
      </c>
      <c r="D90" s="28">
        <v>6256</v>
      </c>
      <c r="E90" s="28">
        <v>393</v>
      </c>
      <c r="F90" s="28">
        <f>SUM(C90-D90-E90)</f>
        <v>1742</v>
      </c>
      <c r="G90" s="28">
        <v>36142</v>
      </c>
      <c r="H90" s="28">
        <v>17520</v>
      </c>
      <c r="I90" s="28">
        <v>3801</v>
      </c>
      <c r="J90" s="28">
        <f>SUM(G90-H90-I90)</f>
        <v>14821</v>
      </c>
      <c r="K90" s="28">
        <v>848</v>
      </c>
      <c r="L90" s="28">
        <v>24</v>
      </c>
      <c r="M90" s="28">
        <v>581</v>
      </c>
      <c r="N90" s="28">
        <v>14</v>
      </c>
      <c r="O90" s="28">
        <v>14</v>
      </c>
    </row>
    <row r="91" spans="1:15" ht="12.75" customHeight="1">
      <c r="A91" s="4" t="s">
        <v>168</v>
      </c>
      <c r="B91" s="5" t="s">
        <v>169</v>
      </c>
      <c r="C91" s="28">
        <v>10007</v>
      </c>
      <c r="D91" s="28">
        <v>8329</v>
      </c>
      <c r="E91" s="28">
        <v>0</v>
      </c>
      <c r="F91" s="28">
        <f>SUM(C91-D91-E91)</f>
        <v>1678</v>
      </c>
      <c r="G91" s="28">
        <v>40774</v>
      </c>
      <c r="H91" s="28">
        <v>20860</v>
      </c>
      <c r="I91" s="28">
        <v>0</v>
      </c>
      <c r="J91" s="28">
        <f>SUM(G91-H91-I91)</f>
        <v>19914</v>
      </c>
      <c r="K91" s="28">
        <v>558</v>
      </c>
      <c r="L91" s="28">
        <v>75</v>
      </c>
      <c r="M91" s="28">
        <v>1851</v>
      </c>
      <c r="N91" s="28">
        <v>240</v>
      </c>
      <c r="O91" s="28">
        <v>240</v>
      </c>
    </row>
    <row r="92" spans="1:15" ht="12.75" customHeight="1">
      <c r="A92" s="4" t="s">
        <v>170</v>
      </c>
      <c r="B92" s="5" t="s">
        <v>171</v>
      </c>
      <c r="C92" s="28">
        <v>1950</v>
      </c>
      <c r="D92" s="28">
        <v>1415</v>
      </c>
      <c r="E92" s="28">
        <v>190</v>
      </c>
      <c r="F92" s="28">
        <f>SUM(C92-D92-E92)</f>
        <v>345</v>
      </c>
      <c r="G92" s="28">
        <v>6966</v>
      </c>
      <c r="H92" s="28">
        <v>3787</v>
      </c>
      <c r="I92" s="28">
        <v>2366</v>
      </c>
      <c r="J92" s="28">
        <f>SUM(G92-H92-I92)</f>
        <v>813</v>
      </c>
      <c r="K92" s="28">
        <v>314</v>
      </c>
      <c r="L92" s="28">
        <v>0</v>
      </c>
      <c r="M92" s="28">
        <v>164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90059</v>
      </c>
      <c r="D93" s="28">
        <v>72825</v>
      </c>
      <c r="E93" s="28">
        <v>3722</v>
      </c>
      <c r="F93" s="28">
        <f>SUM(C93-D93-E93)</f>
        <v>13512</v>
      </c>
      <c r="G93" s="28">
        <v>252276</v>
      </c>
      <c r="H93" s="28">
        <v>119588</v>
      </c>
      <c r="I93" s="28">
        <v>13042</v>
      </c>
      <c r="J93" s="28">
        <f>SUM(G93-H93-I93)</f>
        <v>119646</v>
      </c>
      <c r="K93" s="28">
        <v>20569</v>
      </c>
      <c r="L93" s="28">
        <v>0</v>
      </c>
      <c r="M93" s="28">
        <v>11874</v>
      </c>
      <c r="N93" s="28">
        <v>8108</v>
      </c>
      <c r="O93" s="28">
        <v>6904</v>
      </c>
    </row>
    <row r="94" spans="1:15" ht="12.75" customHeight="1">
      <c r="A94" s="4" t="s">
        <v>174</v>
      </c>
      <c r="B94" s="5" t="s">
        <v>175</v>
      </c>
      <c r="C94" s="28">
        <v>7364</v>
      </c>
      <c r="D94" s="28">
        <v>2746</v>
      </c>
      <c r="E94" s="28">
        <v>92</v>
      </c>
      <c r="F94" s="28">
        <f>SUM(C94-D94-E94)</f>
        <v>4526</v>
      </c>
      <c r="G94" s="28">
        <v>23986</v>
      </c>
      <c r="H94" s="28">
        <v>7793</v>
      </c>
      <c r="I94" s="28">
        <v>1020</v>
      </c>
      <c r="J94" s="28">
        <f>SUM(G94-H94-I94)</f>
        <v>15173</v>
      </c>
      <c r="K94" s="28">
        <v>1704</v>
      </c>
      <c r="L94" s="28">
        <v>514</v>
      </c>
      <c r="M94" s="28">
        <v>1917</v>
      </c>
      <c r="N94" s="28">
        <v>51</v>
      </c>
      <c r="O94" s="28">
        <v>51</v>
      </c>
    </row>
    <row r="95" spans="1:15" ht="12.75" customHeight="1">
      <c r="A95" s="8"/>
      <c r="B95" s="9" t="s">
        <v>176</v>
      </c>
      <c r="C95" s="29">
        <f t="shared" ref="C95:O95" si="21">SUM(C90:C94)</f>
        <v>117771</v>
      </c>
      <c r="D95" s="29">
        <f t="shared" si="21"/>
        <v>91571</v>
      </c>
      <c r="E95" s="29">
        <f t="shared" si="21"/>
        <v>4397</v>
      </c>
      <c r="F95" s="29">
        <f t="shared" si="21"/>
        <v>21803</v>
      </c>
      <c r="G95" s="29">
        <f t="shared" si="21"/>
        <v>360144</v>
      </c>
      <c r="H95" s="29">
        <f t="shared" si="21"/>
        <v>169548</v>
      </c>
      <c r="I95" s="29">
        <f t="shared" si="21"/>
        <v>20229</v>
      </c>
      <c r="J95" s="29">
        <f t="shared" si="21"/>
        <v>170367</v>
      </c>
      <c r="K95" s="29">
        <f t="shared" si="21"/>
        <v>23993</v>
      </c>
      <c r="L95" s="29">
        <f t="shared" si="21"/>
        <v>613</v>
      </c>
      <c r="M95" s="29">
        <f t="shared" si="21"/>
        <v>16387</v>
      </c>
      <c r="N95" s="29">
        <f t="shared" si="21"/>
        <v>8413</v>
      </c>
      <c r="O95" s="29">
        <f t="shared" si="21"/>
        <v>7209</v>
      </c>
    </row>
    <row r="96" spans="1:15" ht="12.75" customHeight="1">
      <c r="A96" s="4" t="s">
        <v>177</v>
      </c>
      <c r="B96" s="5" t="s">
        <v>178</v>
      </c>
      <c r="C96" s="28">
        <v>1914</v>
      </c>
      <c r="D96" s="28">
        <v>1617</v>
      </c>
      <c r="E96" s="28">
        <v>37</v>
      </c>
      <c r="F96" s="28">
        <f>SUM(C96-D96-E96)</f>
        <v>260</v>
      </c>
      <c r="G96" s="28">
        <v>9962</v>
      </c>
      <c r="H96" s="28">
        <v>5921</v>
      </c>
      <c r="I96" s="28">
        <v>425</v>
      </c>
      <c r="J96" s="28">
        <f>SUM(G96-H96-I96)</f>
        <v>3616</v>
      </c>
      <c r="K96" s="28">
        <v>11</v>
      </c>
      <c r="L96" s="28">
        <v>0</v>
      </c>
      <c r="M96" s="28">
        <v>1918</v>
      </c>
      <c r="N96" s="28">
        <v>38</v>
      </c>
      <c r="O96" s="28">
        <v>38</v>
      </c>
    </row>
    <row r="97" spans="1:15" ht="12.75" customHeight="1">
      <c r="A97" s="4" t="s">
        <v>179</v>
      </c>
      <c r="B97" s="5" t="s">
        <v>180</v>
      </c>
      <c r="C97" s="28">
        <v>783</v>
      </c>
      <c r="D97" s="28">
        <v>679</v>
      </c>
      <c r="E97" s="28">
        <v>0</v>
      </c>
      <c r="F97" s="28">
        <f>SUM(C97-D97-E97)</f>
        <v>104</v>
      </c>
      <c r="G97" s="28">
        <v>2586</v>
      </c>
      <c r="H97" s="28">
        <v>2123</v>
      </c>
      <c r="I97" s="28">
        <v>0</v>
      </c>
      <c r="J97" s="28">
        <f>SUM(G97-H97-I97)</f>
        <v>463</v>
      </c>
      <c r="K97" s="28">
        <v>2</v>
      </c>
      <c r="L97" s="28">
        <v>0</v>
      </c>
      <c r="M97" s="28">
        <v>3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2697</v>
      </c>
      <c r="D98" s="29">
        <f t="shared" si="22"/>
        <v>2296</v>
      </c>
      <c r="E98" s="29">
        <f t="shared" si="22"/>
        <v>37</v>
      </c>
      <c r="F98" s="29">
        <f t="shared" si="22"/>
        <v>364</v>
      </c>
      <c r="G98" s="29">
        <f t="shared" si="22"/>
        <v>12548</v>
      </c>
      <c r="H98" s="29">
        <f t="shared" si="22"/>
        <v>8044</v>
      </c>
      <c r="I98" s="29">
        <f t="shared" si="22"/>
        <v>425</v>
      </c>
      <c r="J98" s="29">
        <f t="shared" si="22"/>
        <v>4079</v>
      </c>
      <c r="K98" s="29">
        <f t="shared" si="22"/>
        <v>13</v>
      </c>
      <c r="L98" s="29">
        <f t="shared" si="22"/>
        <v>0</v>
      </c>
      <c r="M98" s="29">
        <f t="shared" si="22"/>
        <v>1921</v>
      </c>
      <c r="N98" s="29">
        <f t="shared" si="22"/>
        <v>38</v>
      </c>
      <c r="O98" s="29">
        <f t="shared" si="22"/>
        <v>38</v>
      </c>
    </row>
    <row r="99" spans="1:15" ht="12.75" customHeight="1">
      <c r="A99" s="4" t="s">
        <v>182</v>
      </c>
      <c r="B99" s="5" t="s">
        <v>183</v>
      </c>
      <c r="C99" s="28">
        <v>5473</v>
      </c>
      <c r="D99" s="28">
        <v>4951</v>
      </c>
      <c r="E99" s="28">
        <v>96</v>
      </c>
      <c r="F99" s="28">
        <f>SUM(C99-D99-E99)</f>
        <v>426</v>
      </c>
      <c r="G99" s="28">
        <v>23732</v>
      </c>
      <c r="H99" s="28">
        <v>14738</v>
      </c>
      <c r="I99" s="28">
        <v>1129</v>
      </c>
      <c r="J99" s="28">
        <f>SUM(G99-H99-I99)</f>
        <v>7865</v>
      </c>
      <c r="K99" s="28">
        <v>167</v>
      </c>
      <c r="L99" s="28">
        <v>0</v>
      </c>
      <c r="M99" s="28">
        <v>1082</v>
      </c>
      <c r="N99" s="28">
        <v>60</v>
      </c>
      <c r="O99" s="28">
        <v>60</v>
      </c>
    </row>
    <row r="100" spans="1:15" ht="12.75" customHeight="1">
      <c r="A100" s="4" t="s">
        <v>184</v>
      </c>
      <c r="B100" s="5" t="s">
        <v>185</v>
      </c>
      <c r="C100" s="28">
        <v>5948</v>
      </c>
      <c r="D100" s="28">
        <v>3472</v>
      </c>
      <c r="E100" s="28">
        <v>197</v>
      </c>
      <c r="F100" s="28">
        <f>SUM(C100-D100-E100)</f>
        <v>2279</v>
      </c>
      <c r="G100" s="28">
        <v>18902</v>
      </c>
      <c r="H100" s="28">
        <v>9338</v>
      </c>
      <c r="I100" s="28">
        <v>1304</v>
      </c>
      <c r="J100" s="28">
        <f>SUM(G100-H100-I100)</f>
        <v>8260</v>
      </c>
      <c r="K100" s="28">
        <v>360</v>
      </c>
      <c r="L100" s="28">
        <v>0</v>
      </c>
      <c r="M100" s="28">
        <v>231</v>
      </c>
      <c r="N100" s="28">
        <v>574</v>
      </c>
      <c r="O100" s="28">
        <v>574</v>
      </c>
    </row>
    <row r="101" spans="1:15" ht="12.75" customHeight="1">
      <c r="A101" s="4" t="s">
        <v>186</v>
      </c>
      <c r="B101" s="5" t="s">
        <v>187</v>
      </c>
      <c r="C101" s="28">
        <v>3042</v>
      </c>
      <c r="D101" s="28">
        <v>2655</v>
      </c>
      <c r="E101" s="28">
        <v>0</v>
      </c>
      <c r="F101" s="28">
        <f>SUM(C101-D101-E101)</f>
        <v>387</v>
      </c>
      <c r="G101" s="28">
        <v>10553</v>
      </c>
      <c r="H101" s="28">
        <v>7157</v>
      </c>
      <c r="I101" s="28">
        <v>0</v>
      </c>
      <c r="J101" s="28">
        <f>SUM(G101-H101-I101)</f>
        <v>3396</v>
      </c>
      <c r="K101" s="28">
        <v>85</v>
      </c>
      <c r="L101" s="28">
        <v>0</v>
      </c>
      <c r="M101" s="28">
        <v>232</v>
      </c>
      <c r="N101" s="28">
        <v>14</v>
      </c>
      <c r="O101" s="28">
        <v>14</v>
      </c>
    </row>
    <row r="102" spans="1:15" ht="12.75" customHeight="1">
      <c r="A102" s="4" t="s">
        <v>188</v>
      </c>
      <c r="B102" s="5" t="s">
        <v>189</v>
      </c>
      <c r="C102" s="28">
        <v>4649</v>
      </c>
      <c r="D102" s="28">
        <v>4006</v>
      </c>
      <c r="E102" s="28">
        <v>153</v>
      </c>
      <c r="F102" s="28">
        <f>SUM(C102-D102-E102)</f>
        <v>490</v>
      </c>
      <c r="G102" s="28">
        <v>16874</v>
      </c>
      <c r="H102" s="28">
        <v>9618</v>
      </c>
      <c r="I102" s="28">
        <v>2213</v>
      </c>
      <c r="J102" s="28">
        <f>SUM(G102-H102-I102)</f>
        <v>5043</v>
      </c>
      <c r="K102" s="28">
        <v>505</v>
      </c>
      <c r="L102" s="28">
        <v>0</v>
      </c>
      <c r="M102" s="28">
        <v>692</v>
      </c>
      <c r="N102" s="28">
        <v>12</v>
      </c>
      <c r="O102" s="28">
        <v>12</v>
      </c>
    </row>
    <row r="103" spans="1:15" ht="12.75" customHeight="1">
      <c r="A103" s="8"/>
      <c r="B103" s="9" t="s">
        <v>190</v>
      </c>
      <c r="C103" s="29">
        <f t="shared" ref="C103:O103" si="23">SUM(C99:C102)</f>
        <v>19112</v>
      </c>
      <c r="D103" s="29">
        <f t="shared" si="23"/>
        <v>15084</v>
      </c>
      <c r="E103" s="29">
        <f t="shared" si="23"/>
        <v>446</v>
      </c>
      <c r="F103" s="29">
        <f t="shared" si="23"/>
        <v>3582</v>
      </c>
      <c r="G103" s="29">
        <f t="shared" si="23"/>
        <v>70061</v>
      </c>
      <c r="H103" s="29">
        <f t="shared" si="23"/>
        <v>40851</v>
      </c>
      <c r="I103" s="29">
        <f t="shared" si="23"/>
        <v>4646</v>
      </c>
      <c r="J103" s="29">
        <f t="shared" si="23"/>
        <v>24564</v>
      </c>
      <c r="K103" s="29">
        <f t="shared" si="23"/>
        <v>1117</v>
      </c>
      <c r="L103" s="29">
        <f t="shared" si="23"/>
        <v>0</v>
      </c>
      <c r="M103" s="29">
        <f t="shared" si="23"/>
        <v>2237</v>
      </c>
      <c r="N103" s="29">
        <f t="shared" si="23"/>
        <v>660</v>
      </c>
      <c r="O103" s="29">
        <f t="shared" si="23"/>
        <v>660</v>
      </c>
    </row>
    <row r="104" spans="1:15" ht="12.75" customHeight="1">
      <c r="A104" s="4" t="s">
        <v>191</v>
      </c>
      <c r="B104" s="5" t="s">
        <v>192</v>
      </c>
      <c r="C104" s="28">
        <v>3817</v>
      </c>
      <c r="D104" s="28">
        <v>3039</v>
      </c>
      <c r="E104" s="28">
        <v>99</v>
      </c>
      <c r="F104" s="28">
        <f>SUM(C104-D104-E104)</f>
        <v>679</v>
      </c>
      <c r="G104" s="28">
        <v>15414</v>
      </c>
      <c r="H104" s="28">
        <v>9314</v>
      </c>
      <c r="I104" s="28">
        <v>1096</v>
      </c>
      <c r="J104" s="28">
        <f>SUM(G104-H104-I104)</f>
        <v>5004</v>
      </c>
      <c r="K104" s="28">
        <v>306</v>
      </c>
      <c r="L104" s="28">
        <v>0</v>
      </c>
      <c r="M104" s="28">
        <v>512</v>
      </c>
      <c r="N104" s="28">
        <v>91</v>
      </c>
      <c r="O104" s="28">
        <v>91</v>
      </c>
    </row>
    <row r="105" spans="1:15" ht="12.75" customHeight="1">
      <c r="A105" s="4" t="s">
        <v>193</v>
      </c>
      <c r="B105" s="5" t="s">
        <v>194</v>
      </c>
      <c r="C105" s="28">
        <v>2562</v>
      </c>
      <c r="D105" s="28">
        <v>1881</v>
      </c>
      <c r="E105" s="28">
        <v>0</v>
      </c>
      <c r="F105" s="28">
        <f>SUM(C105-D105-E105)</f>
        <v>681</v>
      </c>
      <c r="G105" s="28">
        <v>11474</v>
      </c>
      <c r="H105" s="28">
        <v>5416</v>
      </c>
      <c r="I105" s="28">
        <v>0</v>
      </c>
      <c r="J105" s="28">
        <f>SUM(G105-H105-I105)</f>
        <v>6058</v>
      </c>
      <c r="K105" s="28">
        <v>132</v>
      </c>
      <c r="L105" s="28">
        <v>0</v>
      </c>
      <c r="M105" s="28">
        <v>588</v>
      </c>
      <c r="N105" s="28">
        <v>18</v>
      </c>
      <c r="O105" s="28">
        <v>18</v>
      </c>
    </row>
    <row r="106" spans="1:15" ht="12.75" customHeight="1">
      <c r="A106" s="4" t="s">
        <v>195</v>
      </c>
      <c r="B106" s="5" t="s">
        <v>196</v>
      </c>
      <c r="C106" s="28">
        <v>12586</v>
      </c>
      <c r="D106" s="28">
        <v>8505</v>
      </c>
      <c r="E106" s="28">
        <v>263</v>
      </c>
      <c r="F106" s="28">
        <f>SUM(C106-D106-E106)</f>
        <v>3818</v>
      </c>
      <c r="G106" s="28">
        <v>62985</v>
      </c>
      <c r="H106" s="28">
        <v>24127</v>
      </c>
      <c r="I106" s="28">
        <v>1975</v>
      </c>
      <c r="J106" s="28">
        <f>SUM(G106-H106-I106)</f>
        <v>36883</v>
      </c>
      <c r="K106" s="28">
        <v>435</v>
      </c>
      <c r="L106" s="28">
        <v>0</v>
      </c>
      <c r="M106" s="28">
        <v>4011</v>
      </c>
      <c r="N106" s="28">
        <v>623</v>
      </c>
      <c r="O106" s="28">
        <v>623</v>
      </c>
    </row>
    <row r="107" spans="1:15" ht="12.75" customHeight="1">
      <c r="A107" s="4" t="s">
        <v>197</v>
      </c>
      <c r="B107" s="5" t="s">
        <v>198</v>
      </c>
      <c r="C107" s="28">
        <v>44111</v>
      </c>
      <c r="D107" s="28">
        <v>27112</v>
      </c>
      <c r="E107" s="28">
        <v>1041</v>
      </c>
      <c r="F107" s="28">
        <f>SUM(C107-D107-E107)</f>
        <v>15958</v>
      </c>
      <c r="G107" s="28">
        <v>119213</v>
      </c>
      <c r="H107" s="28">
        <v>49316</v>
      </c>
      <c r="I107" s="28">
        <v>2952</v>
      </c>
      <c r="J107" s="28">
        <f>SUM(G107-H107-I107)</f>
        <v>66945</v>
      </c>
      <c r="K107" s="28">
        <v>5516</v>
      </c>
      <c r="L107" s="28">
        <v>0</v>
      </c>
      <c r="M107" s="28">
        <v>804</v>
      </c>
      <c r="N107" s="28">
        <v>2977</v>
      </c>
      <c r="O107" s="28">
        <v>2977</v>
      </c>
    </row>
    <row r="108" spans="1:15" ht="12.75" customHeight="1">
      <c r="A108" s="4" t="s">
        <v>199</v>
      </c>
      <c r="B108" s="5" t="s">
        <v>200</v>
      </c>
      <c r="C108" s="28">
        <v>11117</v>
      </c>
      <c r="D108" s="28">
        <v>7801</v>
      </c>
      <c r="E108" s="28">
        <v>239</v>
      </c>
      <c r="F108" s="28">
        <f>SUM(C108-D108-E108)</f>
        <v>3077</v>
      </c>
      <c r="G108" s="28">
        <v>60385</v>
      </c>
      <c r="H108" s="28">
        <v>23681</v>
      </c>
      <c r="I108" s="28">
        <v>2220</v>
      </c>
      <c r="J108" s="28">
        <f>SUM(G108-H108-I108)</f>
        <v>34484</v>
      </c>
      <c r="K108" s="28">
        <v>792</v>
      </c>
      <c r="L108" s="28">
        <v>0</v>
      </c>
      <c r="M108" s="28">
        <v>1568</v>
      </c>
      <c r="N108" s="28">
        <v>980</v>
      </c>
      <c r="O108" s="28">
        <v>980</v>
      </c>
    </row>
    <row r="109" spans="1:15" ht="12.75" customHeight="1">
      <c r="A109" s="8"/>
      <c r="B109" s="9" t="s">
        <v>201</v>
      </c>
      <c r="C109" s="29">
        <f t="shared" ref="C109:O109" si="24">SUM(C104:C108)</f>
        <v>74193</v>
      </c>
      <c r="D109" s="29">
        <f t="shared" si="24"/>
        <v>48338</v>
      </c>
      <c r="E109" s="29">
        <f t="shared" si="24"/>
        <v>1642</v>
      </c>
      <c r="F109" s="29">
        <f t="shared" si="24"/>
        <v>24213</v>
      </c>
      <c r="G109" s="29">
        <f t="shared" si="24"/>
        <v>269471</v>
      </c>
      <c r="H109" s="29">
        <f t="shared" si="24"/>
        <v>111854</v>
      </c>
      <c r="I109" s="29">
        <f t="shared" si="24"/>
        <v>8243</v>
      </c>
      <c r="J109" s="29">
        <f t="shared" si="24"/>
        <v>149374</v>
      </c>
      <c r="K109" s="29">
        <f t="shared" si="24"/>
        <v>7181</v>
      </c>
      <c r="L109" s="29">
        <f t="shared" si="24"/>
        <v>0</v>
      </c>
      <c r="M109" s="29">
        <f t="shared" si="24"/>
        <v>7483</v>
      </c>
      <c r="N109" s="29">
        <f t="shared" si="24"/>
        <v>4689</v>
      </c>
      <c r="O109" s="29">
        <f t="shared" si="24"/>
        <v>4689</v>
      </c>
    </row>
    <row r="110" spans="1:15" ht="12.75" customHeight="1">
      <c r="A110" s="4" t="s">
        <v>202</v>
      </c>
      <c r="B110" s="5" t="s">
        <v>203</v>
      </c>
      <c r="C110" s="28">
        <v>18179</v>
      </c>
      <c r="D110" s="28">
        <v>15858</v>
      </c>
      <c r="E110" s="28">
        <v>103</v>
      </c>
      <c r="F110" s="28">
        <f t="shared" ref="F110:F115" si="25">SUM(C110-D110-E110)</f>
        <v>2218</v>
      </c>
      <c r="G110" s="28">
        <v>74234</v>
      </c>
      <c r="H110" s="28">
        <v>47866</v>
      </c>
      <c r="I110" s="28">
        <v>1582</v>
      </c>
      <c r="J110" s="28">
        <f t="shared" ref="J110:J115" si="26">SUM(G110-H110-I110)</f>
        <v>24786</v>
      </c>
      <c r="K110" s="28">
        <v>1858</v>
      </c>
      <c r="L110" s="28">
        <v>0</v>
      </c>
      <c r="M110" s="28">
        <v>3004</v>
      </c>
      <c r="N110" s="28">
        <v>579</v>
      </c>
      <c r="O110" s="28">
        <v>579</v>
      </c>
    </row>
    <row r="111" spans="1:15" ht="12.75" customHeight="1">
      <c r="A111" s="4" t="s">
        <v>204</v>
      </c>
      <c r="B111" s="5" t="s">
        <v>205</v>
      </c>
      <c r="C111" s="28">
        <v>1731</v>
      </c>
      <c r="D111" s="28">
        <v>1629</v>
      </c>
      <c r="E111" s="28">
        <v>16</v>
      </c>
      <c r="F111" s="28">
        <f t="shared" si="25"/>
        <v>86</v>
      </c>
      <c r="G111" s="28">
        <v>5511</v>
      </c>
      <c r="H111" s="28">
        <v>4041</v>
      </c>
      <c r="I111" s="28">
        <v>158</v>
      </c>
      <c r="J111" s="28">
        <f t="shared" si="26"/>
        <v>1312</v>
      </c>
      <c r="K111" s="28">
        <v>139</v>
      </c>
      <c r="L111" s="28">
        <v>0</v>
      </c>
      <c r="M111" s="28">
        <v>423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5778</v>
      </c>
      <c r="D112" s="28">
        <v>4882</v>
      </c>
      <c r="E112" s="28">
        <v>0</v>
      </c>
      <c r="F112" s="28">
        <f t="shared" si="25"/>
        <v>896</v>
      </c>
      <c r="G112" s="28">
        <v>18945</v>
      </c>
      <c r="H112" s="28">
        <v>14829</v>
      </c>
      <c r="I112" s="28">
        <v>0</v>
      </c>
      <c r="J112" s="28">
        <f t="shared" si="26"/>
        <v>4116</v>
      </c>
      <c r="K112" s="28">
        <v>830</v>
      </c>
      <c r="L112" s="28">
        <v>2141</v>
      </c>
      <c r="M112" s="28">
        <v>508</v>
      </c>
      <c r="N112" s="28">
        <v>1878</v>
      </c>
      <c r="O112" s="28">
        <v>1878</v>
      </c>
    </row>
    <row r="113" spans="1:15" ht="12.75" customHeight="1">
      <c r="A113" s="4" t="s">
        <v>208</v>
      </c>
      <c r="B113" s="5" t="s">
        <v>209</v>
      </c>
      <c r="C113" s="28">
        <v>5721</v>
      </c>
      <c r="D113" s="28">
        <v>4081</v>
      </c>
      <c r="E113" s="28">
        <v>127</v>
      </c>
      <c r="F113" s="28">
        <f t="shared" si="25"/>
        <v>1513</v>
      </c>
      <c r="G113" s="28">
        <v>20847</v>
      </c>
      <c r="H113" s="28">
        <v>12318</v>
      </c>
      <c r="I113" s="28">
        <v>1144</v>
      </c>
      <c r="J113" s="28">
        <f t="shared" si="26"/>
        <v>7385</v>
      </c>
      <c r="K113" s="28">
        <v>875</v>
      </c>
      <c r="L113" s="28">
        <v>0</v>
      </c>
      <c r="M113" s="28">
        <v>1747</v>
      </c>
      <c r="N113" s="28">
        <v>44</v>
      </c>
      <c r="O113" s="28">
        <v>44</v>
      </c>
    </row>
    <row r="114" spans="1:15" ht="12.75" customHeight="1">
      <c r="A114" s="4" t="s">
        <v>210</v>
      </c>
      <c r="B114" s="5" t="s">
        <v>211</v>
      </c>
      <c r="C114" s="28">
        <v>22220</v>
      </c>
      <c r="D114" s="28">
        <v>11262</v>
      </c>
      <c r="E114" s="28">
        <v>0</v>
      </c>
      <c r="F114" s="28">
        <f t="shared" si="25"/>
        <v>10958</v>
      </c>
      <c r="G114" s="28">
        <v>67103</v>
      </c>
      <c r="H114" s="28">
        <v>26823</v>
      </c>
      <c r="I114" s="28">
        <v>0</v>
      </c>
      <c r="J114" s="28">
        <f t="shared" si="26"/>
        <v>40280</v>
      </c>
      <c r="K114" s="28">
        <v>4968</v>
      </c>
      <c r="L114" s="28">
        <v>0</v>
      </c>
      <c r="M114" s="28">
        <v>3679</v>
      </c>
      <c r="N114" s="28">
        <v>1198</v>
      </c>
      <c r="O114" s="28">
        <v>1198</v>
      </c>
    </row>
    <row r="115" spans="1:15" ht="12.75" customHeight="1">
      <c r="A115" s="4" t="s">
        <v>212</v>
      </c>
      <c r="B115" s="5" t="s">
        <v>213</v>
      </c>
      <c r="C115" s="28">
        <v>7138</v>
      </c>
      <c r="D115" s="28">
        <v>6601</v>
      </c>
      <c r="E115" s="28">
        <v>0</v>
      </c>
      <c r="F115" s="28">
        <f t="shared" si="25"/>
        <v>537</v>
      </c>
      <c r="G115" s="28">
        <v>21098</v>
      </c>
      <c r="H115" s="28">
        <v>18007</v>
      </c>
      <c r="I115" s="28">
        <v>0</v>
      </c>
      <c r="J115" s="28">
        <f t="shared" si="26"/>
        <v>3091</v>
      </c>
      <c r="K115" s="28">
        <v>863</v>
      </c>
      <c r="L115" s="28">
        <v>0</v>
      </c>
      <c r="M115" s="28">
        <v>406</v>
      </c>
      <c r="N115" s="28">
        <v>157</v>
      </c>
      <c r="O115" s="28">
        <v>157</v>
      </c>
    </row>
    <row r="116" spans="1:15" ht="12.75" customHeight="1">
      <c r="A116" s="8"/>
      <c r="B116" s="9" t="s">
        <v>214</v>
      </c>
      <c r="C116" s="29">
        <f t="shared" ref="C116:O116" si="27">SUM(C110:C115)</f>
        <v>60767</v>
      </c>
      <c r="D116" s="29">
        <f t="shared" si="27"/>
        <v>44313</v>
      </c>
      <c r="E116" s="29">
        <f t="shared" si="27"/>
        <v>246</v>
      </c>
      <c r="F116" s="29">
        <f t="shared" si="27"/>
        <v>16208</v>
      </c>
      <c r="G116" s="29">
        <f t="shared" si="27"/>
        <v>207738</v>
      </c>
      <c r="H116" s="29">
        <f t="shared" si="27"/>
        <v>123884</v>
      </c>
      <c r="I116" s="29">
        <f t="shared" si="27"/>
        <v>2884</v>
      </c>
      <c r="J116" s="29">
        <f t="shared" si="27"/>
        <v>80970</v>
      </c>
      <c r="K116" s="29">
        <f t="shared" si="27"/>
        <v>9533</v>
      </c>
      <c r="L116" s="29">
        <f t="shared" si="27"/>
        <v>2141</v>
      </c>
      <c r="M116" s="29">
        <f t="shared" si="27"/>
        <v>9767</v>
      </c>
      <c r="N116" s="29">
        <f t="shared" si="27"/>
        <v>3856</v>
      </c>
      <c r="O116" s="29">
        <f t="shared" si="27"/>
        <v>3856</v>
      </c>
    </row>
    <row r="117" spans="1:15" ht="12.75" customHeight="1">
      <c r="A117" s="4" t="s">
        <v>215</v>
      </c>
      <c r="B117" s="5" t="s">
        <v>216</v>
      </c>
      <c r="C117" s="28">
        <v>2114</v>
      </c>
      <c r="D117" s="28">
        <v>1673</v>
      </c>
      <c r="E117" s="28">
        <v>0</v>
      </c>
      <c r="F117" s="28">
        <f>SUM(C117-D117-E117)</f>
        <v>441</v>
      </c>
      <c r="G117" s="28">
        <v>7799</v>
      </c>
      <c r="H117" s="28">
        <v>5312</v>
      </c>
      <c r="I117" s="28">
        <v>0</v>
      </c>
      <c r="J117" s="28">
        <f>SUM(G117-H117-I117)</f>
        <v>2487</v>
      </c>
      <c r="K117" s="28">
        <v>10</v>
      </c>
      <c r="L117" s="28">
        <v>0</v>
      </c>
      <c r="M117" s="28">
        <v>895</v>
      </c>
      <c r="N117" s="28">
        <v>27</v>
      </c>
      <c r="O117" s="28">
        <v>27</v>
      </c>
    </row>
    <row r="118" spans="1:15" ht="12.75" customHeight="1">
      <c r="A118" s="4" t="s">
        <v>217</v>
      </c>
      <c r="B118" s="5" t="s">
        <v>218</v>
      </c>
      <c r="C118" s="28">
        <v>4991</v>
      </c>
      <c r="D118" s="28">
        <v>4584</v>
      </c>
      <c r="E118" s="28">
        <v>73</v>
      </c>
      <c r="F118" s="28">
        <f>SUM(C118-D118-E118)</f>
        <v>334</v>
      </c>
      <c r="G118" s="28">
        <v>19926</v>
      </c>
      <c r="H118" s="28">
        <v>12843</v>
      </c>
      <c r="I118" s="28">
        <v>656</v>
      </c>
      <c r="J118" s="28">
        <f>SUM(G118-H118-I118)</f>
        <v>6427</v>
      </c>
      <c r="K118" s="28">
        <v>218</v>
      </c>
      <c r="L118" s="28">
        <v>0</v>
      </c>
      <c r="M118" s="28">
        <v>769</v>
      </c>
      <c r="N118" s="28">
        <v>269</v>
      </c>
      <c r="O118" s="28">
        <v>269</v>
      </c>
    </row>
    <row r="119" spans="1:15" ht="12.75" customHeight="1">
      <c r="A119" s="8"/>
      <c r="B119" s="9" t="s">
        <v>219</v>
      </c>
      <c r="C119" s="29">
        <f t="shared" ref="C119:O119" si="28">SUM(C117:C118)</f>
        <v>7105</v>
      </c>
      <c r="D119" s="29">
        <f t="shared" si="28"/>
        <v>6257</v>
      </c>
      <c r="E119" s="29">
        <f t="shared" si="28"/>
        <v>73</v>
      </c>
      <c r="F119" s="29">
        <f t="shared" si="28"/>
        <v>775</v>
      </c>
      <c r="G119" s="29">
        <f t="shared" si="28"/>
        <v>27725</v>
      </c>
      <c r="H119" s="29">
        <f t="shared" si="28"/>
        <v>18155</v>
      </c>
      <c r="I119" s="29">
        <f t="shared" si="28"/>
        <v>656</v>
      </c>
      <c r="J119" s="29">
        <f t="shared" si="28"/>
        <v>8914</v>
      </c>
      <c r="K119" s="29">
        <f t="shared" si="28"/>
        <v>228</v>
      </c>
      <c r="L119" s="29">
        <f t="shared" si="28"/>
        <v>0</v>
      </c>
      <c r="M119" s="29">
        <f t="shared" si="28"/>
        <v>1664</v>
      </c>
      <c r="N119" s="29">
        <f t="shared" si="28"/>
        <v>296</v>
      </c>
      <c r="O119" s="29">
        <f t="shared" si="28"/>
        <v>296</v>
      </c>
    </row>
    <row r="120" spans="1:15" ht="12.75" customHeight="1">
      <c r="A120" s="4" t="s">
        <v>220</v>
      </c>
      <c r="B120" s="5" t="s">
        <v>221</v>
      </c>
      <c r="C120" s="28">
        <v>5641</v>
      </c>
      <c r="D120" s="28">
        <v>5289</v>
      </c>
      <c r="E120" s="28">
        <v>60</v>
      </c>
      <c r="F120" s="28">
        <f>SUM(C120-D120-E120)</f>
        <v>292</v>
      </c>
      <c r="G120" s="28">
        <v>17757</v>
      </c>
      <c r="H120" s="28">
        <v>14408</v>
      </c>
      <c r="I120" s="28">
        <v>910</v>
      </c>
      <c r="J120" s="28">
        <f>SUM(G120-H120-I120)</f>
        <v>2439</v>
      </c>
      <c r="K120" s="28">
        <v>1543</v>
      </c>
      <c r="L120" s="28">
        <v>0</v>
      </c>
      <c r="M120" s="28">
        <v>533</v>
      </c>
      <c r="N120" s="28">
        <v>830</v>
      </c>
      <c r="O120" s="28">
        <v>830</v>
      </c>
    </row>
    <row r="121" spans="1:15" ht="12.75" customHeight="1">
      <c r="A121" s="4" t="s">
        <v>222</v>
      </c>
      <c r="B121" s="5" t="s">
        <v>223</v>
      </c>
      <c r="C121" s="28">
        <v>9101</v>
      </c>
      <c r="D121" s="28">
        <v>8487</v>
      </c>
      <c r="E121" s="28">
        <v>172</v>
      </c>
      <c r="F121" s="28">
        <f>SUM(C121-D121-E121)</f>
        <v>442</v>
      </c>
      <c r="G121" s="28">
        <v>30274</v>
      </c>
      <c r="H121" s="28">
        <v>23345</v>
      </c>
      <c r="I121" s="28">
        <v>1624</v>
      </c>
      <c r="J121" s="28">
        <f>SUM(G121-H121-I121)</f>
        <v>5305</v>
      </c>
      <c r="K121" s="28">
        <v>263</v>
      </c>
      <c r="L121" s="28">
        <v>0</v>
      </c>
      <c r="M121" s="28">
        <v>664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1685</v>
      </c>
      <c r="D122" s="28">
        <v>1397</v>
      </c>
      <c r="E122" s="28">
        <v>0</v>
      </c>
      <c r="F122" s="28">
        <f>SUM(C122-D122-E122)</f>
        <v>288</v>
      </c>
      <c r="G122" s="28">
        <v>5616</v>
      </c>
      <c r="H122" s="28">
        <v>3796</v>
      </c>
      <c r="I122" s="28">
        <v>0</v>
      </c>
      <c r="J122" s="28">
        <f>SUM(G122-H122-I122)</f>
        <v>1820</v>
      </c>
      <c r="K122" s="28">
        <v>64</v>
      </c>
      <c r="L122" s="28">
        <v>0</v>
      </c>
      <c r="M122" s="28">
        <v>1392</v>
      </c>
      <c r="N122" s="28">
        <v>15</v>
      </c>
      <c r="O122" s="28">
        <v>15</v>
      </c>
    </row>
    <row r="123" spans="1:15" ht="12.75" customHeight="1">
      <c r="A123" s="4" t="s">
        <v>226</v>
      </c>
      <c r="B123" s="5" t="s">
        <v>227</v>
      </c>
      <c r="C123" s="28">
        <v>8141</v>
      </c>
      <c r="D123" s="28">
        <v>7448</v>
      </c>
      <c r="E123" s="28">
        <v>76</v>
      </c>
      <c r="F123" s="28">
        <f>SUM(C123-D123-E123)</f>
        <v>617</v>
      </c>
      <c r="G123" s="28">
        <v>22537</v>
      </c>
      <c r="H123" s="28">
        <v>17703</v>
      </c>
      <c r="I123" s="28">
        <v>678</v>
      </c>
      <c r="J123" s="28">
        <f>SUM(G123-H123-I123)</f>
        <v>4156</v>
      </c>
      <c r="K123" s="28">
        <v>662</v>
      </c>
      <c r="L123" s="28">
        <v>0</v>
      </c>
      <c r="M123" s="28">
        <v>450</v>
      </c>
      <c r="N123" s="28">
        <v>281</v>
      </c>
      <c r="O123" s="28">
        <v>281</v>
      </c>
    </row>
    <row r="124" spans="1:15" ht="12.75" customHeight="1">
      <c r="A124" s="4" t="s">
        <v>228</v>
      </c>
      <c r="B124" s="5" t="s">
        <v>229</v>
      </c>
      <c r="C124" s="28">
        <v>2018</v>
      </c>
      <c r="D124" s="28">
        <v>1947</v>
      </c>
      <c r="E124" s="28">
        <v>35</v>
      </c>
      <c r="F124" s="28">
        <f>SUM(C124-D124-E124)</f>
        <v>36</v>
      </c>
      <c r="G124" s="28">
        <v>5504</v>
      </c>
      <c r="H124" s="28">
        <v>4430</v>
      </c>
      <c r="I124" s="28">
        <v>390</v>
      </c>
      <c r="J124" s="28">
        <f>SUM(G124-H124-I124)</f>
        <v>684</v>
      </c>
      <c r="K124" s="28">
        <v>172</v>
      </c>
      <c r="L124" s="28">
        <v>0</v>
      </c>
      <c r="M124" s="28">
        <v>31</v>
      </c>
      <c r="N124" s="28">
        <v>189</v>
      </c>
      <c r="O124" s="28">
        <v>189</v>
      </c>
    </row>
    <row r="125" spans="1:15" ht="12.75" customHeight="1">
      <c r="A125" s="8"/>
      <c r="B125" s="9" t="s">
        <v>230</v>
      </c>
      <c r="C125" s="29">
        <f t="shared" ref="C125:O125" si="29">SUM(C120:C124)</f>
        <v>26586</v>
      </c>
      <c r="D125" s="29">
        <f t="shared" si="29"/>
        <v>24568</v>
      </c>
      <c r="E125" s="29">
        <f t="shared" si="29"/>
        <v>343</v>
      </c>
      <c r="F125" s="29">
        <f t="shared" si="29"/>
        <v>1675</v>
      </c>
      <c r="G125" s="29">
        <f t="shared" si="29"/>
        <v>81688</v>
      </c>
      <c r="H125" s="29">
        <f t="shared" si="29"/>
        <v>63682</v>
      </c>
      <c r="I125" s="29">
        <f t="shared" si="29"/>
        <v>3602</v>
      </c>
      <c r="J125" s="29">
        <f t="shared" si="29"/>
        <v>14404</v>
      </c>
      <c r="K125" s="29">
        <f t="shared" si="29"/>
        <v>2704</v>
      </c>
      <c r="L125" s="29">
        <f t="shared" si="29"/>
        <v>0</v>
      </c>
      <c r="M125" s="29">
        <f t="shared" si="29"/>
        <v>3070</v>
      </c>
      <c r="N125" s="29">
        <f t="shared" si="29"/>
        <v>1315</v>
      </c>
      <c r="O125" s="29">
        <f t="shared" si="29"/>
        <v>1315</v>
      </c>
    </row>
    <row r="126" spans="1:15" ht="12.75" customHeight="1">
      <c r="A126" s="4" t="s">
        <v>231</v>
      </c>
      <c r="B126" s="5" t="s">
        <v>232</v>
      </c>
      <c r="C126" s="28">
        <v>5499</v>
      </c>
      <c r="D126" s="28">
        <v>4708</v>
      </c>
      <c r="E126" s="28">
        <v>0</v>
      </c>
      <c r="F126" s="28">
        <f t="shared" ref="F126:F134" si="30">SUM(C126-D126-E126)</f>
        <v>791</v>
      </c>
      <c r="G126" s="28">
        <v>14765</v>
      </c>
      <c r="H126" s="28">
        <v>10531</v>
      </c>
      <c r="I126" s="28">
        <v>0</v>
      </c>
      <c r="J126" s="28">
        <f t="shared" ref="J126:J134" si="31">SUM(G126-H126-I126)</f>
        <v>4234</v>
      </c>
      <c r="K126" s="28">
        <v>137</v>
      </c>
      <c r="L126" s="28">
        <v>42</v>
      </c>
      <c r="M126" s="28">
        <v>982</v>
      </c>
      <c r="N126" s="28">
        <v>1812</v>
      </c>
      <c r="O126" s="28">
        <v>1812</v>
      </c>
    </row>
    <row r="127" spans="1:15" ht="12.75" customHeight="1">
      <c r="A127" s="4" t="s">
        <v>233</v>
      </c>
      <c r="B127" s="5" t="s">
        <v>234</v>
      </c>
      <c r="C127" s="28">
        <v>3396</v>
      </c>
      <c r="D127" s="28">
        <v>2877</v>
      </c>
      <c r="E127" s="28">
        <v>0</v>
      </c>
      <c r="F127" s="28">
        <f t="shared" si="30"/>
        <v>519</v>
      </c>
      <c r="G127" s="28">
        <v>9403</v>
      </c>
      <c r="H127" s="28">
        <v>7682</v>
      </c>
      <c r="I127" s="28">
        <v>0</v>
      </c>
      <c r="J127" s="28">
        <f t="shared" si="31"/>
        <v>1721</v>
      </c>
      <c r="K127" s="28">
        <v>160</v>
      </c>
      <c r="L127" s="28">
        <v>0</v>
      </c>
      <c r="M127" s="28">
        <v>233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25503</v>
      </c>
      <c r="D128" s="28">
        <v>17167</v>
      </c>
      <c r="E128" s="28">
        <v>300</v>
      </c>
      <c r="F128" s="28">
        <f t="shared" si="30"/>
        <v>8036</v>
      </c>
      <c r="G128" s="28">
        <v>70527</v>
      </c>
      <c r="H128" s="28">
        <v>35790</v>
      </c>
      <c r="I128" s="28">
        <v>1642</v>
      </c>
      <c r="J128" s="28">
        <f t="shared" si="31"/>
        <v>33095</v>
      </c>
      <c r="K128" s="28">
        <v>2546</v>
      </c>
      <c r="L128" s="28">
        <v>0</v>
      </c>
      <c r="M128" s="28">
        <v>1754</v>
      </c>
      <c r="N128" s="28">
        <v>566</v>
      </c>
      <c r="O128" s="28">
        <v>566</v>
      </c>
    </row>
    <row r="129" spans="1:15" ht="12.75" customHeight="1">
      <c r="A129" s="4" t="s">
        <v>237</v>
      </c>
      <c r="B129" s="5" t="s">
        <v>238</v>
      </c>
      <c r="C129" s="28">
        <v>1730</v>
      </c>
      <c r="D129" s="28">
        <v>1463</v>
      </c>
      <c r="E129" s="28">
        <v>76</v>
      </c>
      <c r="F129" s="28">
        <f t="shared" si="30"/>
        <v>191</v>
      </c>
      <c r="G129" s="28">
        <v>8078</v>
      </c>
      <c r="H129" s="28">
        <v>3770</v>
      </c>
      <c r="I129" s="28">
        <v>722</v>
      </c>
      <c r="J129" s="28">
        <f t="shared" si="31"/>
        <v>3586</v>
      </c>
      <c r="K129" s="28">
        <v>206</v>
      </c>
      <c r="L129" s="28">
        <v>0</v>
      </c>
      <c r="M129" s="28">
        <v>697</v>
      </c>
      <c r="N129" s="28">
        <v>54</v>
      </c>
      <c r="O129" s="28">
        <v>54</v>
      </c>
    </row>
    <row r="130" spans="1:15" ht="12.75" customHeight="1">
      <c r="A130" s="4" t="s">
        <v>239</v>
      </c>
      <c r="B130" s="5" t="s">
        <v>240</v>
      </c>
      <c r="C130" s="28">
        <v>10984</v>
      </c>
      <c r="D130" s="28">
        <v>9668</v>
      </c>
      <c r="E130" s="28">
        <v>597</v>
      </c>
      <c r="F130" s="28">
        <f t="shared" si="30"/>
        <v>719</v>
      </c>
      <c r="G130" s="28">
        <v>27425</v>
      </c>
      <c r="H130" s="28">
        <v>15158</v>
      </c>
      <c r="I130" s="28">
        <v>2846</v>
      </c>
      <c r="J130" s="28">
        <f t="shared" si="31"/>
        <v>9421</v>
      </c>
      <c r="K130" s="28">
        <v>829</v>
      </c>
      <c r="L130" s="28">
        <v>719</v>
      </c>
      <c r="M130" s="28">
        <v>70</v>
      </c>
      <c r="N130" s="28">
        <v>167311</v>
      </c>
      <c r="O130" s="28">
        <v>905</v>
      </c>
    </row>
    <row r="131" spans="1:15" ht="12.75" customHeight="1">
      <c r="A131" s="4" t="s">
        <v>241</v>
      </c>
      <c r="B131" s="5" t="s">
        <v>242</v>
      </c>
      <c r="C131" s="28">
        <v>21681</v>
      </c>
      <c r="D131" s="28">
        <v>18118</v>
      </c>
      <c r="E131" s="28">
        <v>127</v>
      </c>
      <c r="F131" s="28">
        <f t="shared" si="30"/>
        <v>3436</v>
      </c>
      <c r="G131" s="28">
        <v>48806</v>
      </c>
      <c r="H131" s="28">
        <v>27074</v>
      </c>
      <c r="I131" s="28">
        <v>898</v>
      </c>
      <c r="J131" s="28">
        <f t="shared" si="31"/>
        <v>20834</v>
      </c>
      <c r="K131" s="28">
        <v>1611</v>
      </c>
      <c r="L131" s="28">
        <v>8</v>
      </c>
      <c r="M131" s="28">
        <v>350</v>
      </c>
      <c r="N131" s="28">
        <v>177</v>
      </c>
      <c r="O131" s="28">
        <v>177</v>
      </c>
    </row>
    <row r="132" spans="1:15" ht="12.75" customHeight="1">
      <c r="A132" s="4" t="s">
        <v>243</v>
      </c>
      <c r="B132" s="5" t="s">
        <v>244</v>
      </c>
      <c r="C132" s="28">
        <v>9301</v>
      </c>
      <c r="D132" s="28">
        <v>7672</v>
      </c>
      <c r="E132" s="28">
        <v>0</v>
      </c>
      <c r="F132" s="28">
        <f t="shared" si="30"/>
        <v>1629</v>
      </c>
      <c r="G132" s="28">
        <v>28033</v>
      </c>
      <c r="H132" s="28">
        <v>18343</v>
      </c>
      <c r="I132" s="28">
        <v>0</v>
      </c>
      <c r="J132" s="28">
        <f t="shared" si="31"/>
        <v>9690</v>
      </c>
      <c r="K132" s="28">
        <v>1897</v>
      </c>
      <c r="L132" s="28">
        <v>0</v>
      </c>
      <c r="M132" s="28">
        <v>1913</v>
      </c>
      <c r="N132" s="28">
        <v>92</v>
      </c>
      <c r="O132" s="28">
        <v>92</v>
      </c>
    </row>
    <row r="133" spans="1:15" ht="12.75" customHeight="1">
      <c r="A133" s="4" t="s">
        <v>245</v>
      </c>
      <c r="B133" s="5" t="s">
        <v>246</v>
      </c>
      <c r="C133" s="28">
        <v>6424</v>
      </c>
      <c r="D133" s="28">
        <v>5818</v>
      </c>
      <c r="E133" s="28">
        <v>0</v>
      </c>
      <c r="F133" s="28">
        <f t="shared" si="30"/>
        <v>606</v>
      </c>
      <c r="G133" s="28">
        <v>18434</v>
      </c>
      <c r="H133" s="28">
        <v>12428</v>
      </c>
      <c r="I133" s="28">
        <v>0</v>
      </c>
      <c r="J133" s="28">
        <f t="shared" si="31"/>
        <v>6006</v>
      </c>
      <c r="K133" s="28">
        <v>683</v>
      </c>
      <c r="L133" s="28">
        <v>80</v>
      </c>
      <c r="M133" s="28">
        <v>1317</v>
      </c>
      <c r="N133" s="28">
        <v>2334</v>
      </c>
      <c r="O133" s="28">
        <v>2334</v>
      </c>
    </row>
    <row r="134" spans="1:15" ht="12.75" customHeight="1">
      <c r="A134" s="4" t="s">
        <v>247</v>
      </c>
      <c r="B134" s="5" t="s">
        <v>248</v>
      </c>
      <c r="C134" s="28">
        <v>5930</v>
      </c>
      <c r="D134" s="28">
        <v>4327</v>
      </c>
      <c r="E134" s="28">
        <v>0</v>
      </c>
      <c r="F134" s="28">
        <f t="shared" si="30"/>
        <v>1603</v>
      </c>
      <c r="G134" s="28">
        <v>22062</v>
      </c>
      <c r="H134" s="28">
        <v>8409</v>
      </c>
      <c r="I134" s="28">
        <v>0</v>
      </c>
      <c r="J134" s="28">
        <f t="shared" si="31"/>
        <v>13653</v>
      </c>
      <c r="K134" s="28">
        <v>112</v>
      </c>
      <c r="L134" s="28">
        <v>0</v>
      </c>
      <c r="M134" s="28">
        <v>1049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90448</v>
      </c>
      <c r="D135" s="29">
        <f t="shared" si="32"/>
        <v>71818</v>
      </c>
      <c r="E135" s="29">
        <f t="shared" si="32"/>
        <v>1100</v>
      </c>
      <c r="F135" s="29">
        <f t="shared" si="32"/>
        <v>17530</v>
      </c>
      <c r="G135" s="29">
        <f t="shared" si="32"/>
        <v>247533</v>
      </c>
      <c r="H135" s="29">
        <f t="shared" si="32"/>
        <v>139185</v>
      </c>
      <c r="I135" s="29">
        <f t="shared" si="32"/>
        <v>6108</v>
      </c>
      <c r="J135" s="29">
        <f t="shared" si="32"/>
        <v>102240</v>
      </c>
      <c r="K135" s="29">
        <f t="shared" si="32"/>
        <v>8181</v>
      </c>
      <c r="L135" s="29">
        <f t="shared" si="32"/>
        <v>849</v>
      </c>
      <c r="M135" s="29">
        <f t="shared" si="32"/>
        <v>8365</v>
      </c>
      <c r="N135" s="29">
        <f t="shared" si="32"/>
        <v>172562</v>
      </c>
      <c r="O135" s="29">
        <f t="shared" si="32"/>
        <v>6156</v>
      </c>
    </row>
    <row r="136" spans="1:15" ht="12.75" customHeight="1">
      <c r="A136" s="4" t="s">
        <v>250</v>
      </c>
      <c r="B136" s="5" t="s">
        <v>251</v>
      </c>
      <c r="C136" s="28">
        <v>13953</v>
      </c>
      <c r="D136" s="28">
        <v>12815</v>
      </c>
      <c r="E136" s="28">
        <v>0</v>
      </c>
      <c r="F136" s="28">
        <f t="shared" ref="F136:F143" si="33">SUM(C136-D136-E136)</f>
        <v>1138</v>
      </c>
      <c r="G136" s="28">
        <v>30588</v>
      </c>
      <c r="H136" s="28">
        <v>24632</v>
      </c>
      <c r="I136" s="28">
        <v>0</v>
      </c>
      <c r="J136" s="28">
        <f t="shared" ref="J136:J143" si="34">SUM(G136-H136-I136)</f>
        <v>5956</v>
      </c>
      <c r="K136" s="28">
        <v>7485</v>
      </c>
      <c r="L136" s="28">
        <v>1632</v>
      </c>
      <c r="M136" s="28">
        <v>1099</v>
      </c>
      <c r="N136" s="28">
        <v>6015</v>
      </c>
      <c r="O136" s="28">
        <v>5022</v>
      </c>
    </row>
    <row r="137" spans="1:15" ht="12.75" customHeight="1">
      <c r="A137" s="4" t="s">
        <v>252</v>
      </c>
      <c r="B137" s="5" t="s">
        <v>253</v>
      </c>
      <c r="C137" s="28">
        <v>934</v>
      </c>
      <c r="D137" s="28">
        <v>934</v>
      </c>
      <c r="E137" s="28">
        <v>0</v>
      </c>
      <c r="F137" s="28">
        <f t="shared" si="33"/>
        <v>0</v>
      </c>
      <c r="G137" s="28">
        <v>1744</v>
      </c>
      <c r="H137" s="28">
        <v>1743</v>
      </c>
      <c r="I137" s="28">
        <v>0</v>
      </c>
      <c r="J137" s="28">
        <f t="shared" si="34"/>
        <v>1</v>
      </c>
      <c r="K137" s="28">
        <v>202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685</v>
      </c>
      <c r="D138" s="28">
        <v>685</v>
      </c>
      <c r="E138" s="28">
        <v>0</v>
      </c>
      <c r="F138" s="28">
        <f t="shared" si="33"/>
        <v>0</v>
      </c>
      <c r="G138" s="28">
        <v>1427</v>
      </c>
      <c r="H138" s="28">
        <v>1425</v>
      </c>
      <c r="I138" s="28">
        <v>0</v>
      </c>
      <c r="J138" s="28">
        <f t="shared" si="34"/>
        <v>2</v>
      </c>
      <c r="K138" s="28">
        <v>59</v>
      </c>
      <c r="L138" s="28">
        <v>0</v>
      </c>
      <c r="M138" s="28">
        <v>23</v>
      </c>
      <c r="N138" s="28">
        <v>51</v>
      </c>
      <c r="O138" s="28">
        <v>51</v>
      </c>
    </row>
    <row r="139" spans="1:15" ht="12.75" customHeight="1">
      <c r="A139" s="4" t="s">
        <v>256</v>
      </c>
      <c r="B139" s="5" t="s">
        <v>257</v>
      </c>
      <c r="C139" s="28">
        <v>3168</v>
      </c>
      <c r="D139" s="28">
        <v>2948</v>
      </c>
      <c r="E139" s="28">
        <v>0</v>
      </c>
      <c r="F139" s="28">
        <f t="shared" si="33"/>
        <v>220</v>
      </c>
      <c r="G139" s="28">
        <v>8838</v>
      </c>
      <c r="H139" s="28">
        <v>7699</v>
      </c>
      <c r="I139" s="28">
        <v>0</v>
      </c>
      <c r="J139" s="28">
        <f t="shared" si="34"/>
        <v>1139</v>
      </c>
      <c r="K139" s="28">
        <v>4340</v>
      </c>
      <c r="L139" s="28">
        <v>0</v>
      </c>
      <c r="M139" s="28">
        <v>1143</v>
      </c>
      <c r="N139" s="28">
        <v>246</v>
      </c>
      <c r="O139" s="28">
        <v>226</v>
      </c>
    </row>
    <row r="140" spans="1:15" ht="12.75" customHeight="1">
      <c r="A140" s="4" t="s">
        <v>258</v>
      </c>
      <c r="B140" s="5" t="s">
        <v>259</v>
      </c>
      <c r="C140" s="28">
        <v>277</v>
      </c>
      <c r="D140" s="28">
        <v>277</v>
      </c>
      <c r="E140" s="28">
        <v>0</v>
      </c>
      <c r="F140" s="28">
        <f t="shared" si="33"/>
        <v>0</v>
      </c>
      <c r="G140" s="28">
        <v>611</v>
      </c>
      <c r="H140" s="28">
        <v>575</v>
      </c>
      <c r="I140" s="28">
        <v>0</v>
      </c>
      <c r="J140" s="28">
        <f t="shared" si="34"/>
        <v>36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1754</v>
      </c>
      <c r="D141" s="28">
        <v>1691</v>
      </c>
      <c r="E141" s="28">
        <v>0</v>
      </c>
      <c r="F141" s="28">
        <f t="shared" si="33"/>
        <v>63</v>
      </c>
      <c r="G141" s="28">
        <v>4147</v>
      </c>
      <c r="H141" s="28">
        <v>3089</v>
      </c>
      <c r="I141" s="28">
        <v>0</v>
      </c>
      <c r="J141" s="28">
        <f t="shared" si="34"/>
        <v>1058</v>
      </c>
      <c r="K141" s="28">
        <v>1402</v>
      </c>
      <c r="L141" s="28">
        <v>0</v>
      </c>
      <c r="M141" s="28">
        <v>215</v>
      </c>
      <c r="N141" s="28">
        <v>104</v>
      </c>
      <c r="O141" s="28">
        <v>104</v>
      </c>
    </row>
    <row r="142" spans="1:15" ht="12.75" customHeight="1">
      <c r="A142" s="4" t="s">
        <v>262</v>
      </c>
      <c r="B142" s="5" t="s">
        <v>263</v>
      </c>
      <c r="C142" s="28">
        <v>3112</v>
      </c>
      <c r="D142" s="28">
        <v>2143</v>
      </c>
      <c r="E142" s="28">
        <v>0</v>
      </c>
      <c r="F142" s="28">
        <f t="shared" si="33"/>
        <v>969</v>
      </c>
      <c r="G142" s="28">
        <v>9476</v>
      </c>
      <c r="H142" s="28">
        <v>6793</v>
      </c>
      <c r="I142" s="28">
        <v>0</v>
      </c>
      <c r="J142" s="28">
        <f t="shared" si="34"/>
        <v>2683</v>
      </c>
      <c r="K142" s="28">
        <v>3715</v>
      </c>
      <c r="L142" s="28">
        <v>0</v>
      </c>
      <c r="M142" s="28">
        <v>1372</v>
      </c>
      <c r="N142" s="28">
        <v>1146</v>
      </c>
      <c r="O142" s="28">
        <v>1057</v>
      </c>
    </row>
    <row r="143" spans="1:15" ht="12.75" customHeight="1">
      <c r="A143" s="4" t="s">
        <v>264</v>
      </c>
      <c r="B143" s="5" t="s">
        <v>265</v>
      </c>
      <c r="C143" s="28">
        <v>8981</v>
      </c>
      <c r="D143" s="28">
        <v>7677</v>
      </c>
      <c r="E143" s="28">
        <v>0</v>
      </c>
      <c r="F143" s="28">
        <f t="shared" si="33"/>
        <v>1304</v>
      </c>
      <c r="G143" s="28">
        <v>25852</v>
      </c>
      <c r="H143" s="28">
        <v>12634</v>
      </c>
      <c r="I143" s="28">
        <v>0</v>
      </c>
      <c r="J143" s="28">
        <f t="shared" si="34"/>
        <v>13218</v>
      </c>
      <c r="K143" s="28">
        <v>14662</v>
      </c>
      <c r="L143" s="28">
        <v>0</v>
      </c>
      <c r="M143" s="28">
        <v>1645</v>
      </c>
      <c r="N143" s="28">
        <v>2163</v>
      </c>
      <c r="O143" s="28">
        <v>1973</v>
      </c>
    </row>
    <row r="144" spans="1:15" ht="12.75" customHeight="1">
      <c r="A144" s="10"/>
      <c r="B144" s="9" t="s">
        <v>266</v>
      </c>
      <c r="C144" s="30">
        <f t="shared" ref="C144:O144" si="35">SUM(C136:C143)</f>
        <v>32864</v>
      </c>
      <c r="D144" s="30">
        <f t="shared" si="35"/>
        <v>29170</v>
      </c>
      <c r="E144" s="30">
        <f t="shared" si="35"/>
        <v>0</v>
      </c>
      <c r="F144" s="30">
        <f t="shared" si="35"/>
        <v>3694</v>
      </c>
      <c r="G144" s="30">
        <f t="shared" si="35"/>
        <v>82683</v>
      </c>
      <c r="H144" s="30">
        <f t="shared" si="35"/>
        <v>58590</v>
      </c>
      <c r="I144" s="30">
        <f t="shared" si="35"/>
        <v>0</v>
      </c>
      <c r="J144" s="30">
        <f t="shared" si="35"/>
        <v>24093</v>
      </c>
      <c r="K144" s="30">
        <f t="shared" si="35"/>
        <v>31865</v>
      </c>
      <c r="L144" s="30">
        <f t="shared" si="35"/>
        <v>1632</v>
      </c>
      <c r="M144" s="30">
        <f t="shared" si="35"/>
        <v>5497</v>
      </c>
      <c r="N144" s="30">
        <f t="shared" si="35"/>
        <v>9732</v>
      </c>
      <c r="O144" s="30">
        <f t="shared" si="35"/>
        <v>8440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1135196</v>
      </c>
      <c r="D145" s="31">
        <f t="shared" si="36"/>
        <v>854715</v>
      </c>
      <c r="E145" s="31">
        <f t="shared" si="36"/>
        <v>24925</v>
      </c>
      <c r="F145" s="31">
        <f t="shared" si="36"/>
        <v>255556</v>
      </c>
      <c r="G145" s="31">
        <f t="shared" si="36"/>
        <v>3498772</v>
      </c>
      <c r="H145" s="31">
        <f t="shared" si="36"/>
        <v>1795500</v>
      </c>
      <c r="I145" s="31">
        <f t="shared" si="36"/>
        <v>154696</v>
      </c>
      <c r="J145" s="31">
        <f t="shared" si="36"/>
        <v>1548576</v>
      </c>
      <c r="K145" s="31">
        <f t="shared" si="36"/>
        <v>335670</v>
      </c>
      <c r="L145" s="31">
        <f t="shared" si="36"/>
        <v>8408</v>
      </c>
      <c r="M145" s="31">
        <f t="shared" si="36"/>
        <v>172300</v>
      </c>
      <c r="N145" s="31">
        <f t="shared" si="36"/>
        <v>332097</v>
      </c>
      <c r="O145" s="31">
        <f t="shared" si="36"/>
        <v>97344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2015-08-06T10:53:17Z</dcterms:modified>
</cp:coreProperties>
</file>