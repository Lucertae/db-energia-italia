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quirenteunicoit-my.sharepoint.com/personal/andrea_petricca_acquirenteunico_it/Documents/Reportistica OCSIT - MiTE/MOS GAS/Pubblicazione bilanci MASE/"/>
    </mc:Choice>
  </mc:AlternateContent>
  <xr:revisionPtr revIDLastSave="4" documentId="8_{112A1635-B0C8-4F93-8D69-C42DC95644E2}" xr6:coauthVersionLast="47" xr6:coauthVersionMax="47" xr10:uidLastSave="{2A92401C-31F5-479C-A4C3-7873317FED51}"/>
  <bookViews>
    <workbookView xWindow="-120" yWindow="-120" windowWidth="29040" windowHeight="15840" xr2:uid="{00000000-000D-0000-FFFF-FFFF00000000}"/>
  </bookViews>
  <sheets>
    <sheet name="Preconsuntivo febbraio 2024" sheetId="1" r:id="rId1"/>
  </sheets>
  <externalReferences>
    <externalReference r:id="rId2"/>
  </externalReferences>
  <definedNames>
    <definedName name="_xlnm.Print_Area" localSheetId="0">'Preconsuntivo febbraio 2024'!#REF!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" l="1"/>
  <c r="I14" i="1"/>
  <c r="K22" i="1"/>
  <c r="H22" i="1"/>
  <c r="K21" i="1"/>
  <c r="J21" i="1"/>
  <c r="L21" i="1" s="1"/>
  <c r="H21" i="1"/>
  <c r="G21" i="1"/>
  <c r="I21" i="1" s="1"/>
  <c r="K20" i="1"/>
  <c r="J20" i="1"/>
  <c r="L20" i="1" s="1"/>
  <c r="H20" i="1"/>
  <c r="G20" i="1"/>
  <c r="I20" i="1" s="1"/>
  <c r="K19" i="1"/>
  <c r="J19" i="1"/>
  <c r="L19" i="1" s="1"/>
  <c r="H19" i="1"/>
  <c r="G19" i="1"/>
  <c r="I19" i="1" s="1"/>
  <c r="K18" i="1"/>
  <c r="J18" i="1"/>
  <c r="L18" i="1" s="1"/>
  <c r="H18" i="1"/>
  <c r="G18" i="1"/>
  <c r="K17" i="1"/>
  <c r="J17" i="1"/>
  <c r="L17" i="1" s="1"/>
  <c r="I17" i="1"/>
  <c r="H17" i="1"/>
  <c r="G17" i="1"/>
  <c r="K16" i="1"/>
  <c r="J16" i="1"/>
  <c r="L16" i="1" s="1"/>
  <c r="I16" i="1"/>
  <c r="H16" i="1"/>
  <c r="G16" i="1"/>
  <c r="K15" i="1"/>
  <c r="J15" i="1"/>
  <c r="L15" i="1" s="1"/>
  <c r="I15" i="1"/>
  <c r="H15" i="1"/>
  <c r="G15" i="1"/>
  <c r="K14" i="1"/>
  <c r="J14" i="1"/>
  <c r="H14" i="1"/>
  <c r="G14" i="1"/>
  <c r="K13" i="1"/>
  <c r="J13" i="1"/>
  <c r="L13" i="1" s="1"/>
  <c r="I13" i="1"/>
  <c r="H13" i="1"/>
  <c r="G13" i="1"/>
  <c r="K12" i="1"/>
  <c r="J12" i="1"/>
  <c r="L12" i="1" s="1"/>
  <c r="I12" i="1"/>
  <c r="H12" i="1"/>
  <c r="G12" i="1"/>
  <c r="K11" i="1"/>
  <c r="J11" i="1"/>
  <c r="L11" i="1" s="1"/>
  <c r="I11" i="1"/>
  <c r="H11" i="1"/>
  <c r="G11" i="1"/>
  <c r="K10" i="1"/>
  <c r="J10" i="1"/>
  <c r="L10" i="1" s="1"/>
  <c r="I10" i="1"/>
  <c r="H10" i="1"/>
  <c r="G10" i="1"/>
  <c r="K9" i="1"/>
  <c r="J9" i="1"/>
  <c r="L9" i="1" s="1"/>
  <c r="I9" i="1"/>
  <c r="H9" i="1"/>
  <c r="G9" i="1"/>
  <c r="K8" i="1"/>
  <c r="H8" i="1"/>
  <c r="K7" i="1"/>
  <c r="J7" i="1"/>
  <c r="L7" i="1" s="1"/>
  <c r="I7" i="1"/>
  <c r="H7" i="1"/>
  <c r="G7" i="1"/>
  <c r="G6" i="1"/>
  <c r="J6" i="1" s="1"/>
  <c r="K6" i="1" s="1"/>
  <c r="H6" i="1" l="1"/>
  <c r="G8" i="1"/>
  <c r="J8" i="1" l="1"/>
  <c r="L8" i="1" s="1"/>
  <c r="G22" i="1"/>
  <c r="I8" i="1"/>
  <c r="J22" i="1" l="1"/>
  <c r="L22" i="1" s="1"/>
  <c r="I22" i="1"/>
</calcChain>
</file>

<file path=xl/sharedStrings.xml><?xml version="1.0" encoding="utf-8"?>
<sst xmlns="http://schemas.openxmlformats.org/spreadsheetml/2006/main" count="32" uniqueCount="31">
  <si>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</si>
  <si>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</si>
  <si>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</si>
  <si>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</si>
  <si>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</si>
  <si>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</si>
  <si>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</si>
  <si>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</si>
  <si>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</si>
  <si>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</si>
  <si>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</si>
  <si>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</si>
  <si>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</si>
  <si>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</si>
  <si>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</si>
  <si>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</si>
  <si>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</si>
  <si>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</si>
  <si>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</si>
  <si>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</si>
  <si>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</si>
  <si>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</si>
  <si>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</si>
  <si>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</si>
  <si>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>Fonte: Ministero dell'ambiente e della sicurezza energetica - Dipartimento Energia - DGIS</t>
  </si>
  <si>
    <t xml:space="preserve"> per punto di ingresso</t>
  </si>
  <si>
    <t>ALTRI</t>
  </si>
  <si>
    <t>(Milioni di Standard metri cubi a 38,1 MJ/m3)</t>
  </si>
  <si>
    <t>PIOMBINO (2)</t>
  </si>
  <si>
    <t>Febbraio</t>
  </si>
  <si>
    <t xml:space="preserve">    Gennaio-Febbraio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</si>
</sst>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0.0%"/>
    <numFmt numFmtId="165" formatCode="_ * #,##0_)_L_._ ;_ * \(#,##0\)_L_._ ;_ * &quot;-&quot;_)_L_._ ;_ @_ "/>
    <numFmt numFmtId="166" formatCode="_-* #,##0.0_-;\-* #,##0.0_-;_-* &quot;-&quot;_-;_-@_-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41" fontId="5" fillId="0" borderId="1" xfId="2" applyFont="1" applyFill="1" applyBorder="1"/>
    <xf numFmtId="0" fontId="8" fillId="0" borderId="1" xfId="0" applyFont="1" applyBorder="1"/>
    <xf numFmtId="0" fontId="5" fillId="0" borderId="1" xfId="2" applyNumberFormat="1" applyFont="1" applyFill="1" applyBorder="1"/>
    <xf numFmtId="0" fontId="2" fillId="2" borderId="1" xfId="0" applyFont="1" applyFill="1" applyBorder="1"/>
    <xf numFmtId="0" fontId="1" fillId="0" borderId="2" xfId="0" applyFont="1" applyBorder="1"/>
    <xf numFmtId="41" fontId="5" fillId="0" borderId="1" xfId="2" applyFont="1" applyFill="1" applyBorder="1" applyAlignment="1">
      <alignment horizontal="right"/>
    </xf>
    <xf numFmtId="0" fontId="2" fillId="0" borderId="7" xfId="0" applyFont="1" applyBorder="1" applyAlignment="1">
      <alignment horizontal="center"/>
    </xf>
    <xf numFmtId="41" fontId="5" fillId="0" borderId="1" xfId="2" applyFont="1" applyBorder="1"/>
    <xf numFmtId="164" fontId="5" fillId="0" borderId="7" xfId="2" applyNumberFormat="1" applyFont="1" applyBorder="1"/>
    <xf numFmtId="164" fontId="2" fillId="0" borderId="7" xfId="2" applyNumberFormat="1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90"/>
    </xf>
    <xf numFmtId="0" fontId="3" fillId="0" borderId="7" xfId="0" applyFont="1" applyBorder="1" applyAlignment="1">
      <alignment horizontal="center"/>
    </xf>
    <xf numFmtId="164" fontId="5" fillId="0" borderId="1" xfId="2" applyNumberFormat="1" applyFont="1" applyBorder="1"/>
    <xf numFmtId="164" fontId="2" fillId="0" borderId="1" xfId="2" applyNumberFormat="1" applyFont="1" applyBorder="1"/>
    <xf numFmtId="166" fontId="5" fillId="0" borderId="1" xfId="2" applyNumberFormat="1" applyFont="1" applyFill="1" applyBorder="1"/>
    <xf numFmtId="166" fontId="5" fillId="0" borderId="1" xfId="2" applyNumberFormat="1" applyFont="1" applyBorder="1"/>
  </cellXfs>
  <cellStyles count="3">
    <cellStyle name="Migliaia (0)_BDG ORI rev. 03 - 99" xfId="1" xr:uid="{00000000-0005-0000-0000-000000000000}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cquirenteunicoit-my.sharepoint.com/personal/andrea_petricca_acquirenteunico_it/Documents/Reportistica%20OCSIT%20-%20MiTE/MOS%20GAS/240418_SNAM_Bilancio%20Mensile%202024.xls" TargetMode="External"/><Relationship Id="rId1" Type="http://schemas.openxmlformats.org/officeDocument/2006/relationships/externalLinkPath" Target="/personal/andrea_petricca_acquirenteunico_it/Documents/Reportistica%20OCSIT%20-%20MiTE/MOS%20GAS/240418_SNAM_Bilancio%20Mensile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21"/>
      <sheetName val="consuntivo_2022"/>
      <sheetName val="consuntivo_2023"/>
      <sheetName val="Dati Stock"/>
      <sheetName val="consuntivo_2021"/>
      <sheetName val="consuntivo_2020"/>
    </sheetNames>
    <sheetDataSet>
      <sheetData sheetId="0">
        <row r="4">
          <cell r="C4">
            <v>1348.2605158544368</v>
          </cell>
        </row>
        <row r="5">
          <cell r="C5">
            <v>136.71139107611552</v>
          </cell>
        </row>
        <row r="6">
          <cell r="C6">
            <v>313.16176519826905</v>
          </cell>
        </row>
        <row r="7">
          <cell r="C7">
            <v>631.47201428199821</v>
          </cell>
        </row>
        <row r="8">
          <cell r="C8">
            <v>834.70495869097476</v>
          </cell>
        </row>
        <row r="13">
          <cell r="C13">
            <v>0.20588030550235276</v>
          </cell>
        </row>
        <row r="29">
          <cell r="B29">
            <v>128.01829401054593</v>
          </cell>
        </row>
        <row r="30">
          <cell r="B30">
            <v>734.86876062983299</v>
          </cell>
        </row>
        <row r="31">
          <cell r="B31">
            <v>81.681389700875982</v>
          </cell>
          <cell r="C31">
            <v>387.69665099655168</v>
          </cell>
        </row>
        <row r="37">
          <cell r="C37">
            <v>-1467.3264404246779</v>
          </cell>
        </row>
        <row r="39">
          <cell r="C39">
            <v>1.8924700000000001</v>
          </cell>
        </row>
        <row r="43">
          <cell r="C43">
            <v>33.024770092927575</v>
          </cell>
        </row>
        <row r="50">
          <cell r="C50">
            <v>236.5052511586558</v>
          </cell>
        </row>
      </sheetData>
      <sheetData sheetId="1">
        <row r="6">
          <cell r="F6">
            <v>2024</v>
          </cell>
        </row>
        <row r="7">
          <cell r="F7">
            <v>249.58759910360109</v>
          </cell>
          <cell r="G7">
            <v>259.3</v>
          </cell>
        </row>
        <row r="8">
          <cell r="F8">
            <v>4582.6713903862883</v>
          </cell>
          <cell r="G8">
            <v>5412.8652387505617</v>
          </cell>
        </row>
        <row r="9">
          <cell r="F9">
            <v>1417.1375692227655</v>
          </cell>
          <cell r="G9">
            <v>1354.2824383438563</v>
          </cell>
        </row>
        <row r="10">
          <cell r="F10">
            <v>162.7519116596915</v>
          </cell>
          <cell r="G10">
            <v>211.21719505332098</v>
          </cell>
        </row>
        <row r="11">
          <cell r="F11">
            <v>234.42474483932756</v>
          </cell>
          <cell r="G11">
            <v>793.6864669078526</v>
          </cell>
        </row>
        <row r="12">
          <cell r="F12">
            <v>540.86484452956836</v>
          </cell>
          <cell r="G12">
            <v>977.24618476744467</v>
          </cell>
        </row>
        <row r="13">
          <cell r="F13">
            <v>878.36185259275055</v>
          </cell>
          <cell r="G13">
            <v>852.03785845688174</v>
          </cell>
        </row>
        <row r="14">
          <cell r="F14">
            <v>81.681389700875982</v>
          </cell>
          <cell r="G14">
            <v>0</v>
          </cell>
        </row>
        <row r="15">
          <cell r="F15">
            <v>128.01829401054593</v>
          </cell>
          <cell r="G15">
            <v>259.08472677401801</v>
          </cell>
        </row>
        <row r="16">
          <cell r="F16">
            <v>734.86876062983299</v>
          </cell>
          <cell r="G16">
            <v>640.39279156321697</v>
          </cell>
        </row>
        <row r="17">
          <cell r="F17">
            <v>401.43461426813099</v>
          </cell>
          <cell r="G17">
            <v>324.42825092809301</v>
          </cell>
        </row>
        <row r="18">
          <cell r="F18">
            <v>0.7928619327989409</v>
          </cell>
          <cell r="G18">
            <v>324.42825092809301</v>
          </cell>
        </row>
        <row r="19">
          <cell r="F19">
            <v>2.3345470000000001</v>
          </cell>
          <cell r="G19">
            <v>0</v>
          </cell>
        </row>
        <row r="20">
          <cell r="F20">
            <v>89.510222600553348</v>
          </cell>
          <cell r="G20">
            <v>220.64769497056108</v>
          </cell>
        </row>
        <row r="21">
          <cell r="F21">
            <v>-3124.1077265612039</v>
          </cell>
          <cell r="G21">
            <v>-1973.7443225773807</v>
          </cell>
        </row>
        <row r="22">
          <cell r="F22">
            <v>7866.8564934505393</v>
          </cell>
          <cell r="G22">
            <v>7425.2618663573812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7">
          <cell r="D7">
            <v>223.50337698328241</v>
          </cell>
        </row>
        <row r="8">
          <cell r="D8">
            <v>5009.1902584150293</v>
          </cell>
        </row>
        <row r="9">
          <cell r="D9">
            <v>1593.6400259156801</v>
          </cell>
        </row>
        <row r="10">
          <cell r="D10">
            <v>189.54223839587578</v>
          </cell>
        </row>
        <row r="11">
          <cell r="D11">
            <v>382.31425570452353</v>
          </cell>
        </row>
        <row r="12">
          <cell r="D12">
            <v>831.24172613558437</v>
          </cell>
        </row>
        <row r="13">
          <cell r="D13">
            <v>701.02696185949753</v>
          </cell>
        </row>
        <row r="14">
          <cell r="D14">
            <v>261.52774226194703</v>
          </cell>
        </row>
        <row r="15">
          <cell r="D15">
            <v>692.77192622543805</v>
          </cell>
        </row>
        <row r="16">
          <cell r="D16">
            <v>0</v>
          </cell>
          <cell r="E16">
            <v>0</v>
          </cell>
          <cell r="H16">
            <v>0</v>
          </cell>
        </row>
        <row r="17">
          <cell r="D17">
            <v>354.16045191648402</v>
          </cell>
        </row>
        <row r="19">
          <cell r="D19">
            <v>2.5649299999999999</v>
          </cell>
        </row>
        <row r="20">
          <cell r="D20">
            <v>129.30357939041403</v>
          </cell>
        </row>
        <row r="21">
          <cell r="D21">
            <v>-2006.8371920266727</v>
          </cell>
        </row>
        <row r="22">
          <cell r="D22">
            <v>7110.2272480345709</v>
          </cell>
        </row>
      </sheetData>
      <sheetData sheetId="16"/>
      <sheetData sheetId="17"/>
      <sheetData sheetId="1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L26"/>
  <sheetViews>
    <sheetView tabSelected="1" zoomScale="110" zoomScaleNormal="110" workbookViewId="0">
      <selection activeCell="J5" sqref="J5:L5"/>
    </sheetView>
  </sheetViews>
  <sheetFormatPr defaultRowHeight="12.75" x14ac:dyDescent="0.2"/>
  <cols>
    <col min="3" max="3" width="17.42578125" customWidth="1"/>
    <col min="5" max="5" width="20.140625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10.85546875" customWidth="1"/>
    <col min="12" max="12" width="12.7109375" customWidth="1"/>
  </cols>
  <sheetData>
    <row r="2" spans="3:12" ht="20.25" x14ac:dyDescent="0.3">
      <c r="C2" s="21" t="s">
        <v>15</v>
      </c>
      <c r="D2" s="21"/>
      <c r="E2" s="21"/>
      <c r="F2" s="21"/>
      <c r="G2" s="21"/>
      <c r="H2" s="21"/>
      <c r="I2" s="21"/>
      <c r="J2" s="21"/>
      <c r="K2" s="21"/>
      <c r="L2" s="21"/>
    </row>
    <row r="3" spans="3:12" ht="20.25" x14ac:dyDescent="0.3">
      <c r="C3" s="21" t="s">
        <v>16</v>
      </c>
      <c r="D3" s="21"/>
      <c r="E3" s="21"/>
      <c r="F3" s="21"/>
      <c r="G3" s="21"/>
      <c r="H3" s="21"/>
      <c r="I3" s="21"/>
      <c r="J3" s="21"/>
      <c r="K3" s="21"/>
      <c r="L3" s="21"/>
    </row>
    <row r="4" spans="3:12" ht="20.25" x14ac:dyDescent="0.3">
      <c r="C4" s="21" t="s">
        <v>27</v>
      </c>
      <c r="D4" s="21"/>
      <c r="E4" s="21"/>
      <c r="F4" s="21"/>
      <c r="G4" s="21"/>
      <c r="H4" s="21"/>
      <c r="I4" s="21"/>
      <c r="J4" s="21"/>
      <c r="K4" s="21"/>
      <c r="L4" s="21"/>
    </row>
    <row r="5" spans="3:12" ht="20.25" x14ac:dyDescent="0.3">
      <c r="C5" s="1"/>
      <c r="D5" s="1"/>
      <c r="E5" s="1"/>
      <c r="F5" s="1"/>
      <c r="G5" s="21" t="s">
        <v>29</v>
      </c>
      <c r="H5" s="21"/>
      <c r="I5" s="21"/>
      <c r="J5" s="21" t="s">
        <v>30</v>
      </c>
      <c r="K5" s="21"/>
      <c r="L5" s="23"/>
    </row>
    <row r="6" spans="3:12" ht="18" x14ac:dyDescent="0.25">
      <c r="C6" s="2"/>
      <c r="D6" s="2"/>
      <c r="E6" s="2"/>
      <c r="F6" s="2"/>
      <c r="G6" s="3">
        <f>[1]Gennaio!F6</f>
        <v>2024</v>
      </c>
      <c r="H6" s="3">
        <f>G6-1</f>
        <v>2023</v>
      </c>
      <c r="I6" s="1" t="s">
        <v>0</v>
      </c>
      <c r="J6" s="3">
        <f>G6</f>
        <v>2024</v>
      </c>
      <c r="K6" s="3">
        <f>J6-1</f>
        <v>2023</v>
      </c>
      <c r="L6" s="17" t="s">
        <v>0</v>
      </c>
    </row>
    <row r="7" spans="3:12" ht="15.75" x14ac:dyDescent="0.25">
      <c r="C7" s="1" t="s">
        <v>10</v>
      </c>
      <c r="D7" s="4" t="s">
        <v>17</v>
      </c>
      <c r="E7" s="2"/>
      <c r="F7" s="2"/>
      <c r="G7" s="18">
        <f>[1]AppoggioNew!C50</f>
        <v>236.5052511586558</v>
      </c>
      <c r="H7" s="11">
        <f>[1]consuntivo_2023!D7</f>
        <v>223.50337698328241</v>
      </c>
      <c r="I7" s="24">
        <f>G7/H7-100%</f>
        <v>5.817305470219325E-2</v>
      </c>
      <c r="J7" s="11">
        <f>G7+[1]Gennaio!F7</f>
        <v>486.09285026225689</v>
      </c>
      <c r="K7" s="11">
        <f>H7+[1]Gennaio!G7</f>
        <v>482.80337698328242</v>
      </c>
      <c r="L7" s="19">
        <f>J7/K7-100%</f>
        <v>6.8132772797244723E-3</v>
      </c>
    </row>
    <row r="8" spans="3:12" ht="15.75" x14ac:dyDescent="0.25">
      <c r="C8" s="1" t="s">
        <v>11</v>
      </c>
      <c r="D8" s="4" t="s">
        <v>1</v>
      </c>
      <c r="E8" s="2"/>
      <c r="F8" s="2"/>
      <c r="G8" s="18">
        <f>SUM(G9:G19)</f>
        <v>4598.6740907451031</v>
      </c>
      <c r="H8" s="11">
        <f>[1]consuntivo_2023!D8</f>
        <v>5009.1902584150293</v>
      </c>
      <c r="I8" s="24">
        <f>G8/H8-100%</f>
        <v>-8.1952600418858657E-2</v>
      </c>
      <c r="J8" s="11">
        <f>G8+[1]Gennaio!F8</f>
        <v>9181.3454811313914</v>
      </c>
      <c r="K8" s="11">
        <f>H8+[1]Gennaio!G8</f>
        <v>10422.055497165591</v>
      </c>
      <c r="L8" s="19">
        <f>J8/K8-100%</f>
        <v>-0.11904657544489439</v>
      </c>
    </row>
    <row r="9" spans="3:12" ht="15.75" customHeight="1" x14ac:dyDescent="0.25">
      <c r="C9" s="1"/>
      <c r="D9" s="22" t="s">
        <v>25</v>
      </c>
      <c r="E9" s="5" t="s">
        <v>2</v>
      </c>
      <c r="F9" s="12"/>
      <c r="G9" s="11">
        <f>[1]AppoggioNew!C4-[1]AppoggioNew!C16</f>
        <v>1348.2605158544368</v>
      </c>
      <c r="H9" s="11">
        <f>[1]consuntivo_2023!D9</f>
        <v>1593.6400259156801</v>
      </c>
      <c r="I9" s="25">
        <f t="shared" ref="I9:I22" si="0">G9/H9-100%</f>
        <v>-0.15397423889391337</v>
      </c>
      <c r="J9" s="11">
        <f>G9+[1]Gennaio!F9</f>
        <v>2765.3980850772023</v>
      </c>
      <c r="K9" s="11">
        <f>H9+[1]Gennaio!G9</f>
        <v>2947.9224642595364</v>
      </c>
      <c r="L9" s="20">
        <f>J9/K9-100%</f>
        <v>-6.1916275409292676E-2</v>
      </c>
    </row>
    <row r="10" spans="3:12" ht="18" customHeight="1" x14ac:dyDescent="0.25">
      <c r="C10" s="1"/>
      <c r="D10" s="22"/>
      <c r="E10" s="5" t="s">
        <v>3</v>
      </c>
      <c r="F10" s="12"/>
      <c r="G10" s="11">
        <f>[1]AppoggioNew!C5</f>
        <v>136.71139107611552</v>
      </c>
      <c r="H10" s="11">
        <f>[1]consuntivo_2023!D10</f>
        <v>189.54223839587578</v>
      </c>
      <c r="I10" s="25">
        <f t="shared" si="0"/>
        <v>-0.27872862411500254</v>
      </c>
      <c r="J10" s="11">
        <f>G10+[1]Gennaio!F10</f>
        <v>299.46330273580702</v>
      </c>
      <c r="K10" s="11">
        <f>H10+[1]Gennaio!G10</f>
        <v>400.75943344919676</v>
      </c>
      <c r="L10" s="20">
        <f>J10/K10-100%</f>
        <v>-0.25276043995164199</v>
      </c>
    </row>
    <row r="11" spans="3:12" ht="17.25" customHeight="1" x14ac:dyDescent="0.25">
      <c r="C11" s="1"/>
      <c r="D11" s="22"/>
      <c r="E11" s="5" t="s">
        <v>4</v>
      </c>
      <c r="F11" s="12"/>
      <c r="G11" s="11">
        <f>[1]AppoggioNew!C6</f>
        <v>313.16176519826905</v>
      </c>
      <c r="H11" s="11">
        <f>[1]consuntivo_2023!D11</f>
        <v>382.31425570452353</v>
      </c>
      <c r="I11" s="25">
        <f t="shared" si="0"/>
        <v>-0.18087866061604529</v>
      </c>
      <c r="J11" s="11">
        <f>G11+[1]Gennaio!F11</f>
        <v>547.58651003759655</v>
      </c>
      <c r="K11" s="11">
        <f>H11+[1]Gennaio!G11</f>
        <v>1176.0007226123762</v>
      </c>
      <c r="L11" s="20">
        <f t="shared" ref="L11:L22" si="1">J11/K11-100%</f>
        <v>-0.53436549866977634</v>
      </c>
    </row>
    <row r="12" spans="3:12" ht="17.25" customHeight="1" x14ac:dyDescent="0.25">
      <c r="C12" s="1"/>
      <c r="D12" s="22"/>
      <c r="E12" s="5" t="s">
        <v>5</v>
      </c>
      <c r="F12" s="12"/>
      <c r="G12" s="11">
        <f>[1]AppoggioNew!C7</f>
        <v>631.47201428199821</v>
      </c>
      <c r="H12" s="11">
        <f>[1]consuntivo_2023!D12</f>
        <v>831.24172613558437</v>
      </c>
      <c r="I12" s="25">
        <f t="shared" si="0"/>
        <v>-0.24032685748622007</v>
      </c>
      <c r="J12" s="11">
        <f>G12+[1]Gennaio!F12</f>
        <v>1172.3368588115666</v>
      </c>
      <c r="K12" s="11">
        <f>H12+[1]Gennaio!G12</f>
        <v>1808.4879109030289</v>
      </c>
      <c r="L12" s="20">
        <f t="shared" si="1"/>
        <v>-0.35175853167512428</v>
      </c>
    </row>
    <row r="13" spans="3:12" ht="17.25" customHeight="1" x14ac:dyDescent="0.25">
      <c r="C13" s="1"/>
      <c r="D13" s="22"/>
      <c r="E13" s="5" t="s">
        <v>23</v>
      </c>
      <c r="F13" s="12"/>
      <c r="G13" s="11">
        <f>[1]AppoggioNew!C8</f>
        <v>834.70495869097476</v>
      </c>
      <c r="H13" s="11">
        <f>[1]consuntivo_2023!D13</f>
        <v>701.02696185949753</v>
      </c>
      <c r="I13" s="25">
        <f t="shared" si="0"/>
        <v>0.19068880956716971</v>
      </c>
      <c r="J13" s="11">
        <f>G13+[1]Gennaio!F13</f>
        <v>1713.0668112837252</v>
      </c>
      <c r="K13" s="11">
        <f>H13+[1]Gennaio!G13</f>
        <v>1553.0648203163792</v>
      </c>
      <c r="L13" s="20">
        <f t="shared" si="1"/>
        <v>0.10302338245917619</v>
      </c>
    </row>
    <row r="14" spans="3:12" ht="14.25" customHeight="1" x14ac:dyDescent="0.25">
      <c r="C14" s="1"/>
      <c r="D14" s="22"/>
      <c r="E14" s="5" t="s">
        <v>28</v>
      </c>
      <c r="F14" s="12"/>
      <c r="G14" s="11">
        <f>[1]AppoggioNew!C31</f>
        <v>387.69665099655168</v>
      </c>
      <c r="H14" s="11">
        <f>[1]consuntivo_2023!D16</f>
        <v>0</v>
      </c>
      <c r="I14" s="11">
        <f>[1]consuntivo_2023!E16</f>
        <v>0</v>
      </c>
      <c r="J14" s="11">
        <f>G14+[1]Gennaio!F14</f>
        <v>469.37804069742765</v>
      </c>
      <c r="K14" s="11">
        <f>H14+[1]Gennaio!G14</f>
        <v>0</v>
      </c>
      <c r="L14" s="11">
        <f>[1]consuntivo_2023!H16</f>
        <v>0</v>
      </c>
    </row>
    <row r="15" spans="3:12" ht="14.25" customHeight="1" x14ac:dyDescent="0.25">
      <c r="C15" s="1"/>
      <c r="D15" s="22"/>
      <c r="E15" s="5" t="s">
        <v>18</v>
      </c>
      <c r="F15" s="12"/>
      <c r="G15" s="11">
        <f>[1]AppoggioNew!B29</f>
        <v>128.01829401054593</v>
      </c>
      <c r="H15" s="11">
        <f>[1]consuntivo_2023!D14</f>
        <v>261.52774226194703</v>
      </c>
      <c r="I15" s="25">
        <f t="shared" si="0"/>
        <v>-0.51049822514690468</v>
      </c>
      <c r="J15" s="11">
        <f>G15+[1]Gennaio!F15</f>
        <v>256.03658802109186</v>
      </c>
      <c r="K15" s="11">
        <f>H15+[1]Gennaio!G15</f>
        <v>520.61246903596498</v>
      </c>
      <c r="L15" s="20">
        <f t="shared" si="1"/>
        <v>-0.50820119907000483</v>
      </c>
    </row>
    <row r="16" spans="3:12" ht="14.25" customHeight="1" x14ac:dyDescent="0.25">
      <c r="C16" s="1"/>
      <c r="D16" s="22"/>
      <c r="E16" s="5" t="s">
        <v>21</v>
      </c>
      <c r="F16" s="12"/>
      <c r="G16" s="11">
        <f>[1]AppoggioNew!B30</f>
        <v>734.86876062983299</v>
      </c>
      <c r="H16" s="11">
        <f>[1]consuntivo_2023!D15</f>
        <v>692.77192622543805</v>
      </c>
      <c r="I16" s="25">
        <f t="shared" si="0"/>
        <v>6.0765791468714969E-2</v>
      </c>
      <c r="J16" s="11">
        <f>G16+[1]Gennaio!F16</f>
        <v>1469.737521259666</v>
      </c>
      <c r="K16" s="11">
        <f>H16+[1]Gennaio!G16</f>
        <v>1333.164717788655</v>
      </c>
      <c r="L16" s="20">
        <f>J16/K16-100%</f>
        <v>0.10244255765900157</v>
      </c>
    </row>
    <row r="17" spans="3:12" ht="15.75" x14ac:dyDescent="0.25">
      <c r="C17" s="1"/>
      <c r="D17" s="22"/>
      <c r="E17" s="5" t="s">
        <v>22</v>
      </c>
      <c r="F17" s="13"/>
      <c r="G17" s="11">
        <f>[1]AppoggioNew!B31</f>
        <v>81.681389700875982</v>
      </c>
      <c r="H17" s="11">
        <f>[1]consuntivo_2023!D17</f>
        <v>354.16045191648402</v>
      </c>
      <c r="I17" s="25">
        <f t="shared" si="0"/>
        <v>-0.76936614673131942</v>
      </c>
      <c r="J17" s="11">
        <f>G17+[1]Gennaio!F17</f>
        <v>483.11600396900695</v>
      </c>
      <c r="K17" s="11">
        <f>H17+[1]Gennaio!G17</f>
        <v>678.58870284457703</v>
      </c>
      <c r="L17" s="20">
        <f>J17/K17-100%</f>
        <v>-0.28805769688792016</v>
      </c>
    </row>
    <row r="18" spans="3:12" ht="16.5" customHeight="1" x14ac:dyDescent="0.25">
      <c r="C18" s="1"/>
      <c r="D18" s="22"/>
      <c r="E18" s="5" t="s">
        <v>6</v>
      </c>
      <c r="F18" s="12"/>
      <c r="G18" s="26">
        <f>[1]AppoggioNew!C13</f>
        <v>0.20588030550235276</v>
      </c>
      <c r="H18" s="11">
        <f>[1]consuntivo_2023!D17</f>
        <v>354.16045191648402</v>
      </c>
      <c r="I18" s="25">
        <v>0</v>
      </c>
      <c r="J18" s="11">
        <f>G18+[1]Gennaio!F18</f>
        <v>0.99874223830129361</v>
      </c>
      <c r="K18" s="11">
        <f>H18+[1]Gennaio!G18</f>
        <v>678.58870284457703</v>
      </c>
      <c r="L18" s="20">
        <f t="shared" si="1"/>
        <v>-0.99852820680020948</v>
      </c>
    </row>
    <row r="19" spans="3:12" ht="15.75" x14ac:dyDescent="0.25">
      <c r="C19" s="1"/>
      <c r="D19" s="4"/>
      <c r="E19" s="4" t="s">
        <v>26</v>
      </c>
      <c r="F19" s="4"/>
      <c r="G19" s="27">
        <f>[1]AppoggioNew!C39</f>
        <v>1.8924700000000001</v>
      </c>
      <c r="H19" s="11">
        <f>[1]consuntivo_2023!D19</f>
        <v>2.5649299999999999</v>
      </c>
      <c r="I19" s="25">
        <f t="shared" si="0"/>
        <v>-0.26217479619326833</v>
      </c>
      <c r="J19" s="11">
        <f>G19+[1]Gennaio!F19</f>
        <v>4.227017</v>
      </c>
      <c r="K19" s="11">
        <f>H19+[1]Gennaio!G19</f>
        <v>2.5649299999999999</v>
      </c>
      <c r="L19" s="20">
        <f t="shared" si="1"/>
        <v>0.64800481884495875</v>
      </c>
    </row>
    <row r="20" spans="3:12" ht="15.75" x14ac:dyDescent="0.25">
      <c r="C20" s="1" t="s">
        <v>14</v>
      </c>
      <c r="D20" s="4" t="s">
        <v>7</v>
      </c>
      <c r="E20" s="4"/>
      <c r="F20" s="4"/>
      <c r="G20" s="18">
        <f>[1]AppoggioNew!C43</f>
        <v>33.024770092927575</v>
      </c>
      <c r="H20" s="11">
        <f>[1]consuntivo_2023!D20</f>
        <v>129.30357939041403</v>
      </c>
      <c r="I20" s="24">
        <f t="shared" si="0"/>
        <v>-0.74459508198753022</v>
      </c>
      <c r="J20" s="11">
        <f>G20+[1]Gennaio!F20</f>
        <v>122.53499269348092</v>
      </c>
      <c r="K20" s="11">
        <f>H20+[1]Gennaio!G20</f>
        <v>349.95127436097511</v>
      </c>
      <c r="L20" s="19">
        <f t="shared" si="1"/>
        <v>-0.64985127453176261</v>
      </c>
    </row>
    <row r="21" spans="3:12" ht="15.75" x14ac:dyDescent="0.25">
      <c r="C21" s="1" t="s">
        <v>12</v>
      </c>
      <c r="D21" s="14" t="s">
        <v>19</v>
      </c>
      <c r="E21" s="14"/>
      <c r="F21" s="14"/>
      <c r="G21" s="16">
        <f>[1]AppoggioNew!C37</f>
        <v>-1467.3264404246779</v>
      </c>
      <c r="H21" s="11">
        <f>[1]consuntivo_2023!D21</f>
        <v>-2006.8371920266727</v>
      </c>
      <c r="I21" s="24">
        <f t="shared" si="0"/>
        <v>-0.26883633298481557</v>
      </c>
      <c r="J21" s="11">
        <f>G21+[1]Gennaio!F21</f>
        <v>-4591.4341669858823</v>
      </c>
      <c r="K21" s="11">
        <f>H21+[1]Gennaio!G21</f>
        <v>-3980.5815146040532</v>
      </c>
      <c r="L21" s="19">
        <f t="shared" si="1"/>
        <v>0.15345814427884918</v>
      </c>
    </row>
    <row r="22" spans="3:12" ht="15.75" x14ac:dyDescent="0.25">
      <c r="C22" s="4" t="s">
        <v>13</v>
      </c>
      <c r="D22" s="4" t="s">
        <v>8</v>
      </c>
      <c r="E22" s="4"/>
      <c r="F22" s="4"/>
      <c r="G22" s="18">
        <f>G7+G8-G20-G21</f>
        <v>6269.4810122355084</v>
      </c>
      <c r="H22" s="11">
        <f>[1]consuntivo_2023!D22</f>
        <v>7110.2272480345709</v>
      </c>
      <c r="I22" s="24">
        <f t="shared" si="0"/>
        <v>-0.11824463641882388</v>
      </c>
      <c r="J22" s="11">
        <f>G22+[1]Gennaio!F22</f>
        <v>14136.337505686048</v>
      </c>
      <c r="K22" s="11">
        <f>H22+[1]Gennaio!G22</f>
        <v>14535.489114391952</v>
      </c>
      <c r="L22" s="19">
        <f t="shared" si="1"/>
        <v>-2.7460486920298677E-2</v>
      </c>
    </row>
    <row r="23" spans="3:12" x14ac:dyDescent="0.2">
      <c r="C23" s="15" t="s">
        <v>24</v>
      </c>
      <c r="L23" s="7"/>
    </row>
    <row r="24" spans="3:12" x14ac:dyDescent="0.2">
      <c r="C24" s="6"/>
      <c r="L24" s="7"/>
    </row>
    <row r="25" spans="3:12" x14ac:dyDescent="0.2">
      <c r="C25" s="6" t="s">
        <v>20</v>
      </c>
      <c r="L25" s="7"/>
    </row>
    <row r="26" spans="3:12" ht="13.5" thickBot="1" x14ac:dyDescent="0.25">
      <c r="C26" s="8" t="s">
        <v>9</v>
      </c>
      <c r="D26" s="9"/>
      <c r="E26" s="9"/>
      <c r="F26" s="9"/>
      <c r="G26" s="9"/>
      <c r="H26" s="9"/>
      <c r="I26" s="9"/>
      <c r="J26" s="9"/>
      <c r="K26" s="9"/>
      <c r="L26" s="10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a2d879-c1a1-4d16-86c0-34615d251e4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6E7860210A764CB1BD2BBFC6E03BA7" ma:contentTypeVersion="16" ma:contentTypeDescription="Creare un nuovo documento." ma:contentTypeScope="" ma:versionID="aed19686dca2fd71b314c42411b90ba6">
  <xsd:schema xmlns:xsd="http://www.w3.org/2001/XMLSchema" xmlns:xs="http://www.w3.org/2001/XMLSchema" xmlns:p="http://schemas.microsoft.com/office/2006/metadata/properties" xmlns:ns3="46344cc1-5c01-49b4-89d5-d0b7c4a760c8" xmlns:ns4="72a2d879-c1a1-4d16-86c0-34615d251e48" targetNamespace="http://schemas.microsoft.com/office/2006/metadata/properties" ma:root="true" ma:fieldsID="4fbbf81108c1db183142fec1a952763a" ns3:_="" ns4:_="">
    <xsd:import namespace="46344cc1-5c01-49b4-89d5-d0b7c4a760c8"/>
    <xsd:import namespace="72a2d879-c1a1-4d16-86c0-34615d251e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44cc1-5c01-49b4-89d5-d0b7c4a760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2d879-c1a1-4d16-86c0-34615d251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4DC14C-2F1F-4D92-9A22-2865F70114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47E016-47F2-488E-A9A7-E448ADA0F7BC}">
  <ds:schemaRefs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46344cc1-5c01-49b4-89d5-d0b7c4a760c8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48A2A95-C1C8-4FF7-9CEA-1E0EB4EB6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44cc1-5c01-49b4-89d5-d0b7c4a760c8"/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febbraio 2024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Menniti Giovanna (AU)</cp:lastModifiedBy>
  <cp:lastPrinted>2022-06-14T13:47:53Z</cp:lastPrinted>
  <dcterms:created xsi:type="dcterms:W3CDTF">2005-02-22T07:47:00Z</dcterms:created>
  <dcterms:modified xsi:type="dcterms:W3CDTF">2024-04-18T08:29:51Z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0x010100CB6E7860210A764CB1BD2BBFC6E03BA7</vt:lpwstr>
  </property>
</Properties>
</file>