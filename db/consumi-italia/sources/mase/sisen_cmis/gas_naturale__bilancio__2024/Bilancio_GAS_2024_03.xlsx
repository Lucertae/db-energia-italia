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15" documentId="8_{11334719-106D-4E3C-ACD8-52AC8608BDBD}" xr6:coauthVersionLast="47" xr6:coauthVersionMax="47" xr10:uidLastSave="{A8F602AE-E4BD-48CA-9106-1D1F49154C49}"/>
  <bookViews>
    <workbookView xWindow="-120" yWindow="-120" windowWidth="20730" windowHeight="11040" xr2:uid="{00000000-000D-0000-FFFF-FFFF00000000}"/>
  </bookViews>
  <sheets>
    <sheet name="Preconsuntivo marzo 2024" sheetId="1" r:id="rId1"/>
  </sheets>
  <externalReferences>
    <externalReference r:id="rId2"/>
  </externalReferences>
  <definedNames>
    <definedName name="_xlnm.Print_Area" localSheetId="0">'Preconsuntivo marzo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<sst xmlns="http://schemas.openxmlformats.org/spreadsheetml/2006/main" count="34" uniqueCount="32">
  <si>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</si>
  <si>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</si>
  <si>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</si>
  <si>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</si>
  <si>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</si>
  <si>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</si>
  <si>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</si>
  <si>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</si>
  <si>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</si>
  <si>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</si>
  <si>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</si>
  <si>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</si>
  <si>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</si>
  <si>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</si>
  <si>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</si>
  <si>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</si>
  <si>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</si>
  <si>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</si>
  <si>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</si>
  <si>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</si>
  <si>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</si>
  <si>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</si>
  <si>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</si>
  <si>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</si>
  <si>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</si>
  <si>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</si>
  <si>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</si>
  <si>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</si>
  <si>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</si>
  <si>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Marzo</t>
  </si>
  <si>
    <t xml:space="preserve">    Gennaio-Marzo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</si>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</sst>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%"/>
    <numFmt numFmtId="165" formatCode="_ * #,##0_)_L_._ ;_ * \(#,##0\)_L_._ ;_ * &quot;-&quot;_)_L_._ ;_ @_ "/>
    <numFmt numFmtId="166" formatCode="_-* #,##0.0_-;\-* #,##0.0_-;_-* &quot;-&quot;_-;_-@_-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41" fontId="5" fillId="0" borderId="1" xfId="2" applyFont="1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41" fontId="5" fillId="0" borderId="1" xfId="2" applyFont="1" applyBorder="1"/>
    <xf numFmtId="164" fontId="5" fillId="0" borderId="7" xfId="2" applyNumberFormat="1" applyFont="1" applyBorder="1"/>
    <xf numFmtId="164" fontId="2" fillId="0" borderId="7" xfId="2" applyNumberFormat="1" applyFont="1" applyBorder="1"/>
    <xf numFmtId="164" fontId="5" fillId="0" borderId="1" xfId="2" applyNumberFormat="1" applyFont="1" applyBorder="1"/>
    <xf numFmtId="164" fontId="2" fillId="0" borderId="1" xfId="2" applyNumberFormat="1" applyFont="1" applyBorder="1"/>
    <xf numFmtId="166" fontId="5" fillId="0" borderId="1" xfId="2" applyNumberFormat="1" applyFont="1" applyBorder="1"/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41" fontId="5" fillId="0" borderId="1" xfId="2" applyNumberFormat="1" applyFont="1" applyFill="1" applyBorder="1"/>
  </cellXfs>
  <cellStyles count="3">
    <cellStyle name="Migliaia (0)_BDG ORI rev. 03 - 99" xfId="1" xr:uid="{00000000-0005-0000-0000-000000000000}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quirenteunicoit-my.sharepoint.com/personal/andrea_petricca_acquirenteunico_it/Documents/Reportistica%20OCSIT%20-%20MiTE/MOS%20GAS/240418_SNAM_Bilancio%20Mensile%202024.xls" TargetMode="External"/><Relationship Id="rId1" Type="http://schemas.openxmlformats.org/officeDocument/2006/relationships/externalLinkPath" Target="/personal/andrea_petricca_acquirenteunico_it/Documents/Reportistica%20OCSIT%20-%20MiTE/MOS%20GAS/240418_SNAM_Bilancio%20Mensile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21"/>
      <sheetName val="consuntivo_2022"/>
      <sheetName val="consuntivo_2023"/>
      <sheetName val="Dati Stock"/>
      <sheetName val="consuntivo_2021"/>
      <sheetName val="consuntivo_2020"/>
    </sheetNames>
    <sheetDataSet>
      <sheetData sheetId="0">
        <row r="4">
          <cell r="C4">
            <v>1348.2605158544368</v>
          </cell>
        </row>
      </sheetData>
      <sheetData sheetId="1">
        <row r="6">
          <cell r="F6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D7">
            <v>223.50337698328241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zoomScale="110" zoomScaleNormal="110" workbookViewId="0">
      <selection activeCell="K9" sqref="K9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4" t="s">
        <v>15</v>
      </c>
      <c r="D2" s="24"/>
      <c r="E2" s="24"/>
      <c r="F2" s="24"/>
      <c r="G2" s="24"/>
      <c r="H2" s="24"/>
      <c r="I2" s="24"/>
      <c r="J2" s="24"/>
      <c r="K2" s="24"/>
      <c r="L2" s="24"/>
    </row>
    <row r="3" spans="3:12" ht="20.25" x14ac:dyDescent="0.3">
      <c r="C3" s="24" t="s">
        <v>16</v>
      </c>
      <c r="D3" s="24"/>
      <c r="E3" s="24"/>
      <c r="F3" s="24"/>
      <c r="G3" s="24"/>
      <c r="H3" s="24"/>
      <c r="I3" s="24"/>
      <c r="J3" s="24"/>
      <c r="K3" s="24"/>
      <c r="L3" s="24"/>
    </row>
    <row r="4" spans="3:12" ht="20.25" x14ac:dyDescent="0.3">
      <c r="C4" s="24" t="s">
        <v>27</v>
      </c>
      <c r="D4" s="24"/>
      <c r="E4" s="24"/>
      <c r="F4" s="24"/>
      <c r="G4" s="24"/>
      <c r="H4" s="24"/>
      <c r="I4" s="24"/>
      <c r="J4" s="24"/>
      <c r="K4" s="24"/>
      <c r="L4" s="24"/>
    </row>
    <row r="5" spans="3:12" ht="20.25" x14ac:dyDescent="0.3">
      <c r="C5" s="1"/>
      <c r="D5" s="1"/>
      <c r="E5" s="1"/>
      <c r="F5" s="1"/>
      <c r="G5" s="24" t="s">
        <v>29</v>
      </c>
      <c r="H5" s="24"/>
      <c r="I5" s="24"/>
      <c r="J5" s="24" t="s">
        <v>30</v>
      </c>
      <c r="K5" s="24"/>
      <c r="L5" s="25"/>
    </row>
    <row r="6" spans="3:12" ht="18" x14ac:dyDescent="0.25">
      <c r="C6" s="2"/>
      <c r="D6" s="2"/>
      <c r="E6" s="2"/>
      <c r="F6" s="2"/>
      <c r="G6" s="3">
        <f>[1]Gennaio!F6</f>
        <v>2024</v>
      </c>
      <c r="H6" s="3">
        <f>G6-1</f>
        <v>2023</v>
      </c>
      <c r="I6" s="1" t="s">
        <v>0</v>
      </c>
      <c r="J6" s="3">
        <f>G6</f>
        <v>2024</v>
      </c>
      <c r="K6" s="3">
        <f>J6-1</f>
        <v>2023</v>
      </c>
      <c r="L6" s="17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8">
        <v>251.50833720757879</v>
      </c>
      <c r="H7" s="11">
        <v>261.18020950534014</v>
      </c>
      <c r="I7" s="21">
        <v>-3.7031413352793141E-2</v>
      </c>
      <c r="J7" s="11">
        <v>737.60118746983562</v>
      </c>
      <c r="K7" s="11">
        <v>778.39701690633524</v>
      </c>
      <c r="L7" s="19">
        <v>-5.2410053674972645E-2</v>
      </c>
    </row>
    <row r="8" spans="3:12" ht="15.75" x14ac:dyDescent="0.25">
      <c r="C8" s="1" t="s">
        <v>11</v>
      </c>
      <c r="D8" s="4" t="s">
        <v>1</v>
      </c>
      <c r="E8" s="2"/>
      <c r="F8" s="2"/>
      <c r="G8" s="18">
        <v>5667.1264848209275</v>
      </c>
      <c r="H8" s="11">
        <v>5619.7877692108696</v>
      </c>
      <c r="I8" s="21">
        <v>8.4235771089813394E-3</v>
      </c>
      <c r="J8" s="11">
        <v>14950.758857923753</v>
      </c>
      <c r="K8" s="11">
        <v>16067.690371762479</v>
      </c>
      <c r="L8" s="19">
        <v>-6.9514129784429612E-2</v>
      </c>
    </row>
    <row r="9" spans="3:12" ht="15.75" customHeight="1" x14ac:dyDescent="0.25">
      <c r="C9" s="1"/>
      <c r="D9" s="26" t="s">
        <v>25</v>
      </c>
      <c r="E9" s="5" t="s">
        <v>2</v>
      </c>
      <c r="F9" s="12"/>
      <c r="G9" s="11">
        <v>2010.6931355607558</v>
      </c>
      <c r="H9" s="11">
        <v>2047.7452392234734</v>
      </c>
      <c r="I9" s="22">
        <v>-1.8094098305299067E-2</v>
      </c>
      <c r="J9" s="11">
        <v>4776.091220637958</v>
      </c>
      <c r="K9" s="11">
        <v>4995.66770348301</v>
      </c>
      <c r="L9" s="20">
        <v>-4.3953380384360252E-2</v>
      </c>
    </row>
    <row r="10" spans="3:12" ht="18" customHeight="1" x14ac:dyDescent="0.25">
      <c r="C10" s="1"/>
      <c r="D10" s="26"/>
      <c r="E10" s="5" t="s">
        <v>3</v>
      </c>
      <c r="F10" s="12"/>
      <c r="G10" s="11">
        <v>169.94922617105311</v>
      </c>
      <c r="H10" s="11">
        <v>271.37785628147822</v>
      </c>
      <c r="I10" s="22">
        <v>-0.37375426094169384</v>
      </c>
      <c r="J10" s="11">
        <v>469.41252890686013</v>
      </c>
      <c r="K10" s="11">
        <v>672.13728973067498</v>
      </c>
      <c r="L10" s="20">
        <v>-0.30161213180873592</v>
      </c>
    </row>
    <row r="11" spans="3:12" ht="17.25" customHeight="1" x14ac:dyDescent="0.25">
      <c r="C11" s="1"/>
      <c r="D11" s="26"/>
      <c r="E11" s="5" t="s">
        <v>4</v>
      </c>
      <c r="F11" s="12"/>
      <c r="G11" s="11">
        <v>771.70460731597723</v>
      </c>
      <c r="H11" s="11">
        <v>284.19058428507236</v>
      </c>
      <c r="I11" s="22">
        <v>1.7154474848536085</v>
      </c>
      <c r="J11" s="11">
        <v>1319.2911173535738</v>
      </c>
      <c r="K11" s="11">
        <v>1460.1913068974486</v>
      </c>
      <c r="L11" s="20">
        <v>-9.6494335282171662E-2</v>
      </c>
    </row>
    <row r="12" spans="3:12" ht="17.25" customHeight="1" x14ac:dyDescent="0.25">
      <c r="C12" s="1"/>
      <c r="D12" s="26"/>
      <c r="E12" s="5" t="s">
        <v>5</v>
      </c>
      <c r="F12" s="12"/>
      <c r="G12" s="11">
        <v>645.8304345605444</v>
      </c>
      <c r="H12" s="11">
        <v>528.30646075997288</v>
      </c>
      <c r="I12" s="22">
        <v>0.22245416728675327</v>
      </c>
      <c r="J12" s="11">
        <v>1818.1672933721111</v>
      </c>
      <c r="K12" s="11">
        <v>2336.7943716630016</v>
      </c>
      <c r="L12" s="20">
        <v>-0.2219395444374529</v>
      </c>
    </row>
    <row r="13" spans="3:12" ht="17.25" customHeight="1" x14ac:dyDescent="0.25">
      <c r="C13" s="1"/>
      <c r="D13" s="26"/>
      <c r="E13" s="5" t="s">
        <v>23</v>
      </c>
      <c r="F13" s="12"/>
      <c r="G13" s="11">
        <v>881.69361235251006</v>
      </c>
      <c r="H13" s="11">
        <v>898.23183504764631</v>
      </c>
      <c r="I13" s="22">
        <v>-1.8411975672470993E-2</v>
      </c>
      <c r="J13" s="11">
        <v>2594.7604236362354</v>
      </c>
      <c r="K13" s="11">
        <v>2451.2966553640254</v>
      </c>
      <c r="L13" s="20">
        <v>5.8525665573065933E-2</v>
      </c>
    </row>
    <row r="14" spans="3:12" ht="14.25" customHeight="1" x14ac:dyDescent="0.25">
      <c r="C14" s="1"/>
      <c r="D14" s="26"/>
      <c r="E14" s="5" t="s">
        <v>28</v>
      </c>
      <c r="F14" s="12"/>
      <c r="G14" s="11">
        <v>276.42108874228552</v>
      </c>
      <c r="H14" s="11">
        <v>0</v>
      </c>
      <c r="I14" s="16" t="s">
        <v>31</v>
      </c>
      <c r="J14" s="11">
        <v>745.79912943971317</v>
      </c>
      <c r="K14" s="11">
        <v>0</v>
      </c>
      <c r="L14" s="16" t="s">
        <v>31</v>
      </c>
    </row>
    <row r="15" spans="3:12" ht="14.25" customHeight="1" x14ac:dyDescent="0.25">
      <c r="C15" s="1"/>
      <c r="D15" s="26"/>
      <c r="E15" s="5" t="s">
        <v>18</v>
      </c>
      <c r="F15" s="12"/>
      <c r="G15" s="11">
        <v>182.62385831500757</v>
      </c>
      <c r="H15" s="11">
        <v>348.75052867040284</v>
      </c>
      <c r="I15" s="22">
        <v>-0.47634815347448056</v>
      </c>
      <c r="J15" s="11">
        <v>494.29244113404656</v>
      </c>
      <c r="K15" s="11">
        <v>893.92317774183653</v>
      </c>
      <c r="L15" s="20">
        <v>-0.44705266241927855</v>
      </c>
    </row>
    <row r="16" spans="3:12" ht="14.25" customHeight="1" x14ac:dyDescent="0.25">
      <c r="C16" s="1"/>
      <c r="D16" s="26"/>
      <c r="E16" s="5" t="s">
        <v>21</v>
      </c>
      <c r="F16" s="12"/>
      <c r="G16" s="11">
        <v>726.00449353290264</v>
      </c>
      <c r="H16" s="11">
        <v>850.33116672578024</v>
      </c>
      <c r="I16" s="22">
        <v>-0.14620970988467974</v>
      </c>
      <c r="J16" s="11">
        <v>2128.0761567188356</v>
      </c>
      <c r="K16" s="11">
        <v>2191.1166075997253</v>
      </c>
      <c r="L16" s="20">
        <v>-2.8770924679334064E-2</v>
      </c>
    </row>
    <row r="17" spans="3:12" ht="15.75" x14ac:dyDescent="0.25">
      <c r="C17" s="1"/>
      <c r="D17" s="26"/>
      <c r="E17" s="5" t="s">
        <v>22</v>
      </c>
      <c r="F17" s="13"/>
      <c r="G17" s="11">
        <v>8.0994443262162097E-2</v>
      </c>
      <c r="H17" s="11">
        <v>386.80746239152546</v>
      </c>
      <c r="I17" s="22">
        <v>-0.99979060785755947</v>
      </c>
      <c r="J17" s="11">
        <v>597.51775365949118</v>
      </c>
      <c r="K17" s="11">
        <v>1059.0623675013599</v>
      </c>
      <c r="L17" s="20">
        <v>-0.43580494218748267</v>
      </c>
    </row>
    <row r="18" spans="3:12" ht="16.5" customHeight="1" x14ac:dyDescent="0.25">
      <c r="C18" s="1"/>
      <c r="D18" s="26"/>
      <c r="E18" s="5" t="s">
        <v>6</v>
      </c>
      <c r="F18" s="12"/>
      <c r="G18" s="27">
        <v>5.4251826629779371E-2</v>
      </c>
      <c r="H18" s="11">
        <v>1.1383688255184314</v>
      </c>
      <c r="I18" s="22">
        <v>-0.95234248741389049</v>
      </c>
      <c r="J18" s="11">
        <v>1.0529940649310729</v>
      </c>
      <c r="K18" s="11">
        <v>2.0276947813955686</v>
      </c>
      <c r="L18" s="20">
        <v>-0.48069400059986056</v>
      </c>
    </row>
    <row r="19" spans="3:12" ht="15.75" x14ac:dyDescent="0.25">
      <c r="C19" s="1"/>
      <c r="D19" s="4"/>
      <c r="E19" s="4" t="s">
        <v>26</v>
      </c>
      <c r="F19" s="4"/>
      <c r="G19" s="23">
        <v>2.0707819999999999</v>
      </c>
      <c r="H19" s="11">
        <v>2.9082669999999999</v>
      </c>
      <c r="I19" s="22">
        <v>-0.28796702641126148</v>
      </c>
      <c r="J19" s="11">
        <v>6.2977989999999995</v>
      </c>
      <c r="K19" s="11">
        <v>5.4731969999999999</v>
      </c>
      <c r="L19" s="20">
        <v>0.15066185266125065</v>
      </c>
    </row>
    <row r="20" spans="3:12" ht="15.75" x14ac:dyDescent="0.25">
      <c r="C20" s="1" t="s">
        <v>14</v>
      </c>
      <c r="D20" s="4" t="s">
        <v>7</v>
      </c>
      <c r="E20" s="4"/>
      <c r="F20" s="4"/>
      <c r="G20" s="18">
        <v>39.581596746352652</v>
      </c>
      <c r="H20" s="11">
        <v>276.14061336927472</v>
      </c>
      <c r="I20" s="21">
        <v>-0.8566614440976078</v>
      </c>
      <c r="J20" s="11">
        <v>162.11658943983358</v>
      </c>
      <c r="K20" s="11">
        <v>626.17785940270971</v>
      </c>
      <c r="L20" s="19">
        <v>-0.74110137079188454</v>
      </c>
    </row>
    <row r="21" spans="3:12" ht="15.75" x14ac:dyDescent="0.25">
      <c r="C21" s="1" t="s">
        <v>12</v>
      </c>
      <c r="D21" s="14" t="s">
        <v>19</v>
      </c>
      <c r="E21" s="14"/>
      <c r="F21" s="14"/>
      <c r="G21" s="16">
        <v>180.07701950769703</v>
      </c>
      <c r="H21" s="11">
        <v>-279.67074829159844</v>
      </c>
      <c r="I21" s="21">
        <v>-1.6438893613569479</v>
      </c>
      <c r="J21" s="11">
        <v>-4411.3571474781857</v>
      </c>
      <c r="K21" s="11">
        <v>-4260.2522628956513</v>
      </c>
      <c r="L21" s="19">
        <v>3.5468529856452546E-2</v>
      </c>
    </row>
    <row r="22" spans="3:12" ht="15.75" x14ac:dyDescent="0.25">
      <c r="C22" s="4" t="s">
        <v>13</v>
      </c>
      <c r="D22" s="4" t="s">
        <v>8</v>
      </c>
      <c r="E22" s="4"/>
      <c r="F22" s="4"/>
      <c r="G22" s="18">
        <v>5698.9762057744574</v>
      </c>
      <c r="H22" s="11">
        <v>5884.4981136385331</v>
      </c>
      <c r="I22" s="21">
        <v>-3.1527227009231384E-2</v>
      </c>
      <c r="J22" s="11">
        <v>19937.600603431943</v>
      </c>
      <c r="K22" s="11">
        <v>20480.161792161754</v>
      </c>
      <c r="L22" s="19">
        <v>-2.6492036256152152E-2</v>
      </c>
    </row>
    <row r="23" spans="3:12" x14ac:dyDescent="0.2">
      <c r="C23" s="15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marzo 2024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 (AU)</cp:lastModifiedBy>
  <cp:lastPrinted>2022-06-14T13:47:53Z</cp:lastPrinted>
  <dcterms:created xsi:type="dcterms:W3CDTF">2005-02-22T07:47:00Z</dcterms:created>
  <dcterms:modified xsi:type="dcterms:W3CDTF">2024-05-17T07:51:46Z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