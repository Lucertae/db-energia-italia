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<sst xmlns="http://schemas.openxmlformats.org/spreadsheetml/2006/main" count="544" uniqueCount="271">
  <si>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</si>
  <si>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</si>
  <si>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</si>
  <si>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</si>
  <si>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</si>
  <si>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</si>
  <si>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</si>
  <si>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giugno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</si>
  <si>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</si>
  <si>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</si>
  <si>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</si>
  <si>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</si>
  <si>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</si>
  <si>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</si>
  <si>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</si>
  <si>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</si>
  <si>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</si>
  <si>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</si>
  <si>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</si>
  <si>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</si>
  <si>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</si>
  <si>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</si>
  <si>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</si>
  <si>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</si>
  <si>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</si>
  <si>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</si>
  <si>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</si>
  <si>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</si>
  <si>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</si>
  <si>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</si>
  <si>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</si>
  <si>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</si>
  <si>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</si>
  <si>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</si>
  <si>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</si>
  <si>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</si>
  <si>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</si>
  <si>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</si>
  <si>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</si>
  <si>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</si>
  <si>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</si>
  <si>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</si>
  <si>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</si>
  <si>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</si>
  <si>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</si>
  <si>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</si>
  <si>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</si>
  <si>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</si>
  <si>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</si>
  <si>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</si>
  <si>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</si>
  <si>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</si>
  <si>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</si>
  <si>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</si>
  <si>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</si>
  <si>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</si>
  <si>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</si>
  <si>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</si>
  <si>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</si>
  <si>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</si>
  <si>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</si>
  <si>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</si>
  <si>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</si>
  <si>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</si>
  <si>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</si>
  <si>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</si>
  <si>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</si>
  <si>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</si>
  <si>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</si>
  <si>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</si>
  <si>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</si>
  <si>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</si>
  <si>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</si>
  <si>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</si>
  <si>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</si>
  <si>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</si>
  <si>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</si>
  <si>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</si>
  <si>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</si>
  <si>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</si>
  <si>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</si>
  <si>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</si>
  <si>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</si>
  <si>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</si>
  <si>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</si>
  <si>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</si>
  <si>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</si>
  <si>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</si>
  <si>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</si>
  <si>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</si>
  <si>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</si>
  <si>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</si>
  <si>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</si>
  <si>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</si>
  <si>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</si>
  <si>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</si>
  <si>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</si>
  <si>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</si>
  <si>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</si>
  <si>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</si>
  <si>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</si>
  <si>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</si>
  <si>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</si>
  <si>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</si>
  <si>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</si>
  <si>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</si>
  <si>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</si>
  <si>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</si>
  <si>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</si>
  <si>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</si>
  <si>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</si>
  <si>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</si>
  <si>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</si>
  <si>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</si>
  <si>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</si>
  <si>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</si>
  <si>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</si>
  <si>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</si>
  <si>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</si>
  <si>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</si>
  <si>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</si>
  <si>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</si>
  <si>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</si>
  <si>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</si>
  <si>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</si>
  <si>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</si>
  <si>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</si>
  <si>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</si>
  <si>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</si>
  <si>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</si>
  <si>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</si>
  <si>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</si>
  <si>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</si>
  <si>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</si>
  <si>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</si>
  <si>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</si>
  <si>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</si>
  <si>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</si>
  <si>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</si>
  <si>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</si>
  <si>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</si>
  <si>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</si>
  <si>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</si>
  <si>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</si>
  <si>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</si>
  <si>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</si>
  <si>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</si>
  <si>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</si>
  <si>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</si>
  <si>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</si>
  <si>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</si>
  <si>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</si>
  <si>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</si>
  <si>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</si>
  <si>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</si>
  <si>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</si>
  <si>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</si>
  <si>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</si>
  <si>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</si>
  <si>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</si>
  <si>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</si>
  <si>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</si>
  <si>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</si>
  <si>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</si>
  <si>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</si>
  <si>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</si>
  <si>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</si>
  <si>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</si>
  <si>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</si>
  <si>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</si>
  <si>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</si>
  <si>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</si>
  <si>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</si>
  <si>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</si>
  <si>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</si>
  <si>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</si>
  <si>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</si>
  <si>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</si>
  <si>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</si>
  <si>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</si>
  <si>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</si>
  <si>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</si>
  <si>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</si>
  <si>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</si>
  <si>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</si>
  <si>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</si>
  <si>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</si>
  <si>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</si>
  <si>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</si>
  <si>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</si>
  <si>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</si>
  <si>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</si>
  <si>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</si>
  <si>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</si>
  <si>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</si>
  <si>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</si>
  <si>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</si>
  <si>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</si>
  <si>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</si>
  <si>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</si>
  <si>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</si>
  <si>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</si>
  <si>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</si>
  <si>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</si>
  <si>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</si>
  <si>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</si>
  <si>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</si>
  <si>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</si>
  <si>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</si>
  <si>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</si>
  <si>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</si>
  <si>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</si>
  <si>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</si>
  <si>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</si>
  <si>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</si>
  <si>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</si>
  <si>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</si>
  <si>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</si>
  <si>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</si>
  <si>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</si>
  <si>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</si>
  <si>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</si>
  <si>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</si>
  <si>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</si>
  <si>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</si>
  <si>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</si>
  <si>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</si>
  <si>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</si>
  <si>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</si>
  <si>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</si>
  <si>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</si>
  <si>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</si>
  <si>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</si>
  <si>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</si>
  <si>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</si>
  <si>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</si>
  <si>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</si>
  <si>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</si>
  <si>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</si>
  <si>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</si>
  <si>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</si>
  <si>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</si>
  <si>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</si>
  <si>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</si>
  <si>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</si>
  <si>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</si>
  <si>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</si>
  <si>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</si>
  <si>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</si>
  <si>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</si>
  <si>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</si>
  <si>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</si>
  <si>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</si>
  <si>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</si>
  <si>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</si>
  <si>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</si>
  <si>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</si>
  <si>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</si>
  <si>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</si>
  <si>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</si>
  <si>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</si>
  <si>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</si>
  <si>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</si>
  <si>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</si>
  <si>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</si>
  <si>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</si>
  <si>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</si>
  <si>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</si>
  <si>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</si>
  <si>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</si>
  <si>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gennaio-giugno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</si>
</sst>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9646</v>
      </c>
      <c r="D15" s="28">
        <v>3735</v>
      </c>
      <c r="E15" s="28">
        <v>702</v>
      </c>
      <c r="F15" s="28">
        <f t="shared" ref="F15:F22" si="0">SUM(C15-D15-E15)</f>
        <v>5209</v>
      </c>
      <c r="G15" s="28">
        <v>32426</v>
      </c>
      <c r="H15" s="28">
        <v>9472</v>
      </c>
      <c r="I15" s="28">
        <v>3105</v>
      </c>
      <c r="J15" s="28">
        <f t="shared" ref="J15:J22" si="1">SUM(G15-H15-I15)</f>
        <v>19849</v>
      </c>
      <c r="K15" s="28">
        <v>284</v>
      </c>
      <c r="L15" s="28">
        <v>0</v>
      </c>
      <c r="M15" s="28">
        <v>3578</v>
      </c>
      <c r="N15" s="28">
        <v>708</v>
      </c>
      <c r="O15" s="28">
        <v>708</v>
      </c>
    </row>
    <row r="16" spans="1:15" ht="12.75" customHeight="1">
      <c r="A16" s="4" t="s">
        <v>29</v>
      </c>
      <c r="B16" s="5" t="s">
        <v>30</v>
      </c>
      <c r="C16" s="28">
        <v>3938</v>
      </c>
      <c r="D16" s="28">
        <v>1829</v>
      </c>
      <c r="E16" s="28">
        <v>87</v>
      </c>
      <c r="F16" s="28">
        <f t="shared" si="0"/>
        <v>2022</v>
      </c>
      <c r="G16" s="28">
        <v>24348</v>
      </c>
      <c r="H16" s="28">
        <v>4196</v>
      </c>
      <c r="I16" s="28">
        <v>537</v>
      </c>
      <c r="J16" s="28">
        <f t="shared" si="1"/>
        <v>19615</v>
      </c>
      <c r="K16" s="28">
        <v>213</v>
      </c>
      <c r="L16" s="28">
        <v>0</v>
      </c>
      <c r="M16" s="28">
        <v>2721</v>
      </c>
      <c r="N16" s="28">
        <v>39</v>
      </c>
      <c r="O16" s="28">
        <v>39</v>
      </c>
    </row>
    <row r="17" spans="1:15" ht="12.75" customHeight="1">
      <c r="A17" s="4" t="s">
        <v>31</v>
      </c>
      <c r="B17" s="5" t="s">
        <v>32</v>
      </c>
      <c r="C17" s="28">
        <v>1717</v>
      </c>
      <c r="D17" s="28">
        <v>1596</v>
      </c>
      <c r="E17" s="28">
        <v>0</v>
      </c>
      <c r="F17" s="28">
        <f t="shared" si="0"/>
        <v>121</v>
      </c>
      <c r="G17" s="28">
        <v>3390</v>
      </c>
      <c r="H17" s="28">
        <v>2853</v>
      </c>
      <c r="I17" s="28">
        <v>0</v>
      </c>
      <c r="J17" s="28">
        <f t="shared" si="1"/>
        <v>537</v>
      </c>
      <c r="K17" s="28">
        <v>71</v>
      </c>
      <c r="L17" s="28">
        <v>0</v>
      </c>
      <c r="M17" s="28">
        <v>62</v>
      </c>
      <c r="N17" s="28">
        <v>85</v>
      </c>
      <c r="O17" s="28">
        <v>85</v>
      </c>
    </row>
    <row r="18" spans="1:15" ht="12.75" customHeight="1">
      <c r="A18" s="4" t="s">
        <v>33</v>
      </c>
      <c r="B18" s="5" t="s">
        <v>34</v>
      </c>
      <c r="C18" s="28">
        <v>6102</v>
      </c>
      <c r="D18" s="28">
        <v>4663</v>
      </c>
      <c r="E18" s="28">
        <v>122</v>
      </c>
      <c r="F18" s="28">
        <f t="shared" si="0"/>
        <v>1317</v>
      </c>
      <c r="G18" s="28">
        <v>14159</v>
      </c>
      <c r="H18" s="28">
        <v>11174</v>
      </c>
      <c r="I18" s="28">
        <v>433</v>
      </c>
      <c r="J18" s="28">
        <f t="shared" si="1"/>
        <v>2552</v>
      </c>
      <c r="K18" s="28">
        <v>267</v>
      </c>
      <c r="L18" s="28">
        <v>0</v>
      </c>
      <c r="M18" s="28">
        <v>912</v>
      </c>
      <c r="N18" s="28">
        <v>107</v>
      </c>
      <c r="O18" s="28">
        <v>107</v>
      </c>
    </row>
    <row r="19" spans="1:15" ht="12.75" customHeight="1">
      <c r="A19" s="4" t="s">
        <v>35</v>
      </c>
      <c r="B19" s="5" t="s">
        <v>36</v>
      </c>
      <c r="C19" s="28">
        <v>3963</v>
      </c>
      <c r="D19" s="28">
        <v>3621</v>
      </c>
      <c r="E19" s="28">
        <v>166</v>
      </c>
      <c r="F19" s="28">
        <f t="shared" si="0"/>
        <v>176</v>
      </c>
      <c r="G19" s="28">
        <v>9876</v>
      </c>
      <c r="H19" s="28">
        <v>7912</v>
      </c>
      <c r="I19" s="28">
        <v>821</v>
      </c>
      <c r="J19" s="28">
        <f t="shared" si="1"/>
        <v>1143</v>
      </c>
      <c r="K19" s="28">
        <v>57</v>
      </c>
      <c r="L19" s="28">
        <v>0</v>
      </c>
      <c r="M19" s="28">
        <v>10</v>
      </c>
      <c r="N19" s="28">
        <v>82</v>
      </c>
      <c r="O19" s="28">
        <v>82</v>
      </c>
    </row>
    <row r="20" spans="1:15" ht="12.75" customHeight="1">
      <c r="A20" s="4" t="s">
        <v>37</v>
      </c>
      <c r="B20" s="5" t="s">
        <v>38</v>
      </c>
      <c r="C20" s="28">
        <v>20864</v>
      </c>
      <c r="D20" s="28">
        <v>19497</v>
      </c>
      <c r="E20" s="28">
        <v>584</v>
      </c>
      <c r="F20" s="28">
        <f t="shared" si="0"/>
        <v>783</v>
      </c>
      <c r="G20" s="28">
        <v>47949</v>
      </c>
      <c r="H20" s="28">
        <v>38729</v>
      </c>
      <c r="I20" s="28">
        <v>3011</v>
      </c>
      <c r="J20" s="28">
        <f t="shared" si="1"/>
        <v>6209</v>
      </c>
      <c r="K20" s="28">
        <v>809</v>
      </c>
      <c r="L20" s="28">
        <v>0</v>
      </c>
      <c r="M20" s="28">
        <v>1212</v>
      </c>
      <c r="N20" s="28">
        <v>2034</v>
      </c>
      <c r="O20" s="28">
        <v>1978</v>
      </c>
    </row>
    <row r="21" spans="1:15" ht="12.75" customHeight="1">
      <c r="A21" s="4" t="s">
        <v>39</v>
      </c>
      <c r="B21" s="5" t="s">
        <v>40</v>
      </c>
      <c r="C21" s="28">
        <v>1765</v>
      </c>
      <c r="D21" s="28">
        <v>1765</v>
      </c>
      <c r="E21" s="28">
        <v>0</v>
      </c>
      <c r="F21" s="28">
        <f t="shared" si="0"/>
        <v>0</v>
      </c>
      <c r="G21" s="28">
        <v>2894</v>
      </c>
      <c r="H21" s="28">
        <v>2892</v>
      </c>
      <c r="I21" s="28">
        <v>0</v>
      </c>
      <c r="J21" s="28">
        <f t="shared" si="1"/>
        <v>2</v>
      </c>
      <c r="K21" s="28">
        <v>0</v>
      </c>
      <c r="L21" s="28">
        <v>0</v>
      </c>
      <c r="M21" s="28">
        <v>0</v>
      </c>
      <c r="N21" s="28">
        <v>15</v>
      </c>
      <c r="O21" s="28">
        <v>15</v>
      </c>
    </row>
    <row r="22" spans="1:15" ht="12.75" customHeight="1">
      <c r="A22" s="4" t="s">
        <v>41</v>
      </c>
      <c r="B22" s="5" t="s">
        <v>42</v>
      </c>
      <c r="C22" s="28">
        <v>1668</v>
      </c>
      <c r="D22" s="28">
        <v>1436</v>
      </c>
      <c r="E22" s="28">
        <v>192</v>
      </c>
      <c r="F22" s="28">
        <f t="shared" si="0"/>
        <v>40</v>
      </c>
      <c r="G22" s="28">
        <v>4229</v>
      </c>
      <c r="H22" s="28">
        <v>2940</v>
      </c>
      <c r="I22" s="28">
        <v>721</v>
      </c>
      <c r="J22" s="28">
        <f t="shared" si="1"/>
        <v>568</v>
      </c>
      <c r="K22" s="28">
        <v>46</v>
      </c>
      <c r="L22" s="28">
        <v>0</v>
      </c>
      <c r="M22" s="28">
        <v>519</v>
      </c>
      <c r="N22" s="28">
        <v>15</v>
      </c>
      <c r="O22" s="28">
        <v>15</v>
      </c>
    </row>
    <row r="23" spans="1:15" ht="12.75" customHeight="1">
      <c r="A23" s="8"/>
      <c r="B23" s="9" t="s">
        <v>43</v>
      </c>
      <c r="C23" s="29">
        <f t="shared" ref="C23:O23" si="2">SUM(C15:C22)</f>
        <v>49663</v>
      </c>
      <c r="D23" s="29">
        <f t="shared" si="2"/>
        <v>38142</v>
      </c>
      <c r="E23" s="29">
        <f t="shared" si="2"/>
        <v>1853</v>
      </c>
      <c r="F23" s="29">
        <f t="shared" si="2"/>
        <v>9668</v>
      </c>
      <c r="G23" s="29">
        <f t="shared" si="2"/>
        <v>139271</v>
      </c>
      <c r="H23" s="29">
        <f t="shared" si="2"/>
        <v>80168</v>
      </c>
      <c r="I23" s="29">
        <f t="shared" si="2"/>
        <v>8628</v>
      </c>
      <c r="J23" s="29">
        <f t="shared" si="2"/>
        <v>50475</v>
      </c>
      <c r="K23" s="29">
        <f t="shared" si="2"/>
        <v>1747</v>
      </c>
      <c r="L23" s="29">
        <f t="shared" si="2"/>
        <v>0</v>
      </c>
      <c r="M23" s="29">
        <f t="shared" si="2"/>
        <v>9014</v>
      </c>
      <c r="N23" s="29">
        <f t="shared" si="2"/>
        <v>3085</v>
      </c>
      <c r="O23" s="29">
        <f t="shared" si="2"/>
        <v>3029</v>
      </c>
    </row>
    <row r="24" spans="1:15" ht="14.25" customHeight="1">
      <c r="A24" s="4" t="s">
        <v>44</v>
      </c>
      <c r="B24" s="5" t="s">
        <v>45</v>
      </c>
      <c r="C24" s="28">
        <v>1855</v>
      </c>
      <c r="D24" s="28">
        <v>1637</v>
      </c>
      <c r="E24" s="28">
        <v>104</v>
      </c>
      <c r="F24" s="28">
        <f>SUM(C24-D24-E24)</f>
        <v>114</v>
      </c>
      <c r="G24" s="28">
        <v>3507</v>
      </c>
      <c r="H24" s="28">
        <v>2421</v>
      </c>
      <c r="I24" s="28">
        <v>348</v>
      </c>
      <c r="J24" s="28">
        <f>SUM(G24-H24-I24)</f>
        <v>738</v>
      </c>
      <c r="K24" s="28">
        <v>354</v>
      </c>
      <c r="L24" s="28">
        <v>0</v>
      </c>
      <c r="M24" s="28">
        <v>156</v>
      </c>
      <c r="N24" s="28">
        <v>192</v>
      </c>
      <c r="O24" s="28">
        <v>192</v>
      </c>
    </row>
    <row r="25" spans="1:15" ht="14.25" customHeight="1">
      <c r="A25" s="10"/>
      <c r="B25" s="9" t="s">
        <v>46</v>
      </c>
      <c r="C25" s="29">
        <f t="shared" ref="C25:O25" si="3">SUM(C24)</f>
        <v>1855</v>
      </c>
      <c r="D25" s="29">
        <f t="shared" si="3"/>
        <v>1637</v>
      </c>
      <c r="E25" s="29">
        <f t="shared" si="3"/>
        <v>104</v>
      </c>
      <c r="F25" s="29">
        <f t="shared" si="3"/>
        <v>114</v>
      </c>
      <c r="G25" s="29">
        <f t="shared" si="3"/>
        <v>3507</v>
      </c>
      <c r="H25" s="29">
        <f t="shared" si="3"/>
        <v>2421</v>
      </c>
      <c r="I25" s="29">
        <f t="shared" si="3"/>
        <v>348</v>
      </c>
      <c r="J25" s="29">
        <f t="shared" si="3"/>
        <v>738</v>
      </c>
      <c r="K25" s="29">
        <f t="shared" si="3"/>
        <v>354</v>
      </c>
      <c r="L25" s="29">
        <f t="shared" si="3"/>
        <v>0</v>
      </c>
      <c r="M25" s="29">
        <f t="shared" si="3"/>
        <v>156</v>
      </c>
      <c r="N25" s="29">
        <f t="shared" si="3"/>
        <v>192</v>
      </c>
      <c r="O25" s="29">
        <f t="shared" si="3"/>
        <v>192</v>
      </c>
    </row>
    <row r="26" spans="1:15" ht="12.75" customHeight="1">
      <c r="A26" s="4" t="s">
        <v>47</v>
      </c>
      <c r="B26" s="5" t="s">
        <v>48</v>
      </c>
      <c r="C26" s="28">
        <v>13852</v>
      </c>
      <c r="D26" s="28">
        <v>7138</v>
      </c>
      <c r="E26" s="28">
        <v>570</v>
      </c>
      <c r="F26" s="28">
        <f>SUM(C26-D26-E26)</f>
        <v>6144</v>
      </c>
      <c r="G26" s="28">
        <v>31322</v>
      </c>
      <c r="H26" s="28">
        <v>11698</v>
      </c>
      <c r="I26" s="28">
        <v>1826</v>
      </c>
      <c r="J26" s="28">
        <f>SUM(G26-H26-I26)</f>
        <v>17798</v>
      </c>
      <c r="K26" s="28">
        <v>850</v>
      </c>
      <c r="L26" s="28">
        <v>0</v>
      </c>
      <c r="M26" s="28">
        <v>1269</v>
      </c>
      <c r="N26" s="28">
        <v>122</v>
      </c>
      <c r="O26" s="28">
        <v>122</v>
      </c>
    </row>
    <row r="27" spans="1:15" ht="12.75" customHeight="1">
      <c r="A27" s="4" t="s">
        <v>49</v>
      </c>
      <c r="B27" s="5" t="s">
        <v>50</v>
      </c>
      <c r="C27" s="28">
        <v>2594</v>
      </c>
      <c r="D27" s="28">
        <v>2328</v>
      </c>
      <c r="E27" s="28">
        <v>194</v>
      </c>
      <c r="F27" s="28">
        <f>SUM(C27-D27-E27)</f>
        <v>72</v>
      </c>
      <c r="G27" s="28">
        <v>4903</v>
      </c>
      <c r="H27" s="28">
        <v>3258</v>
      </c>
      <c r="I27" s="28">
        <v>633</v>
      </c>
      <c r="J27" s="28">
        <f>SUM(G27-H27-I27)</f>
        <v>1012</v>
      </c>
      <c r="K27" s="28">
        <v>138</v>
      </c>
      <c r="L27" s="28">
        <v>0</v>
      </c>
      <c r="M27" s="28">
        <v>46</v>
      </c>
      <c r="N27" s="28">
        <v>54</v>
      </c>
      <c r="O27" s="28">
        <v>54</v>
      </c>
    </row>
    <row r="28" spans="1:15" ht="12.75" customHeight="1">
      <c r="A28" s="4" t="s">
        <v>51</v>
      </c>
      <c r="B28" s="5" t="s">
        <v>52</v>
      </c>
      <c r="C28" s="28">
        <v>2458</v>
      </c>
      <c r="D28" s="28">
        <v>1807</v>
      </c>
      <c r="E28" s="28">
        <v>291</v>
      </c>
      <c r="F28" s="28">
        <f>SUM(C28-D28-E28)</f>
        <v>360</v>
      </c>
      <c r="G28" s="28">
        <v>6693</v>
      </c>
      <c r="H28" s="28">
        <v>3457</v>
      </c>
      <c r="I28" s="28">
        <v>1277</v>
      </c>
      <c r="J28" s="28">
        <f>SUM(G28-H28-I28)</f>
        <v>1959</v>
      </c>
      <c r="K28" s="28">
        <v>4461</v>
      </c>
      <c r="L28" s="28">
        <v>0</v>
      </c>
      <c r="M28" s="28">
        <v>215</v>
      </c>
      <c r="N28" s="28">
        <v>483</v>
      </c>
      <c r="O28" s="28">
        <v>483</v>
      </c>
    </row>
    <row r="29" spans="1:15" ht="12.75" customHeight="1">
      <c r="A29" s="4" t="s">
        <v>53</v>
      </c>
      <c r="B29" s="5" t="s">
        <v>54</v>
      </c>
      <c r="C29" s="28">
        <v>3496</v>
      </c>
      <c r="D29" s="28">
        <v>2956</v>
      </c>
      <c r="E29" s="28">
        <v>458</v>
      </c>
      <c r="F29" s="28">
        <f>SUM(C29-D29-E29)</f>
        <v>82</v>
      </c>
      <c r="G29" s="28">
        <v>7022</v>
      </c>
      <c r="H29" s="28">
        <v>5423</v>
      </c>
      <c r="I29" s="28">
        <v>1461</v>
      </c>
      <c r="J29" s="28">
        <f>SUM(G29-H29-I29)</f>
        <v>138</v>
      </c>
      <c r="K29" s="28">
        <v>0</v>
      </c>
      <c r="L29" s="28">
        <v>0</v>
      </c>
      <c r="M29" s="28">
        <v>0</v>
      </c>
      <c r="N29" s="28">
        <v>25</v>
      </c>
      <c r="O29" s="28">
        <v>25</v>
      </c>
    </row>
    <row r="30" spans="1:15" ht="12.75" customHeight="1">
      <c r="A30" s="8"/>
      <c r="B30" s="9" t="s">
        <v>55</v>
      </c>
      <c r="C30" s="29">
        <f t="shared" ref="C30:O30" si="4">SUM(C26:C29)</f>
        <v>22400</v>
      </c>
      <c r="D30" s="29">
        <f t="shared" si="4"/>
        <v>14229</v>
      </c>
      <c r="E30" s="29">
        <f t="shared" si="4"/>
        <v>1513</v>
      </c>
      <c r="F30" s="29">
        <f t="shared" si="4"/>
        <v>6658</v>
      </c>
      <c r="G30" s="29">
        <f t="shared" si="4"/>
        <v>49940</v>
      </c>
      <c r="H30" s="29">
        <f t="shared" si="4"/>
        <v>23836</v>
      </c>
      <c r="I30" s="29">
        <f t="shared" si="4"/>
        <v>5197</v>
      </c>
      <c r="J30" s="29">
        <f t="shared" si="4"/>
        <v>20907</v>
      </c>
      <c r="K30" s="29">
        <f t="shared" si="4"/>
        <v>5449</v>
      </c>
      <c r="L30" s="29">
        <f t="shared" si="4"/>
        <v>0</v>
      </c>
      <c r="M30" s="29">
        <f t="shared" si="4"/>
        <v>1530</v>
      </c>
      <c r="N30" s="29">
        <f t="shared" si="4"/>
        <v>684</v>
      </c>
      <c r="O30" s="29">
        <f t="shared" si="4"/>
        <v>684</v>
      </c>
    </row>
    <row r="31" spans="1:15" ht="12.75" customHeight="1">
      <c r="A31" s="4" t="s">
        <v>56</v>
      </c>
      <c r="B31" s="5" t="s">
        <v>57</v>
      </c>
      <c r="C31" s="28">
        <v>9437</v>
      </c>
      <c r="D31" s="28">
        <v>8963</v>
      </c>
      <c r="E31" s="28">
        <v>201</v>
      </c>
      <c r="F31" s="28">
        <f t="shared" ref="F31:F42" si="5">SUM(C31-D31-E31)</f>
        <v>273</v>
      </c>
      <c r="G31" s="28">
        <v>25676</v>
      </c>
      <c r="H31" s="28">
        <v>17434</v>
      </c>
      <c r="I31" s="28">
        <v>872</v>
      </c>
      <c r="J31" s="28">
        <f t="shared" ref="J31:J42" si="6">SUM(G31-H31-I31)</f>
        <v>7370</v>
      </c>
      <c r="K31" s="28">
        <v>121</v>
      </c>
      <c r="L31" s="28">
        <v>0</v>
      </c>
      <c r="M31" s="28">
        <v>432</v>
      </c>
      <c r="N31" s="28">
        <v>27</v>
      </c>
      <c r="O31" s="28">
        <v>27</v>
      </c>
    </row>
    <row r="32" spans="1:15" ht="12.75" customHeight="1">
      <c r="A32" s="4" t="s">
        <v>58</v>
      </c>
      <c r="B32" s="5" t="s">
        <v>59</v>
      </c>
      <c r="C32" s="28">
        <v>13259</v>
      </c>
      <c r="D32" s="28">
        <v>11755</v>
      </c>
      <c r="E32" s="28">
        <v>563</v>
      </c>
      <c r="F32" s="28">
        <f t="shared" si="5"/>
        <v>941</v>
      </c>
      <c r="G32" s="28">
        <v>46705</v>
      </c>
      <c r="H32" s="28">
        <v>26956</v>
      </c>
      <c r="I32" s="28">
        <v>2624</v>
      </c>
      <c r="J32" s="28">
        <f t="shared" si="6"/>
        <v>17125</v>
      </c>
      <c r="K32" s="28">
        <v>438</v>
      </c>
      <c r="L32" s="28">
        <v>0</v>
      </c>
      <c r="M32" s="28">
        <v>6588</v>
      </c>
      <c r="N32" s="28">
        <v>288</v>
      </c>
      <c r="O32" s="28">
        <v>288</v>
      </c>
    </row>
    <row r="33" spans="1:256" ht="12.75" customHeight="1">
      <c r="A33" s="4" t="s">
        <v>60</v>
      </c>
      <c r="B33" s="5" t="s">
        <v>61</v>
      </c>
      <c r="C33" s="28">
        <v>6741</v>
      </c>
      <c r="D33" s="28">
        <v>5484</v>
      </c>
      <c r="E33" s="28">
        <v>237</v>
      </c>
      <c r="F33" s="28">
        <f t="shared" si="5"/>
        <v>1020</v>
      </c>
      <c r="G33" s="28">
        <v>24623</v>
      </c>
      <c r="H33" s="28">
        <v>7176</v>
      </c>
      <c r="I33" s="28">
        <v>593</v>
      </c>
      <c r="J33" s="28">
        <f t="shared" si="6"/>
        <v>16854</v>
      </c>
      <c r="K33" s="28">
        <v>383</v>
      </c>
      <c r="L33" s="28">
        <v>31</v>
      </c>
      <c r="M33" s="28">
        <v>2895</v>
      </c>
      <c r="N33" s="28">
        <v>392</v>
      </c>
      <c r="O33" s="28">
        <v>392</v>
      </c>
    </row>
    <row r="34" spans="1:256" ht="12.75" customHeight="1">
      <c r="A34" s="4" t="s">
        <v>62</v>
      </c>
      <c r="B34" s="5" t="s">
        <v>63</v>
      </c>
      <c r="C34" s="28">
        <v>8728</v>
      </c>
      <c r="D34" s="28">
        <v>2436</v>
      </c>
      <c r="E34" s="28">
        <v>65</v>
      </c>
      <c r="F34" s="28">
        <f t="shared" si="5"/>
        <v>6227</v>
      </c>
      <c r="G34" s="28">
        <v>23080</v>
      </c>
      <c r="H34" s="28">
        <v>6016</v>
      </c>
      <c r="I34" s="28">
        <v>231</v>
      </c>
      <c r="J34" s="28">
        <f t="shared" si="6"/>
        <v>16833</v>
      </c>
      <c r="K34" s="28">
        <v>30</v>
      </c>
      <c r="L34" s="28">
        <v>0</v>
      </c>
      <c r="M34" s="28">
        <v>3406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3183</v>
      </c>
      <c r="D35" s="28">
        <v>3164</v>
      </c>
      <c r="E35" s="28">
        <v>0</v>
      </c>
      <c r="F35" s="28">
        <f t="shared" si="5"/>
        <v>19</v>
      </c>
      <c r="G35" s="28">
        <v>5438</v>
      </c>
      <c r="H35" s="28">
        <v>5155</v>
      </c>
      <c r="I35" s="28">
        <v>0</v>
      </c>
      <c r="J35" s="28">
        <f t="shared" si="6"/>
        <v>283</v>
      </c>
      <c r="K35" s="28">
        <v>0</v>
      </c>
      <c r="L35" s="28">
        <v>0</v>
      </c>
      <c r="M35" s="28">
        <v>5</v>
      </c>
      <c r="N35" s="28">
        <v>171</v>
      </c>
      <c r="O35" s="28">
        <v>171</v>
      </c>
    </row>
    <row r="36" spans="1:256" ht="12.75" customHeight="1">
      <c r="A36" s="4" t="s">
        <v>66</v>
      </c>
      <c r="B36" s="5" t="s">
        <v>67</v>
      </c>
      <c r="C36" s="28">
        <v>1944</v>
      </c>
      <c r="D36" s="28">
        <v>1672</v>
      </c>
      <c r="E36" s="28">
        <v>199</v>
      </c>
      <c r="F36" s="28">
        <f t="shared" si="5"/>
        <v>73</v>
      </c>
      <c r="G36" s="28">
        <v>5687</v>
      </c>
      <c r="H36" s="28">
        <v>4139</v>
      </c>
      <c r="I36" s="28">
        <v>1059</v>
      </c>
      <c r="J36" s="28">
        <f t="shared" si="6"/>
        <v>489</v>
      </c>
      <c r="K36" s="28">
        <v>16</v>
      </c>
      <c r="L36" s="28">
        <v>0</v>
      </c>
      <c r="M36" s="28">
        <v>344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3465</v>
      </c>
      <c r="D37" s="28">
        <v>2948</v>
      </c>
      <c r="E37" s="28">
        <v>88</v>
      </c>
      <c r="F37" s="28">
        <f t="shared" si="5"/>
        <v>429</v>
      </c>
      <c r="G37" s="28">
        <v>15057</v>
      </c>
      <c r="H37" s="28">
        <v>7336</v>
      </c>
      <c r="I37" s="28">
        <v>248</v>
      </c>
      <c r="J37" s="28">
        <f t="shared" si="6"/>
        <v>7473</v>
      </c>
      <c r="K37" s="28">
        <v>376</v>
      </c>
      <c r="L37" s="28">
        <v>0</v>
      </c>
      <c r="M37" s="28">
        <v>2672</v>
      </c>
      <c r="N37" s="28">
        <v>368</v>
      </c>
      <c r="O37" s="28">
        <v>368</v>
      </c>
    </row>
    <row r="38" spans="1:256" ht="12.75" customHeight="1">
      <c r="A38" s="4" t="s">
        <v>70</v>
      </c>
      <c r="B38" s="5" t="s">
        <v>71</v>
      </c>
      <c r="C38" s="28">
        <v>49653</v>
      </c>
      <c r="D38" s="28">
        <v>36912</v>
      </c>
      <c r="E38" s="28">
        <v>1663</v>
      </c>
      <c r="F38" s="28">
        <f t="shared" si="5"/>
        <v>11078</v>
      </c>
      <c r="G38" s="28">
        <v>142068</v>
      </c>
      <c r="H38" s="28">
        <v>61269</v>
      </c>
      <c r="I38" s="28">
        <v>6371</v>
      </c>
      <c r="J38" s="28">
        <f t="shared" si="6"/>
        <v>74428</v>
      </c>
      <c r="K38" s="28">
        <v>2952</v>
      </c>
      <c r="L38" s="28">
        <v>0</v>
      </c>
      <c r="M38" s="28">
        <v>10312</v>
      </c>
      <c r="N38" s="28">
        <v>8536</v>
      </c>
      <c r="O38" s="28">
        <v>8536</v>
      </c>
    </row>
    <row r="39" spans="1:256" ht="12.75" customHeight="1">
      <c r="A39" s="4" t="s">
        <v>72</v>
      </c>
      <c r="B39" s="5" t="s">
        <v>73</v>
      </c>
      <c r="C39" s="28">
        <v>7063</v>
      </c>
      <c r="D39" s="28">
        <v>6562</v>
      </c>
      <c r="E39" s="28">
        <v>228</v>
      </c>
      <c r="F39" s="28">
        <f t="shared" si="5"/>
        <v>273</v>
      </c>
      <c r="G39" s="28">
        <v>12920</v>
      </c>
      <c r="H39" s="28">
        <v>11017</v>
      </c>
      <c r="I39" s="28">
        <v>1272</v>
      </c>
      <c r="J39" s="28">
        <f t="shared" si="6"/>
        <v>631</v>
      </c>
      <c r="K39" s="28">
        <v>17</v>
      </c>
      <c r="L39" s="28">
        <v>0</v>
      </c>
      <c r="M39" s="28">
        <v>26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5153</v>
      </c>
      <c r="D40" s="28">
        <v>4623</v>
      </c>
      <c r="E40" s="28">
        <v>296</v>
      </c>
      <c r="F40" s="28">
        <f t="shared" si="5"/>
        <v>234</v>
      </c>
      <c r="G40" s="28">
        <v>13649</v>
      </c>
      <c r="H40" s="28">
        <v>9313</v>
      </c>
      <c r="I40" s="28">
        <v>1119</v>
      </c>
      <c r="J40" s="28">
        <f t="shared" si="6"/>
        <v>3217</v>
      </c>
      <c r="K40" s="28">
        <v>43</v>
      </c>
      <c r="L40" s="28">
        <v>0</v>
      </c>
      <c r="M40" s="28">
        <v>2823</v>
      </c>
      <c r="N40" s="28">
        <v>56</v>
      </c>
      <c r="O40" s="28">
        <v>56</v>
      </c>
    </row>
    <row r="41" spans="1:256" ht="12.75" customHeight="1">
      <c r="A41" s="4" t="s">
        <v>76</v>
      </c>
      <c r="B41" s="5" t="s">
        <v>77</v>
      </c>
      <c r="C41" s="28">
        <v>1554</v>
      </c>
      <c r="D41" s="28">
        <v>1405</v>
      </c>
      <c r="E41" s="28">
        <v>0</v>
      </c>
      <c r="F41" s="28">
        <f t="shared" si="5"/>
        <v>149</v>
      </c>
      <c r="G41" s="28">
        <v>4684</v>
      </c>
      <c r="H41" s="28">
        <v>3477</v>
      </c>
      <c r="I41" s="28">
        <v>0</v>
      </c>
      <c r="J41" s="28">
        <f t="shared" si="6"/>
        <v>1207</v>
      </c>
      <c r="K41" s="28">
        <v>188</v>
      </c>
      <c r="L41" s="28">
        <v>0</v>
      </c>
      <c r="M41" s="28">
        <v>87</v>
      </c>
      <c r="N41" s="28">
        <v>444</v>
      </c>
      <c r="O41" s="28">
        <v>444</v>
      </c>
    </row>
    <row r="42" spans="1:256" ht="12.75" customHeight="1">
      <c r="A42" s="4" t="s">
        <v>78</v>
      </c>
      <c r="B42" s="5" t="s">
        <v>79</v>
      </c>
      <c r="C42" s="28">
        <v>11438</v>
      </c>
      <c r="D42" s="28">
        <v>9267</v>
      </c>
      <c r="E42" s="28">
        <v>271</v>
      </c>
      <c r="F42" s="28">
        <f t="shared" si="5"/>
        <v>1900</v>
      </c>
      <c r="G42" s="28">
        <v>18824</v>
      </c>
      <c r="H42" s="28">
        <v>14613</v>
      </c>
      <c r="I42" s="28">
        <v>641</v>
      </c>
      <c r="J42" s="28">
        <f t="shared" si="6"/>
        <v>3570</v>
      </c>
      <c r="K42" s="28">
        <v>145</v>
      </c>
      <c r="L42" s="28">
        <v>0</v>
      </c>
      <c r="M42" s="28">
        <v>14</v>
      </c>
      <c r="N42" s="28">
        <v>49</v>
      </c>
      <c r="O42" s="28">
        <v>49</v>
      </c>
    </row>
    <row r="43" spans="1:256" ht="12.75" customHeight="1">
      <c r="A43" s="8"/>
      <c r="B43" s="9" t="s">
        <v>80</v>
      </c>
      <c r="C43" s="29">
        <f t="shared" ref="C43:O43" si="7">SUM(C31:C42)</f>
        <v>121618</v>
      </c>
      <c r="D43" s="29">
        <f t="shared" si="7"/>
        <v>95191</v>
      </c>
      <c r="E43" s="29">
        <f t="shared" si="7"/>
        <v>3811</v>
      </c>
      <c r="F43" s="29">
        <f t="shared" si="7"/>
        <v>22616</v>
      </c>
      <c r="G43" s="29">
        <f t="shared" si="7"/>
        <v>338411</v>
      </c>
      <c r="H43" s="29">
        <f t="shared" si="7"/>
        <v>173901</v>
      </c>
      <c r="I43" s="29">
        <f t="shared" si="7"/>
        <v>15030</v>
      </c>
      <c r="J43" s="29">
        <f t="shared" si="7"/>
        <v>149480</v>
      </c>
      <c r="K43" s="29">
        <f t="shared" si="7"/>
        <v>4709</v>
      </c>
      <c r="L43" s="29">
        <f t="shared" si="7"/>
        <v>31</v>
      </c>
      <c r="M43" s="29">
        <f t="shared" si="7"/>
        <v>29604</v>
      </c>
      <c r="N43" s="29">
        <f t="shared" si="7"/>
        <v>10331</v>
      </c>
      <c r="O43" s="29">
        <f t="shared" si="7"/>
        <v>10331</v>
      </c>
    </row>
    <row r="44" spans="1:256" ht="12.75" customHeight="1">
      <c r="A44" s="4" t="s">
        <v>81</v>
      </c>
      <c r="B44" s="5" t="s">
        <v>82</v>
      </c>
      <c r="C44" s="28">
        <v>5885</v>
      </c>
      <c r="D44" s="28">
        <v>5051</v>
      </c>
      <c r="E44" s="28">
        <v>177</v>
      </c>
      <c r="F44" s="28">
        <f>SUM(C44-D44-E44)</f>
        <v>657</v>
      </c>
      <c r="G44" s="28">
        <v>17777</v>
      </c>
      <c r="H44" s="28">
        <v>10825</v>
      </c>
      <c r="I44" s="28">
        <v>455</v>
      </c>
      <c r="J44" s="28">
        <f>SUM(G44-H44-I44)</f>
        <v>6497</v>
      </c>
      <c r="K44" s="28">
        <v>747</v>
      </c>
      <c r="L44" s="28">
        <v>0</v>
      </c>
      <c r="M44" s="28">
        <v>329</v>
      </c>
      <c r="N44" s="28">
        <v>145</v>
      </c>
      <c r="O44" s="28">
        <v>145</v>
      </c>
    </row>
    <row r="45" spans="1:256" ht="12.75" customHeight="1">
      <c r="A45" s="4" t="s">
        <v>83</v>
      </c>
      <c r="B45" s="5" t="s">
        <v>84</v>
      </c>
      <c r="C45" s="28">
        <v>6945</v>
      </c>
      <c r="D45" s="28">
        <v>5649</v>
      </c>
      <c r="E45" s="28">
        <v>237</v>
      </c>
      <c r="F45" s="28">
        <f>SUM(C45-D45-E45)</f>
        <v>1059</v>
      </c>
      <c r="G45" s="28">
        <v>23263</v>
      </c>
      <c r="H45" s="28">
        <v>11827</v>
      </c>
      <c r="I45" s="28">
        <v>699</v>
      </c>
      <c r="J45" s="28">
        <f>SUM(G45-H45-I45)</f>
        <v>10737</v>
      </c>
      <c r="K45" s="28">
        <v>2575</v>
      </c>
      <c r="L45" s="28">
        <v>0</v>
      </c>
      <c r="M45" s="28">
        <v>1898</v>
      </c>
      <c r="N45" s="28">
        <v>140</v>
      </c>
      <c r="O45" s="28">
        <v>140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12830</v>
      </c>
      <c r="D46" s="29">
        <f t="shared" si="8"/>
        <v>10700</v>
      </c>
      <c r="E46" s="29">
        <f t="shared" si="8"/>
        <v>414</v>
      </c>
      <c r="F46" s="29">
        <f t="shared" si="8"/>
        <v>1716</v>
      </c>
      <c r="G46" s="29">
        <f t="shared" si="8"/>
        <v>41040</v>
      </c>
      <c r="H46" s="29">
        <f t="shared" si="8"/>
        <v>22652</v>
      </c>
      <c r="I46" s="29">
        <f t="shared" si="8"/>
        <v>1154</v>
      </c>
      <c r="J46" s="29">
        <f t="shared" si="8"/>
        <v>17234</v>
      </c>
      <c r="K46" s="29">
        <f t="shared" si="8"/>
        <v>3322</v>
      </c>
      <c r="L46" s="29">
        <f t="shared" si="8"/>
        <v>0</v>
      </c>
      <c r="M46" s="29">
        <f t="shared" si="8"/>
        <v>2227</v>
      </c>
      <c r="N46" s="29">
        <f t="shared" si="8"/>
        <v>285</v>
      </c>
      <c r="O46" s="29">
        <f t="shared" si="8"/>
        <v>285</v>
      </c>
    </row>
    <row r="47" spans="1:256" ht="12.75" customHeight="1">
      <c r="A47" s="4" t="s">
        <v>86</v>
      </c>
      <c r="B47" s="5" t="s">
        <v>87</v>
      </c>
      <c r="C47" s="28">
        <v>1330</v>
      </c>
      <c r="D47" s="28">
        <v>1198</v>
      </c>
      <c r="E47" s="28">
        <v>0</v>
      </c>
      <c r="F47" s="28">
        <f>SUM(C47-D47-E47)</f>
        <v>132</v>
      </c>
      <c r="G47" s="28">
        <v>1206</v>
      </c>
      <c r="H47" s="28">
        <v>891</v>
      </c>
      <c r="I47" s="28">
        <v>0</v>
      </c>
      <c r="J47" s="28">
        <f>SUM(G47-H47-I47)</f>
        <v>315</v>
      </c>
      <c r="K47" s="28">
        <v>4</v>
      </c>
      <c r="L47" s="28">
        <v>0</v>
      </c>
      <c r="M47" s="28">
        <v>24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2947</v>
      </c>
      <c r="D48" s="28">
        <v>2882</v>
      </c>
      <c r="E48" s="28">
        <v>27</v>
      </c>
      <c r="F48" s="28">
        <f>SUM(C48-D48-E48)</f>
        <v>38</v>
      </c>
      <c r="G48" s="28">
        <v>5125</v>
      </c>
      <c r="H48" s="28">
        <v>4940</v>
      </c>
      <c r="I48" s="28">
        <v>79</v>
      </c>
      <c r="J48" s="28">
        <f>SUM(G48-H48-I48)</f>
        <v>106</v>
      </c>
      <c r="K48" s="28">
        <v>0</v>
      </c>
      <c r="L48" s="28">
        <v>0</v>
      </c>
      <c r="M48" s="28">
        <v>153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1690</v>
      </c>
      <c r="D49" s="28">
        <v>1584</v>
      </c>
      <c r="E49" s="28">
        <v>82</v>
      </c>
      <c r="F49" s="28">
        <f>SUM(C49-D49-E49)</f>
        <v>24</v>
      </c>
      <c r="G49" s="28">
        <v>1573</v>
      </c>
      <c r="H49" s="28">
        <v>1247</v>
      </c>
      <c r="I49" s="28">
        <v>203</v>
      </c>
      <c r="J49" s="28">
        <f>SUM(G49-H49-I49)</f>
        <v>123</v>
      </c>
      <c r="K49" s="28">
        <v>2328</v>
      </c>
      <c r="L49" s="28">
        <v>0</v>
      </c>
      <c r="M49" s="28">
        <v>0</v>
      </c>
      <c r="N49" s="28">
        <v>58</v>
      </c>
      <c r="O49" s="28">
        <v>58</v>
      </c>
    </row>
    <row r="50" spans="1:15" ht="12.75" customHeight="1">
      <c r="A50" s="4" t="s">
        <v>92</v>
      </c>
      <c r="B50" s="5" t="s">
        <v>93</v>
      </c>
      <c r="C50" s="28">
        <v>8620</v>
      </c>
      <c r="D50" s="28">
        <v>8198</v>
      </c>
      <c r="E50" s="28">
        <v>200</v>
      </c>
      <c r="F50" s="28">
        <f>SUM(C50-D50-E50)</f>
        <v>222</v>
      </c>
      <c r="G50" s="28">
        <v>18246</v>
      </c>
      <c r="H50" s="28">
        <v>13230</v>
      </c>
      <c r="I50" s="28">
        <v>643</v>
      </c>
      <c r="J50" s="28">
        <f>SUM(G50-H50-I50)</f>
        <v>4373</v>
      </c>
      <c r="K50" s="28">
        <v>620</v>
      </c>
      <c r="L50" s="28">
        <v>0</v>
      </c>
      <c r="M50" s="28">
        <v>1515</v>
      </c>
      <c r="N50" s="28">
        <v>170</v>
      </c>
      <c r="O50" s="28">
        <v>170</v>
      </c>
    </row>
    <row r="51" spans="1:15" ht="12.75" customHeight="1">
      <c r="A51" s="8"/>
      <c r="B51" s="9" t="s">
        <v>94</v>
      </c>
      <c r="C51" s="29">
        <f t="shared" ref="C51:O51" si="9">SUM(C47:C50)</f>
        <v>14587</v>
      </c>
      <c r="D51" s="29">
        <f t="shared" si="9"/>
        <v>13862</v>
      </c>
      <c r="E51" s="29">
        <f t="shared" si="9"/>
        <v>309</v>
      </c>
      <c r="F51" s="29">
        <f t="shared" si="9"/>
        <v>416</v>
      </c>
      <c r="G51" s="29">
        <f t="shared" si="9"/>
        <v>26150</v>
      </c>
      <c r="H51" s="29">
        <f t="shared" si="9"/>
        <v>20308</v>
      </c>
      <c r="I51" s="29">
        <f t="shared" si="9"/>
        <v>925</v>
      </c>
      <c r="J51" s="29">
        <f t="shared" si="9"/>
        <v>4917</v>
      </c>
      <c r="K51" s="29">
        <f t="shared" si="9"/>
        <v>2952</v>
      </c>
      <c r="L51" s="29">
        <f t="shared" si="9"/>
        <v>0</v>
      </c>
      <c r="M51" s="29">
        <f t="shared" si="9"/>
        <v>1692</v>
      </c>
      <c r="N51" s="29">
        <f t="shared" si="9"/>
        <v>256</v>
      </c>
      <c r="O51" s="29">
        <f t="shared" si="9"/>
        <v>256</v>
      </c>
    </row>
    <row r="52" spans="1:15" ht="12.75" customHeight="1">
      <c r="A52" s="4" t="s">
        <v>95</v>
      </c>
      <c r="B52" s="5" t="s">
        <v>96</v>
      </c>
      <c r="C52" s="28">
        <v>1371</v>
      </c>
      <c r="D52" s="28">
        <v>1305</v>
      </c>
      <c r="E52" s="28">
        <v>17</v>
      </c>
      <c r="F52" s="28">
        <f t="shared" ref="F52:F58" si="10">SUM(C52-D52-E52)</f>
        <v>49</v>
      </c>
      <c r="G52" s="28">
        <v>4002</v>
      </c>
      <c r="H52" s="28">
        <v>2838</v>
      </c>
      <c r="I52" s="28">
        <v>60</v>
      </c>
      <c r="J52" s="28">
        <f t="shared" ref="J52:J58" si="11">SUM(G52-H52-I52)</f>
        <v>1104</v>
      </c>
      <c r="K52" s="28">
        <v>775</v>
      </c>
      <c r="L52" s="28">
        <v>0</v>
      </c>
      <c r="M52" s="28">
        <v>39</v>
      </c>
      <c r="N52" s="28">
        <v>58</v>
      </c>
      <c r="O52" s="28">
        <v>58</v>
      </c>
    </row>
    <row r="53" spans="1:15" ht="12.75" customHeight="1">
      <c r="A53" s="4" t="s">
        <v>97</v>
      </c>
      <c r="B53" s="5" t="s">
        <v>98</v>
      </c>
      <c r="C53" s="28">
        <v>8788</v>
      </c>
      <c r="D53" s="28">
        <v>6790</v>
      </c>
      <c r="E53" s="28">
        <v>144</v>
      </c>
      <c r="F53" s="28">
        <f t="shared" si="10"/>
        <v>1854</v>
      </c>
      <c r="G53" s="28">
        <v>26908</v>
      </c>
      <c r="H53" s="28">
        <v>17030</v>
      </c>
      <c r="I53" s="28">
        <v>777</v>
      </c>
      <c r="J53" s="28">
        <f t="shared" si="11"/>
        <v>9101</v>
      </c>
      <c r="K53" s="28">
        <v>319</v>
      </c>
      <c r="L53" s="28">
        <v>0</v>
      </c>
      <c r="M53" s="28">
        <v>1476</v>
      </c>
      <c r="N53" s="28">
        <v>387</v>
      </c>
      <c r="O53" s="28">
        <v>387</v>
      </c>
    </row>
    <row r="54" spans="1:15" ht="12.75" customHeight="1">
      <c r="A54" s="4" t="s">
        <v>99</v>
      </c>
      <c r="B54" s="5" t="s">
        <v>100</v>
      </c>
      <c r="C54" s="28">
        <v>1378</v>
      </c>
      <c r="D54" s="28">
        <v>919</v>
      </c>
      <c r="E54" s="28">
        <v>58</v>
      </c>
      <c r="F54" s="28">
        <f t="shared" si="10"/>
        <v>401</v>
      </c>
      <c r="G54" s="28">
        <v>5524</v>
      </c>
      <c r="H54" s="28">
        <v>2870</v>
      </c>
      <c r="I54" s="28">
        <v>357</v>
      </c>
      <c r="J54" s="28">
        <f t="shared" si="11"/>
        <v>2297</v>
      </c>
      <c r="K54" s="28">
        <v>0</v>
      </c>
      <c r="L54" s="28">
        <v>15</v>
      </c>
      <c r="M54" s="28">
        <v>368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6011</v>
      </c>
      <c r="D55" s="28">
        <v>4697</v>
      </c>
      <c r="E55" s="28">
        <v>154</v>
      </c>
      <c r="F55" s="28">
        <f t="shared" si="10"/>
        <v>1160</v>
      </c>
      <c r="G55" s="28">
        <v>19821</v>
      </c>
      <c r="H55" s="28">
        <v>11373</v>
      </c>
      <c r="I55" s="28">
        <v>473</v>
      </c>
      <c r="J55" s="28">
        <f t="shared" si="11"/>
        <v>7975</v>
      </c>
      <c r="K55" s="28">
        <v>1093</v>
      </c>
      <c r="L55" s="28">
        <v>0</v>
      </c>
      <c r="M55" s="28">
        <v>1091</v>
      </c>
      <c r="N55" s="28">
        <v>1595</v>
      </c>
      <c r="O55" s="28">
        <v>1595</v>
      </c>
    </row>
    <row r="56" spans="1:15" ht="12.75" customHeight="1">
      <c r="A56" s="4" t="s">
        <v>103</v>
      </c>
      <c r="B56" s="5" t="s">
        <v>104</v>
      </c>
      <c r="C56" s="28">
        <v>11558</v>
      </c>
      <c r="D56" s="28">
        <v>4754</v>
      </c>
      <c r="E56" s="28">
        <v>516</v>
      </c>
      <c r="F56" s="28">
        <f t="shared" si="10"/>
        <v>6288</v>
      </c>
      <c r="G56" s="28">
        <v>37150</v>
      </c>
      <c r="H56" s="28">
        <v>10538</v>
      </c>
      <c r="I56" s="28">
        <v>2328</v>
      </c>
      <c r="J56" s="28">
        <f t="shared" si="11"/>
        <v>24284</v>
      </c>
      <c r="K56" s="28">
        <v>856</v>
      </c>
      <c r="L56" s="28">
        <v>128</v>
      </c>
      <c r="M56" s="28">
        <v>4565</v>
      </c>
      <c r="N56" s="28">
        <v>947</v>
      </c>
      <c r="O56" s="28">
        <v>947</v>
      </c>
    </row>
    <row r="57" spans="1:15" ht="12.75" customHeight="1">
      <c r="A57" s="4" t="s">
        <v>105</v>
      </c>
      <c r="B57" s="5" t="s">
        <v>106</v>
      </c>
      <c r="C57" s="28">
        <v>8321</v>
      </c>
      <c r="D57" s="28">
        <v>4971</v>
      </c>
      <c r="E57" s="28">
        <v>575</v>
      </c>
      <c r="F57" s="28">
        <f t="shared" si="10"/>
        <v>2775</v>
      </c>
      <c r="G57" s="28">
        <v>30647</v>
      </c>
      <c r="H57" s="28">
        <v>14802</v>
      </c>
      <c r="I57" s="28">
        <v>2289</v>
      </c>
      <c r="J57" s="28">
        <f t="shared" si="11"/>
        <v>13556</v>
      </c>
      <c r="K57" s="28">
        <v>154</v>
      </c>
      <c r="L57" s="28">
        <v>0</v>
      </c>
      <c r="M57" s="28">
        <v>1986</v>
      </c>
      <c r="N57" s="28">
        <v>14</v>
      </c>
      <c r="O57" s="28">
        <v>14</v>
      </c>
    </row>
    <row r="58" spans="1:15" ht="12.75" customHeight="1">
      <c r="A58" s="4" t="s">
        <v>107</v>
      </c>
      <c r="B58" s="5" t="s">
        <v>108</v>
      </c>
      <c r="C58" s="28">
        <v>7810</v>
      </c>
      <c r="D58" s="28">
        <v>5100</v>
      </c>
      <c r="E58" s="28">
        <v>183</v>
      </c>
      <c r="F58" s="28">
        <f t="shared" si="10"/>
        <v>2527</v>
      </c>
      <c r="G58" s="28">
        <v>24684</v>
      </c>
      <c r="H58" s="28">
        <v>12184</v>
      </c>
      <c r="I58" s="28">
        <v>743</v>
      </c>
      <c r="J58" s="28">
        <f t="shared" si="11"/>
        <v>11757</v>
      </c>
      <c r="K58" s="28">
        <v>518</v>
      </c>
      <c r="L58" s="28">
        <v>41</v>
      </c>
      <c r="M58" s="28">
        <v>1155</v>
      </c>
      <c r="N58" s="28">
        <v>3257</v>
      </c>
      <c r="O58" s="28">
        <v>3257</v>
      </c>
    </row>
    <row r="59" spans="1:15" ht="12.75" customHeight="1">
      <c r="A59" s="8"/>
      <c r="B59" s="9" t="s">
        <v>109</v>
      </c>
      <c r="C59" s="29">
        <f t="shared" ref="C59:O59" si="12">SUM(C52:C58)</f>
        <v>45237</v>
      </c>
      <c r="D59" s="29">
        <f t="shared" si="12"/>
        <v>28536</v>
      </c>
      <c r="E59" s="29">
        <f t="shared" si="12"/>
        <v>1647</v>
      </c>
      <c r="F59" s="29">
        <f t="shared" si="12"/>
        <v>15054</v>
      </c>
      <c r="G59" s="29">
        <f t="shared" si="12"/>
        <v>148736</v>
      </c>
      <c r="H59" s="29">
        <f t="shared" si="12"/>
        <v>71635</v>
      </c>
      <c r="I59" s="29">
        <f t="shared" si="12"/>
        <v>7027</v>
      </c>
      <c r="J59" s="29">
        <f t="shared" si="12"/>
        <v>70074</v>
      </c>
      <c r="K59" s="29">
        <f t="shared" si="12"/>
        <v>3715</v>
      </c>
      <c r="L59" s="29">
        <f t="shared" si="12"/>
        <v>184</v>
      </c>
      <c r="M59" s="29">
        <f t="shared" si="12"/>
        <v>10680</v>
      </c>
      <c r="N59" s="29">
        <f t="shared" si="12"/>
        <v>6258</v>
      </c>
      <c r="O59" s="29">
        <f t="shared" si="12"/>
        <v>6258</v>
      </c>
    </row>
    <row r="60" spans="1:15" ht="12.75" customHeight="1">
      <c r="A60" s="4" t="s">
        <v>110</v>
      </c>
      <c r="B60" s="5" t="s">
        <v>111</v>
      </c>
      <c r="C60" s="28">
        <v>9770</v>
      </c>
      <c r="D60" s="28">
        <v>7436</v>
      </c>
      <c r="E60" s="28">
        <v>959</v>
      </c>
      <c r="F60" s="28">
        <f t="shared" ref="F60:F68" si="13">SUM(C60-D60-E60)</f>
        <v>1375</v>
      </c>
      <c r="G60" s="28">
        <v>29299</v>
      </c>
      <c r="H60" s="28">
        <v>17635</v>
      </c>
      <c r="I60" s="28">
        <v>4269</v>
      </c>
      <c r="J60" s="28">
        <f t="shared" ref="J60:J68" si="14">SUM(G60-H60-I60)</f>
        <v>7395</v>
      </c>
      <c r="K60" s="28">
        <v>26</v>
      </c>
      <c r="L60" s="28">
        <v>0</v>
      </c>
      <c r="M60" s="28">
        <v>1976</v>
      </c>
      <c r="N60" s="28">
        <v>286</v>
      </c>
      <c r="O60" s="28">
        <v>286</v>
      </c>
    </row>
    <row r="61" spans="1:15" ht="12.75" customHeight="1">
      <c r="A61" s="4" t="s">
        <v>112</v>
      </c>
      <c r="B61" s="5" t="s">
        <v>113</v>
      </c>
      <c r="C61" s="28">
        <v>2437</v>
      </c>
      <c r="D61" s="28">
        <v>2140</v>
      </c>
      <c r="E61" s="28">
        <v>46</v>
      </c>
      <c r="F61" s="28">
        <f t="shared" si="13"/>
        <v>251</v>
      </c>
      <c r="G61" s="28">
        <v>6035</v>
      </c>
      <c r="H61" s="28">
        <v>5183</v>
      </c>
      <c r="I61" s="28">
        <v>192</v>
      </c>
      <c r="J61" s="28">
        <f t="shared" si="14"/>
        <v>660</v>
      </c>
      <c r="K61" s="28">
        <v>1</v>
      </c>
      <c r="L61" s="28">
        <v>0</v>
      </c>
      <c r="M61" s="28">
        <v>937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5101</v>
      </c>
      <c r="D62" s="28">
        <v>2589</v>
      </c>
      <c r="E62" s="28">
        <v>279</v>
      </c>
      <c r="F62" s="28">
        <f t="shared" si="13"/>
        <v>2233</v>
      </c>
      <c r="G62" s="28">
        <v>17749</v>
      </c>
      <c r="H62" s="28">
        <v>6496</v>
      </c>
      <c r="I62" s="28">
        <v>1375</v>
      </c>
      <c r="J62" s="28">
        <f t="shared" si="14"/>
        <v>9878</v>
      </c>
      <c r="K62" s="28">
        <v>209</v>
      </c>
      <c r="L62" s="28">
        <v>365</v>
      </c>
      <c r="M62" s="28">
        <v>1136</v>
      </c>
      <c r="N62" s="28">
        <v>1531</v>
      </c>
      <c r="O62" s="28">
        <v>1531</v>
      </c>
    </row>
    <row r="63" spans="1:15" ht="12.75" customHeight="1">
      <c r="A63" s="4" t="s">
        <v>116</v>
      </c>
      <c r="B63" s="5" t="s">
        <v>117</v>
      </c>
      <c r="C63" s="28">
        <v>7643</v>
      </c>
      <c r="D63" s="28">
        <v>4081</v>
      </c>
      <c r="E63" s="28">
        <v>462</v>
      </c>
      <c r="F63" s="28">
        <f t="shared" si="13"/>
        <v>3100</v>
      </c>
      <c r="G63" s="28">
        <v>23431</v>
      </c>
      <c r="H63" s="28">
        <v>12194</v>
      </c>
      <c r="I63" s="28">
        <v>2329</v>
      </c>
      <c r="J63" s="28">
        <f t="shared" si="14"/>
        <v>8908</v>
      </c>
      <c r="K63" s="28">
        <v>74</v>
      </c>
      <c r="L63" s="28">
        <v>0</v>
      </c>
      <c r="M63" s="28">
        <v>1548</v>
      </c>
      <c r="N63" s="28">
        <v>68</v>
      </c>
      <c r="O63" s="28">
        <v>68</v>
      </c>
    </row>
    <row r="64" spans="1:15" ht="12.75" customHeight="1">
      <c r="A64" s="4" t="s">
        <v>118</v>
      </c>
      <c r="B64" s="5" t="s">
        <v>119</v>
      </c>
      <c r="C64" s="28">
        <v>6016</v>
      </c>
      <c r="D64" s="28">
        <v>3128</v>
      </c>
      <c r="E64" s="28">
        <v>487</v>
      </c>
      <c r="F64" s="28">
        <f t="shared" si="13"/>
        <v>2401</v>
      </c>
      <c r="G64" s="28">
        <v>21910</v>
      </c>
      <c r="H64" s="28">
        <v>8768</v>
      </c>
      <c r="I64" s="28">
        <v>2191</v>
      </c>
      <c r="J64" s="28">
        <f t="shared" si="14"/>
        <v>10951</v>
      </c>
      <c r="K64" s="28">
        <v>31</v>
      </c>
      <c r="L64" s="28">
        <v>16</v>
      </c>
      <c r="M64" s="28">
        <v>567</v>
      </c>
      <c r="N64" s="28">
        <v>84</v>
      </c>
      <c r="O64" s="28">
        <v>84</v>
      </c>
    </row>
    <row r="65" spans="1:15" ht="12.75" customHeight="1">
      <c r="A65" s="4" t="s">
        <v>120</v>
      </c>
      <c r="B65" s="5" t="s">
        <v>121</v>
      </c>
      <c r="C65" s="28">
        <v>2977</v>
      </c>
      <c r="D65" s="28">
        <v>2289</v>
      </c>
      <c r="E65" s="28">
        <v>305</v>
      </c>
      <c r="F65" s="28">
        <f t="shared" si="13"/>
        <v>383</v>
      </c>
      <c r="G65" s="28">
        <v>13331</v>
      </c>
      <c r="H65" s="28">
        <v>6053</v>
      </c>
      <c r="I65" s="28">
        <v>1627</v>
      </c>
      <c r="J65" s="28">
        <f t="shared" si="14"/>
        <v>5651</v>
      </c>
      <c r="K65" s="28">
        <v>857</v>
      </c>
      <c r="L65" s="28">
        <v>0</v>
      </c>
      <c r="M65" s="28">
        <v>1448</v>
      </c>
      <c r="N65" s="28">
        <v>287</v>
      </c>
      <c r="O65" s="28">
        <v>287</v>
      </c>
    </row>
    <row r="66" spans="1:15" ht="12.75" customHeight="1">
      <c r="A66" s="4" t="s">
        <v>122</v>
      </c>
      <c r="B66" s="5" t="s">
        <v>123</v>
      </c>
      <c r="C66" s="28">
        <v>5334</v>
      </c>
      <c r="D66" s="28">
        <v>2410</v>
      </c>
      <c r="E66" s="28">
        <v>153</v>
      </c>
      <c r="F66" s="28">
        <f t="shared" si="13"/>
        <v>2771</v>
      </c>
      <c r="G66" s="28">
        <v>30808</v>
      </c>
      <c r="H66" s="28">
        <v>6505</v>
      </c>
      <c r="I66" s="28">
        <v>683</v>
      </c>
      <c r="J66" s="28">
        <f t="shared" si="14"/>
        <v>23620</v>
      </c>
      <c r="K66" s="28">
        <v>1212</v>
      </c>
      <c r="L66" s="28">
        <v>0</v>
      </c>
      <c r="M66" s="28">
        <v>6502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12091</v>
      </c>
      <c r="D67" s="28">
        <v>2590</v>
      </c>
      <c r="E67" s="28">
        <v>0</v>
      </c>
      <c r="F67" s="28">
        <f t="shared" si="13"/>
        <v>9501</v>
      </c>
      <c r="G67" s="28">
        <v>48101</v>
      </c>
      <c r="H67" s="28">
        <v>6478</v>
      </c>
      <c r="I67" s="28">
        <v>0</v>
      </c>
      <c r="J67" s="28">
        <f t="shared" si="14"/>
        <v>41623</v>
      </c>
      <c r="K67" s="28">
        <v>640</v>
      </c>
      <c r="L67" s="28">
        <v>0</v>
      </c>
      <c r="M67" s="28">
        <v>12660</v>
      </c>
      <c r="N67" s="28">
        <v>186</v>
      </c>
      <c r="O67" s="28">
        <v>186</v>
      </c>
    </row>
    <row r="68" spans="1:15" ht="12.75" customHeight="1">
      <c r="A68" s="4" t="s">
        <v>126</v>
      </c>
      <c r="B68" s="5" t="s">
        <v>127</v>
      </c>
      <c r="C68" s="28">
        <v>4760</v>
      </c>
      <c r="D68" s="28">
        <v>3346</v>
      </c>
      <c r="E68" s="28">
        <v>109</v>
      </c>
      <c r="F68" s="28">
        <f t="shared" si="13"/>
        <v>1305</v>
      </c>
      <c r="G68" s="28">
        <v>15460</v>
      </c>
      <c r="H68" s="28">
        <v>7205</v>
      </c>
      <c r="I68" s="28">
        <v>578</v>
      </c>
      <c r="J68" s="28">
        <f t="shared" si="14"/>
        <v>7677</v>
      </c>
      <c r="K68" s="28">
        <v>0</v>
      </c>
      <c r="L68" s="28">
        <v>17</v>
      </c>
      <c r="M68" s="28">
        <v>384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56129</v>
      </c>
      <c r="D69" s="29">
        <f t="shared" si="15"/>
        <v>30009</v>
      </c>
      <c r="E69" s="29">
        <f t="shared" si="15"/>
        <v>2800</v>
      </c>
      <c r="F69" s="29">
        <f t="shared" si="15"/>
        <v>23320</v>
      </c>
      <c r="G69" s="29">
        <f t="shared" si="15"/>
        <v>206124</v>
      </c>
      <c r="H69" s="29">
        <f t="shared" si="15"/>
        <v>76517</v>
      </c>
      <c r="I69" s="29">
        <f t="shared" si="15"/>
        <v>13244</v>
      </c>
      <c r="J69" s="29">
        <f t="shared" si="15"/>
        <v>116363</v>
      </c>
      <c r="K69" s="29">
        <f t="shared" si="15"/>
        <v>3050</v>
      </c>
      <c r="L69" s="29">
        <f t="shared" si="15"/>
        <v>398</v>
      </c>
      <c r="M69" s="29">
        <f t="shared" si="15"/>
        <v>27158</v>
      </c>
      <c r="N69" s="29">
        <f t="shared" si="15"/>
        <v>2442</v>
      </c>
      <c r="O69" s="29">
        <f t="shared" si="15"/>
        <v>2442</v>
      </c>
    </row>
    <row r="70" spans="1:15" ht="12.75" customHeight="1">
      <c r="A70" s="4" t="s">
        <v>129</v>
      </c>
      <c r="B70" s="5" t="s">
        <v>130</v>
      </c>
      <c r="C70" s="28">
        <v>3272</v>
      </c>
      <c r="D70" s="28">
        <v>2837</v>
      </c>
      <c r="E70" s="28">
        <v>266</v>
      </c>
      <c r="F70" s="28">
        <f t="shared" ref="F70:F79" si="16">SUM(C70-D70-E70)</f>
        <v>169</v>
      </c>
      <c r="G70" s="28">
        <v>10546</v>
      </c>
      <c r="H70" s="28">
        <v>6795</v>
      </c>
      <c r="I70" s="28">
        <v>1599</v>
      </c>
      <c r="J70" s="28">
        <f t="shared" ref="J70:J79" si="17">SUM(G70-H70-I70)</f>
        <v>2152</v>
      </c>
      <c r="K70" s="28">
        <v>77</v>
      </c>
      <c r="L70" s="28">
        <v>0</v>
      </c>
      <c r="M70" s="28">
        <v>422</v>
      </c>
      <c r="N70" s="28">
        <v>41</v>
      </c>
      <c r="O70" s="28">
        <v>41</v>
      </c>
    </row>
    <row r="71" spans="1:15" ht="12.75" customHeight="1">
      <c r="A71" s="4" t="s">
        <v>131</v>
      </c>
      <c r="B71" s="5" t="s">
        <v>132</v>
      </c>
      <c r="C71" s="28">
        <v>15266</v>
      </c>
      <c r="D71" s="28">
        <v>8822</v>
      </c>
      <c r="E71" s="28">
        <v>569</v>
      </c>
      <c r="F71" s="28">
        <f t="shared" si="16"/>
        <v>5875</v>
      </c>
      <c r="G71" s="28">
        <v>35454</v>
      </c>
      <c r="H71" s="28">
        <v>15714</v>
      </c>
      <c r="I71" s="28">
        <v>2528</v>
      </c>
      <c r="J71" s="28">
        <f t="shared" si="17"/>
        <v>17212</v>
      </c>
      <c r="K71" s="28">
        <v>326</v>
      </c>
      <c r="L71" s="28">
        <v>0</v>
      </c>
      <c r="M71" s="28">
        <v>1265</v>
      </c>
      <c r="N71" s="28">
        <v>3995</v>
      </c>
      <c r="O71" s="28">
        <v>3995</v>
      </c>
    </row>
    <row r="72" spans="1:15" ht="12.75" customHeight="1">
      <c r="A72" s="4" t="s">
        <v>133</v>
      </c>
      <c r="B72" s="5" t="s">
        <v>134</v>
      </c>
      <c r="C72" s="28">
        <v>2780</v>
      </c>
      <c r="D72" s="28">
        <v>2435</v>
      </c>
      <c r="E72" s="28">
        <v>0</v>
      </c>
      <c r="F72" s="28">
        <f t="shared" si="16"/>
        <v>345</v>
      </c>
      <c r="G72" s="28">
        <v>7534</v>
      </c>
      <c r="H72" s="28">
        <v>5865</v>
      </c>
      <c r="I72" s="28">
        <v>0</v>
      </c>
      <c r="J72" s="28">
        <f t="shared" si="17"/>
        <v>1669</v>
      </c>
      <c r="K72" s="28">
        <v>207</v>
      </c>
      <c r="L72" s="28">
        <v>180</v>
      </c>
      <c r="M72" s="28">
        <v>1677</v>
      </c>
      <c r="N72" s="28">
        <v>13</v>
      </c>
      <c r="O72" s="28">
        <v>13</v>
      </c>
    </row>
    <row r="73" spans="1:15" ht="12.75" customHeight="1">
      <c r="A73" s="4" t="s">
        <v>135</v>
      </c>
      <c r="B73" s="5" t="s">
        <v>136</v>
      </c>
      <c r="C73" s="28">
        <v>6501</v>
      </c>
      <c r="D73" s="28">
        <v>4853</v>
      </c>
      <c r="E73" s="28">
        <v>73</v>
      </c>
      <c r="F73" s="28">
        <f t="shared" si="16"/>
        <v>1575</v>
      </c>
      <c r="G73" s="28">
        <v>17218</v>
      </c>
      <c r="H73" s="28">
        <v>10761</v>
      </c>
      <c r="I73" s="28">
        <v>219</v>
      </c>
      <c r="J73" s="28">
        <f t="shared" si="17"/>
        <v>6238</v>
      </c>
      <c r="K73" s="28">
        <v>350</v>
      </c>
      <c r="L73" s="28">
        <v>73</v>
      </c>
      <c r="M73" s="28">
        <v>653</v>
      </c>
      <c r="N73" s="28">
        <v>7282</v>
      </c>
      <c r="O73" s="28">
        <v>7282</v>
      </c>
    </row>
    <row r="74" spans="1:15" ht="12.75" customHeight="1">
      <c r="A74" s="4" t="s">
        <v>137</v>
      </c>
      <c r="B74" s="5" t="s">
        <v>138</v>
      </c>
      <c r="C74" s="28">
        <v>4456</v>
      </c>
      <c r="D74" s="28">
        <v>3929</v>
      </c>
      <c r="E74" s="28">
        <v>219</v>
      </c>
      <c r="F74" s="28">
        <f t="shared" si="16"/>
        <v>308</v>
      </c>
      <c r="G74" s="28">
        <v>10244</v>
      </c>
      <c r="H74" s="28">
        <v>6868</v>
      </c>
      <c r="I74" s="28">
        <v>792</v>
      </c>
      <c r="J74" s="28">
        <f t="shared" si="17"/>
        <v>2584</v>
      </c>
      <c r="K74" s="28">
        <v>183</v>
      </c>
      <c r="L74" s="28">
        <v>0</v>
      </c>
      <c r="M74" s="28">
        <v>225</v>
      </c>
      <c r="N74" s="28">
        <v>89</v>
      </c>
      <c r="O74" s="28">
        <v>89</v>
      </c>
    </row>
    <row r="75" spans="1:15" ht="12.75" customHeight="1">
      <c r="A75" s="4" t="s">
        <v>139</v>
      </c>
      <c r="B75" s="5" t="s">
        <v>140</v>
      </c>
      <c r="C75" s="28">
        <v>2454</v>
      </c>
      <c r="D75" s="28">
        <v>2253</v>
      </c>
      <c r="E75" s="28">
        <v>75</v>
      </c>
      <c r="F75" s="28">
        <f t="shared" si="16"/>
        <v>126</v>
      </c>
      <c r="G75" s="28">
        <v>5001</v>
      </c>
      <c r="H75" s="28">
        <v>3747</v>
      </c>
      <c r="I75" s="28">
        <v>471</v>
      </c>
      <c r="J75" s="28">
        <f t="shared" si="17"/>
        <v>783</v>
      </c>
      <c r="K75" s="28">
        <v>9</v>
      </c>
      <c r="L75" s="28">
        <v>0</v>
      </c>
      <c r="M75" s="28">
        <v>7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5333</v>
      </c>
      <c r="D76" s="28">
        <v>3943</v>
      </c>
      <c r="E76" s="28">
        <v>147</v>
      </c>
      <c r="F76" s="28">
        <f t="shared" si="16"/>
        <v>1243</v>
      </c>
      <c r="G76" s="28">
        <v>14492</v>
      </c>
      <c r="H76" s="28">
        <v>8809</v>
      </c>
      <c r="I76" s="28">
        <v>479</v>
      </c>
      <c r="J76" s="28">
        <f t="shared" si="17"/>
        <v>5204</v>
      </c>
      <c r="K76" s="28">
        <v>92</v>
      </c>
      <c r="L76" s="28">
        <v>4</v>
      </c>
      <c r="M76" s="28">
        <v>1048</v>
      </c>
      <c r="N76" s="28">
        <v>148</v>
      </c>
      <c r="O76" s="28">
        <v>148</v>
      </c>
    </row>
    <row r="77" spans="1:15" ht="12.75" customHeight="1">
      <c r="A77" s="4" t="s">
        <v>143</v>
      </c>
      <c r="B77" s="5" t="s">
        <v>144</v>
      </c>
      <c r="C77" s="28">
        <v>6429</v>
      </c>
      <c r="D77" s="28">
        <v>2802</v>
      </c>
      <c r="E77" s="28">
        <v>76</v>
      </c>
      <c r="F77" s="28">
        <f t="shared" si="16"/>
        <v>3551</v>
      </c>
      <c r="G77" s="28">
        <v>14870</v>
      </c>
      <c r="H77" s="28">
        <v>5495</v>
      </c>
      <c r="I77" s="28">
        <v>295</v>
      </c>
      <c r="J77" s="28">
        <f t="shared" si="17"/>
        <v>9080</v>
      </c>
      <c r="K77" s="28">
        <v>128</v>
      </c>
      <c r="L77" s="28">
        <v>0</v>
      </c>
      <c r="M77" s="28">
        <v>444</v>
      </c>
      <c r="N77" s="28">
        <v>48</v>
      </c>
      <c r="O77" s="28">
        <v>48</v>
      </c>
    </row>
    <row r="78" spans="1:15" ht="12.75" customHeight="1">
      <c r="A78" s="4" t="s">
        <v>145</v>
      </c>
      <c r="B78" s="5" t="s">
        <v>146</v>
      </c>
      <c r="C78" s="28">
        <v>2113</v>
      </c>
      <c r="D78" s="28">
        <v>2075</v>
      </c>
      <c r="E78" s="28">
        <v>0</v>
      </c>
      <c r="F78" s="28">
        <f t="shared" si="16"/>
        <v>38</v>
      </c>
      <c r="G78" s="28">
        <v>4723</v>
      </c>
      <c r="H78" s="28">
        <v>4001</v>
      </c>
      <c r="I78" s="28">
        <v>0</v>
      </c>
      <c r="J78" s="28">
        <f t="shared" si="17"/>
        <v>722</v>
      </c>
      <c r="K78" s="28">
        <v>0</v>
      </c>
      <c r="L78" s="28">
        <v>0</v>
      </c>
      <c r="M78" s="28">
        <v>0</v>
      </c>
      <c r="N78" s="28">
        <v>45</v>
      </c>
      <c r="O78" s="28">
        <v>45</v>
      </c>
    </row>
    <row r="79" spans="1:15" ht="12.75" customHeight="1">
      <c r="A79" s="4" t="s">
        <v>147</v>
      </c>
      <c r="B79" s="5" t="s">
        <v>148</v>
      </c>
      <c r="C79" s="28">
        <v>2936</v>
      </c>
      <c r="D79" s="28">
        <v>2457</v>
      </c>
      <c r="E79" s="28">
        <v>63</v>
      </c>
      <c r="F79" s="28">
        <f t="shared" si="16"/>
        <v>416</v>
      </c>
      <c r="G79" s="28">
        <v>9369</v>
      </c>
      <c r="H79" s="28">
        <v>5788</v>
      </c>
      <c r="I79" s="28">
        <v>384</v>
      </c>
      <c r="J79" s="28">
        <f t="shared" si="17"/>
        <v>3197</v>
      </c>
      <c r="K79" s="28">
        <v>105</v>
      </c>
      <c r="L79" s="28">
        <v>206</v>
      </c>
      <c r="M79" s="28">
        <v>2211</v>
      </c>
      <c r="N79" s="28">
        <v>74</v>
      </c>
      <c r="O79" s="28">
        <v>74</v>
      </c>
    </row>
    <row r="80" spans="1:15" ht="12.75" customHeight="1">
      <c r="A80" s="8"/>
      <c r="B80" s="9" t="s">
        <v>149</v>
      </c>
      <c r="C80" s="29">
        <f t="shared" ref="C80:O80" si="18">SUM(C70:C79)</f>
        <v>51540</v>
      </c>
      <c r="D80" s="29">
        <f t="shared" si="18"/>
        <v>36406</v>
      </c>
      <c r="E80" s="29">
        <f t="shared" si="18"/>
        <v>1488</v>
      </c>
      <c r="F80" s="29">
        <f t="shared" si="18"/>
        <v>13646</v>
      </c>
      <c r="G80" s="29">
        <f t="shared" si="18"/>
        <v>129451</v>
      </c>
      <c r="H80" s="29">
        <f t="shared" si="18"/>
        <v>73843</v>
      </c>
      <c r="I80" s="29">
        <f t="shared" si="18"/>
        <v>6767</v>
      </c>
      <c r="J80" s="29">
        <f t="shared" si="18"/>
        <v>48841</v>
      </c>
      <c r="K80" s="29">
        <f t="shared" si="18"/>
        <v>1477</v>
      </c>
      <c r="L80" s="29">
        <f t="shared" si="18"/>
        <v>463</v>
      </c>
      <c r="M80" s="29">
        <f t="shared" si="18"/>
        <v>7952</v>
      </c>
      <c r="N80" s="29">
        <f t="shared" si="18"/>
        <v>11735</v>
      </c>
      <c r="O80" s="29">
        <f t="shared" si="18"/>
        <v>11735</v>
      </c>
    </row>
    <row r="81" spans="1:15" ht="12.75" customHeight="1">
      <c r="A81" s="4" t="s">
        <v>150</v>
      </c>
      <c r="B81" s="5" t="s">
        <v>151</v>
      </c>
      <c r="C81" s="28">
        <v>5050</v>
      </c>
      <c r="D81" s="28">
        <v>3177</v>
      </c>
      <c r="E81" s="28">
        <v>177</v>
      </c>
      <c r="F81" s="28">
        <f>SUM(C81-D81-E81)</f>
        <v>1696</v>
      </c>
      <c r="G81" s="28">
        <v>19294</v>
      </c>
      <c r="H81" s="28">
        <v>9725</v>
      </c>
      <c r="I81" s="28">
        <v>1251</v>
      </c>
      <c r="J81" s="28">
        <f>SUM(G81-H81-I81)</f>
        <v>8318</v>
      </c>
      <c r="K81" s="28">
        <v>63</v>
      </c>
      <c r="L81" s="28">
        <v>0</v>
      </c>
      <c r="M81" s="28">
        <v>1636</v>
      </c>
      <c r="N81" s="28">
        <v>343</v>
      </c>
      <c r="O81" s="28">
        <v>343</v>
      </c>
    </row>
    <row r="82" spans="1:15" ht="12.75" customHeight="1">
      <c r="A82" s="4" t="s">
        <v>152</v>
      </c>
      <c r="B82" s="5" t="s">
        <v>153</v>
      </c>
      <c r="C82" s="28">
        <v>2582</v>
      </c>
      <c r="D82" s="28">
        <v>1710</v>
      </c>
      <c r="E82" s="28">
        <v>26</v>
      </c>
      <c r="F82" s="28">
        <f>SUM(C82-D82-E82)</f>
        <v>846</v>
      </c>
      <c r="G82" s="28">
        <v>10650</v>
      </c>
      <c r="H82" s="28">
        <v>5099</v>
      </c>
      <c r="I82" s="28">
        <v>229</v>
      </c>
      <c r="J82" s="28">
        <f>SUM(G82-H82-I82)</f>
        <v>5322</v>
      </c>
      <c r="K82" s="28">
        <v>38</v>
      </c>
      <c r="L82" s="28">
        <v>0</v>
      </c>
      <c r="M82" s="28">
        <v>1208</v>
      </c>
      <c r="N82" s="28">
        <v>114</v>
      </c>
      <c r="O82" s="28">
        <v>114</v>
      </c>
    </row>
    <row r="83" spans="1:15" ht="12.75" customHeight="1">
      <c r="A83" s="4" t="s">
        <v>154</v>
      </c>
      <c r="B83" s="5" t="s">
        <v>155</v>
      </c>
      <c r="C83" s="28">
        <v>737</v>
      </c>
      <c r="D83" s="28">
        <v>661</v>
      </c>
      <c r="E83" s="28">
        <v>77</v>
      </c>
      <c r="F83" s="28">
        <f>SUM(C83-D83-E83)</f>
        <v>-1</v>
      </c>
      <c r="G83" s="28">
        <v>2396</v>
      </c>
      <c r="H83" s="28">
        <v>1996</v>
      </c>
      <c r="I83" s="28">
        <v>390</v>
      </c>
      <c r="J83" s="28">
        <f>SUM(G83-H83-I83)</f>
        <v>10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2236</v>
      </c>
      <c r="D84" s="28">
        <v>2020</v>
      </c>
      <c r="E84" s="28">
        <v>40</v>
      </c>
      <c r="F84" s="28">
        <f>SUM(C84-D84-E84)</f>
        <v>176</v>
      </c>
      <c r="G84" s="28">
        <v>8950</v>
      </c>
      <c r="H84" s="28">
        <v>6297</v>
      </c>
      <c r="I84" s="28">
        <v>272</v>
      </c>
      <c r="J84" s="28">
        <f>SUM(G84-H84-I84)</f>
        <v>2381</v>
      </c>
      <c r="K84" s="28">
        <v>23</v>
      </c>
      <c r="L84" s="28">
        <v>0</v>
      </c>
      <c r="M84" s="28">
        <v>734</v>
      </c>
      <c r="N84" s="28">
        <v>28</v>
      </c>
      <c r="O84" s="28">
        <v>28</v>
      </c>
    </row>
    <row r="85" spans="1:15" ht="12.75" customHeight="1">
      <c r="A85" s="4" t="s">
        <v>158</v>
      </c>
      <c r="B85" s="5" t="s">
        <v>159</v>
      </c>
      <c r="C85" s="28">
        <v>3398</v>
      </c>
      <c r="D85" s="28">
        <v>2894</v>
      </c>
      <c r="E85" s="28">
        <v>144</v>
      </c>
      <c r="F85" s="28">
        <f>SUM(C85-D85-E85)</f>
        <v>360</v>
      </c>
      <c r="G85" s="28">
        <v>9470</v>
      </c>
      <c r="H85" s="28">
        <v>6987</v>
      </c>
      <c r="I85" s="28">
        <v>616</v>
      </c>
      <c r="J85" s="28">
        <f>SUM(G85-H85-I85)</f>
        <v>1867</v>
      </c>
      <c r="K85" s="28">
        <v>42</v>
      </c>
      <c r="L85" s="28">
        <v>82</v>
      </c>
      <c r="M85" s="28">
        <v>765</v>
      </c>
      <c r="N85" s="28">
        <v>1386</v>
      </c>
      <c r="O85" s="28">
        <v>1386</v>
      </c>
    </row>
    <row r="86" spans="1:15" ht="12.75" customHeight="1">
      <c r="A86" s="8"/>
      <c r="B86" s="9" t="s">
        <v>160</v>
      </c>
      <c r="C86" s="29">
        <f t="shared" ref="C86:O86" si="19">SUM(C81:C85)</f>
        <v>14003</v>
      </c>
      <c r="D86" s="29">
        <f t="shared" si="19"/>
        <v>10462</v>
      </c>
      <c r="E86" s="29">
        <f t="shared" si="19"/>
        <v>464</v>
      </c>
      <c r="F86" s="29">
        <f t="shared" si="19"/>
        <v>3077</v>
      </c>
      <c r="G86" s="29">
        <f t="shared" si="19"/>
        <v>50760</v>
      </c>
      <c r="H86" s="29">
        <f t="shared" si="19"/>
        <v>30104</v>
      </c>
      <c r="I86" s="29">
        <f t="shared" si="19"/>
        <v>2758</v>
      </c>
      <c r="J86" s="29">
        <f t="shared" si="19"/>
        <v>17898</v>
      </c>
      <c r="K86" s="29">
        <f t="shared" si="19"/>
        <v>166</v>
      </c>
      <c r="L86" s="29">
        <f t="shared" si="19"/>
        <v>82</v>
      </c>
      <c r="M86" s="29">
        <f t="shared" si="19"/>
        <v>4343</v>
      </c>
      <c r="N86" s="29">
        <f t="shared" si="19"/>
        <v>1871</v>
      </c>
      <c r="O86" s="29">
        <f t="shared" si="19"/>
        <v>1871</v>
      </c>
    </row>
    <row r="87" spans="1:15" ht="12.75" customHeight="1">
      <c r="A87" s="4" t="s">
        <v>161</v>
      </c>
      <c r="B87" s="5" t="s">
        <v>162</v>
      </c>
      <c r="C87" s="28">
        <v>6319</v>
      </c>
      <c r="D87" s="28">
        <v>4472</v>
      </c>
      <c r="E87" s="28">
        <v>0</v>
      </c>
      <c r="F87" s="28">
        <f>SUM(C87-D87-E87)</f>
        <v>1847</v>
      </c>
      <c r="G87" s="28">
        <v>24784</v>
      </c>
      <c r="H87" s="28">
        <v>12425</v>
      </c>
      <c r="I87" s="28">
        <v>0</v>
      </c>
      <c r="J87" s="28">
        <f>SUM(G87-H87-I87)</f>
        <v>12359</v>
      </c>
      <c r="K87" s="28">
        <v>81</v>
      </c>
      <c r="L87" s="28">
        <v>12</v>
      </c>
      <c r="M87" s="28">
        <v>1868</v>
      </c>
      <c r="N87" s="28">
        <v>84</v>
      </c>
      <c r="O87" s="28">
        <v>84</v>
      </c>
    </row>
    <row r="88" spans="1:15" ht="12.75" customHeight="1">
      <c r="A88" s="4" t="s">
        <v>163</v>
      </c>
      <c r="B88" s="5" t="s">
        <v>164</v>
      </c>
      <c r="C88" s="28">
        <v>3451</v>
      </c>
      <c r="D88" s="28">
        <v>2169</v>
      </c>
      <c r="E88" s="28">
        <v>191</v>
      </c>
      <c r="F88" s="28">
        <f>SUM(C88-D88-E88)</f>
        <v>1091</v>
      </c>
      <c r="G88" s="28">
        <v>9955</v>
      </c>
      <c r="H88" s="28">
        <v>5088</v>
      </c>
      <c r="I88" s="28">
        <v>1207</v>
      </c>
      <c r="J88" s="28">
        <f>SUM(G88-H88-I88)</f>
        <v>3660</v>
      </c>
      <c r="K88" s="28">
        <v>7</v>
      </c>
      <c r="L88" s="28">
        <v>17</v>
      </c>
      <c r="M88" s="28">
        <v>527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9770</v>
      </c>
      <c r="D89" s="29">
        <f t="shared" si="20"/>
        <v>6641</v>
      </c>
      <c r="E89" s="29">
        <f t="shared" si="20"/>
        <v>191</v>
      </c>
      <c r="F89" s="29">
        <f t="shared" si="20"/>
        <v>2938</v>
      </c>
      <c r="G89" s="29">
        <f t="shared" si="20"/>
        <v>34739</v>
      </c>
      <c r="H89" s="29">
        <f t="shared" si="20"/>
        <v>17513</v>
      </c>
      <c r="I89" s="29">
        <f t="shared" si="20"/>
        <v>1207</v>
      </c>
      <c r="J89" s="29">
        <f t="shared" si="20"/>
        <v>16019</v>
      </c>
      <c r="K89" s="29">
        <f t="shared" si="20"/>
        <v>88</v>
      </c>
      <c r="L89" s="29">
        <f t="shared" si="20"/>
        <v>29</v>
      </c>
      <c r="M89" s="29">
        <f t="shared" si="20"/>
        <v>2395</v>
      </c>
      <c r="N89" s="29">
        <f t="shared" si="20"/>
        <v>84</v>
      </c>
      <c r="O89" s="29">
        <f t="shared" si="20"/>
        <v>84</v>
      </c>
    </row>
    <row r="90" spans="1:15" ht="12.75" customHeight="1">
      <c r="A90" s="4" t="s">
        <v>166</v>
      </c>
      <c r="B90" s="5" t="s">
        <v>167</v>
      </c>
      <c r="C90" s="28">
        <v>5091</v>
      </c>
      <c r="D90" s="28">
        <v>3014</v>
      </c>
      <c r="E90" s="28">
        <v>355</v>
      </c>
      <c r="F90" s="28">
        <f>SUM(C90-D90-E90)</f>
        <v>1722</v>
      </c>
      <c r="G90" s="28">
        <v>22556</v>
      </c>
      <c r="H90" s="28">
        <v>9130</v>
      </c>
      <c r="I90" s="28">
        <v>2291</v>
      </c>
      <c r="J90" s="28">
        <f>SUM(G90-H90-I90)</f>
        <v>11135</v>
      </c>
      <c r="K90" s="28">
        <v>17</v>
      </c>
      <c r="L90" s="28">
        <v>0</v>
      </c>
      <c r="M90" s="28">
        <v>2046</v>
      </c>
      <c r="N90" s="28">
        <v>24</v>
      </c>
      <c r="O90" s="28">
        <v>24</v>
      </c>
    </row>
    <row r="91" spans="1:15" ht="12.75" customHeight="1">
      <c r="A91" s="4" t="s">
        <v>168</v>
      </c>
      <c r="B91" s="5" t="s">
        <v>169</v>
      </c>
      <c r="C91" s="28">
        <v>6120</v>
      </c>
      <c r="D91" s="28">
        <v>4613</v>
      </c>
      <c r="E91" s="28">
        <v>0</v>
      </c>
      <c r="F91" s="28">
        <f>SUM(C91-D91-E91)</f>
        <v>1507</v>
      </c>
      <c r="G91" s="28">
        <v>24774</v>
      </c>
      <c r="H91" s="28">
        <v>11144</v>
      </c>
      <c r="I91" s="28">
        <v>0</v>
      </c>
      <c r="J91" s="28">
        <f>SUM(G91-H91-I91)</f>
        <v>13630</v>
      </c>
      <c r="K91" s="28">
        <v>12</v>
      </c>
      <c r="L91" s="28">
        <v>17</v>
      </c>
      <c r="M91" s="28">
        <v>4212</v>
      </c>
      <c r="N91" s="28">
        <v>50</v>
      </c>
      <c r="O91" s="28">
        <v>50</v>
      </c>
    </row>
    <row r="92" spans="1:15" ht="12.75" customHeight="1">
      <c r="A92" s="4" t="s">
        <v>170</v>
      </c>
      <c r="B92" s="5" t="s">
        <v>171</v>
      </c>
      <c r="C92" s="28">
        <v>1494</v>
      </c>
      <c r="D92" s="28">
        <v>841</v>
      </c>
      <c r="E92" s="28">
        <v>148</v>
      </c>
      <c r="F92" s="28">
        <f>SUM(C92-D92-E92)</f>
        <v>505</v>
      </c>
      <c r="G92" s="28">
        <v>4676</v>
      </c>
      <c r="H92" s="28">
        <v>2038</v>
      </c>
      <c r="I92" s="28">
        <v>1147</v>
      </c>
      <c r="J92" s="28">
        <f>SUM(G92-H92-I92)</f>
        <v>1491</v>
      </c>
      <c r="K92" s="28">
        <v>9</v>
      </c>
      <c r="L92" s="28">
        <v>0</v>
      </c>
      <c r="M92" s="28">
        <v>234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58609</v>
      </c>
      <c r="D93" s="28">
        <v>38546</v>
      </c>
      <c r="E93" s="28">
        <v>2545</v>
      </c>
      <c r="F93" s="28">
        <f>SUM(C93-D93-E93)</f>
        <v>17518</v>
      </c>
      <c r="G93" s="28">
        <v>197046</v>
      </c>
      <c r="H93" s="28">
        <v>66895</v>
      </c>
      <c r="I93" s="28">
        <v>8740</v>
      </c>
      <c r="J93" s="28">
        <f>SUM(G93-H93-I93)</f>
        <v>121411</v>
      </c>
      <c r="K93" s="28">
        <v>4720</v>
      </c>
      <c r="L93" s="28">
        <v>42</v>
      </c>
      <c r="M93" s="28">
        <v>23608</v>
      </c>
      <c r="N93" s="28">
        <v>3325</v>
      </c>
      <c r="O93" s="28">
        <v>3325</v>
      </c>
    </row>
    <row r="94" spans="1:15" ht="12.75" customHeight="1">
      <c r="A94" s="4" t="s">
        <v>174</v>
      </c>
      <c r="B94" s="5" t="s">
        <v>175</v>
      </c>
      <c r="C94" s="28">
        <v>4191</v>
      </c>
      <c r="D94" s="28">
        <v>1307</v>
      </c>
      <c r="E94" s="28">
        <v>90</v>
      </c>
      <c r="F94" s="28">
        <f>SUM(C94-D94-E94)</f>
        <v>2794</v>
      </c>
      <c r="G94" s="28">
        <v>11741</v>
      </c>
      <c r="H94" s="28">
        <v>3916</v>
      </c>
      <c r="I94" s="28">
        <v>589</v>
      </c>
      <c r="J94" s="28">
        <f>SUM(G94-H94-I94)</f>
        <v>7236</v>
      </c>
      <c r="K94" s="28">
        <v>63</v>
      </c>
      <c r="L94" s="28">
        <v>224</v>
      </c>
      <c r="M94" s="28">
        <v>1919</v>
      </c>
      <c r="N94" s="28">
        <v>13</v>
      </c>
      <c r="O94" s="28">
        <v>13</v>
      </c>
    </row>
    <row r="95" spans="1:15" ht="12.75" customHeight="1">
      <c r="A95" s="8"/>
      <c r="B95" s="9" t="s">
        <v>176</v>
      </c>
      <c r="C95" s="29">
        <f t="shared" ref="C95:O95" si="21">SUM(C90:C94)</f>
        <v>75505</v>
      </c>
      <c r="D95" s="29">
        <f t="shared" si="21"/>
        <v>48321</v>
      </c>
      <c r="E95" s="29">
        <f t="shared" si="21"/>
        <v>3138</v>
      </c>
      <c r="F95" s="29">
        <f t="shared" si="21"/>
        <v>24046</v>
      </c>
      <c r="G95" s="29">
        <f t="shared" si="21"/>
        <v>260793</v>
      </c>
      <c r="H95" s="29">
        <f t="shared" si="21"/>
        <v>93123</v>
      </c>
      <c r="I95" s="29">
        <f t="shared" si="21"/>
        <v>12767</v>
      </c>
      <c r="J95" s="29">
        <f t="shared" si="21"/>
        <v>154903</v>
      </c>
      <c r="K95" s="29">
        <f t="shared" si="21"/>
        <v>4821</v>
      </c>
      <c r="L95" s="29">
        <f t="shared" si="21"/>
        <v>283</v>
      </c>
      <c r="M95" s="29">
        <f t="shared" si="21"/>
        <v>32019</v>
      </c>
      <c r="N95" s="29">
        <f t="shared" si="21"/>
        <v>3412</v>
      </c>
      <c r="O95" s="29">
        <f t="shared" si="21"/>
        <v>3412</v>
      </c>
    </row>
    <row r="96" spans="1:15" ht="12.75" customHeight="1">
      <c r="A96" s="4" t="s">
        <v>177</v>
      </c>
      <c r="B96" s="5" t="s">
        <v>178</v>
      </c>
      <c r="C96" s="28">
        <v>1150</v>
      </c>
      <c r="D96" s="28">
        <v>987</v>
      </c>
      <c r="E96" s="28">
        <v>59</v>
      </c>
      <c r="F96" s="28">
        <f>SUM(C96-D96-E96)</f>
        <v>104</v>
      </c>
      <c r="G96" s="28">
        <v>6192</v>
      </c>
      <c r="H96" s="28">
        <v>3586</v>
      </c>
      <c r="I96" s="28">
        <v>354</v>
      </c>
      <c r="J96" s="28">
        <f>SUM(G96-H96-I96)</f>
        <v>2252</v>
      </c>
      <c r="K96" s="28">
        <v>0</v>
      </c>
      <c r="L96" s="28">
        <v>0</v>
      </c>
      <c r="M96" s="28">
        <v>2012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398</v>
      </c>
      <c r="D97" s="28">
        <v>379</v>
      </c>
      <c r="E97" s="28">
        <v>0</v>
      </c>
      <c r="F97" s="28">
        <f>SUM(C97-D97-E97)</f>
        <v>19</v>
      </c>
      <c r="G97" s="28">
        <v>1328</v>
      </c>
      <c r="H97" s="28">
        <v>1243</v>
      </c>
      <c r="I97" s="28">
        <v>0</v>
      </c>
      <c r="J97" s="28">
        <f>SUM(G97-H97-I97)</f>
        <v>85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1548</v>
      </c>
      <c r="D98" s="29">
        <f t="shared" si="22"/>
        <v>1366</v>
      </c>
      <c r="E98" s="29">
        <f t="shared" si="22"/>
        <v>59</v>
      </c>
      <c r="F98" s="29">
        <f t="shared" si="22"/>
        <v>123</v>
      </c>
      <c r="G98" s="29">
        <f t="shared" si="22"/>
        <v>7520</v>
      </c>
      <c r="H98" s="29">
        <f t="shared" si="22"/>
        <v>4829</v>
      </c>
      <c r="I98" s="29">
        <f t="shared" si="22"/>
        <v>354</v>
      </c>
      <c r="J98" s="29">
        <f t="shared" si="22"/>
        <v>2337</v>
      </c>
      <c r="K98" s="29">
        <f t="shared" si="22"/>
        <v>0</v>
      </c>
      <c r="L98" s="29">
        <f t="shared" si="22"/>
        <v>0</v>
      </c>
      <c r="M98" s="29">
        <f t="shared" si="22"/>
        <v>2012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2977</v>
      </c>
      <c r="D99" s="28">
        <v>2596</v>
      </c>
      <c r="E99" s="28">
        <v>117</v>
      </c>
      <c r="F99" s="28">
        <f>SUM(C99-D99-E99)</f>
        <v>264</v>
      </c>
      <c r="G99" s="28">
        <v>11299</v>
      </c>
      <c r="H99" s="28">
        <v>7677</v>
      </c>
      <c r="I99" s="28">
        <v>649</v>
      </c>
      <c r="J99" s="28">
        <f>SUM(G99-H99-I99)</f>
        <v>2973</v>
      </c>
      <c r="K99" s="28">
        <v>5</v>
      </c>
      <c r="L99" s="28">
        <v>0</v>
      </c>
      <c r="M99" s="28">
        <v>854</v>
      </c>
      <c r="N99" s="28">
        <v>40</v>
      </c>
      <c r="O99" s="28">
        <v>40</v>
      </c>
    </row>
    <row r="100" spans="1:15" ht="12.75" customHeight="1">
      <c r="A100" s="4" t="s">
        <v>184</v>
      </c>
      <c r="B100" s="5" t="s">
        <v>185</v>
      </c>
      <c r="C100" s="28">
        <v>2449</v>
      </c>
      <c r="D100" s="28">
        <v>1547</v>
      </c>
      <c r="E100" s="28">
        <v>143</v>
      </c>
      <c r="F100" s="28">
        <f>SUM(C100-D100-E100)</f>
        <v>759</v>
      </c>
      <c r="G100" s="28">
        <v>10967</v>
      </c>
      <c r="H100" s="28">
        <v>4179</v>
      </c>
      <c r="I100" s="28">
        <v>750</v>
      </c>
      <c r="J100" s="28">
        <f>SUM(G100-H100-I100)</f>
        <v>6038</v>
      </c>
      <c r="K100" s="28">
        <v>69</v>
      </c>
      <c r="L100" s="28">
        <v>0</v>
      </c>
      <c r="M100" s="28">
        <v>721</v>
      </c>
      <c r="N100" s="28">
        <v>223</v>
      </c>
      <c r="O100" s="28">
        <v>223</v>
      </c>
    </row>
    <row r="101" spans="1:15" ht="12.75" customHeight="1">
      <c r="A101" s="4" t="s">
        <v>186</v>
      </c>
      <c r="B101" s="5" t="s">
        <v>187</v>
      </c>
      <c r="C101" s="28">
        <v>1521</v>
      </c>
      <c r="D101" s="28">
        <v>1354</v>
      </c>
      <c r="E101" s="28">
        <v>0</v>
      </c>
      <c r="F101" s="28">
        <f>SUM(C101-D101-E101)</f>
        <v>167</v>
      </c>
      <c r="G101" s="28">
        <v>5070</v>
      </c>
      <c r="H101" s="28">
        <v>3730</v>
      </c>
      <c r="I101" s="28">
        <v>0</v>
      </c>
      <c r="J101" s="28">
        <f>SUM(G101-H101-I101)</f>
        <v>1340</v>
      </c>
      <c r="K101" s="28">
        <v>3</v>
      </c>
      <c r="L101" s="28">
        <v>0</v>
      </c>
      <c r="M101" s="28">
        <v>250</v>
      </c>
      <c r="N101" s="28">
        <v>29</v>
      </c>
      <c r="O101" s="28">
        <v>29</v>
      </c>
    </row>
    <row r="102" spans="1:15" ht="12.75" customHeight="1">
      <c r="A102" s="4" t="s">
        <v>188</v>
      </c>
      <c r="B102" s="5" t="s">
        <v>189</v>
      </c>
      <c r="C102" s="28">
        <v>2943</v>
      </c>
      <c r="D102" s="28">
        <v>2235</v>
      </c>
      <c r="E102" s="28">
        <v>185</v>
      </c>
      <c r="F102" s="28">
        <f>SUM(C102-D102-E102)</f>
        <v>523</v>
      </c>
      <c r="G102" s="28">
        <v>8851</v>
      </c>
      <c r="H102" s="28">
        <v>5691</v>
      </c>
      <c r="I102" s="28">
        <v>1268</v>
      </c>
      <c r="J102" s="28">
        <f>SUM(G102-H102-I102)</f>
        <v>1892</v>
      </c>
      <c r="K102" s="28">
        <v>123</v>
      </c>
      <c r="L102" s="28">
        <v>0</v>
      </c>
      <c r="M102" s="28">
        <v>390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9890</v>
      </c>
      <c r="D103" s="29">
        <f t="shared" si="23"/>
        <v>7732</v>
      </c>
      <c r="E103" s="29">
        <f t="shared" si="23"/>
        <v>445</v>
      </c>
      <c r="F103" s="29">
        <f t="shared" si="23"/>
        <v>1713</v>
      </c>
      <c r="G103" s="29">
        <f t="shared" si="23"/>
        <v>36187</v>
      </c>
      <c r="H103" s="29">
        <f t="shared" si="23"/>
        <v>21277</v>
      </c>
      <c r="I103" s="29">
        <f t="shared" si="23"/>
        <v>2667</v>
      </c>
      <c r="J103" s="29">
        <f t="shared" si="23"/>
        <v>12243</v>
      </c>
      <c r="K103" s="29">
        <f t="shared" si="23"/>
        <v>200</v>
      </c>
      <c r="L103" s="29">
        <f t="shared" si="23"/>
        <v>0</v>
      </c>
      <c r="M103" s="29">
        <f t="shared" si="23"/>
        <v>2215</v>
      </c>
      <c r="N103" s="29">
        <f t="shared" si="23"/>
        <v>292</v>
      </c>
      <c r="O103" s="29">
        <f t="shared" si="23"/>
        <v>292</v>
      </c>
    </row>
    <row r="104" spans="1:15" ht="12.75" customHeight="1">
      <c r="A104" s="4" t="s">
        <v>191</v>
      </c>
      <c r="B104" s="5" t="s">
        <v>192</v>
      </c>
      <c r="C104" s="28">
        <v>1956</v>
      </c>
      <c r="D104" s="28">
        <v>1542</v>
      </c>
      <c r="E104" s="28">
        <v>69</v>
      </c>
      <c r="F104" s="28">
        <f>SUM(C104-D104-E104)</f>
        <v>345</v>
      </c>
      <c r="G104" s="28">
        <v>7904</v>
      </c>
      <c r="H104" s="28">
        <v>4869</v>
      </c>
      <c r="I104" s="28">
        <v>534</v>
      </c>
      <c r="J104" s="28">
        <f>SUM(G104-H104-I104)</f>
        <v>2501</v>
      </c>
      <c r="K104" s="28">
        <v>11</v>
      </c>
      <c r="L104" s="28">
        <v>0</v>
      </c>
      <c r="M104" s="28">
        <v>434</v>
      </c>
      <c r="N104" s="28">
        <v>44</v>
      </c>
      <c r="O104" s="28">
        <v>44</v>
      </c>
    </row>
    <row r="105" spans="1:15" ht="12.75" customHeight="1">
      <c r="A105" s="4" t="s">
        <v>193</v>
      </c>
      <c r="B105" s="5" t="s">
        <v>194</v>
      </c>
      <c r="C105" s="28">
        <v>1386</v>
      </c>
      <c r="D105" s="28">
        <v>959</v>
      </c>
      <c r="E105" s="28">
        <v>0</v>
      </c>
      <c r="F105" s="28">
        <f>SUM(C105-D105-E105)</f>
        <v>427</v>
      </c>
      <c r="G105" s="28">
        <v>8935</v>
      </c>
      <c r="H105" s="28">
        <v>2873</v>
      </c>
      <c r="I105" s="28">
        <v>0</v>
      </c>
      <c r="J105" s="28">
        <f>SUM(G105-H105-I105)</f>
        <v>6062</v>
      </c>
      <c r="K105" s="28">
        <v>0</v>
      </c>
      <c r="L105" s="28">
        <v>0</v>
      </c>
      <c r="M105" s="28">
        <v>764</v>
      </c>
      <c r="N105" s="28">
        <v>52</v>
      </c>
      <c r="O105" s="28">
        <v>52</v>
      </c>
    </row>
    <row r="106" spans="1:15" ht="12.75" customHeight="1">
      <c r="A106" s="4" t="s">
        <v>195</v>
      </c>
      <c r="B106" s="5" t="s">
        <v>196</v>
      </c>
      <c r="C106" s="28">
        <v>6692</v>
      </c>
      <c r="D106" s="28">
        <v>4511</v>
      </c>
      <c r="E106" s="28">
        <v>218</v>
      </c>
      <c r="F106" s="28">
        <f>SUM(C106-D106-E106)</f>
        <v>1963</v>
      </c>
      <c r="G106" s="28">
        <v>29864</v>
      </c>
      <c r="H106" s="28">
        <v>13192</v>
      </c>
      <c r="I106" s="28">
        <v>1259</v>
      </c>
      <c r="J106" s="28">
        <f>SUM(G106-H106-I106)</f>
        <v>15413</v>
      </c>
      <c r="K106" s="28">
        <v>32</v>
      </c>
      <c r="L106" s="28">
        <v>0</v>
      </c>
      <c r="M106" s="28">
        <v>7830</v>
      </c>
      <c r="N106" s="28">
        <v>112</v>
      </c>
      <c r="O106" s="28">
        <v>112</v>
      </c>
    </row>
    <row r="107" spans="1:15" ht="12.75" customHeight="1">
      <c r="A107" s="4" t="s">
        <v>197</v>
      </c>
      <c r="B107" s="5" t="s">
        <v>198</v>
      </c>
      <c r="C107" s="28">
        <v>23348</v>
      </c>
      <c r="D107" s="28">
        <v>16292</v>
      </c>
      <c r="E107" s="28">
        <v>707</v>
      </c>
      <c r="F107" s="28">
        <f>SUM(C107-D107-E107)</f>
        <v>6349</v>
      </c>
      <c r="G107" s="28">
        <v>63257</v>
      </c>
      <c r="H107" s="28">
        <v>30524</v>
      </c>
      <c r="I107" s="28">
        <v>1850</v>
      </c>
      <c r="J107" s="28">
        <f>SUM(G107-H107-I107)</f>
        <v>30883</v>
      </c>
      <c r="K107" s="28">
        <v>1762</v>
      </c>
      <c r="L107" s="28">
        <v>0</v>
      </c>
      <c r="M107" s="28">
        <v>1532</v>
      </c>
      <c r="N107" s="28">
        <v>1769</v>
      </c>
      <c r="O107" s="28">
        <v>1769</v>
      </c>
    </row>
    <row r="108" spans="1:15" ht="12.75" customHeight="1">
      <c r="A108" s="4" t="s">
        <v>199</v>
      </c>
      <c r="B108" s="5" t="s">
        <v>200</v>
      </c>
      <c r="C108" s="28">
        <v>6259</v>
      </c>
      <c r="D108" s="28">
        <v>4464</v>
      </c>
      <c r="E108" s="28">
        <v>257</v>
      </c>
      <c r="F108" s="28">
        <f>SUM(C108-D108-E108)</f>
        <v>1538</v>
      </c>
      <c r="G108" s="28">
        <v>31130</v>
      </c>
      <c r="H108" s="28">
        <v>12980</v>
      </c>
      <c r="I108" s="28">
        <v>1527</v>
      </c>
      <c r="J108" s="28">
        <f>SUM(G108-H108-I108)</f>
        <v>16623</v>
      </c>
      <c r="K108" s="28">
        <v>67</v>
      </c>
      <c r="L108" s="28">
        <v>0</v>
      </c>
      <c r="M108" s="28">
        <v>1854</v>
      </c>
      <c r="N108" s="28">
        <v>487</v>
      </c>
      <c r="O108" s="28">
        <v>487</v>
      </c>
    </row>
    <row r="109" spans="1:15" ht="12.75" customHeight="1">
      <c r="A109" s="8"/>
      <c r="B109" s="9" t="s">
        <v>201</v>
      </c>
      <c r="C109" s="29">
        <f t="shared" ref="C109:O109" si="24">SUM(C104:C108)</f>
        <v>39641</v>
      </c>
      <c r="D109" s="29">
        <f t="shared" si="24"/>
        <v>27768</v>
      </c>
      <c r="E109" s="29">
        <f t="shared" si="24"/>
        <v>1251</v>
      </c>
      <c r="F109" s="29">
        <f t="shared" si="24"/>
        <v>10622</v>
      </c>
      <c r="G109" s="29">
        <f t="shared" si="24"/>
        <v>141090</v>
      </c>
      <c r="H109" s="29">
        <f t="shared" si="24"/>
        <v>64438</v>
      </c>
      <c r="I109" s="29">
        <f t="shared" si="24"/>
        <v>5170</v>
      </c>
      <c r="J109" s="29">
        <f t="shared" si="24"/>
        <v>71482</v>
      </c>
      <c r="K109" s="29">
        <f t="shared" si="24"/>
        <v>1872</v>
      </c>
      <c r="L109" s="29">
        <f t="shared" si="24"/>
        <v>0</v>
      </c>
      <c r="M109" s="29">
        <f t="shared" si="24"/>
        <v>12414</v>
      </c>
      <c r="N109" s="29">
        <f t="shared" si="24"/>
        <v>2464</v>
      </c>
      <c r="O109" s="29">
        <f t="shared" si="24"/>
        <v>2464</v>
      </c>
    </row>
    <row r="110" spans="1:15" ht="12.75" customHeight="1">
      <c r="A110" s="4" t="s">
        <v>202</v>
      </c>
      <c r="B110" s="5" t="s">
        <v>203</v>
      </c>
      <c r="C110" s="28">
        <v>10640</v>
      </c>
      <c r="D110" s="28">
        <v>8576</v>
      </c>
      <c r="E110" s="28">
        <v>136</v>
      </c>
      <c r="F110" s="28">
        <f t="shared" ref="F110:F115" si="25">SUM(C110-D110-E110)</f>
        <v>1928</v>
      </c>
      <c r="G110" s="28">
        <v>45333</v>
      </c>
      <c r="H110" s="28">
        <v>27185</v>
      </c>
      <c r="I110" s="28">
        <v>874</v>
      </c>
      <c r="J110" s="28">
        <f t="shared" ref="J110:J115" si="26">SUM(G110-H110-I110)</f>
        <v>17274</v>
      </c>
      <c r="K110" s="28">
        <v>242</v>
      </c>
      <c r="L110" s="28">
        <v>0</v>
      </c>
      <c r="M110" s="28">
        <v>5237</v>
      </c>
      <c r="N110" s="28">
        <v>56</v>
      </c>
      <c r="O110" s="28">
        <v>56</v>
      </c>
    </row>
    <row r="111" spans="1:15" ht="12.75" customHeight="1">
      <c r="A111" s="4" t="s">
        <v>204</v>
      </c>
      <c r="B111" s="5" t="s">
        <v>205</v>
      </c>
      <c r="C111" s="28">
        <v>1184</v>
      </c>
      <c r="D111" s="28">
        <v>1138</v>
      </c>
      <c r="E111" s="28">
        <v>26</v>
      </c>
      <c r="F111" s="28">
        <f t="shared" si="25"/>
        <v>20</v>
      </c>
      <c r="G111" s="28">
        <v>3760</v>
      </c>
      <c r="H111" s="28">
        <v>3114</v>
      </c>
      <c r="I111" s="28">
        <v>218</v>
      </c>
      <c r="J111" s="28">
        <f t="shared" si="26"/>
        <v>428</v>
      </c>
      <c r="K111" s="28">
        <v>13</v>
      </c>
      <c r="L111" s="28">
        <v>0</v>
      </c>
      <c r="M111" s="28">
        <v>828</v>
      </c>
      <c r="N111" s="28">
        <v>28</v>
      </c>
      <c r="O111" s="28">
        <v>28</v>
      </c>
    </row>
    <row r="112" spans="1:15" ht="12.75" customHeight="1">
      <c r="A112" s="4" t="s">
        <v>206</v>
      </c>
      <c r="B112" s="5" t="s">
        <v>207</v>
      </c>
      <c r="C112" s="28">
        <v>3213</v>
      </c>
      <c r="D112" s="28">
        <v>2737</v>
      </c>
      <c r="E112" s="28">
        <v>0</v>
      </c>
      <c r="F112" s="28">
        <f t="shared" si="25"/>
        <v>476</v>
      </c>
      <c r="G112" s="28">
        <v>10862</v>
      </c>
      <c r="H112" s="28">
        <v>8071</v>
      </c>
      <c r="I112" s="28">
        <v>0</v>
      </c>
      <c r="J112" s="28">
        <f t="shared" si="26"/>
        <v>2791</v>
      </c>
      <c r="K112" s="28">
        <v>24</v>
      </c>
      <c r="L112" s="28">
        <v>0</v>
      </c>
      <c r="M112" s="28">
        <v>709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3265</v>
      </c>
      <c r="D113" s="28">
        <v>2293</v>
      </c>
      <c r="E113" s="28">
        <v>168</v>
      </c>
      <c r="F113" s="28">
        <f t="shared" si="25"/>
        <v>804</v>
      </c>
      <c r="G113" s="28">
        <v>12524</v>
      </c>
      <c r="H113" s="28">
        <v>6940</v>
      </c>
      <c r="I113" s="28">
        <v>834</v>
      </c>
      <c r="J113" s="28">
        <f t="shared" si="26"/>
        <v>4750</v>
      </c>
      <c r="K113" s="28">
        <v>16</v>
      </c>
      <c r="L113" s="28">
        <v>0</v>
      </c>
      <c r="M113" s="28">
        <v>5544</v>
      </c>
      <c r="N113" s="28">
        <v>28</v>
      </c>
      <c r="O113" s="28">
        <v>28</v>
      </c>
    </row>
    <row r="114" spans="1:15" ht="12.75" customHeight="1">
      <c r="A114" s="4" t="s">
        <v>210</v>
      </c>
      <c r="B114" s="5" t="s">
        <v>211</v>
      </c>
      <c r="C114" s="28">
        <v>7635</v>
      </c>
      <c r="D114" s="28">
        <v>6149</v>
      </c>
      <c r="E114" s="28">
        <v>0</v>
      </c>
      <c r="F114" s="28">
        <f t="shared" si="25"/>
        <v>1486</v>
      </c>
      <c r="G114" s="28">
        <v>20458</v>
      </c>
      <c r="H114" s="28">
        <v>14363</v>
      </c>
      <c r="I114" s="28">
        <v>0</v>
      </c>
      <c r="J114" s="28">
        <f t="shared" si="26"/>
        <v>6095</v>
      </c>
      <c r="K114" s="28">
        <v>703</v>
      </c>
      <c r="L114" s="28">
        <v>0</v>
      </c>
      <c r="M114" s="28">
        <v>2200</v>
      </c>
      <c r="N114" s="28">
        <v>410</v>
      </c>
      <c r="O114" s="28">
        <v>410</v>
      </c>
    </row>
    <row r="115" spans="1:15" ht="12.75" customHeight="1">
      <c r="A115" s="4" t="s">
        <v>212</v>
      </c>
      <c r="B115" s="5" t="s">
        <v>213</v>
      </c>
      <c r="C115" s="28">
        <v>5270</v>
      </c>
      <c r="D115" s="28">
        <v>3879</v>
      </c>
      <c r="E115" s="28">
        <v>0</v>
      </c>
      <c r="F115" s="28">
        <f t="shared" si="25"/>
        <v>1391</v>
      </c>
      <c r="G115" s="28">
        <v>18173</v>
      </c>
      <c r="H115" s="28">
        <v>11434</v>
      </c>
      <c r="I115" s="28">
        <v>0</v>
      </c>
      <c r="J115" s="28">
        <f t="shared" si="26"/>
        <v>6739</v>
      </c>
      <c r="K115" s="28">
        <v>1793</v>
      </c>
      <c r="L115" s="28">
        <v>0</v>
      </c>
      <c r="M115" s="28">
        <v>1487</v>
      </c>
      <c r="N115" s="28">
        <v>295</v>
      </c>
      <c r="O115" s="28">
        <v>295</v>
      </c>
    </row>
    <row r="116" spans="1:15" ht="12.75" customHeight="1">
      <c r="A116" s="8"/>
      <c r="B116" s="9" t="s">
        <v>214</v>
      </c>
      <c r="C116" s="29">
        <f t="shared" ref="C116:O116" si="27">SUM(C110:C115)</f>
        <v>31207</v>
      </c>
      <c r="D116" s="29">
        <f t="shared" si="27"/>
        <v>24772</v>
      </c>
      <c r="E116" s="29">
        <f t="shared" si="27"/>
        <v>330</v>
      </c>
      <c r="F116" s="29">
        <f t="shared" si="27"/>
        <v>6105</v>
      </c>
      <c r="G116" s="29">
        <f t="shared" si="27"/>
        <v>111110</v>
      </c>
      <c r="H116" s="29">
        <f t="shared" si="27"/>
        <v>71107</v>
      </c>
      <c r="I116" s="29">
        <f t="shared" si="27"/>
        <v>1926</v>
      </c>
      <c r="J116" s="29">
        <f t="shared" si="27"/>
        <v>38077</v>
      </c>
      <c r="K116" s="29">
        <f t="shared" si="27"/>
        <v>2791</v>
      </c>
      <c r="L116" s="29">
        <f t="shared" si="27"/>
        <v>0</v>
      </c>
      <c r="M116" s="29">
        <f t="shared" si="27"/>
        <v>16005</v>
      </c>
      <c r="N116" s="29">
        <f t="shared" si="27"/>
        <v>817</v>
      </c>
      <c r="O116" s="29">
        <f t="shared" si="27"/>
        <v>817</v>
      </c>
    </row>
    <row r="117" spans="1:15" ht="12.75" customHeight="1">
      <c r="A117" s="4" t="s">
        <v>215</v>
      </c>
      <c r="B117" s="5" t="s">
        <v>216</v>
      </c>
      <c r="C117" s="28">
        <v>1124</v>
      </c>
      <c r="D117" s="28">
        <v>944</v>
      </c>
      <c r="E117" s="28">
        <v>0</v>
      </c>
      <c r="F117" s="28">
        <f>SUM(C117-D117-E117)</f>
        <v>180</v>
      </c>
      <c r="G117" s="28">
        <v>4552</v>
      </c>
      <c r="H117" s="28">
        <v>3240</v>
      </c>
      <c r="I117" s="28">
        <v>0</v>
      </c>
      <c r="J117" s="28">
        <f>SUM(G117-H117-I117)</f>
        <v>1312</v>
      </c>
      <c r="K117" s="28">
        <v>0</v>
      </c>
      <c r="L117" s="28">
        <v>0</v>
      </c>
      <c r="M117" s="28">
        <v>1197</v>
      </c>
      <c r="N117" s="28">
        <v>40</v>
      </c>
      <c r="O117" s="28">
        <v>40</v>
      </c>
    </row>
    <row r="118" spans="1:15" ht="12.75" customHeight="1">
      <c r="A118" s="4" t="s">
        <v>217</v>
      </c>
      <c r="B118" s="5" t="s">
        <v>218</v>
      </c>
      <c r="C118" s="28">
        <v>2580</v>
      </c>
      <c r="D118" s="28">
        <v>2202</v>
      </c>
      <c r="E118" s="28">
        <v>51</v>
      </c>
      <c r="F118" s="28">
        <f>SUM(C118-D118-E118)</f>
        <v>327</v>
      </c>
      <c r="G118" s="28">
        <v>9667</v>
      </c>
      <c r="H118" s="28">
        <v>6406</v>
      </c>
      <c r="I118" s="28">
        <v>366</v>
      </c>
      <c r="J118" s="28">
        <f>SUM(G118-H118-I118)</f>
        <v>2895</v>
      </c>
      <c r="K118" s="28">
        <v>0</v>
      </c>
      <c r="L118" s="28">
        <v>0</v>
      </c>
      <c r="M118" s="28">
        <v>1355</v>
      </c>
      <c r="N118" s="28">
        <v>340</v>
      </c>
      <c r="O118" s="28">
        <v>340</v>
      </c>
    </row>
    <row r="119" spans="1:15" ht="12.75" customHeight="1">
      <c r="A119" s="8"/>
      <c r="B119" s="9" t="s">
        <v>219</v>
      </c>
      <c r="C119" s="29">
        <f t="shared" ref="C119:O119" si="28">SUM(C117:C118)</f>
        <v>3704</v>
      </c>
      <c r="D119" s="29">
        <f t="shared" si="28"/>
        <v>3146</v>
      </c>
      <c r="E119" s="29">
        <f t="shared" si="28"/>
        <v>51</v>
      </c>
      <c r="F119" s="29">
        <f t="shared" si="28"/>
        <v>507</v>
      </c>
      <c r="G119" s="29">
        <f t="shared" si="28"/>
        <v>14219</v>
      </c>
      <c r="H119" s="29">
        <f t="shared" si="28"/>
        <v>9646</v>
      </c>
      <c r="I119" s="29">
        <f t="shared" si="28"/>
        <v>366</v>
      </c>
      <c r="J119" s="29">
        <f t="shared" si="28"/>
        <v>4207</v>
      </c>
      <c r="K119" s="29">
        <f t="shared" si="28"/>
        <v>0</v>
      </c>
      <c r="L119" s="29">
        <f t="shared" si="28"/>
        <v>0</v>
      </c>
      <c r="M119" s="29">
        <f t="shared" si="28"/>
        <v>2552</v>
      </c>
      <c r="N119" s="29">
        <f t="shared" si="28"/>
        <v>380</v>
      </c>
      <c r="O119" s="29">
        <f t="shared" si="28"/>
        <v>380</v>
      </c>
    </row>
    <row r="120" spans="1:15" ht="12.75" customHeight="1">
      <c r="A120" s="4" t="s">
        <v>220</v>
      </c>
      <c r="B120" s="5" t="s">
        <v>221</v>
      </c>
      <c r="C120" s="28">
        <v>3213</v>
      </c>
      <c r="D120" s="28">
        <v>2945</v>
      </c>
      <c r="E120" s="28">
        <v>68</v>
      </c>
      <c r="F120" s="28">
        <f>SUM(C120-D120-E120)</f>
        <v>200</v>
      </c>
      <c r="G120" s="28">
        <v>10002</v>
      </c>
      <c r="H120" s="28">
        <v>7997</v>
      </c>
      <c r="I120" s="28">
        <v>533</v>
      </c>
      <c r="J120" s="28">
        <f>SUM(G120-H120-I120)</f>
        <v>1472</v>
      </c>
      <c r="K120" s="28">
        <v>160</v>
      </c>
      <c r="L120" s="28">
        <v>0</v>
      </c>
      <c r="M120" s="28">
        <v>339</v>
      </c>
      <c r="N120" s="28">
        <v>341</v>
      </c>
      <c r="O120" s="28">
        <v>341</v>
      </c>
    </row>
    <row r="121" spans="1:15" ht="12.75" customHeight="1">
      <c r="A121" s="4" t="s">
        <v>222</v>
      </c>
      <c r="B121" s="5" t="s">
        <v>223</v>
      </c>
      <c r="C121" s="28">
        <v>5200</v>
      </c>
      <c r="D121" s="28">
        <v>4719</v>
      </c>
      <c r="E121" s="28">
        <v>136</v>
      </c>
      <c r="F121" s="28">
        <f>SUM(C121-D121-E121)</f>
        <v>345</v>
      </c>
      <c r="G121" s="28">
        <v>17526</v>
      </c>
      <c r="H121" s="28">
        <v>13246</v>
      </c>
      <c r="I121" s="28">
        <v>880</v>
      </c>
      <c r="J121" s="28">
        <f>SUM(G121-H121-I121)</f>
        <v>3400</v>
      </c>
      <c r="K121" s="28">
        <v>1</v>
      </c>
      <c r="L121" s="28">
        <v>0</v>
      </c>
      <c r="M121" s="28">
        <v>944</v>
      </c>
      <c r="N121" s="28">
        <v>40</v>
      </c>
      <c r="O121" s="28">
        <v>40</v>
      </c>
    </row>
    <row r="122" spans="1:15" ht="12.75" customHeight="1">
      <c r="A122" s="4" t="s">
        <v>224</v>
      </c>
      <c r="B122" s="5" t="s">
        <v>225</v>
      </c>
      <c r="C122" s="28">
        <v>959</v>
      </c>
      <c r="D122" s="28">
        <v>818</v>
      </c>
      <c r="E122" s="28">
        <v>0</v>
      </c>
      <c r="F122" s="28">
        <f>SUM(C122-D122-E122)</f>
        <v>141</v>
      </c>
      <c r="G122" s="28">
        <v>3253</v>
      </c>
      <c r="H122" s="28">
        <v>2178</v>
      </c>
      <c r="I122" s="28">
        <v>0</v>
      </c>
      <c r="J122" s="28">
        <f>SUM(G122-H122-I122)</f>
        <v>1075</v>
      </c>
      <c r="K122" s="28">
        <v>15</v>
      </c>
      <c r="L122" s="28">
        <v>0</v>
      </c>
      <c r="M122" s="28">
        <v>942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4390</v>
      </c>
      <c r="D123" s="28">
        <v>3897</v>
      </c>
      <c r="E123" s="28">
        <v>75</v>
      </c>
      <c r="F123" s="28">
        <f>SUM(C123-D123-E123)</f>
        <v>418</v>
      </c>
      <c r="G123" s="28">
        <v>12220</v>
      </c>
      <c r="H123" s="28">
        <v>9497</v>
      </c>
      <c r="I123" s="28">
        <v>454</v>
      </c>
      <c r="J123" s="28">
        <f>SUM(G123-H123-I123)</f>
        <v>2269</v>
      </c>
      <c r="K123" s="28">
        <v>112</v>
      </c>
      <c r="L123" s="28">
        <v>0</v>
      </c>
      <c r="M123" s="28">
        <v>416</v>
      </c>
      <c r="N123" s="28">
        <v>27</v>
      </c>
      <c r="O123" s="28">
        <v>27</v>
      </c>
    </row>
    <row r="124" spans="1:15" ht="12.75" customHeight="1">
      <c r="A124" s="4" t="s">
        <v>228</v>
      </c>
      <c r="B124" s="5" t="s">
        <v>229</v>
      </c>
      <c r="C124" s="28">
        <v>1519</v>
      </c>
      <c r="D124" s="28">
        <v>1389</v>
      </c>
      <c r="E124" s="28">
        <v>28</v>
      </c>
      <c r="F124" s="28">
        <f>SUM(C124-D124-E124)</f>
        <v>102</v>
      </c>
      <c r="G124" s="28">
        <v>4244</v>
      </c>
      <c r="H124" s="28">
        <v>3444</v>
      </c>
      <c r="I124" s="28">
        <v>212</v>
      </c>
      <c r="J124" s="28">
        <f>SUM(G124-H124-I124)</f>
        <v>588</v>
      </c>
      <c r="K124" s="28">
        <v>4</v>
      </c>
      <c r="L124" s="28">
        <v>0</v>
      </c>
      <c r="M124" s="28">
        <v>14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15281</v>
      </c>
      <c r="D125" s="29">
        <f t="shared" si="29"/>
        <v>13768</v>
      </c>
      <c r="E125" s="29">
        <f t="shared" si="29"/>
        <v>307</v>
      </c>
      <c r="F125" s="29">
        <f t="shared" si="29"/>
        <v>1206</v>
      </c>
      <c r="G125" s="29">
        <f t="shared" si="29"/>
        <v>47245</v>
      </c>
      <c r="H125" s="29">
        <f t="shared" si="29"/>
        <v>36362</v>
      </c>
      <c r="I125" s="29">
        <f t="shared" si="29"/>
        <v>2079</v>
      </c>
      <c r="J125" s="29">
        <f t="shared" si="29"/>
        <v>8804</v>
      </c>
      <c r="K125" s="29">
        <f t="shared" si="29"/>
        <v>292</v>
      </c>
      <c r="L125" s="29">
        <f t="shared" si="29"/>
        <v>0</v>
      </c>
      <c r="M125" s="29">
        <f t="shared" si="29"/>
        <v>2655</v>
      </c>
      <c r="N125" s="29">
        <f t="shared" si="29"/>
        <v>408</v>
      </c>
      <c r="O125" s="29">
        <f t="shared" si="29"/>
        <v>408</v>
      </c>
    </row>
    <row r="126" spans="1:15" ht="12.75" customHeight="1">
      <c r="A126" s="4" t="s">
        <v>231</v>
      </c>
      <c r="B126" s="5" t="s">
        <v>232</v>
      </c>
      <c r="C126" s="28">
        <v>3518</v>
      </c>
      <c r="D126" s="28">
        <v>2734</v>
      </c>
      <c r="E126" s="28">
        <v>0</v>
      </c>
      <c r="F126" s="28">
        <f t="shared" ref="F126:F134" si="30">SUM(C126-D126-E126)</f>
        <v>784</v>
      </c>
      <c r="G126" s="28">
        <v>8902</v>
      </c>
      <c r="H126" s="28">
        <v>5755</v>
      </c>
      <c r="I126" s="28">
        <v>0</v>
      </c>
      <c r="J126" s="28">
        <f t="shared" ref="J126:J134" si="31">SUM(G126-H126-I126)</f>
        <v>3147</v>
      </c>
      <c r="K126" s="28">
        <v>22</v>
      </c>
      <c r="L126" s="28">
        <v>0</v>
      </c>
      <c r="M126" s="28">
        <v>1459</v>
      </c>
      <c r="N126" s="28">
        <v>84</v>
      </c>
      <c r="O126" s="28">
        <v>84</v>
      </c>
    </row>
    <row r="127" spans="1:15" ht="12.75" customHeight="1">
      <c r="A127" s="4" t="s">
        <v>233</v>
      </c>
      <c r="B127" s="5" t="s">
        <v>234</v>
      </c>
      <c r="C127" s="28">
        <v>1684</v>
      </c>
      <c r="D127" s="28">
        <v>1380</v>
      </c>
      <c r="E127" s="28">
        <v>0</v>
      </c>
      <c r="F127" s="28">
        <f t="shared" si="30"/>
        <v>304</v>
      </c>
      <c r="G127" s="28">
        <v>4938</v>
      </c>
      <c r="H127" s="28">
        <v>4007</v>
      </c>
      <c r="I127" s="28">
        <v>0</v>
      </c>
      <c r="J127" s="28">
        <f t="shared" si="31"/>
        <v>931</v>
      </c>
      <c r="K127" s="28">
        <v>0</v>
      </c>
      <c r="L127" s="28">
        <v>0</v>
      </c>
      <c r="M127" s="28">
        <v>259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10707</v>
      </c>
      <c r="D128" s="28">
        <v>8393</v>
      </c>
      <c r="E128" s="28">
        <v>244</v>
      </c>
      <c r="F128" s="28">
        <f t="shared" si="30"/>
        <v>2070</v>
      </c>
      <c r="G128" s="28">
        <v>24542</v>
      </c>
      <c r="H128" s="28">
        <v>17550</v>
      </c>
      <c r="I128" s="28">
        <v>1023</v>
      </c>
      <c r="J128" s="28">
        <f t="shared" si="31"/>
        <v>5969</v>
      </c>
      <c r="K128" s="28">
        <v>73</v>
      </c>
      <c r="L128" s="28">
        <v>0</v>
      </c>
      <c r="M128" s="28">
        <v>3185</v>
      </c>
      <c r="N128" s="28">
        <v>95</v>
      </c>
      <c r="O128" s="28">
        <v>95</v>
      </c>
    </row>
    <row r="129" spans="1:15" ht="12.75" customHeight="1">
      <c r="A129" s="4" t="s">
        <v>237</v>
      </c>
      <c r="B129" s="5" t="s">
        <v>238</v>
      </c>
      <c r="C129" s="28">
        <v>1099</v>
      </c>
      <c r="D129" s="28">
        <v>839</v>
      </c>
      <c r="E129" s="28">
        <v>64</v>
      </c>
      <c r="F129" s="28">
        <f t="shared" si="30"/>
        <v>196</v>
      </c>
      <c r="G129" s="28">
        <v>4693</v>
      </c>
      <c r="H129" s="28">
        <v>1973</v>
      </c>
      <c r="I129" s="28">
        <v>534</v>
      </c>
      <c r="J129" s="28">
        <f t="shared" si="31"/>
        <v>2186</v>
      </c>
      <c r="K129" s="28">
        <v>17</v>
      </c>
      <c r="L129" s="28">
        <v>0</v>
      </c>
      <c r="M129" s="28">
        <v>1859</v>
      </c>
      <c r="N129" s="28">
        <v>106</v>
      </c>
      <c r="O129" s="28">
        <v>106</v>
      </c>
    </row>
    <row r="130" spans="1:15" ht="12.75" customHeight="1">
      <c r="A130" s="4" t="s">
        <v>239</v>
      </c>
      <c r="B130" s="5" t="s">
        <v>240</v>
      </c>
      <c r="C130" s="28">
        <v>6736</v>
      </c>
      <c r="D130" s="28">
        <v>5621</v>
      </c>
      <c r="E130" s="28">
        <v>391</v>
      </c>
      <c r="F130" s="28">
        <f t="shared" si="30"/>
        <v>724</v>
      </c>
      <c r="G130" s="28">
        <v>17097</v>
      </c>
      <c r="H130" s="28">
        <v>8917</v>
      </c>
      <c r="I130" s="28">
        <v>1564</v>
      </c>
      <c r="J130" s="28">
        <f t="shared" si="31"/>
        <v>6616</v>
      </c>
      <c r="K130" s="28">
        <v>76</v>
      </c>
      <c r="L130" s="28">
        <v>0</v>
      </c>
      <c r="M130" s="28">
        <v>132</v>
      </c>
      <c r="N130" s="28">
        <v>729</v>
      </c>
      <c r="O130" s="28">
        <v>729</v>
      </c>
    </row>
    <row r="131" spans="1:15" ht="12.75" customHeight="1">
      <c r="A131" s="4" t="s">
        <v>241</v>
      </c>
      <c r="B131" s="5" t="s">
        <v>242</v>
      </c>
      <c r="C131" s="28">
        <v>12076</v>
      </c>
      <c r="D131" s="28">
        <v>10362</v>
      </c>
      <c r="E131" s="28">
        <v>112</v>
      </c>
      <c r="F131" s="28">
        <f t="shared" si="30"/>
        <v>1602</v>
      </c>
      <c r="G131" s="28">
        <v>30231</v>
      </c>
      <c r="H131" s="28">
        <v>15978</v>
      </c>
      <c r="I131" s="28">
        <v>551</v>
      </c>
      <c r="J131" s="28">
        <f t="shared" si="31"/>
        <v>13702</v>
      </c>
      <c r="K131" s="28">
        <v>71</v>
      </c>
      <c r="L131" s="28">
        <v>0</v>
      </c>
      <c r="M131" s="28">
        <v>618</v>
      </c>
      <c r="N131" s="28">
        <v>497</v>
      </c>
      <c r="O131" s="28">
        <v>497</v>
      </c>
    </row>
    <row r="132" spans="1:15" ht="12.75" customHeight="1">
      <c r="A132" s="4" t="s">
        <v>243</v>
      </c>
      <c r="B132" s="5" t="s">
        <v>244</v>
      </c>
      <c r="C132" s="28">
        <v>5348</v>
      </c>
      <c r="D132" s="28">
        <v>4483</v>
      </c>
      <c r="E132" s="28">
        <v>0</v>
      </c>
      <c r="F132" s="28">
        <f t="shared" si="30"/>
        <v>865</v>
      </c>
      <c r="G132" s="28">
        <v>15497</v>
      </c>
      <c r="H132" s="28">
        <v>9112</v>
      </c>
      <c r="I132" s="28">
        <v>0</v>
      </c>
      <c r="J132" s="28">
        <f t="shared" si="31"/>
        <v>6385</v>
      </c>
      <c r="K132" s="28">
        <v>652</v>
      </c>
      <c r="L132" s="28">
        <v>0</v>
      </c>
      <c r="M132" s="28">
        <v>1016</v>
      </c>
      <c r="N132" s="28">
        <v>17</v>
      </c>
      <c r="O132" s="28">
        <v>17</v>
      </c>
    </row>
    <row r="133" spans="1:15" ht="12.75" customHeight="1">
      <c r="A133" s="4" t="s">
        <v>245</v>
      </c>
      <c r="B133" s="5" t="s">
        <v>246</v>
      </c>
      <c r="C133" s="28">
        <v>5047</v>
      </c>
      <c r="D133" s="28">
        <v>4482</v>
      </c>
      <c r="E133" s="28">
        <v>0</v>
      </c>
      <c r="F133" s="28">
        <f t="shared" si="30"/>
        <v>565</v>
      </c>
      <c r="G133" s="28">
        <v>11904</v>
      </c>
      <c r="H133" s="28">
        <v>9325</v>
      </c>
      <c r="I133" s="28">
        <v>0</v>
      </c>
      <c r="J133" s="28">
        <f t="shared" si="31"/>
        <v>2579</v>
      </c>
      <c r="K133" s="28">
        <v>4555</v>
      </c>
      <c r="L133" s="28">
        <v>0</v>
      </c>
      <c r="M133" s="28">
        <v>784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3703</v>
      </c>
      <c r="D134" s="28">
        <v>2584</v>
      </c>
      <c r="E134" s="28">
        <v>0</v>
      </c>
      <c r="F134" s="28">
        <f t="shared" si="30"/>
        <v>1119</v>
      </c>
      <c r="G134" s="28">
        <v>20332</v>
      </c>
      <c r="H134" s="28">
        <v>5128</v>
      </c>
      <c r="I134" s="28">
        <v>0</v>
      </c>
      <c r="J134" s="28">
        <f t="shared" si="31"/>
        <v>15204</v>
      </c>
      <c r="K134" s="28">
        <v>357</v>
      </c>
      <c r="L134" s="28">
        <v>0</v>
      </c>
      <c r="M134" s="28">
        <v>1000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49918</v>
      </c>
      <c r="D135" s="29">
        <f t="shared" si="32"/>
        <v>40878</v>
      </c>
      <c r="E135" s="29">
        <f t="shared" si="32"/>
        <v>811</v>
      </c>
      <c r="F135" s="29">
        <f t="shared" si="32"/>
        <v>8229</v>
      </c>
      <c r="G135" s="29">
        <f t="shared" si="32"/>
        <v>138136</v>
      </c>
      <c r="H135" s="29">
        <f t="shared" si="32"/>
        <v>77745</v>
      </c>
      <c r="I135" s="29">
        <f t="shared" si="32"/>
        <v>3672</v>
      </c>
      <c r="J135" s="29">
        <f t="shared" si="32"/>
        <v>56719</v>
      </c>
      <c r="K135" s="29">
        <f t="shared" si="32"/>
        <v>5823</v>
      </c>
      <c r="L135" s="29">
        <f t="shared" si="32"/>
        <v>0</v>
      </c>
      <c r="M135" s="29">
        <f t="shared" si="32"/>
        <v>10312</v>
      </c>
      <c r="N135" s="29">
        <f t="shared" si="32"/>
        <v>1528</v>
      </c>
      <c r="O135" s="29">
        <f t="shared" si="32"/>
        <v>1528</v>
      </c>
    </row>
    <row r="136" spans="1:15" ht="12.75" customHeight="1">
      <c r="A136" s="4" t="s">
        <v>250</v>
      </c>
      <c r="B136" s="5" t="s">
        <v>251</v>
      </c>
      <c r="C136" s="28">
        <v>7588</v>
      </c>
      <c r="D136" s="28">
        <v>7125</v>
      </c>
      <c r="E136" s="28">
        <v>0</v>
      </c>
      <c r="F136" s="28">
        <f t="shared" ref="F136:F143" si="33">SUM(C136-D136-E136)</f>
        <v>463</v>
      </c>
      <c r="G136" s="28">
        <v>18080</v>
      </c>
      <c r="H136" s="28">
        <v>14320</v>
      </c>
      <c r="I136" s="28">
        <v>0</v>
      </c>
      <c r="J136" s="28">
        <f t="shared" ref="J136:J143" si="34">SUM(G136-H136-I136)</f>
        <v>3760</v>
      </c>
      <c r="K136" s="28">
        <v>587</v>
      </c>
      <c r="L136" s="28">
        <v>4343</v>
      </c>
      <c r="M136" s="28">
        <v>1642</v>
      </c>
      <c r="N136" s="28">
        <v>2185</v>
      </c>
      <c r="O136" s="28">
        <v>2185</v>
      </c>
    </row>
    <row r="137" spans="1:15" ht="12.75" customHeight="1">
      <c r="A137" s="4" t="s">
        <v>252</v>
      </c>
      <c r="B137" s="5" t="s">
        <v>253</v>
      </c>
      <c r="C137" s="28">
        <v>1173</v>
      </c>
      <c r="D137" s="28">
        <v>926</v>
      </c>
      <c r="E137" s="28">
        <v>0</v>
      </c>
      <c r="F137" s="28">
        <f t="shared" si="33"/>
        <v>247</v>
      </c>
      <c r="G137" s="28">
        <v>2396</v>
      </c>
      <c r="H137" s="28">
        <v>1930</v>
      </c>
      <c r="I137" s="28">
        <v>0</v>
      </c>
      <c r="J137" s="28">
        <f t="shared" si="34"/>
        <v>466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469</v>
      </c>
      <c r="D138" s="28">
        <v>469</v>
      </c>
      <c r="E138" s="28">
        <v>0</v>
      </c>
      <c r="F138" s="28">
        <f t="shared" si="33"/>
        <v>0</v>
      </c>
      <c r="G138" s="28">
        <v>1312</v>
      </c>
      <c r="H138" s="28">
        <v>1312</v>
      </c>
      <c r="I138" s="28">
        <v>0</v>
      </c>
      <c r="J138" s="28">
        <f t="shared" si="34"/>
        <v>0</v>
      </c>
      <c r="K138" s="28">
        <v>0</v>
      </c>
      <c r="L138" s="28">
        <v>0</v>
      </c>
      <c r="M138" s="28">
        <v>140</v>
      </c>
      <c r="N138" s="28">
        <v>50</v>
      </c>
      <c r="O138" s="28">
        <v>50</v>
      </c>
    </row>
    <row r="139" spans="1:15" ht="12.75" customHeight="1">
      <c r="A139" s="4" t="s">
        <v>256</v>
      </c>
      <c r="B139" s="5" t="s">
        <v>257</v>
      </c>
      <c r="C139" s="28">
        <v>2089</v>
      </c>
      <c r="D139" s="28">
        <v>1954</v>
      </c>
      <c r="E139" s="28">
        <v>0</v>
      </c>
      <c r="F139" s="28">
        <f t="shared" si="33"/>
        <v>135</v>
      </c>
      <c r="G139" s="28">
        <v>5462</v>
      </c>
      <c r="H139" s="28">
        <v>4609</v>
      </c>
      <c r="I139" s="28">
        <v>0</v>
      </c>
      <c r="J139" s="28">
        <f t="shared" si="34"/>
        <v>853</v>
      </c>
      <c r="K139" s="28">
        <v>373</v>
      </c>
      <c r="L139" s="28">
        <v>0</v>
      </c>
      <c r="M139" s="28">
        <v>779</v>
      </c>
      <c r="N139" s="28">
        <v>178</v>
      </c>
      <c r="O139" s="28">
        <v>178</v>
      </c>
    </row>
    <row r="140" spans="1:15" ht="12.75" customHeight="1">
      <c r="A140" s="4" t="s">
        <v>258</v>
      </c>
      <c r="B140" s="5" t="s">
        <v>259</v>
      </c>
      <c r="C140" s="28">
        <v>307</v>
      </c>
      <c r="D140" s="28">
        <v>307</v>
      </c>
      <c r="E140" s="28">
        <v>0</v>
      </c>
      <c r="F140" s="28">
        <f t="shared" si="33"/>
        <v>0</v>
      </c>
      <c r="G140" s="28">
        <v>560</v>
      </c>
      <c r="H140" s="28">
        <v>560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2069</v>
      </c>
      <c r="D141" s="28">
        <v>2027</v>
      </c>
      <c r="E141" s="28">
        <v>0</v>
      </c>
      <c r="F141" s="28">
        <f t="shared" si="33"/>
        <v>42</v>
      </c>
      <c r="G141" s="28">
        <v>4327</v>
      </c>
      <c r="H141" s="28">
        <v>3575</v>
      </c>
      <c r="I141" s="28">
        <v>0</v>
      </c>
      <c r="J141" s="28">
        <f t="shared" si="34"/>
        <v>752</v>
      </c>
      <c r="K141" s="28">
        <v>268</v>
      </c>
      <c r="L141" s="28">
        <v>0</v>
      </c>
      <c r="M141" s="28">
        <v>177</v>
      </c>
      <c r="N141" s="28">
        <v>180</v>
      </c>
      <c r="O141" s="28">
        <v>180</v>
      </c>
    </row>
    <row r="142" spans="1:15" ht="12.75" customHeight="1">
      <c r="A142" s="4" t="s">
        <v>262</v>
      </c>
      <c r="B142" s="5" t="s">
        <v>263</v>
      </c>
      <c r="C142" s="28">
        <v>1770</v>
      </c>
      <c r="D142" s="28">
        <v>1406</v>
      </c>
      <c r="E142" s="28">
        <v>0</v>
      </c>
      <c r="F142" s="28">
        <f t="shared" si="33"/>
        <v>364</v>
      </c>
      <c r="G142" s="28">
        <v>5355</v>
      </c>
      <c r="H142" s="28">
        <v>4325</v>
      </c>
      <c r="I142" s="28">
        <v>0</v>
      </c>
      <c r="J142" s="28">
        <f t="shared" si="34"/>
        <v>1030</v>
      </c>
      <c r="K142" s="28">
        <v>204</v>
      </c>
      <c r="L142" s="28">
        <v>0</v>
      </c>
      <c r="M142" s="28">
        <v>1150</v>
      </c>
      <c r="N142" s="28">
        <v>546</v>
      </c>
      <c r="O142" s="28">
        <v>546</v>
      </c>
    </row>
    <row r="143" spans="1:15" ht="12.75" customHeight="1">
      <c r="A143" s="4" t="s">
        <v>264</v>
      </c>
      <c r="B143" s="5" t="s">
        <v>265</v>
      </c>
      <c r="C143" s="28">
        <v>5723</v>
      </c>
      <c r="D143" s="28">
        <v>4779</v>
      </c>
      <c r="E143" s="28">
        <v>0</v>
      </c>
      <c r="F143" s="28">
        <f t="shared" si="33"/>
        <v>944</v>
      </c>
      <c r="G143" s="28">
        <v>16135</v>
      </c>
      <c r="H143" s="28">
        <v>7826</v>
      </c>
      <c r="I143" s="28">
        <v>0</v>
      </c>
      <c r="J143" s="28">
        <f t="shared" si="34"/>
        <v>8309</v>
      </c>
      <c r="K143" s="28">
        <v>1060</v>
      </c>
      <c r="L143" s="28">
        <v>0</v>
      </c>
      <c r="M143" s="28">
        <v>1469</v>
      </c>
      <c r="N143" s="28">
        <v>1156</v>
      </c>
      <c r="O143" s="28">
        <v>1156</v>
      </c>
    </row>
    <row r="144" spans="1:15" ht="12.75" customHeight="1">
      <c r="A144" s="10"/>
      <c r="B144" s="9" t="s">
        <v>266</v>
      </c>
      <c r="C144" s="30">
        <f t="shared" ref="C144:O144" si="35">SUM(C136:C143)</f>
        <v>21188</v>
      </c>
      <c r="D144" s="30">
        <f t="shared" si="35"/>
        <v>18993</v>
      </c>
      <c r="E144" s="30">
        <f t="shared" si="35"/>
        <v>0</v>
      </c>
      <c r="F144" s="30">
        <f t="shared" si="35"/>
        <v>2195</v>
      </c>
      <c r="G144" s="30">
        <f t="shared" si="35"/>
        <v>53627</v>
      </c>
      <c r="H144" s="30">
        <f t="shared" si="35"/>
        <v>38457</v>
      </c>
      <c r="I144" s="30">
        <f t="shared" si="35"/>
        <v>0</v>
      </c>
      <c r="J144" s="30">
        <f t="shared" si="35"/>
        <v>15170</v>
      </c>
      <c r="K144" s="30">
        <f t="shared" si="35"/>
        <v>2492</v>
      </c>
      <c r="L144" s="30">
        <f t="shared" si="35"/>
        <v>4343</v>
      </c>
      <c r="M144" s="30">
        <f t="shared" si="35"/>
        <v>5357</v>
      </c>
      <c r="N144" s="30">
        <f t="shared" si="35"/>
        <v>4295</v>
      </c>
      <c r="O144" s="30">
        <f t="shared" si="35"/>
        <v>4295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647514</v>
      </c>
      <c r="D145" s="31">
        <f t="shared" si="36"/>
        <v>472559</v>
      </c>
      <c r="E145" s="31">
        <f t="shared" si="36"/>
        <v>20986</v>
      </c>
      <c r="F145" s="31">
        <f t="shared" si="36"/>
        <v>153969</v>
      </c>
      <c r="G145" s="31">
        <f t="shared" si="36"/>
        <v>1978056</v>
      </c>
      <c r="H145" s="31">
        <f t="shared" si="36"/>
        <v>1009882</v>
      </c>
      <c r="I145" s="31">
        <f t="shared" si="36"/>
        <v>91286</v>
      </c>
      <c r="J145" s="31">
        <f t="shared" si="36"/>
        <v>876888</v>
      </c>
      <c r="K145" s="31">
        <f t="shared" si="36"/>
        <v>45320</v>
      </c>
      <c r="L145" s="31">
        <f t="shared" si="36"/>
        <v>5813</v>
      </c>
      <c r="M145" s="31">
        <f t="shared" si="36"/>
        <v>182292</v>
      </c>
      <c r="N145" s="31">
        <f t="shared" si="36"/>
        <v>50819</v>
      </c>
      <c r="O145" s="31">
        <f t="shared" si="36"/>
        <v>50763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50312</v>
      </c>
      <c r="D15" s="28">
        <v>21740</v>
      </c>
      <c r="E15" s="28">
        <v>2889</v>
      </c>
      <c r="F15" s="28">
        <f t="shared" ref="F15:F22" si="0">SUM(C15-D15-E15)</f>
        <v>25683</v>
      </c>
      <c r="G15" s="28">
        <v>178915</v>
      </c>
      <c r="H15" s="28">
        <v>57481</v>
      </c>
      <c r="I15" s="28">
        <v>16100</v>
      </c>
      <c r="J15" s="28">
        <f t="shared" ref="J15:J22" si="1">SUM(G15-H15-I15)</f>
        <v>105334</v>
      </c>
      <c r="K15" s="28">
        <v>6275</v>
      </c>
      <c r="L15" s="28">
        <v>0</v>
      </c>
      <c r="M15" s="28">
        <v>14022</v>
      </c>
      <c r="N15" s="28">
        <v>3741</v>
      </c>
      <c r="O15" s="28">
        <v>3741</v>
      </c>
    </row>
    <row r="16" spans="1:15" ht="12.75" customHeight="1">
      <c r="A16" s="4" t="s">
        <v>29</v>
      </c>
      <c r="B16" s="5" t="s">
        <v>30</v>
      </c>
      <c r="C16" s="28">
        <v>22485</v>
      </c>
      <c r="D16" s="28">
        <v>10303</v>
      </c>
      <c r="E16" s="28">
        <v>456</v>
      </c>
      <c r="F16" s="28">
        <f t="shared" si="0"/>
        <v>11726</v>
      </c>
      <c r="G16" s="28">
        <v>139280</v>
      </c>
      <c r="H16" s="28">
        <v>24069</v>
      </c>
      <c r="I16" s="28">
        <v>3052</v>
      </c>
      <c r="J16" s="28">
        <f t="shared" si="1"/>
        <v>112159</v>
      </c>
      <c r="K16" s="28">
        <v>2992</v>
      </c>
      <c r="L16" s="28">
        <v>0</v>
      </c>
      <c r="M16" s="28">
        <v>13102</v>
      </c>
      <c r="N16" s="28">
        <v>185</v>
      </c>
      <c r="O16" s="28">
        <v>185</v>
      </c>
    </row>
    <row r="17" spans="1:15" ht="12.75" customHeight="1">
      <c r="A17" s="4" t="s">
        <v>31</v>
      </c>
      <c r="B17" s="5" t="s">
        <v>32</v>
      </c>
      <c r="C17" s="28">
        <v>10226</v>
      </c>
      <c r="D17" s="28">
        <v>9596</v>
      </c>
      <c r="E17" s="28">
        <v>0</v>
      </c>
      <c r="F17" s="28">
        <f t="shared" si="0"/>
        <v>630</v>
      </c>
      <c r="G17" s="28">
        <v>20294</v>
      </c>
      <c r="H17" s="28">
        <v>17125</v>
      </c>
      <c r="I17" s="28">
        <v>0</v>
      </c>
      <c r="J17" s="28">
        <f t="shared" si="1"/>
        <v>3169</v>
      </c>
      <c r="K17" s="28">
        <v>1398</v>
      </c>
      <c r="L17" s="28">
        <v>0</v>
      </c>
      <c r="M17" s="28">
        <v>648</v>
      </c>
      <c r="N17" s="28">
        <v>931</v>
      </c>
      <c r="O17" s="28">
        <v>931</v>
      </c>
    </row>
    <row r="18" spans="1:15" ht="12.75" customHeight="1">
      <c r="A18" s="4" t="s">
        <v>33</v>
      </c>
      <c r="B18" s="5" t="s">
        <v>34</v>
      </c>
      <c r="C18" s="28">
        <v>32730</v>
      </c>
      <c r="D18" s="28">
        <v>25024</v>
      </c>
      <c r="E18" s="28">
        <v>484</v>
      </c>
      <c r="F18" s="28">
        <f t="shared" si="0"/>
        <v>7222</v>
      </c>
      <c r="G18" s="28">
        <v>79714</v>
      </c>
      <c r="H18" s="28">
        <v>60326</v>
      </c>
      <c r="I18" s="28">
        <v>2238</v>
      </c>
      <c r="J18" s="28">
        <f t="shared" si="1"/>
        <v>17150</v>
      </c>
      <c r="K18" s="28">
        <v>4292</v>
      </c>
      <c r="L18" s="28">
        <v>0</v>
      </c>
      <c r="M18" s="28">
        <v>4975</v>
      </c>
      <c r="N18" s="28">
        <v>837</v>
      </c>
      <c r="O18" s="28">
        <v>837</v>
      </c>
    </row>
    <row r="19" spans="1:15" ht="12.75" customHeight="1">
      <c r="A19" s="4" t="s">
        <v>35</v>
      </c>
      <c r="B19" s="5" t="s">
        <v>36</v>
      </c>
      <c r="C19" s="28">
        <v>22488</v>
      </c>
      <c r="D19" s="28">
        <v>21009</v>
      </c>
      <c r="E19" s="28">
        <v>881</v>
      </c>
      <c r="F19" s="28">
        <f t="shared" si="0"/>
        <v>598</v>
      </c>
      <c r="G19" s="28">
        <v>56985</v>
      </c>
      <c r="H19" s="28">
        <v>46971</v>
      </c>
      <c r="I19" s="28">
        <v>4872</v>
      </c>
      <c r="J19" s="28">
        <f t="shared" si="1"/>
        <v>5142</v>
      </c>
      <c r="K19" s="28">
        <v>560</v>
      </c>
      <c r="L19" s="28">
        <v>0</v>
      </c>
      <c r="M19" s="28">
        <v>34</v>
      </c>
      <c r="N19" s="28">
        <v>600</v>
      </c>
      <c r="O19" s="28">
        <v>600</v>
      </c>
    </row>
    <row r="20" spans="1:15" ht="12.75" customHeight="1">
      <c r="A20" s="4" t="s">
        <v>37</v>
      </c>
      <c r="B20" s="5" t="s">
        <v>38</v>
      </c>
      <c r="C20" s="28">
        <v>122945</v>
      </c>
      <c r="D20" s="28">
        <v>115014</v>
      </c>
      <c r="E20" s="28">
        <v>3304</v>
      </c>
      <c r="F20" s="28">
        <f t="shared" si="0"/>
        <v>4627</v>
      </c>
      <c r="G20" s="28">
        <v>284484</v>
      </c>
      <c r="H20" s="28">
        <v>229109</v>
      </c>
      <c r="I20" s="28">
        <v>17985</v>
      </c>
      <c r="J20" s="28">
        <f t="shared" si="1"/>
        <v>37390</v>
      </c>
      <c r="K20" s="28">
        <v>8738</v>
      </c>
      <c r="L20" s="28">
        <v>0</v>
      </c>
      <c r="M20" s="28">
        <v>6852</v>
      </c>
      <c r="N20" s="28">
        <v>8413</v>
      </c>
      <c r="O20" s="28">
        <v>7467</v>
      </c>
    </row>
    <row r="21" spans="1:15" ht="12.75" customHeight="1">
      <c r="A21" s="4" t="s">
        <v>39</v>
      </c>
      <c r="B21" s="5" t="s">
        <v>40</v>
      </c>
      <c r="C21" s="28">
        <v>9792</v>
      </c>
      <c r="D21" s="28">
        <v>9776</v>
      </c>
      <c r="E21" s="28">
        <v>0</v>
      </c>
      <c r="F21" s="28">
        <f t="shared" si="0"/>
        <v>16</v>
      </c>
      <c r="G21" s="28">
        <v>16811</v>
      </c>
      <c r="H21" s="28">
        <v>16707</v>
      </c>
      <c r="I21" s="28">
        <v>0</v>
      </c>
      <c r="J21" s="28">
        <f t="shared" si="1"/>
        <v>104</v>
      </c>
      <c r="K21" s="28">
        <v>30</v>
      </c>
      <c r="L21" s="28">
        <v>0</v>
      </c>
      <c r="M21" s="28">
        <v>0</v>
      </c>
      <c r="N21" s="28">
        <v>95</v>
      </c>
      <c r="O21" s="28">
        <v>95</v>
      </c>
    </row>
    <row r="22" spans="1:15" ht="12.75" customHeight="1">
      <c r="A22" s="4" t="s">
        <v>41</v>
      </c>
      <c r="B22" s="5" t="s">
        <v>42</v>
      </c>
      <c r="C22" s="28">
        <v>9566</v>
      </c>
      <c r="D22" s="28">
        <v>8348</v>
      </c>
      <c r="E22" s="28">
        <v>1039</v>
      </c>
      <c r="F22" s="28">
        <f t="shared" si="0"/>
        <v>179</v>
      </c>
      <c r="G22" s="28">
        <v>24437</v>
      </c>
      <c r="H22" s="28">
        <v>16684</v>
      </c>
      <c r="I22" s="28">
        <v>4468</v>
      </c>
      <c r="J22" s="28">
        <f t="shared" si="1"/>
        <v>3285</v>
      </c>
      <c r="K22" s="28">
        <v>1104</v>
      </c>
      <c r="L22" s="28">
        <v>0</v>
      </c>
      <c r="M22" s="28">
        <v>3587</v>
      </c>
      <c r="N22" s="28">
        <v>896</v>
      </c>
      <c r="O22" s="28">
        <v>896</v>
      </c>
    </row>
    <row r="23" spans="1:15" ht="12.75" customHeight="1">
      <c r="A23" s="8"/>
      <c r="B23" s="9" t="s">
        <v>43</v>
      </c>
      <c r="C23" s="29">
        <f t="shared" ref="C23:O23" si="2">SUM(C15:C22)</f>
        <v>280544</v>
      </c>
      <c r="D23" s="29">
        <f t="shared" si="2"/>
        <v>220810</v>
      </c>
      <c r="E23" s="29">
        <f t="shared" si="2"/>
        <v>9053</v>
      </c>
      <c r="F23" s="29">
        <f t="shared" si="2"/>
        <v>50681</v>
      </c>
      <c r="G23" s="29">
        <f t="shared" si="2"/>
        <v>800920</v>
      </c>
      <c r="H23" s="29">
        <f t="shared" si="2"/>
        <v>468472</v>
      </c>
      <c r="I23" s="29">
        <f t="shared" si="2"/>
        <v>48715</v>
      </c>
      <c r="J23" s="29">
        <f t="shared" si="2"/>
        <v>283733</v>
      </c>
      <c r="K23" s="29">
        <f t="shared" si="2"/>
        <v>25389</v>
      </c>
      <c r="L23" s="29">
        <f t="shared" si="2"/>
        <v>0</v>
      </c>
      <c r="M23" s="29">
        <f t="shared" si="2"/>
        <v>43220</v>
      </c>
      <c r="N23" s="29">
        <f t="shared" si="2"/>
        <v>15698</v>
      </c>
      <c r="O23" s="29">
        <f t="shared" si="2"/>
        <v>14752</v>
      </c>
    </row>
    <row r="24" spans="1:15" ht="14.25" customHeight="1">
      <c r="A24" s="4" t="s">
        <v>44</v>
      </c>
      <c r="B24" s="5" t="s">
        <v>45</v>
      </c>
      <c r="C24" s="28">
        <v>10766</v>
      </c>
      <c r="D24" s="28">
        <v>9405</v>
      </c>
      <c r="E24" s="28">
        <v>622</v>
      </c>
      <c r="F24" s="28">
        <f>SUM(C24-D24-E24)</f>
        <v>739</v>
      </c>
      <c r="G24" s="28">
        <v>22943</v>
      </c>
      <c r="H24" s="28">
        <v>14794</v>
      </c>
      <c r="I24" s="28">
        <v>2486</v>
      </c>
      <c r="J24" s="28">
        <f>SUM(G24-H24-I24)</f>
        <v>5663</v>
      </c>
      <c r="K24" s="28">
        <v>5316</v>
      </c>
      <c r="L24" s="28">
        <v>0</v>
      </c>
      <c r="M24" s="28">
        <v>1111</v>
      </c>
      <c r="N24" s="28">
        <v>1295</v>
      </c>
      <c r="O24" s="28">
        <v>1295</v>
      </c>
    </row>
    <row r="25" spans="1:15" ht="14.25" customHeight="1">
      <c r="A25" s="10"/>
      <c r="B25" s="9" t="s">
        <v>46</v>
      </c>
      <c r="C25" s="29">
        <f t="shared" ref="C25:O25" si="3">SUM(C24)</f>
        <v>10766</v>
      </c>
      <c r="D25" s="29">
        <f t="shared" si="3"/>
        <v>9405</v>
      </c>
      <c r="E25" s="29">
        <f t="shared" si="3"/>
        <v>622</v>
      </c>
      <c r="F25" s="29">
        <f t="shared" si="3"/>
        <v>739</v>
      </c>
      <c r="G25" s="29">
        <f t="shared" si="3"/>
        <v>22943</v>
      </c>
      <c r="H25" s="29">
        <f t="shared" si="3"/>
        <v>14794</v>
      </c>
      <c r="I25" s="29">
        <f t="shared" si="3"/>
        <v>2486</v>
      </c>
      <c r="J25" s="29">
        <f t="shared" si="3"/>
        <v>5663</v>
      </c>
      <c r="K25" s="29">
        <f t="shared" si="3"/>
        <v>5316</v>
      </c>
      <c r="L25" s="29">
        <f t="shared" si="3"/>
        <v>0</v>
      </c>
      <c r="M25" s="29">
        <f t="shared" si="3"/>
        <v>1111</v>
      </c>
      <c r="N25" s="29">
        <f t="shared" si="3"/>
        <v>1295</v>
      </c>
      <c r="O25" s="29">
        <f t="shared" si="3"/>
        <v>1295</v>
      </c>
    </row>
    <row r="26" spans="1:15" ht="12.75" customHeight="1">
      <c r="A26" s="4" t="s">
        <v>47</v>
      </c>
      <c r="B26" s="5" t="s">
        <v>48</v>
      </c>
      <c r="C26" s="28">
        <v>85045</v>
      </c>
      <c r="D26" s="28">
        <v>40729</v>
      </c>
      <c r="E26" s="28">
        <v>2398</v>
      </c>
      <c r="F26" s="28">
        <f>SUM(C26-D26-E26)</f>
        <v>41918</v>
      </c>
      <c r="G26" s="28">
        <v>191646</v>
      </c>
      <c r="H26" s="28">
        <v>67523</v>
      </c>
      <c r="I26" s="28">
        <v>8895</v>
      </c>
      <c r="J26" s="28">
        <f>SUM(G26-H26-I26)</f>
        <v>115228</v>
      </c>
      <c r="K26" s="28">
        <v>14175</v>
      </c>
      <c r="L26" s="28">
        <v>17</v>
      </c>
      <c r="M26" s="28">
        <v>7285</v>
      </c>
      <c r="N26" s="28">
        <v>3656</v>
      </c>
      <c r="O26" s="28">
        <v>3656</v>
      </c>
    </row>
    <row r="27" spans="1:15" ht="12.75" customHeight="1">
      <c r="A27" s="4" t="s">
        <v>49</v>
      </c>
      <c r="B27" s="5" t="s">
        <v>50</v>
      </c>
      <c r="C27" s="28">
        <v>14171</v>
      </c>
      <c r="D27" s="28">
        <v>13005</v>
      </c>
      <c r="E27" s="28">
        <v>843</v>
      </c>
      <c r="F27" s="28">
        <f>SUM(C27-D27-E27)</f>
        <v>323</v>
      </c>
      <c r="G27" s="28">
        <v>27998</v>
      </c>
      <c r="H27" s="28">
        <v>18747</v>
      </c>
      <c r="I27" s="28">
        <v>3165</v>
      </c>
      <c r="J27" s="28">
        <f>SUM(G27-H27-I27)</f>
        <v>6086</v>
      </c>
      <c r="K27" s="28">
        <v>2437</v>
      </c>
      <c r="L27" s="28">
        <v>0</v>
      </c>
      <c r="M27" s="28">
        <v>685</v>
      </c>
      <c r="N27" s="28">
        <v>911</v>
      </c>
      <c r="O27" s="28">
        <v>911</v>
      </c>
    </row>
    <row r="28" spans="1:15" ht="12.75" customHeight="1">
      <c r="A28" s="4" t="s">
        <v>51</v>
      </c>
      <c r="B28" s="5" t="s">
        <v>52</v>
      </c>
      <c r="C28" s="28">
        <v>13831</v>
      </c>
      <c r="D28" s="28">
        <v>9685</v>
      </c>
      <c r="E28" s="28">
        <v>1112</v>
      </c>
      <c r="F28" s="28">
        <f>SUM(C28-D28-E28)</f>
        <v>3034</v>
      </c>
      <c r="G28" s="28">
        <v>37443</v>
      </c>
      <c r="H28" s="28">
        <v>20438</v>
      </c>
      <c r="I28" s="28">
        <v>6604</v>
      </c>
      <c r="J28" s="28">
        <f>SUM(G28-H28-I28)</f>
        <v>10401</v>
      </c>
      <c r="K28" s="28">
        <v>14620</v>
      </c>
      <c r="L28" s="28">
        <v>152</v>
      </c>
      <c r="M28" s="28">
        <v>654</v>
      </c>
      <c r="N28" s="28">
        <v>664</v>
      </c>
      <c r="O28" s="28">
        <v>664</v>
      </c>
    </row>
    <row r="29" spans="1:15" ht="12.75" customHeight="1">
      <c r="A29" s="4" t="s">
        <v>53</v>
      </c>
      <c r="B29" s="5" t="s">
        <v>54</v>
      </c>
      <c r="C29" s="28">
        <v>20880</v>
      </c>
      <c r="D29" s="28">
        <v>16182</v>
      </c>
      <c r="E29" s="28">
        <v>1969</v>
      </c>
      <c r="F29" s="28">
        <f>SUM(C29-D29-E29)</f>
        <v>2729</v>
      </c>
      <c r="G29" s="28">
        <v>43636</v>
      </c>
      <c r="H29" s="28">
        <v>31659</v>
      </c>
      <c r="I29" s="28">
        <v>7589</v>
      </c>
      <c r="J29" s="28">
        <f>SUM(G29-H29-I29)</f>
        <v>4388</v>
      </c>
      <c r="K29" s="28">
        <v>41</v>
      </c>
      <c r="L29" s="28">
        <v>0</v>
      </c>
      <c r="M29" s="28">
        <v>0</v>
      </c>
      <c r="N29" s="28">
        <v>184</v>
      </c>
      <c r="O29" s="28">
        <v>184</v>
      </c>
    </row>
    <row r="30" spans="1:15" ht="12.75" customHeight="1">
      <c r="A30" s="8"/>
      <c r="B30" s="9" t="s">
        <v>55</v>
      </c>
      <c r="C30" s="29">
        <f t="shared" ref="C30:O30" si="4">SUM(C26:C29)</f>
        <v>133927</v>
      </c>
      <c r="D30" s="29">
        <f t="shared" si="4"/>
        <v>79601</v>
      </c>
      <c r="E30" s="29">
        <f t="shared" si="4"/>
        <v>6322</v>
      </c>
      <c r="F30" s="29">
        <f t="shared" si="4"/>
        <v>48004</v>
      </c>
      <c r="G30" s="29">
        <f t="shared" si="4"/>
        <v>300723</v>
      </c>
      <c r="H30" s="29">
        <f t="shared" si="4"/>
        <v>138367</v>
      </c>
      <c r="I30" s="29">
        <f t="shared" si="4"/>
        <v>26253</v>
      </c>
      <c r="J30" s="29">
        <f t="shared" si="4"/>
        <v>136103</v>
      </c>
      <c r="K30" s="29">
        <f t="shared" si="4"/>
        <v>31273</v>
      </c>
      <c r="L30" s="29">
        <f t="shared" si="4"/>
        <v>169</v>
      </c>
      <c r="M30" s="29">
        <f t="shared" si="4"/>
        <v>8624</v>
      </c>
      <c r="N30" s="29">
        <f t="shared" si="4"/>
        <v>5415</v>
      </c>
      <c r="O30" s="29">
        <f t="shared" si="4"/>
        <v>5415</v>
      </c>
    </row>
    <row r="31" spans="1:15" ht="12.75" customHeight="1">
      <c r="A31" s="4" t="s">
        <v>56</v>
      </c>
      <c r="B31" s="5" t="s">
        <v>57</v>
      </c>
      <c r="C31" s="28">
        <v>55888</v>
      </c>
      <c r="D31" s="28">
        <v>53296</v>
      </c>
      <c r="E31" s="28">
        <v>1059</v>
      </c>
      <c r="F31" s="28">
        <f t="shared" ref="F31:F42" si="5">SUM(C31-D31-E31)</f>
        <v>1533</v>
      </c>
      <c r="G31" s="28">
        <v>148974</v>
      </c>
      <c r="H31" s="28">
        <v>104381</v>
      </c>
      <c r="I31" s="28">
        <v>4852</v>
      </c>
      <c r="J31" s="28">
        <f t="shared" ref="J31:J42" si="6">SUM(G31-H31-I31)</f>
        <v>39741</v>
      </c>
      <c r="K31" s="28">
        <v>2458</v>
      </c>
      <c r="L31" s="28">
        <v>0</v>
      </c>
      <c r="M31" s="28">
        <v>2180</v>
      </c>
      <c r="N31" s="28">
        <v>739</v>
      </c>
      <c r="O31" s="28">
        <v>739</v>
      </c>
    </row>
    <row r="32" spans="1:15" ht="12.75" customHeight="1">
      <c r="A32" s="4" t="s">
        <v>58</v>
      </c>
      <c r="B32" s="5" t="s">
        <v>59</v>
      </c>
      <c r="C32" s="28">
        <v>73891</v>
      </c>
      <c r="D32" s="28">
        <v>66140</v>
      </c>
      <c r="E32" s="28">
        <v>2740</v>
      </c>
      <c r="F32" s="28">
        <f t="shared" si="5"/>
        <v>5011</v>
      </c>
      <c r="G32" s="28">
        <v>275860</v>
      </c>
      <c r="H32" s="28">
        <v>156734</v>
      </c>
      <c r="I32" s="28">
        <v>15576</v>
      </c>
      <c r="J32" s="28">
        <f t="shared" si="6"/>
        <v>103550</v>
      </c>
      <c r="K32" s="28">
        <v>8235</v>
      </c>
      <c r="L32" s="28">
        <v>0</v>
      </c>
      <c r="M32" s="28">
        <v>33728</v>
      </c>
      <c r="N32" s="28">
        <v>2133</v>
      </c>
      <c r="O32" s="28">
        <v>2133</v>
      </c>
    </row>
    <row r="33" spans="1:256" ht="12.75" customHeight="1">
      <c r="A33" s="4" t="s">
        <v>60</v>
      </c>
      <c r="B33" s="5" t="s">
        <v>61</v>
      </c>
      <c r="C33" s="28">
        <v>38787</v>
      </c>
      <c r="D33" s="28">
        <v>32627</v>
      </c>
      <c r="E33" s="28">
        <v>1049</v>
      </c>
      <c r="F33" s="28">
        <f t="shared" si="5"/>
        <v>5111</v>
      </c>
      <c r="G33" s="28">
        <v>147847</v>
      </c>
      <c r="H33" s="28">
        <v>42823</v>
      </c>
      <c r="I33" s="28">
        <v>3059</v>
      </c>
      <c r="J33" s="28">
        <f t="shared" si="6"/>
        <v>101965</v>
      </c>
      <c r="K33" s="28">
        <v>12573</v>
      </c>
      <c r="L33" s="28">
        <v>147</v>
      </c>
      <c r="M33" s="28">
        <v>15572</v>
      </c>
      <c r="N33" s="28">
        <v>2209</v>
      </c>
      <c r="O33" s="28">
        <v>2209</v>
      </c>
    </row>
    <row r="34" spans="1:256" ht="12.75" customHeight="1">
      <c r="A34" s="4" t="s">
        <v>62</v>
      </c>
      <c r="B34" s="5" t="s">
        <v>63</v>
      </c>
      <c r="C34" s="28">
        <v>46095</v>
      </c>
      <c r="D34" s="28">
        <v>14768</v>
      </c>
      <c r="E34" s="28">
        <v>228</v>
      </c>
      <c r="F34" s="28">
        <f t="shared" si="5"/>
        <v>31099</v>
      </c>
      <c r="G34" s="28">
        <v>127164</v>
      </c>
      <c r="H34" s="28">
        <v>36738</v>
      </c>
      <c r="I34" s="28">
        <v>1111</v>
      </c>
      <c r="J34" s="28">
        <f t="shared" si="6"/>
        <v>89315</v>
      </c>
      <c r="K34" s="28">
        <v>2208</v>
      </c>
      <c r="L34" s="28">
        <v>0</v>
      </c>
      <c r="M34" s="28">
        <v>15057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18632</v>
      </c>
      <c r="D35" s="28">
        <v>18539</v>
      </c>
      <c r="E35" s="28">
        <v>0</v>
      </c>
      <c r="F35" s="28">
        <f t="shared" si="5"/>
        <v>93</v>
      </c>
      <c r="G35" s="28">
        <v>32602</v>
      </c>
      <c r="H35" s="28">
        <v>30561</v>
      </c>
      <c r="I35" s="28">
        <v>0</v>
      </c>
      <c r="J35" s="28">
        <f t="shared" si="6"/>
        <v>2041</v>
      </c>
      <c r="K35" s="28">
        <v>197</v>
      </c>
      <c r="L35" s="28">
        <v>0</v>
      </c>
      <c r="M35" s="28">
        <v>106</v>
      </c>
      <c r="N35" s="28">
        <v>1588</v>
      </c>
      <c r="O35" s="28">
        <v>1588</v>
      </c>
    </row>
    <row r="36" spans="1:256" ht="12.75" customHeight="1">
      <c r="A36" s="4" t="s">
        <v>66</v>
      </c>
      <c r="B36" s="5" t="s">
        <v>67</v>
      </c>
      <c r="C36" s="28">
        <v>11423</v>
      </c>
      <c r="D36" s="28">
        <v>10132</v>
      </c>
      <c r="E36" s="28">
        <v>915</v>
      </c>
      <c r="F36" s="28">
        <f t="shared" si="5"/>
        <v>376</v>
      </c>
      <c r="G36" s="28">
        <v>33284</v>
      </c>
      <c r="H36" s="28">
        <v>24733</v>
      </c>
      <c r="I36" s="28">
        <v>6112</v>
      </c>
      <c r="J36" s="28">
        <f t="shared" si="6"/>
        <v>2439</v>
      </c>
      <c r="K36" s="28">
        <v>165</v>
      </c>
      <c r="L36" s="28">
        <v>0</v>
      </c>
      <c r="M36" s="28">
        <v>1597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20516</v>
      </c>
      <c r="D37" s="28">
        <v>18301</v>
      </c>
      <c r="E37" s="28">
        <v>357</v>
      </c>
      <c r="F37" s="28">
        <f t="shared" si="5"/>
        <v>1858</v>
      </c>
      <c r="G37" s="28">
        <v>94231</v>
      </c>
      <c r="H37" s="28">
        <v>45356</v>
      </c>
      <c r="I37" s="28">
        <v>1483</v>
      </c>
      <c r="J37" s="28">
        <f t="shared" si="6"/>
        <v>47392</v>
      </c>
      <c r="K37" s="28">
        <v>4065</v>
      </c>
      <c r="L37" s="28">
        <v>0</v>
      </c>
      <c r="M37" s="28">
        <v>12765</v>
      </c>
      <c r="N37" s="28">
        <v>2104</v>
      </c>
      <c r="O37" s="28">
        <v>2104</v>
      </c>
    </row>
    <row r="38" spans="1:256" ht="12.75" customHeight="1">
      <c r="A38" s="4" t="s">
        <v>70</v>
      </c>
      <c r="B38" s="5" t="s">
        <v>71</v>
      </c>
      <c r="C38" s="28">
        <v>294737</v>
      </c>
      <c r="D38" s="28">
        <v>218740</v>
      </c>
      <c r="E38" s="28">
        <v>8396</v>
      </c>
      <c r="F38" s="28">
        <f t="shared" si="5"/>
        <v>67601</v>
      </c>
      <c r="G38" s="28">
        <v>820100</v>
      </c>
      <c r="H38" s="28">
        <v>362934</v>
      </c>
      <c r="I38" s="28">
        <v>35395</v>
      </c>
      <c r="J38" s="28">
        <f t="shared" si="6"/>
        <v>421771</v>
      </c>
      <c r="K38" s="28">
        <v>58781</v>
      </c>
      <c r="L38" s="28">
        <v>0</v>
      </c>
      <c r="M38" s="28">
        <v>51664</v>
      </c>
      <c r="N38" s="28">
        <v>178225</v>
      </c>
      <c r="O38" s="28">
        <v>49334</v>
      </c>
    </row>
    <row r="39" spans="1:256" ht="12.75" customHeight="1">
      <c r="A39" s="4" t="s">
        <v>72</v>
      </c>
      <c r="B39" s="5" t="s">
        <v>73</v>
      </c>
      <c r="C39" s="28">
        <v>39013</v>
      </c>
      <c r="D39" s="28">
        <v>35892</v>
      </c>
      <c r="E39" s="28">
        <v>1290</v>
      </c>
      <c r="F39" s="28">
        <f t="shared" si="5"/>
        <v>1831</v>
      </c>
      <c r="G39" s="28">
        <v>71388</v>
      </c>
      <c r="H39" s="28">
        <v>58918</v>
      </c>
      <c r="I39" s="28">
        <v>7698</v>
      </c>
      <c r="J39" s="28">
        <f t="shared" si="6"/>
        <v>4772</v>
      </c>
      <c r="K39" s="28">
        <v>734</v>
      </c>
      <c r="L39" s="28">
        <v>0</v>
      </c>
      <c r="M39" s="28">
        <v>176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30086</v>
      </c>
      <c r="D40" s="28">
        <v>27561</v>
      </c>
      <c r="E40" s="28">
        <v>1201</v>
      </c>
      <c r="F40" s="28">
        <f t="shared" si="5"/>
        <v>1324</v>
      </c>
      <c r="G40" s="28">
        <v>82353</v>
      </c>
      <c r="H40" s="28">
        <v>55874</v>
      </c>
      <c r="I40" s="28">
        <v>5606</v>
      </c>
      <c r="J40" s="28">
        <f t="shared" si="6"/>
        <v>20873</v>
      </c>
      <c r="K40" s="28">
        <v>1881</v>
      </c>
      <c r="L40" s="28">
        <v>0</v>
      </c>
      <c r="M40" s="28">
        <v>15510</v>
      </c>
      <c r="N40" s="28">
        <v>362</v>
      </c>
      <c r="O40" s="28">
        <v>362</v>
      </c>
    </row>
    <row r="41" spans="1:256" ht="12.75" customHeight="1">
      <c r="A41" s="4" t="s">
        <v>76</v>
      </c>
      <c r="B41" s="5" t="s">
        <v>77</v>
      </c>
      <c r="C41" s="28">
        <v>8539</v>
      </c>
      <c r="D41" s="28">
        <v>7781</v>
      </c>
      <c r="E41" s="28">
        <v>0</v>
      </c>
      <c r="F41" s="28">
        <f t="shared" si="5"/>
        <v>758</v>
      </c>
      <c r="G41" s="28">
        <v>31311</v>
      </c>
      <c r="H41" s="28">
        <v>22043</v>
      </c>
      <c r="I41" s="28">
        <v>0</v>
      </c>
      <c r="J41" s="28">
        <f t="shared" si="6"/>
        <v>9268</v>
      </c>
      <c r="K41" s="28">
        <v>3155</v>
      </c>
      <c r="L41" s="28">
        <v>0</v>
      </c>
      <c r="M41" s="28">
        <v>689</v>
      </c>
      <c r="N41" s="28">
        <v>3040</v>
      </c>
      <c r="O41" s="28">
        <v>3040</v>
      </c>
    </row>
    <row r="42" spans="1:256" ht="12.75" customHeight="1">
      <c r="A42" s="4" t="s">
        <v>78</v>
      </c>
      <c r="B42" s="5" t="s">
        <v>79</v>
      </c>
      <c r="C42" s="28">
        <v>67536</v>
      </c>
      <c r="D42" s="28">
        <v>54588</v>
      </c>
      <c r="E42" s="28">
        <v>1452</v>
      </c>
      <c r="F42" s="28">
        <f t="shared" si="5"/>
        <v>11496</v>
      </c>
      <c r="G42" s="28">
        <v>111510</v>
      </c>
      <c r="H42" s="28">
        <v>85856</v>
      </c>
      <c r="I42" s="28">
        <v>3519</v>
      </c>
      <c r="J42" s="28">
        <f t="shared" si="6"/>
        <v>22135</v>
      </c>
      <c r="K42" s="28">
        <v>1796</v>
      </c>
      <c r="L42" s="28">
        <v>0</v>
      </c>
      <c r="M42" s="28">
        <v>63</v>
      </c>
      <c r="N42" s="28">
        <v>409</v>
      </c>
      <c r="O42" s="28">
        <v>409</v>
      </c>
    </row>
    <row r="43" spans="1:256" ht="12.75" customHeight="1">
      <c r="A43" s="8"/>
      <c r="B43" s="9" t="s">
        <v>80</v>
      </c>
      <c r="C43" s="29">
        <f t="shared" ref="C43:O43" si="7">SUM(C31:C42)</f>
        <v>705143</v>
      </c>
      <c r="D43" s="29">
        <f t="shared" si="7"/>
        <v>558365</v>
      </c>
      <c r="E43" s="29">
        <f t="shared" si="7"/>
        <v>18687</v>
      </c>
      <c r="F43" s="29">
        <f t="shared" si="7"/>
        <v>128091</v>
      </c>
      <c r="G43" s="29">
        <f t="shared" si="7"/>
        <v>1976624</v>
      </c>
      <c r="H43" s="29">
        <f t="shared" si="7"/>
        <v>1026951</v>
      </c>
      <c r="I43" s="29">
        <f t="shared" si="7"/>
        <v>84411</v>
      </c>
      <c r="J43" s="29">
        <f t="shared" si="7"/>
        <v>865262</v>
      </c>
      <c r="K43" s="29">
        <f t="shared" si="7"/>
        <v>96248</v>
      </c>
      <c r="L43" s="29">
        <f t="shared" si="7"/>
        <v>147</v>
      </c>
      <c r="M43" s="29">
        <f t="shared" si="7"/>
        <v>149107</v>
      </c>
      <c r="N43" s="29">
        <f t="shared" si="7"/>
        <v>190835</v>
      </c>
      <c r="O43" s="29">
        <f t="shared" si="7"/>
        <v>61944</v>
      </c>
    </row>
    <row r="44" spans="1:256" ht="12.75" customHeight="1">
      <c r="A44" s="4" t="s">
        <v>81</v>
      </c>
      <c r="B44" s="5" t="s">
        <v>82</v>
      </c>
      <c r="C44" s="28">
        <v>29012</v>
      </c>
      <c r="D44" s="28">
        <v>25610</v>
      </c>
      <c r="E44" s="28">
        <v>670</v>
      </c>
      <c r="F44" s="28">
        <f>SUM(C44-D44-E44)</f>
        <v>2732</v>
      </c>
      <c r="G44" s="28">
        <v>98960</v>
      </c>
      <c r="H44" s="28">
        <v>64893</v>
      </c>
      <c r="I44" s="28">
        <v>2712</v>
      </c>
      <c r="J44" s="28">
        <f>SUM(G44-H44-I44)</f>
        <v>31355</v>
      </c>
      <c r="K44" s="28">
        <v>8992</v>
      </c>
      <c r="L44" s="28">
        <v>0</v>
      </c>
      <c r="M44" s="28">
        <v>2887</v>
      </c>
      <c r="N44" s="28">
        <v>908</v>
      </c>
      <c r="O44" s="28">
        <v>908</v>
      </c>
    </row>
    <row r="45" spans="1:256" ht="12.75" customHeight="1">
      <c r="A45" s="4" t="s">
        <v>83</v>
      </c>
      <c r="B45" s="5" t="s">
        <v>84</v>
      </c>
      <c r="C45" s="28">
        <v>39124</v>
      </c>
      <c r="D45" s="28">
        <v>30605</v>
      </c>
      <c r="E45" s="28">
        <v>958</v>
      </c>
      <c r="F45" s="28">
        <f>SUM(C45-D45-E45)</f>
        <v>7561</v>
      </c>
      <c r="G45" s="28">
        <v>136569</v>
      </c>
      <c r="H45" s="28">
        <v>71674</v>
      </c>
      <c r="I45" s="28">
        <v>4461</v>
      </c>
      <c r="J45" s="28">
        <f>SUM(G45-H45-I45)</f>
        <v>60434</v>
      </c>
      <c r="K45" s="28">
        <v>28274</v>
      </c>
      <c r="L45" s="28">
        <v>0</v>
      </c>
      <c r="M45" s="28">
        <v>11278</v>
      </c>
      <c r="N45" s="28">
        <v>423</v>
      </c>
      <c r="O45" s="28">
        <v>423</v>
      </c>
    </row>
    <row r="46" spans="1:256" ht="12.75" customHeight="1">
      <c r="A46" s="8"/>
      <c r="B46" s="9" t="s">
        <v>85</v>
      </c>
      <c r="C46" s="29">
        <f t="shared" ref="C46:O46" si="8">SUM(C44:C45)</f>
        <v>68136</v>
      </c>
      <c r="D46" s="29">
        <f t="shared" si="8"/>
        <v>56215</v>
      </c>
      <c r="E46" s="29">
        <f t="shared" si="8"/>
        <v>1628</v>
      </c>
      <c r="F46" s="29">
        <f t="shared" si="8"/>
        <v>10293</v>
      </c>
      <c r="G46" s="29">
        <f t="shared" si="8"/>
        <v>235529</v>
      </c>
      <c r="H46" s="29">
        <f t="shared" si="8"/>
        <v>136567</v>
      </c>
      <c r="I46" s="29">
        <f t="shared" si="8"/>
        <v>7173</v>
      </c>
      <c r="J46" s="29">
        <f t="shared" si="8"/>
        <v>91789</v>
      </c>
      <c r="K46" s="29">
        <f t="shared" si="8"/>
        <v>37266</v>
      </c>
      <c r="L46" s="29">
        <f t="shared" si="8"/>
        <v>0</v>
      </c>
      <c r="M46" s="29">
        <f t="shared" si="8"/>
        <v>14165</v>
      </c>
      <c r="N46" s="29">
        <f t="shared" si="8"/>
        <v>1331</v>
      </c>
      <c r="O46" s="29">
        <f t="shared" si="8"/>
        <v>1331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7760</v>
      </c>
      <c r="D47" s="28">
        <v>7179</v>
      </c>
      <c r="E47" s="28">
        <v>0</v>
      </c>
      <c r="F47" s="28">
        <f>SUM(C47-D47-E47)</f>
        <v>581</v>
      </c>
      <c r="G47" s="28">
        <v>6432</v>
      </c>
      <c r="H47" s="28">
        <v>5080</v>
      </c>
      <c r="I47" s="28">
        <v>0</v>
      </c>
      <c r="J47" s="28">
        <f>SUM(G47-H47-I47)</f>
        <v>1352</v>
      </c>
      <c r="K47" s="28">
        <v>250</v>
      </c>
      <c r="L47" s="28">
        <v>0</v>
      </c>
      <c r="M47" s="28">
        <v>122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17396</v>
      </c>
      <c r="D48" s="28">
        <v>17121</v>
      </c>
      <c r="E48" s="28">
        <v>140</v>
      </c>
      <c r="F48" s="28">
        <f>SUM(C48-D48-E48)</f>
        <v>135</v>
      </c>
      <c r="G48" s="28">
        <v>30755</v>
      </c>
      <c r="H48" s="28">
        <v>29776</v>
      </c>
      <c r="I48" s="28">
        <v>440</v>
      </c>
      <c r="J48" s="28">
        <f>SUM(G48-H48-I48)</f>
        <v>539</v>
      </c>
      <c r="K48" s="28">
        <v>689</v>
      </c>
      <c r="L48" s="28">
        <v>0</v>
      </c>
      <c r="M48" s="28">
        <v>561</v>
      </c>
      <c r="N48" s="28">
        <v>1146</v>
      </c>
      <c r="O48" s="28">
        <v>1146</v>
      </c>
    </row>
    <row r="49" spans="1:15" ht="12.75" customHeight="1">
      <c r="A49" s="4" t="s">
        <v>90</v>
      </c>
      <c r="B49" s="5" t="s">
        <v>91</v>
      </c>
      <c r="C49" s="28">
        <v>9585</v>
      </c>
      <c r="D49" s="28">
        <v>9008</v>
      </c>
      <c r="E49" s="28">
        <v>387</v>
      </c>
      <c r="F49" s="28">
        <f>SUM(C49-D49-E49)</f>
        <v>190</v>
      </c>
      <c r="G49" s="28">
        <v>10613</v>
      </c>
      <c r="H49" s="28">
        <v>7052</v>
      </c>
      <c r="I49" s="28">
        <v>1003</v>
      </c>
      <c r="J49" s="28">
        <f>SUM(G49-H49-I49)</f>
        <v>2558</v>
      </c>
      <c r="K49" s="28">
        <v>12753</v>
      </c>
      <c r="L49" s="28">
        <v>0</v>
      </c>
      <c r="M49" s="28">
        <v>0</v>
      </c>
      <c r="N49" s="28">
        <v>1183</v>
      </c>
      <c r="O49" s="28">
        <v>1183</v>
      </c>
    </row>
    <row r="50" spans="1:15" ht="12.75" customHeight="1">
      <c r="A50" s="4" t="s">
        <v>92</v>
      </c>
      <c r="B50" s="5" t="s">
        <v>93</v>
      </c>
      <c r="C50" s="28">
        <v>49433</v>
      </c>
      <c r="D50" s="28">
        <v>47527</v>
      </c>
      <c r="E50" s="28">
        <v>761</v>
      </c>
      <c r="F50" s="28">
        <f>SUM(C50-D50-E50)</f>
        <v>1145</v>
      </c>
      <c r="G50" s="28">
        <v>105067</v>
      </c>
      <c r="H50" s="28">
        <v>76888</v>
      </c>
      <c r="I50" s="28">
        <v>3189</v>
      </c>
      <c r="J50" s="28">
        <f>SUM(G50-H50-I50)</f>
        <v>24990</v>
      </c>
      <c r="K50" s="28">
        <v>10026</v>
      </c>
      <c r="L50" s="28">
        <v>155</v>
      </c>
      <c r="M50" s="28">
        <v>8168</v>
      </c>
      <c r="N50" s="28">
        <v>2477</v>
      </c>
      <c r="O50" s="28">
        <v>2477</v>
      </c>
    </row>
    <row r="51" spans="1:15" ht="12.75" customHeight="1">
      <c r="A51" s="8"/>
      <c r="B51" s="9" t="s">
        <v>94</v>
      </c>
      <c r="C51" s="29">
        <f t="shared" ref="C51:O51" si="9">SUM(C47:C50)</f>
        <v>84174</v>
      </c>
      <c r="D51" s="29">
        <f t="shared" si="9"/>
        <v>80835</v>
      </c>
      <c r="E51" s="29">
        <f t="shared" si="9"/>
        <v>1288</v>
      </c>
      <c r="F51" s="29">
        <f t="shared" si="9"/>
        <v>2051</v>
      </c>
      <c r="G51" s="29">
        <f t="shared" si="9"/>
        <v>152867</v>
      </c>
      <c r="H51" s="29">
        <f t="shared" si="9"/>
        <v>118796</v>
      </c>
      <c r="I51" s="29">
        <f t="shared" si="9"/>
        <v>4632</v>
      </c>
      <c r="J51" s="29">
        <f t="shared" si="9"/>
        <v>29439</v>
      </c>
      <c r="K51" s="29">
        <f t="shared" si="9"/>
        <v>23718</v>
      </c>
      <c r="L51" s="29">
        <f t="shared" si="9"/>
        <v>155</v>
      </c>
      <c r="M51" s="29">
        <f t="shared" si="9"/>
        <v>8851</v>
      </c>
      <c r="N51" s="29">
        <f t="shared" si="9"/>
        <v>4836</v>
      </c>
      <c r="O51" s="29">
        <f t="shared" si="9"/>
        <v>4836</v>
      </c>
    </row>
    <row r="52" spans="1:15" ht="12.75" customHeight="1">
      <c r="A52" s="4" t="s">
        <v>95</v>
      </c>
      <c r="B52" s="5" t="s">
        <v>96</v>
      </c>
      <c r="C52" s="28">
        <v>8395</v>
      </c>
      <c r="D52" s="28">
        <v>7804</v>
      </c>
      <c r="E52" s="28">
        <v>81</v>
      </c>
      <c r="F52" s="28">
        <f t="shared" ref="F52:F58" si="10">SUM(C52-D52-E52)</f>
        <v>510</v>
      </c>
      <c r="G52" s="28">
        <v>27143</v>
      </c>
      <c r="H52" s="28">
        <v>18848</v>
      </c>
      <c r="I52" s="28">
        <v>252</v>
      </c>
      <c r="J52" s="28">
        <f t="shared" ref="J52:J58" si="11">SUM(G52-H52-I52)</f>
        <v>8043</v>
      </c>
      <c r="K52" s="28">
        <v>9952</v>
      </c>
      <c r="L52" s="28">
        <v>0</v>
      </c>
      <c r="M52" s="28">
        <v>396</v>
      </c>
      <c r="N52" s="28">
        <v>525</v>
      </c>
      <c r="O52" s="28">
        <v>525</v>
      </c>
    </row>
    <row r="53" spans="1:15" ht="12.75" customHeight="1">
      <c r="A53" s="4" t="s">
        <v>97</v>
      </c>
      <c r="B53" s="5" t="s">
        <v>98</v>
      </c>
      <c r="C53" s="28">
        <v>57366</v>
      </c>
      <c r="D53" s="28">
        <v>40661</v>
      </c>
      <c r="E53" s="28">
        <v>653</v>
      </c>
      <c r="F53" s="28">
        <f t="shared" si="10"/>
        <v>16052</v>
      </c>
      <c r="G53" s="28">
        <v>170823</v>
      </c>
      <c r="H53" s="28">
        <v>102160</v>
      </c>
      <c r="I53" s="28">
        <v>4501</v>
      </c>
      <c r="J53" s="28">
        <f t="shared" si="11"/>
        <v>64162</v>
      </c>
      <c r="K53" s="28">
        <v>5056</v>
      </c>
      <c r="L53" s="28">
        <v>0</v>
      </c>
      <c r="M53" s="28">
        <v>6141</v>
      </c>
      <c r="N53" s="28">
        <v>2663</v>
      </c>
      <c r="O53" s="28">
        <v>2663</v>
      </c>
    </row>
    <row r="54" spans="1:15" ht="12.75" customHeight="1">
      <c r="A54" s="4" t="s">
        <v>99</v>
      </c>
      <c r="B54" s="5" t="s">
        <v>100</v>
      </c>
      <c r="C54" s="28">
        <v>9001</v>
      </c>
      <c r="D54" s="28">
        <v>5585</v>
      </c>
      <c r="E54" s="28">
        <v>243</v>
      </c>
      <c r="F54" s="28">
        <f t="shared" si="10"/>
        <v>3173</v>
      </c>
      <c r="G54" s="28">
        <v>30595</v>
      </c>
      <c r="H54" s="28">
        <v>17164</v>
      </c>
      <c r="I54" s="28">
        <v>2052</v>
      </c>
      <c r="J54" s="28">
        <f t="shared" si="11"/>
        <v>11379</v>
      </c>
      <c r="K54" s="28">
        <v>430</v>
      </c>
      <c r="L54" s="28">
        <v>15</v>
      </c>
      <c r="M54" s="28">
        <v>1477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37640</v>
      </c>
      <c r="D55" s="28">
        <v>28536</v>
      </c>
      <c r="E55" s="28">
        <v>608</v>
      </c>
      <c r="F55" s="28">
        <f t="shared" si="10"/>
        <v>8496</v>
      </c>
      <c r="G55" s="28">
        <v>125941</v>
      </c>
      <c r="H55" s="28">
        <v>68428</v>
      </c>
      <c r="I55" s="28">
        <v>2703</v>
      </c>
      <c r="J55" s="28">
        <f t="shared" si="11"/>
        <v>54810</v>
      </c>
      <c r="K55" s="28">
        <v>15229</v>
      </c>
      <c r="L55" s="28">
        <v>0</v>
      </c>
      <c r="M55" s="28">
        <v>7240</v>
      </c>
      <c r="N55" s="28">
        <v>10756</v>
      </c>
      <c r="O55" s="28">
        <v>10756</v>
      </c>
    </row>
    <row r="56" spans="1:15" ht="12.75" customHeight="1">
      <c r="A56" s="4" t="s">
        <v>103</v>
      </c>
      <c r="B56" s="5" t="s">
        <v>104</v>
      </c>
      <c r="C56" s="28">
        <v>65966</v>
      </c>
      <c r="D56" s="28">
        <v>25066</v>
      </c>
      <c r="E56" s="28">
        <v>2396</v>
      </c>
      <c r="F56" s="28">
        <f t="shared" si="10"/>
        <v>38504</v>
      </c>
      <c r="G56" s="28">
        <v>191456</v>
      </c>
      <c r="H56" s="28">
        <v>56143</v>
      </c>
      <c r="I56" s="28">
        <v>12998</v>
      </c>
      <c r="J56" s="28">
        <f t="shared" si="11"/>
        <v>122315</v>
      </c>
      <c r="K56" s="28">
        <v>14433</v>
      </c>
      <c r="L56" s="28">
        <v>645</v>
      </c>
      <c r="M56" s="28">
        <v>20532</v>
      </c>
      <c r="N56" s="28">
        <v>4292</v>
      </c>
      <c r="O56" s="28">
        <v>4292</v>
      </c>
    </row>
    <row r="57" spans="1:15" ht="12.75" customHeight="1">
      <c r="A57" s="4" t="s">
        <v>105</v>
      </c>
      <c r="B57" s="5" t="s">
        <v>106</v>
      </c>
      <c r="C57" s="28">
        <v>48070</v>
      </c>
      <c r="D57" s="28">
        <v>28480</v>
      </c>
      <c r="E57" s="28">
        <v>2683</v>
      </c>
      <c r="F57" s="28">
        <f t="shared" si="10"/>
        <v>16907</v>
      </c>
      <c r="G57" s="28">
        <v>185189</v>
      </c>
      <c r="H57" s="28">
        <v>86403</v>
      </c>
      <c r="I57" s="28">
        <v>13623</v>
      </c>
      <c r="J57" s="28">
        <f t="shared" si="11"/>
        <v>85163</v>
      </c>
      <c r="K57" s="28">
        <v>2571</v>
      </c>
      <c r="L57" s="28">
        <v>0</v>
      </c>
      <c r="M57" s="28">
        <v>13937</v>
      </c>
      <c r="N57" s="28">
        <v>227</v>
      </c>
      <c r="O57" s="28">
        <v>227</v>
      </c>
    </row>
    <row r="58" spans="1:15" ht="12.75" customHeight="1">
      <c r="A58" s="4" t="s">
        <v>107</v>
      </c>
      <c r="B58" s="5" t="s">
        <v>108</v>
      </c>
      <c r="C58" s="28">
        <v>48817</v>
      </c>
      <c r="D58" s="28">
        <v>30397</v>
      </c>
      <c r="E58" s="28">
        <v>844</v>
      </c>
      <c r="F58" s="28">
        <f t="shared" si="10"/>
        <v>17576</v>
      </c>
      <c r="G58" s="28">
        <v>153092</v>
      </c>
      <c r="H58" s="28">
        <v>71334</v>
      </c>
      <c r="I58" s="28">
        <v>4311</v>
      </c>
      <c r="J58" s="28">
        <f t="shared" si="11"/>
        <v>77447</v>
      </c>
      <c r="K58" s="28">
        <v>5024</v>
      </c>
      <c r="L58" s="28">
        <v>98</v>
      </c>
      <c r="M58" s="28">
        <v>7571</v>
      </c>
      <c r="N58" s="28">
        <v>21648</v>
      </c>
      <c r="O58" s="28">
        <v>21648</v>
      </c>
    </row>
    <row r="59" spans="1:15" ht="12.75" customHeight="1">
      <c r="A59" s="8"/>
      <c r="B59" s="9" t="s">
        <v>109</v>
      </c>
      <c r="C59" s="29">
        <f t="shared" ref="C59:O59" si="12">SUM(C52:C58)</f>
        <v>275255</v>
      </c>
      <c r="D59" s="29">
        <f t="shared" si="12"/>
        <v>166529</v>
      </c>
      <c r="E59" s="29">
        <f t="shared" si="12"/>
        <v>7508</v>
      </c>
      <c r="F59" s="29">
        <f t="shared" si="12"/>
        <v>101218</v>
      </c>
      <c r="G59" s="29">
        <f t="shared" si="12"/>
        <v>884239</v>
      </c>
      <c r="H59" s="29">
        <f t="shared" si="12"/>
        <v>420480</v>
      </c>
      <c r="I59" s="29">
        <f t="shared" si="12"/>
        <v>40440</v>
      </c>
      <c r="J59" s="29">
        <f t="shared" si="12"/>
        <v>423319</v>
      </c>
      <c r="K59" s="29">
        <f t="shared" si="12"/>
        <v>52695</v>
      </c>
      <c r="L59" s="29">
        <f t="shared" si="12"/>
        <v>758</v>
      </c>
      <c r="M59" s="29">
        <f t="shared" si="12"/>
        <v>57294</v>
      </c>
      <c r="N59" s="29">
        <f t="shared" si="12"/>
        <v>40112</v>
      </c>
      <c r="O59" s="29">
        <f t="shared" si="12"/>
        <v>40112</v>
      </c>
    </row>
    <row r="60" spans="1:15" ht="12.75" customHeight="1">
      <c r="A60" s="4" t="s">
        <v>110</v>
      </c>
      <c r="B60" s="5" t="s">
        <v>111</v>
      </c>
      <c r="C60" s="28">
        <v>56286</v>
      </c>
      <c r="D60" s="28">
        <v>43615</v>
      </c>
      <c r="E60" s="28">
        <v>3792</v>
      </c>
      <c r="F60" s="28">
        <f t="shared" ref="F60:F68" si="13">SUM(C60-D60-E60)</f>
        <v>8879</v>
      </c>
      <c r="G60" s="28">
        <v>170258</v>
      </c>
      <c r="H60" s="28">
        <v>103719</v>
      </c>
      <c r="I60" s="28">
        <v>23828</v>
      </c>
      <c r="J60" s="28">
        <f t="shared" ref="J60:J68" si="14">SUM(G60-H60-I60)</f>
        <v>42711</v>
      </c>
      <c r="K60" s="28">
        <v>1576</v>
      </c>
      <c r="L60" s="28">
        <v>0</v>
      </c>
      <c r="M60" s="28">
        <v>5954</v>
      </c>
      <c r="N60" s="28">
        <v>1013</v>
      </c>
      <c r="O60" s="28">
        <v>1013</v>
      </c>
    </row>
    <row r="61" spans="1:15" ht="12.75" customHeight="1">
      <c r="A61" s="4" t="s">
        <v>112</v>
      </c>
      <c r="B61" s="5" t="s">
        <v>113</v>
      </c>
      <c r="C61" s="28">
        <v>14293</v>
      </c>
      <c r="D61" s="28">
        <v>11993</v>
      </c>
      <c r="E61" s="28">
        <v>186</v>
      </c>
      <c r="F61" s="28">
        <f t="shared" si="13"/>
        <v>2114</v>
      </c>
      <c r="G61" s="28">
        <v>35681</v>
      </c>
      <c r="H61" s="28">
        <v>28940</v>
      </c>
      <c r="I61" s="28">
        <v>1018</v>
      </c>
      <c r="J61" s="28">
        <f t="shared" si="14"/>
        <v>5723</v>
      </c>
      <c r="K61" s="28">
        <v>97</v>
      </c>
      <c r="L61" s="28">
        <v>297</v>
      </c>
      <c r="M61" s="28">
        <v>3694</v>
      </c>
      <c r="N61" s="28">
        <v>13</v>
      </c>
      <c r="O61" s="28">
        <v>13</v>
      </c>
    </row>
    <row r="62" spans="1:15" ht="12.75" customHeight="1">
      <c r="A62" s="4" t="s">
        <v>114</v>
      </c>
      <c r="B62" s="5" t="s">
        <v>115</v>
      </c>
      <c r="C62" s="28">
        <v>28571</v>
      </c>
      <c r="D62" s="28">
        <v>14427</v>
      </c>
      <c r="E62" s="28">
        <v>1038</v>
      </c>
      <c r="F62" s="28">
        <f t="shared" si="13"/>
        <v>13106</v>
      </c>
      <c r="G62" s="28">
        <v>105931</v>
      </c>
      <c r="H62" s="28">
        <v>37192</v>
      </c>
      <c r="I62" s="28">
        <v>7172</v>
      </c>
      <c r="J62" s="28">
        <f t="shared" si="14"/>
        <v>61567</v>
      </c>
      <c r="K62" s="28">
        <v>7571</v>
      </c>
      <c r="L62" s="28">
        <v>774</v>
      </c>
      <c r="M62" s="28">
        <v>7347</v>
      </c>
      <c r="N62" s="28">
        <v>6666</v>
      </c>
      <c r="O62" s="28">
        <v>6666</v>
      </c>
    </row>
    <row r="63" spans="1:15" ht="12.75" customHeight="1">
      <c r="A63" s="4" t="s">
        <v>116</v>
      </c>
      <c r="B63" s="5" t="s">
        <v>117</v>
      </c>
      <c r="C63" s="28">
        <v>42509</v>
      </c>
      <c r="D63" s="28">
        <v>24478</v>
      </c>
      <c r="E63" s="28">
        <v>1638</v>
      </c>
      <c r="F63" s="28">
        <f t="shared" si="13"/>
        <v>16393</v>
      </c>
      <c r="G63" s="28">
        <v>131329</v>
      </c>
      <c r="H63" s="28">
        <v>71899</v>
      </c>
      <c r="I63" s="28">
        <v>12828</v>
      </c>
      <c r="J63" s="28">
        <f t="shared" si="14"/>
        <v>46602</v>
      </c>
      <c r="K63" s="28">
        <v>990</v>
      </c>
      <c r="L63" s="28">
        <v>0</v>
      </c>
      <c r="M63" s="28">
        <v>5583</v>
      </c>
      <c r="N63" s="28">
        <v>329</v>
      </c>
      <c r="O63" s="28">
        <v>329</v>
      </c>
    </row>
    <row r="64" spans="1:15" ht="12.75" customHeight="1">
      <c r="A64" s="4" t="s">
        <v>118</v>
      </c>
      <c r="B64" s="5" t="s">
        <v>119</v>
      </c>
      <c r="C64" s="28">
        <v>34594</v>
      </c>
      <c r="D64" s="28">
        <v>18265</v>
      </c>
      <c r="E64" s="28">
        <v>1916</v>
      </c>
      <c r="F64" s="28">
        <f t="shared" si="13"/>
        <v>14413</v>
      </c>
      <c r="G64" s="28">
        <v>130238</v>
      </c>
      <c r="H64" s="28">
        <v>52074</v>
      </c>
      <c r="I64" s="28">
        <v>11488</v>
      </c>
      <c r="J64" s="28">
        <f t="shared" si="14"/>
        <v>66676</v>
      </c>
      <c r="K64" s="28">
        <v>442</v>
      </c>
      <c r="L64" s="28">
        <v>47</v>
      </c>
      <c r="M64" s="28">
        <v>2660</v>
      </c>
      <c r="N64" s="28">
        <v>450</v>
      </c>
      <c r="O64" s="28">
        <v>450</v>
      </c>
    </row>
    <row r="65" spans="1:15" ht="12.75" customHeight="1">
      <c r="A65" s="4" t="s">
        <v>120</v>
      </c>
      <c r="B65" s="5" t="s">
        <v>121</v>
      </c>
      <c r="C65" s="28">
        <v>16702</v>
      </c>
      <c r="D65" s="28">
        <v>13276</v>
      </c>
      <c r="E65" s="28">
        <v>1374</v>
      </c>
      <c r="F65" s="28">
        <f t="shared" si="13"/>
        <v>2052</v>
      </c>
      <c r="G65" s="28">
        <v>74292</v>
      </c>
      <c r="H65" s="28">
        <v>35462</v>
      </c>
      <c r="I65" s="28">
        <v>8805</v>
      </c>
      <c r="J65" s="28">
        <f t="shared" si="14"/>
        <v>30025</v>
      </c>
      <c r="K65" s="28">
        <v>4337</v>
      </c>
      <c r="L65" s="28">
        <v>0</v>
      </c>
      <c r="M65" s="28">
        <v>5236</v>
      </c>
      <c r="N65" s="28">
        <v>919</v>
      </c>
      <c r="O65" s="28">
        <v>919</v>
      </c>
    </row>
    <row r="66" spans="1:15" ht="12.75" customHeight="1">
      <c r="A66" s="4" t="s">
        <v>122</v>
      </c>
      <c r="B66" s="5" t="s">
        <v>123</v>
      </c>
      <c r="C66" s="28">
        <v>30410</v>
      </c>
      <c r="D66" s="28">
        <v>12618</v>
      </c>
      <c r="E66" s="28">
        <v>554</v>
      </c>
      <c r="F66" s="28">
        <f t="shared" si="13"/>
        <v>17238</v>
      </c>
      <c r="G66" s="28">
        <v>168657</v>
      </c>
      <c r="H66" s="28">
        <v>35490</v>
      </c>
      <c r="I66" s="28">
        <v>3631</v>
      </c>
      <c r="J66" s="28">
        <f t="shared" si="14"/>
        <v>129536</v>
      </c>
      <c r="K66" s="28">
        <v>13551</v>
      </c>
      <c r="L66" s="28">
        <v>0</v>
      </c>
      <c r="M66" s="28">
        <v>28535</v>
      </c>
      <c r="N66" s="28">
        <v>355</v>
      </c>
      <c r="O66" s="28">
        <v>355</v>
      </c>
    </row>
    <row r="67" spans="1:15" ht="12.75" customHeight="1">
      <c r="A67" s="4" t="s">
        <v>124</v>
      </c>
      <c r="B67" s="5" t="s">
        <v>125</v>
      </c>
      <c r="C67" s="28">
        <v>70393</v>
      </c>
      <c r="D67" s="28">
        <v>15314</v>
      </c>
      <c r="E67" s="28">
        <v>0</v>
      </c>
      <c r="F67" s="28">
        <f t="shared" si="13"/>
        <v>55079</v>
      </c>
      <c r="G67" s="28">
        <v>274953</v>
      </c>
      <c r="H67" s="28">
        <v>38515</v>
      </c>
      <c r="I67" s="28">
        <v>0</v>
      </c>
      <c r="J67" s="28">
        <f t="shared" si="14"/>
        <v>236438</v>
      </c>
      <c r="K67" s="28">
        <v>14551</v>
      </c>
      <c r="L67" s="28">
        <v>0</v>
      </c>
      <c r="M67" s="28">
        <v>49048</v>
      </c>
      <c r="N67" s="28">
        <v>1150</v>
      </c>
      <c r="O67" s="28">
        <v>1150</v>
      </c>
    </row>
    <row r="68" spans="1:15" ht="12.75" customHeight="1">
      <c r="A68" s="4" t="s">
        <v>126</v>
      </c>
      <c r="B68" s="5" t="s">
        <v>127</v>
      </c>
      <c r="C68" s="28">
        <v>25304</v>
      </c>
      <c r="D68" s="28">
        <v>17619</v>
      </c>
      <c r="E68" s="28">
        <v>381</v>
      </c>
      <c r="F68" s="28">
        <f t="shared" si="13"/>
        <v>7304</v>
      </c>
      <c r="G68" s="28">
        <v>92933</v>
      </c>
      <c r="H68" s="28">
        <v>40881</v>
      </c>
      <c r="I68" s="28">
        <v>2979</v>
      </c>
      <c r="J68" s="28">
        <f t="shared" si="14"/>
        <v>49073</v>
      </c>
      <c r="K68" s="28">
        <v>194</v>
      </c>
      <c r="L68" s="28">
        <v>52</v>
      </c>
      <c r="M68" s="28">
        <v>2905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319062</v>
      </c>
      <c r="D69" s="29">
        <f t="shared" si="15"/>
        <v>171605</v>
      </c>
      <c r="E69" s="29">
        <f t="shared" si="15"/>
        <v>10879</v>
      </c>
      <c r="F69" s="29">
        <f t="shared" si="15"/>
        <v>136578</v>
      </c>
      <c r="G69" s="29">
        <f t="shared" si="15"/>
        <v>1184272</v>
      </c>
      <c r="H69" s="29">
        <f t="shared" si="15"/>
        <v>444172</v>
      </c>
      <c r="I69" s="29">
        <f t="shared" si="15"/>
        <v>71749</v>
      </c>
      <c r="J69" s="29">
        <f t="shared" si="15"/>
        <v>668351</v>
      </c>
      <c r="K69" s="29">
        <f t="shared" si="15"/>
        <v>43309</v>
      </c>
      <c r="L69" s="29">
        <f t="shared" si="15"/>
        <v>1170</v>
      </c>
      <c r="M69" s="29">
        <f t="shared" si="15"/>
        <v>110962</v>
      </c>
      <c r="N69" s="29">
        <f t="shared" si="15"/>
        <v>10895</v>
      </c>
      <c r="O69" s="29">
        <f t="shared" si="15"/>
        <v>10895</v>
      </c>
    </row>
    <row r="70" spans="1:15" ht="12.75" customHeight="1">
      <c r="A70" s="4" t="s">
        <v>129</v>
      </c>
      <c r="B70" s="5" t="s">
        <v>130</v>
      </c>
      <c r="C70" s="28">
        <v>18478</v>
      </c>
      <c r="D70" s="28">
        <v>16032</v>
      </c>
      <c r="E70" s="28">
        <v>1167</v>
      </c>
      <c r="F70" s="28">
        <f t="shared" ref="F70:F79" si="16">SUM(C70-D70-E70)</f>
        <v>1279</v>
      </c>
      <c r="G70" s="28">
        <v>60813</v>
      </c>
      <c r="H70" s="28">
        <v>38704</v>
      </c>
      <c r="I70" s="28">
        <v>9137</v>
      </c>
      <c r="J70" s="28">
        <f t="shared" ref="J70:J79" si="17">SUM(G70-H70-I70)</f>
        <v>12972</v>
      </c>
      <c r="K70" s="28">
        <v>1396</v>
      </c>
      <c r="L70" s="28">
        <v>4</v>
      </c>
      <c r="M70" s="28">
        <v>1922</v>
      </c>
      <c r="N70" s="28">
        <v>257</v>
      </c>
      <c r="O70" s="28">
        <v>257</v>
      </c>
    </row>
    <row r="71" spans="1:15" ht="12.75" customHeight="1">
      <c r="A71" s="4" t="s">
        <v>131</v>
      </c>
      <c r="B71" s="5" t="s">
        <v>132</v>
      </c>
      <c r="C71" s="28">
        <v>88039</v>
      </c>
      <c r="D71" s="28">
        <v>51529</v>
      </c>
      <c r="E71" s="28">
        <v>2538</v>
      </c>
      <c r="F71" s="28">
        <f t="shared" si="16"/>
        <v>33972</v>
      </c>
      <c r="G71" s="28">
        <v>209697</v>
      </c>
      <c r="H71" s="28">
        <v>90900</v>
      </c>
      <c r="I71" s="28">
        <v>14032</v>
      </c>
      <c r="J71" s="28">
        <f t="shared" si="17"/>
        <v>104765</v>
      </c>
      <c r="K71" s="28">
        <v>6400</v>
      </c>
      <c r="L71" s="28">
        <v>0</v>
      </c>
      <c r="M71" s="28">
        <v>5629</v>
      </c>
      <c r="N71" s="28">
        <v>24876</v>
      </c>
      <c r="O71" s="28">
        <v>24876</v>
      </c>
    </row>
    <row r="72" spans="1:15" ht="12.75" customHeight="1">
      <c r="A72" s="4" t="s">
        <v>133</v>
      </c>
      <c r="B72" s="5" t="s">
        <v>134</v>
      </c>
      <c r="C72" s="28">
        <v>13123</v>
      </c>
      <c r="D72" s="28">
        <v>11473</v>
      </c>
      <c r="E72" s="28">
        <v>0</v>
      </c>
      <c r="F72" s="28">
        <f t="shared" si="16"/>
        <v>1650</v>
      </c>
      <c r="G72" s="28">
        <v>38266</v>
      </c>
      <c r="H72" s="28">
        <v>29147</v>
      </c>
      <c r="I72" s="28">
        <v>0</v>
      </c>
      <c r="J72" s="28">
        <f t="shared" si="17"/>
        <v>9119</v>
      </c>
      <c r="K72" s="28">
        <v>2315</v>
      </c>
      <c r="L72" s="28">
        <v>535</v>
      </c>
      <c r="M72" s="28">
        <v>7253</v>
      </c>
      <c r="N72" s="28">
        <v>106</v>
      </c>
      <c r="O72" s="28">
        <v>106</v>
      </c>
    </row>
    <row r="73" spans="1:15" ht="12.75" customHeight="1">
      <c r="A73" s="4" t="s">
        <v>135</v>
      </c>
      <c r="B73" s="5" t="s">
        <v>136</v>
      </c>
      <c r="C73" s="28">
        <v>34061</v>
      </c>
      <c r="D73" s="28">
        <v>25074</v>
      </c>
      <c r="E73" s="28">
        <v>243</v>
      </c>
      <c r="F73" s="28">
        <f t="shared" si="16"/>
        <v>8744</v>
      </c>
      <c r="G73" s="28">
        <v>97842</v>
      </c>
      <c r="H73" s="28">
        <v>57725</v>
      </c>
      <c r="I73" s="28">
        <v>886</v>
      </c>
      <c r="J73" s="28">
        <f t="shared" si="17"/>
        <v>39231</v>
      </c>
      <c r="K73" s="28">
        <v>3798</v>
      </c>
      <c r="L73" s="28">
        <v>737</v>
      </c>
      <c r="M73" s="28">
        <v>4203</v>
      </c>
      <c r="N73" s="28">
        <v>39853</v>
      </c>
      <c r="O73" s="28">
        <v>39853</v>
      </c>
    </row>
    <row r="74" spans="1:15" ht="12.75" customHeight="1">
      <c r="A74" s="4" t="s">
        <v>137</v>
      </c>
      <c r="B74" s="5" t="s">
        <v>138</v>
      </c>
      <c r="C74" s="28">
        <v>25286</v>
      </c>
      <c r="D74" s="28">
        <v>21808</v>
      </c>
      <c r="E74" s="28">
        <v>822</v>
      </c>
      <c r="F74" s="28">
        <f t="shared" si="16"/>
        <v>2656</v>
      </c>
      <c r="G74" s="28">
        <v>58212</v>
      </c>
      <c r="H74" s="28">
        <v>38926</v>
      </c>
      <c r="I74" s="28">
        <v>3728</v>
      </c>
      <c r="J74" s="28">
        <f t="shared" si="17"/>
        <v>15558</v>
      </c>
      <c r="K74" s="28">
        <v>2010</v>
      </c>
      <c r="L74" s="28">
        <v>0</v>
      </c>
      <c r="M74" s="28">
        <v>1379</v>
      </c>
      <c r="N74" s="28">
        <v>633</v>
      </c>
      <c r="O74" s="28">
        <v>633</v>
      </c>
    </row>
    <row r="75" spans="1:15" ht="12.75" customHeight="1">
      <c r="A75" s="4" t="s">
        <v>139</v>
      </c>
      <c r="B75" s="5" t="s">
        <v>140</v>
      </c>
      <c r="C75" s="28">
        <v>13765</v>
      </c>
      <c r="D75" s="28">
        <v>12884</v>
      </c>
      <c r="E75" s="28">
        <v>258</v>
      </c>
      <c r="F75" s="28">
        <f t="shared" si="16"/>
        <v>623</v>
      </c>
      <c r="G75" s="28">
        <v>28635</v>
      </c>
      <c r="H75" s="28">
        <v>22013</v>
      </c>
      <c r="I75" s="28">
        <v>2339</v>
      </c>
      <c r="J75" s="28">
        <f t="shared" si="17"/>
        <v>4283</v>
      </c>
      <c r="K75" s="28">
        <v>102</v>
      </c>
      <c r="L75" s="28">
        <v>0</v>
      </c>
      <c r="M75" s="28">
        <v>31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29360</v>
      </c>
      <c r="D76" s="28">
        <v>22082</v>
      </c>
      <c r="E76" s="28">
        <v>493</v>
      </c>
      <c r="F76" s="28">
        <f t="shared" si="16"/>
        <v>6785</v>
      </c>
      <c r="G76" s="28">
        <v>81153</v>
      </c>
      <c r="H76" s="28">
        <v>49254</v>
      </c>
      <c r="I76" s="28">
        <v>2062</v>
      </c>
      <c r="J76" s="28">
        <f t="shared" si="17"/>
        <v>29837</v>
      </c>
      <c r="K76" s="28">
        <v>1576</v>
      </c>
      <c r="L76" s="28">
        <v>272</v>
      </c>
      <c r="M76" s="28">
        <v>3461</v>
      </c>
      <c r="N76" s="28">
        <v>989</v>
      </c>
      <c r="O76" s="28">
        <v>989</v>
      </c>
    </row>
    <row r="77" spans="1:15" ht="12.75" customHeight="1">
      <c r="A77" s="4" t="s">
        <v>143</v>
      </c>
      <c r="B77" s="5" t="s">
        <v>144</v>
      </c>
      <c r="C77" s="28">
        <v>34285</v>
      </c>
      <c r="D77" s="28">
        <v>14189</v>
      </c>
      <c r="E77" s="28">
        <v>317</v>
      </c>
      <c r="F77" s="28">
        <f t="shared" si="16"/>
        <v>19779</v>
      </c>
      <c r="G77" s="28">
        <v>83836</v>
      </c>
      <c r="H77" s="28">
        <v>29325</v>
      </c>
      <c r="I77" s="28">
        <v>1431</v>
      </c>
      <c r="J77" s="28">
        <f t="shared" si="17"/>
        <v>53080</v>
      </c>
      <c r="K77" s="28">
        <v>2954</v>
      </c>
      <c r="L77" s="28">
        <v>0</v>
      </c>
      <c r="M77" s="28">
        <v>2366</v>
      </c>
      <c r="N77" s="28">
        <v>552</v>
      </c>
      <c r="O77" s="28">
        <v>552</v>
      </c>
    </row>
    <row r="78" spans="1:15" ht="12.75" customHeight="1">
      <c r="A78" s="4" t="s">
        <v>145</v>
      </c>
      <c r="B78" s="5" t="s">
        <v>146</v>
      </c>
      <c r="C78" s="28">
        <v>12989</v>
      </c>
      <c r="D78" s="28">
        <v>12120</v>
      </c>
      <c r="E78" s="28">
        <v>0</v>
      </c>
      <c r="F78" s="28">
        <f t="shared" si="16"/>
        <v>869</v>
      </c>
      <c r="G78" s="28">
        <v>27848</v>
      </c>
      <c r="H78" s="28">
        <v>22816</v>
      </c>
      <c r="I78" s="28">
        <v>0</v>
      </c>
      <c r="J78" s="28">
        <f t="shared" si="17"/>
        <v>5032</v>
      </c>
      <c r="K78" s="28">
        <v>351</v>
      </c>
      <c r="L78" s="28">
        <v>0</v>
      </c>
      <c r="M78" s="28">
        <v>0</v>
      </c>
      <c r="N78" s="28">
        <v>201</v>
      </c>
      <c r="O78" s="28">
        <v>201</v>
      </c>
    </row>
    <row r="79" spans="1:15" ht="12.75" customHeight="1">
      <c r="A79" s="4" t="s">
        <v>147</v>
      </c>
      <c r="B79" s="5" t="s">
        <v>148</v>
      </c>
      <c r="C79" s="28">
        <v>15953</v>
      </c>
      <c r="D79" s="28">
        <v>13343</v>
      </c>
      <c r="E79" s="28">
        <v>326</v>
      </c>
      <c r="F79" s="28">
        <f t="shared" si="16"/>
        <v>2284</v>
      </c>
      <c r="G79" s="28">
        <v>51707</v>
      </c>
      <c r="H79" s="28">
        <v>32031</v>
      </c>
      <c r="I79" s="28">
        <v>2220</v>
      </c>
      <c r="J79" s="28">
        <f t="shared" si="17"/>
        <v>17456</v>
      </c>
      <c r="K79" s="28">
        <v>1932</v>
      </c>
      <c r="L79" s="28">
        <v>459</v>
      </c>
      <c r="M79" s="28">
        <v>8705</v>
      </c>
      <c r="N79" s="28">
        <v>352</v>
      </c>
      <c r="O79" s="28">
        <v>352</v>
      </c>
    </row>
    <row r="80" spans="1:15" ht="12.75" customHeight="1">
      <c r="A80" s="8"/>
      <c r="B80" s="9" t="s">
        <v>149</v>
      </c>
      <c r="C80" s="29">
        <f t="shared" ref="C80:O80" si="18">SUM(C70:C79)</f>
        <v>285339</v>
      </c>
      <c r="D80" s="29">
        <f t="shared" si="18"/>
        <v>200534</v>
      </c>
      <c r="E80" s="29">
        <f t="shared" si="18"/>
        <v>6164</v>
      </c>
      <c r="F80" s="29">
        <f t="shared" si="18"/>
        <v>78641</v>
      </c>
      <c r="G80" s="29">
        <f t="shared" si="18"/>
        <v>738009</v>
      </c>
      <c r="H80" s="29">
        <f t="shared" si="18"/>
        <v>410841</v>
      </c>
      <c r="I80" s="29">
        <f t="shared" si="18"/>
        <v>35835</v>
      </c>
      <c r="J80" s="29">
        <f t="shared" si="18"/>
        <v>291333</v>
      </c>
      <c r="K80" s="29">
        <f t="shared" si="18"/>
        <v>22834</v>
      </c>
      <c r="L80" s="29">
        <f t="shared" si="18"/>
        <v>2007</v>
      </c>
      <c r="M80" s="29">
        <f t="shared" si="18"/>
        <v>34949</v>
      </c>
      <c r="N80" s="29">
        <f t="shared" si="18"/>
        <v>67848</v>
      </c>
      <c r="O80" s="29">
        <f t="shared" si="18"/>
        <v>67848</v>
      </c>
    </row>
    <row r="81" spans="1:15" ht="12.75" customHeight="1">
      <c r="A81" s="4" t="s">
        <v>150</v>
      </c>
      <c r="B81" s="5" t="s">
        <v>151</v>
      </c>
      <c r="C81" s="28">
        <v>27786</v>
      </c>
      <c r="D81" s="28">
        <v>16412</v>
      </c>
      <c r="E81" s="28">
        <v>632</v>
      </c>
      <c r="F81" s="28">
        <f>SUM(C81-D81-E81)</f>
        <v>10742</v>
      </c>
      <c r="G81" s="28">
        <v>111006</v>
      </c>
      <c r="H81" s="28">
        <v>53563</v>
      </c>
      <c r="I81" s="28">
        <v>6417</v>
      </c>
      <c r="J81" s="28">
        <f>SUM(G81-H81-I81)</f>
        <v>51026</v>
      </c>
      <c r="K81" s="28">
        <v>1158</v>
      </c>
      <c r="L81" s="28">
        <v>0</v>
      </c>
      <c r="M81" s="28">
        <v>6287</v>
      </c>
      <c r="N81" s="28">
        <v>1916</v>
      </c>
      <c r="O81" s="28">
        <v>1916</v>
      </c>
    </row>
    <row r="82" spans="1:15" ht="12.75" customHeight="1">
      <c r="A82" s="4" t="s">
        <v>152</v>
      </c>
      <c r="B82" s="5" t="s">
        <v>153</v>
      </c>
      <c r="C82" s="28">
        <v>13814</v>
      </c>
      <c r="D82" s="28">
        <v>9420</v>
      </c>
      <c r="E82" s="28">
        <v>128</v>
      </c>
      <c r="F82" s="28">
        <f>SUM(C82-D82-E82)</f>
        <v>4266</v>
      </c>
      <c r="G82" s="28">
        <v>61580</v>
      </c>
      <c r="H82" s="28">
        <v>29431</v>
      </c>
      <c r="I82" s="28">
        <v>1217</v>
      </c>
      <c r="J82" s="28">
        <f>SUM(G82-H82-I82)</f>
        <v>30932</v>
      </c>
      <c r="K82" s="28">
        <v>443</v>
      </c>
      <c r="L82" s="28">
        <v>17</v>
      </c>
      <c r="M82" s="28">
        <v>6271</v>
      </c>
      <c r="N82" s="28">
        <v>502</v>
      </c>
      <c r="O82" s="28">
        <v>502</v>
      </c>
    </row>
    <row r="83" spans="1:15" ht="12.75" customHeight="1">
      <c r="A83" s="4" t="s">
        <v>154</v>
      </c>
      <c r="B83" s="5" t="s">
        <v>155</v>
      </c>
      <c r="C83" s="28">
        <v>3784</v>
      </c>
      <c r="D83" s="28">
        <v>3524</v>
      </c>
      <c r="E83" s="28">
        <v>238</v>
      </c>
      <c r="F83" s="28">
        <f>SUM(C83-D83-E83)</f>
        <v>22</v>
      </c>
      <c r="G83" s="28">
        <v>13357</v>
      </c>
      <c r="H83" s="28">
        <v>11278</v>
      </c>
      <c r="I83" s="28">
        <v>1866</v>
      </c>
      <c r="J83" s="28">
        <f>SUM(G83-H83-I83)</f>
        <v>213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12135</v>
      </c>
      <c r="D84" s="28">
        <v>11116</v>
      </c>
      <c r="E84" s="28">
        <v>168</v>
      </c>
      <c r="F84" s="28">
        <f>SUM(C84-D84-E84)</f>
        <v>851</v>
      </c>
      <c r="G84" s="28">
        <v>51134</v>
      </c>
      <c r="H84" s="28">
        <v>35772</v>
      </c>
      <c r="I84" s="28">
        <v>1501</v>
      </c>
      <c r="J84" s="28">
        <f>SUM(G84-H84-I84)</f>
        <v>13861</v>
      </c>
      <c r="K84" s="28">
        <v>559</v>
      </c>
      <c r="L84" s="28">
        <v>0</v>
      </c>
      <c r="M84" s="28">
        <v>4272</v>
      </c>
      <c r="N84" s="28">
        <v>195</v>
      </c>
      <c r="O84" s="28">
        <v>195</v>
      </c>
    </row>
    <row r="85" spans="1:15" ht="12.75" customHeight="1">
      <c r="A85" s="4" t="s">
        <v>158</v>
      </c>
      <c r="B85" s="5" t="s">
        <v>159</v>
      </c>
      <c r="C85" s="28">
        <v>18587</v>
      </c>
      <c r="D85" s="28">
        <v>16151</v>
      </c>
      <c r="E85" s="28">
        <v>551</v>
      </c>
      <c r="F85" s="28">
        <f>SUM(C85-D85-E85)</f>
        <v>1885</v>
      </c>
      <c r="G85" s="28">
        <v>54715</v>
      </c>
      <c r="H85" s="28">
        <v>40914</v>
      </c>
      <c r="I85" s="28">
        <v>3267</v>
      </c>
      <c r="J85" s="28">
        <f>SUM(G85-H85-I85)</f>
        <v>10534</v>
      </c>
      <c r="K85" s="28">
        <v>1026</v>
      </c>
      <c r="L85" s="28">
        <v>510</v>
      </c>
      <c r="M85" s="28">
        <v>2947</v>
      </c>
      <c r="N85" s="28">
        <v>12147</v>
      </c>
      <c r="O85" s="28">
        <v>12147</v>
      </c>
    </row>
    <row r="86" spans="1:15" ht="12.75" customHeight="1">
      <c r="A86" s="8"/>
      <c r="B86" s="9" t="s">
        <v>160</v>
      </c>
      <c r="C86" s="29">
        <f t="shared" ref="C86:O86" si="19">SUM(C81:C85)</f>
        <v>76106</v>
      </c>
      <c r="D86" s="29">
        <f t="shared" si="19"/>
        <v>56623</v>
      </c>
      <c r="E86" s="29">
        <f t="shared" si="19"/>
        <v>1717</v>
      </c>
      <c r="F86" s="29">
        <f t="shared" si="19"/>
        <v>17766</v>
      </c>
      <c r="G86" s="29">
        <f t="shared" si="19"/>
        <v>291792</v>
      </c>
      <c r="H86" s="29">
        <f t="shared" si="19"/>
        <v>170958</v>
      </c>
      <c r="I86" s="29">
        <f t="shared" si="19"/>
        <v>14268</v>
      </c>
      <c r="J86" s="29">
        <f t="shared" si="19"/>
        <v>106566</v>
      </c>
      <c r="K86" s="29">
        <f t="shared" si="19"/>
        <v>3186</v>
      </c>
      <c r="L86" s="29">
        <f t="shared" si="19"/>
        <v>527</v>
      </c>
      <c r="M86" s="29">
        <f t="shared" si="19"/>
        <v>19777</v>
      </c>
      <c r="N86" s="29">
        <f t="shared" si="19"/>
        <v>14760</v>
      </c>
      <c r="O86" s="29">
        <f t="shared" si="19"/>
        <v>14760</v>
      </c>
    </row>
    <row r="87" spans="1:15" ht="12.75" customHeight="1">
      <c r="A87" s="4" t="s">
        <v>161</v>
      </c>
      <c r="B87" s="5" t="s">
        <v>162</v>
      </c>
      <c r="C87" s="28">
        <v>34681</v>
      </c>
      <c r="D87" s="28">
        <v>24605</v>
      </c>
      <c r="E87" s="28">
        <v>0</v>
      </c>
      <c r="F87" s="28">
        <f>SUM(C87-D87-E87)</f>
        <v>10076</v>
      </c>
      <c r="G87" s="28">
        <v>140178</v>
      </c>
      <c r="H87" s="28">
        <v>71880</v>
      </c>
      <c r="I87" s="28">
        <v>0</v>
      </c>
      <c r="J87" s="28">
        <f>SUM(G87-H87-I87)</f>
        <v>68298</v>
      </c>
      <c r="K87" s="28">
        <v>1457</v>
      </c>
      <c r="L87" s="28">
        <v>76</v>
      </c>
      <c r="M87" s="28">
        <v>7111</v>
      </c>
      <c r="N87" s="28">
        <v>509</v>
      </c>
      <c r="O87" s="28">
        <v>509</v>
      </c>
    </row>
    <row r="88" spans="1:15" ht="12.75" customHeight="1">
      <c r="A88" s="4" t="s">
        <v>163</v>
      </c>
      <c r="B88" s="5" t="s">
        <v>164</v>
      </c>
      <c r="C88" s="28">
        <v>21236</v>
      </c>
      <c r="D88" s="28">
        <v>12582</v>
      </c>
      <c r="E88" s="28">
        <v>833</v>
      </c>
      <c r="F88" s="28">
        <f>SUM(C88-D88-E88)</f>
        <v>7821</v>
      </c>
      <c r="G88" s="28">
        <v>62438</v>
      </c>
      <c r="H88" s="28">
        <v>30209</v>
      </c>
      <c r="I88" s="28">
        <v>6926</v>
      </c>
      <c r="J88" s="28">
        <f>SUM(G88-H88-I88)</f>
        <v>25303</v>
      </c>
      <c r="K88" s="28">
        <v>539</v>
      </c>
      <c r="L88" s="28">
        <v>83</v>
      </c>
      <c r="M88" s="28">
        <v>2513</v>
      </c>
      <c r="N88" s="28">
        <v>23</v>
      </c>
      <c r="O88" s="28">
        <v>23</v>
      </c>
    </row>
    <row r="89" spans="1:15" ht="12.75" customHeight="1">
      <c r="A89" s="8"/>
      <c r="B89" s="9" t="s">
        <v>165</v>
      </c>
      <c r="C89" s="29">
        <f t="shared" ref="C89:O89" si="20">SUM(C87:C88)</f>
        <v>55917</v>
      </c>
      <c r="D89" s="29">
        <f t="shared" si="20"/>
        <v>37187</v>
      </c>
      <c r="E89" s="29">
        <f t="shared" si="20"/>
        <v>833</v>
      </c>
      <c r="F89" s="29">
        <f t="shared" si="20"/>
        <v>17897</v>
      </c>
      <c r="G89" s="29">
        <f t="shared" si="20"/>
        <v>202616</v>
      </c>
      <c r="H89" s="29">
        <f t="shared" si="20"/>
        <v>102089</v>
      </c>
      <c r="I89" s="29">
        <f t="shared" si="20"/>
        <v>6926</v>
      </c>
      <c r="J89" s="29">
        <f t="shared" si="20"/>
        <v>93601</v>
      </c>
      <c r="K89" s="29">
        <f t="shared" si="20"/>
        <v>1996</v>
      </c>
      <c r="L89" s="29">
        <f t="shared" si="20"/>
        <v>159</v>
      </c>
      <c r="M89" s="29">
        <f t="shared" si="20"/>
        <v>9624</v>
      </c>
      <c r="N89" s="29">
        <f t="shared" si="20"/>
        <v>532</v>
      </c>
      <c r="O89" s="29">
        <f t="shared" si="20"/>
        <v>532</v>
      </c>
    </row>
    <row r="90" spans="1:15" ht="12.75" customHeight="1">
      <c r="A90" s="4" t="s">
        <v>166</v>
      </c>
      <c r="B90" s="5" t="s">
        <v>167</v>
      </c>
      <c r="C90" s="28">
        <v>29300</v>
      </c>
      <c r="D90" s="28">
        <v>17566</v>
      </c>
      <c r="E90" s="28">
        <v>1581</v>
      </c>
      <c r="F90" s="28">
        <f>SUM(C90-D90-E90)</f>
        <v>10153</v>
      </c>
      <c r="G90" s="28">
        <v>134015</v>
      </c>
      <c r="H90" s="28">
        <v>53417</v>
      </c>
      <c r="I90" s="28">
        <v>12395</v>
      </c>
      <c r="J90" s="28">
        <f>SUM(G90-H90-I90)</f>
        <v>68203</v>
      </c>
      <c r="K90" s="28">
        <v>1049</v>
      </c>
      <c r="L90" s="28">
        <v>0</v>
      </c>
      <c r="M90" s="28">
        <v>7502</v>
      </c>
      <c r="N90" s="28">
        <v>115</v>
      </c>
      <c r="O90" s="28">
        <v>115</v>
      </c>
    </row>
    <row r="91" spans="1:15" ht="12.75" customHeight="1">
      <c r="A91" s="4" t="s">
        <v>168</v>
      </c>
      <c r="B91" s="5" t="s">
        <v>169</v>
      </c>
      <c r="C91" s="28">
        <v>35186</v>
      </c>
      <c r="D91" s="28">
        <v>26185</v>
      </c>
      <c r="E91" s="28">
        <v>0</v>
      </c>
      <c r="F91" s="28">
        <f>SUM(C91-D91-E91)</f>
        <v>9001</v>
      </c>
      <c r="G91" s="28">
        <v>146946</v>
      </c>
      <c r="H91" s="28">
        <v>65327</v>
      </c>
      <c r="I91" s="28">
        <v>0</v>
      </c>
      <c r="J91" s="28">
        <f>SUM(G91-H91-I91)</f>
        <v>81619</v>
      </c>
      <c r="K91" s="28">
        <v>908</v>
      </c>
      <c r="L91" s="28">
        <v>134</v>
      </c>
      <c r="M91" s="28">
        <v>17718</v>
      </c>
      <c r="N91" s="28">
        <v>262</v>
      </c>
      <c r="O91" s="28">
        <v>262</v>
      </c>
    </row>
    <row r="92" spans="1:15" ht="12.75" customHeight="1">
      <c r="A92" s="4" t="s">
        <v>170</v>
      </c>
      <c r="B92" s="5" t="s">
        <v>171</v>
      </c>
      <c r="C92" s="28">
        <v>7695</v>
      </c>
      <c r="D92" s="28">
        <v>4790</v>
      </c>
      <c r="E92" s="28">
        <v>705</v>
      </c>
      <c r="F92" s="28">
        <f>SUM(C92-D92-E92)</f>
        <v>2200</v>
      </c>
      <c r="G92" s="28">
        <v>25541</v>
      </c>
      <c r="H92" s="28">
        <v>12101</v>
      </c>
      <c r="I92" s="28">
        <v>6944</v>
      </c>
      <c r="J92" s="28">
        <f>SUM(G92-H92-I92)</f>
        <v>6496</v>
      </c>
      <c r="K92" s="28">
        <v>472</v>
      </c>
      <c r="L92" s="28">
        <v>0</v>
      </c>
      <c r="M92" s="28">
        <v>1148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351579</v>
      </c>
      <c r="D93" s="28">
        <v>226209</v>
      </c>
      <c r="E93" s="28">
        <v>13834</v>
      </c>
      <c r="F93" s="28">
        <f>SUM(C93-D93-E93)</f>
        <v>111536</v>
      </c>
      <c r="G93" s="28">
        <v>1076333</v>
      </c>
      <c r="H93" s="28">
        <v>386832</v>
      </c>
      <c r="I93" s="28">
        <v>50078</v>
      </c>
      <c r="J93" s="28">
        <f>SUM(G93-H93-I93)</f>
        <v>639423</v>
      </c>
      <c r="K93" s="28">
        <v>85330</v>
      </c>
      <c r="L93" s="28">
        <v>178</v>
      </c>
      <c r="M93" s="28">
        <v>98231</v>
      </c>
      <c r="N93" s="28">
        <v>18931</v>
      </c>
      <c r="O93" s="28">
        <v>18931</v>
      </c>
    </row>
    <row r="94" spans="1:15" ht="12.75" customHeight="1">
      <c r="A94" s="4" t="s">
        <v>174</v>
      </c>
      <c r="B94" s="5" t="s">
        <v>175</v>
      </c>
      <c r="C94" s="28">
        <v>22938</v>
      </c>
      <c r="D94" s="28">
        <v>7217</v>
      </c>
      <c r="E94" s="28">
        <v>416</v>
      </c>
      <c r="F94" s="28">
        <f>SUM(C94-D94-E94)</f>
        <v>15305</v>
      </c>
      <c r="G94" s="28">
        <v>71094</v>
      </c>
      <c r="H94" s="28">
        <v>22500</v>
      </c>
      <c r="I94" s="28">
        <v>3415</v>
      </c>
      <c r="J94" s="28">
        <f>SUM(G94-H94-I94)</f>
        <v>45179</v>
      </c>
      <c r="K94" s="28">
        <v>1997</v>
      </c>
      <c r="L94" s="28">
        <v>876</v>
      </c>
      <c r="M94" s="28">
        <v>7577</v>
      </c>
      <c r="N94" s="28">
        <v>202</v>
      </c>
      <c r="O94" s="28">
        <v>202</v>
      </c>
    </row>
    <row r="95" spans="1:15" ht="12.75" customHeight="1">
      <c r="A95" s="8"/>
      <c r="B95" s="9" t="s">
        <v>176</v>
      </c>
      <c r="C95" s="29">
        <f t="shared" ref="C95:O95" si="21">SUM(C90:C94)</f>
        <v>446698</v>
      </c>
      <c r="D95" s="29">
        <f t="shared" si="21"/>
        <v>281967</v>
      </c>
      <c r="E95" s="29">
        <f t="shared" si="21"/>
        <v>16536</v>
      </c>
      <c r="F95" s="29">
        <f t="shared" si="21"/>
        <v>148195</v>
      </c>
      <c r="G95" s="29">
        <f t="shared" si="21"/>
        <v>1453929</v>
      </c>
      <c r="H95" s="29">
        <f t="shared" si="21"/>
        <v>540177</v>
      </c>
      <c r="I95" s="29">
        <f t="shared" si="21"/>
        <v>72832</v>
      </c>
      <c r="J95" s="29">
        <f t="shared" si="21"/>
        <v>840920</v>
      </c>
      <c r="K95" s="29">
        <f t="shared" si="21"/>
        <v>89756</v>
      </c>
      <c r="L95" s="29">
        <f t="shared" si="21"/>
        <v>1188</v>
      </c>
      <c r="M95" s="29">
        <f t="shared" si="21"/>
        <v>132176</v>
      </c>
      <c r="N95" s="29">
        <f t="shared" si="21"/>
        <v>19510</v>
      </c>
      <c r="O95" s="29">
        <f t="shared" si="21"/>
        <v>19510</v>
      </c>
    </row>
    <row r="96" spans="1:15" ht="12.75" customHeight="1">
      <c r="A96" s="4" t="s">
        <v>177</v>
      </c>
      <c r="B96" s="5" t="s">
        <v>178</v>
      </c>
      <c r="C96" s="28">
        <v>6209</v>
      </c>
      <c r="D96" s="28">
        <v>5403</v>
      </c>
      <c r="E96" s="28">
        <v>201</v>
      </c>
      <c r="F96" s="28">
        <f>SUM(C96-D96-E96)</f>
        <v>605</v>
      </c>
      <c r="G96" s="28">
        <v>35542</v>
      </c>
      <c r="H96" s="28">
        <v>20452</v>
      </c>
      <c r="I96" s="28">
        <v>1656</v>
      </c>
      <c r="J96" s="28">
        <f>SUM(G96-H96-I96)</f>
        <v>13434</v>
      </c>
      <c r="K96" s="28">
        <v>18</v>
      </c>
      <c r="L96" s="28">
        <v>0</v>
      </c>
      <c r="M96" s="28">
        <v>6968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2267</v>
      </c>
      <c r="D97" s="28">
        <v>2200</v>
      </c>
      <c r="E97" s="28">
        <v>0</v>
      </c>
      <c r="F97" s="28">
        <f>SUM(C97-D97-E97)</f>
        <v>67</v>
      </c>
      <c r="G97" s="28">
        <v>7780</v>
      </c>
      <c r="H97" s="28">
        <v>7336</v>
      </c>
      <c r="I97" s="28">
        <v>0</v>
      </c>
      <c r="J97" s="28">
        <f>SUM(G97-H97-I97)</f>
        <v>444</v>
      </c>
      <c r="K97" s="28">
        <v>17</v>
      </c>
      <c r="L97" s="28">
        <v>0</v>
      </c>
      <c r="M97" s="28">
        <v>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8476</v>
      </c>
      <c r="D98" s="29">
        <f t="shared" si="22"/>
        <v>7603</v>
      </c>
      <c r="E98" s="29">
        <f t="shared" si="22"/>
        <v>201</v>
      </c>
      <c r="F98" s="29">
        <f t="shared" si="22"/>
        <v>672</v>
      </c>
      <c r="G98" s="29">
        <f t="shared" si="22"/>
        <v>43322</v>
      </c>
      <c r="H98" s="29">
        <f t="shared" si="22"/>
        <v>27788</v>
      </c>
      <c r="I98" s="29">
        <f t="shared" si="22"/>
        <v>1656</v>
      </c>
      <c r="J98" s="29">
        <f t="shared" si="22"/>
        <v>13878</v>
      </c>
      <c r="K98" s="29">
        <f t="shared" si="22"/>
        <v>35</v>
      </c>
      <c r="L98" s="29">
        <f t="shared" si="22"/>
        <v>0</v>
      </c>
      <c r="M98" s="29">
        <f t="shared" si="22"/>
        <v>6973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20650</v>
      </c>
      <c r="D99" s="28">
        <v>14873</v>
      </c>
      <c r="E99" s="28">
        <v>421</v>
      </c>
      <c r="F99" s="28">
        <f>SUM(C99-D99-E99)</f>
        <v>5356</v>
      </c>
      <c r="G99" s="28">
        <v>72961</v>
      </c>
      <c r="H99" s="28">
        <v>46292</v>
      </c>
      <c r="I99" s="28">
        <v>3136</v>
      </c>
      <c r="J99" s="28">
        <f>SUM(G99-H99-I99)</f>
        <v>23533</v>
      </c>
      <c r="K99" s="28">
        <v>119</v>
      </c>
      <c r="L99" s="28">
        <v>0</v>
      </c>
      <c r="M99" s="28">
        <v>4631</v>
      </c>
      <c r="N99" s="28">
        <v>97</v>
      </c>
      <c r="O99" s="28">
        <v>97</v>
      </c>
    </row>
    <row r="100" spans="1:15" ht="12.75" customHeight="1">
      <c r="A100" s="4" t="s">
        <v>184</v>
      </c>
      <c r="B100" s="5" t="s">
        <v>185</v>
      </c>
      <c r="C100" s="28">
        <v>15322</v>
      </c>
      <c r="D100" s="28">
        <v>9107</v>
      </c>
      <c r="E100" s="28">
        <v>747</v>
      </c>
      <c r="F100" s="28">
        <f>SUM(C100-D100-E100)</f>
        <v>5468</v>
      </c>
      <c r="G100" s="28">
        <v>63992</v>
      </c>
      <c r="H100" s="28">
        <v>25821</v>
      </c>
      <c r="I100" s="28">
        <v>3997</v>
      </c>
      <c r="J100" s="28">
        <f>SUM(G100-H100-I100)</f>
        <v>34174</v>
      </c>
      <c r="K100" s="28">
        <v>2160</v>
      </c>
      <c r="L100" s="28">
        <v>0</v>
      </c>
      <c r="M100" s="28">
        <v>3611</v>
      </c>
      <c r="N100" s="28">
        <v>1017</v>
      </c>
      <c r="O100" s="28">
        <v>1017</v>
      </c>
    </row>
    <row r="101" spans="1:15" ht="12.75" customHeight="1">
      <c r="A101" s="4" t="s">
        <v>186</v>
      </c>
      <c r="B101" s="5" t="s">
        <v>187</v>
      </c>
      <c r="C101" s="28">
        <v>8940</v>
      </c>
      <c r="D101" s="28">
        <v>7790</v>
      </c>
      <c r="E101" s="28">
        <v>0</v>
      </c>
      <c r="F101" s="28">
        <f>SUM(C101-D101-E101)</f>
        <v>1150</v>
      </c>
      <c r="G101" s="28">
        <v>29324</v>
      </c>
      <c r="H101" s="28">
        <v>21682</v>
      </c>
      <c r="I101" s="28">
        <v>0</v>
      </c>
      <c r="J101" s="28">
        <f>SUM(G101-H101-I101)</f>
        <v>7642</v>
      </c>
      <c r="K101" s="28">
        <v>73</v>
      </c>
      <c r="L101" s="28">
        <v>0</v>
      </c>
      <c r="M101" s="28">
        <v>1387</v>
      </c>
      <c r="N101" s="28">
        <v>97</v>
      </c>
      <c r="O101" s="28">
        <v>97</v>
      </c>
    </row>
    <row r="102" spans="1:15" ht="12.75" customHeight="1">
      <c r="A102" s="4" t="s">
        <v>188</v>
      </c>
      <c r="B102" s="5" t="s">
        <v>189</v>
      </c>
      <c r="C102" s="28">
        <v>14584</v>
      </c>
      <c r="D102" s="28">
        <v>12525</v>
      </c>
      <c r="E102" s="28">
        <v>684</v>
      </c>
      <c r="F102" s="28">
        <f>SUM(C102-D102-E102)</f>
        <v>1375</v>
      </c>
      <c r="G102" s="28">
        <v>50458</v>
      </c>
      <c r="H102" s="28">
        <v>32387</v>
      </c>
      <c r="I102" s="28">
        <v>6663</v>
      </c>
      <c r="J102" s="28">
        <f>SUM(G102-H102-I102)</f>
        <v>11408</v>
      </c>
      <c r="K102" s="28">
        <v>1052</v>
      </c>
      <c r="L102" s="28">
        <v>0</v>
      </c>
      <c r="M102" s="28">
        <v>2351</v>
      </c>
      <c r="N102" s="28">
        <v>21</v>
      </c>
      <c r="O102" s="28">
        <v>21</v>
      </c>
    </row>
    <row r="103" spans="1:15" ht="12.75" customHeight="1">
      <c r="A103" s="8"/>
      <c r="B103" s="9" t="s">
        <v>190</v>
      </c>
      <c r="C103" s="29">
        <f t="shared" ref="C103:O103" si="23">SUM(C99:C102)</f>
        <v>59496</v>
      </c>
      <c r="D103" s="29">
        <f t="shared" si="23"/>
        <v>44295</v>
      </c>
      <c r="E103" s="29">
        <f t="shared" si="23"/>
        <v>1852</v>
      </c>
      <c r="F103" s="29">
        <f t="shared" si="23"/>
        <v>13349</v>
      </c>
      <c r="G103" s="29">
        <f t="shared" si="23"/>
        <v>216735</v>
      </c>
      <c r="H103" s="29">
        <f t="shared" si="23"/>
        <v>126182</v>
      </c>
      <c r="I103" s="29">
        <f t="shared" si="23"/>
        <v>13796</v>
      </c>
      <c r="J103" s="29">
        <f t="shared" si="23"/>
        <v>76757</v>
      </c>
      <c r="K103" s="29">
        <f t="shared" si="23"/>
        <v>3404</v>
      </c>
      <c r="L103" s="29">
        <f t="shared" si="23"/>
        <v>0</v>
      </c>
      <c r="M103" s="29">
        <f t="shared" si="23"/>
        <v>11980</v>
      </c>
      <c r="N103" s="29">
        <f t="shared" si="23"/>
        <v>1232</v>
      </c>
      <c r="O103" s="29">
        <f t="shared" si="23"/>
        <v>1232</v>
      </c>
    </row>
    <row r="104" spans="1:15" ht="12.75" customHeight="1">
      <c r="A104" s="4" t="s">
        <v>191</v>
      </c>
      <c r="B104" s="5" t="s">
        <v>192</v>
      </c>
      <c r="C104" s="28">
        <v>11289</v>
      </c>
      <c r="D104" s="28">
        <v>9022</v>
      </c>
      <c r="E104" s="28">
        <v>299</v>
      </c>
      <c r="F104" s="28">
        <f>SUM(C104-D104-E104)</f>
        <v>1968</v>
      </c>
      <c r="G104" s="28">
        <v>46702</v>
      </c>
      <c r="H104" s="28">
        <v>29548</v>
      </c>
      <c r="I104" s="28">
        <v>2689</v>
      </c>
      <c r="J104" s="28">
        <f>SUM(G104-H104-I104)</f>
        <v>14465</v>
      </c>
      <c r="K104" s="28">
        <v>289</v>
      </c>
      <c r="L104" s="28">
        <v>0</v>
      </c>
      <c r="M104" s="28">
        <v>1206</v>
      </c>
      <c r="N104" s="28">
        <v>260</v>
      </c>
      <c r="O104" s="28">
        <v>260</v>
      </c>
    </row>
    <row r="105" spans="1:15" ht="12.75" customHeight="1">
      <c r="A105" s="4" t="s">
        <v>193</v>
      </c>
      <c r="B105" s="5" t="s">
        <v>194</v>
      </c>
      <c r="C105" s="28">
        <v>7849</v>
      </c>
      <c r="D105" s="28">
        <v>5724</v>
      </c>
      <c r="E105" s="28">
        <v>0</v>
      </c>
      <c r="F105" s="28">
        <f>SUM(C105-D105-E105)</f>
        <v>2125</v>
      </c>
      <c r="G105" s="28">
        <v>45546</v>
      </c>
      <c r="H105" s="28">
        <v>18500</v>
      </c>
      <c r="I105" s="28">
        <v>0</v>
      </c>
      <c r="J105" s="28">
        <f>SUM(G105-H105-I105)</f>
        <v>27046</v>
      </c>
      <c r="K105" s="28">
        <v>143</v>
      </c>
      <c r="L105" s="28">
        <v>0</v>
      </c>
      <c r="M105" s="28">
        <v>3377</v>
      </c>
      <c r="N105" s="28">
        <v>82</v>
      </c>
      <c r="O105" s="28">
        <v>82</v>
      </c>
    </row>
    <row r="106" spans="1:15" ht="12.75" customHeight="1">
      <c r="A106" s="4" t="s">
        <v>195</v>
      </c>
      <c r="B106" s="5" t="s">
        <v>196</v>
      </c>
      <c r="C106" s="28">
        <v>42470</v>
      </c>
      <c r="D106" s="28">
        <v>27605</v>
      </c>
      <c r="E106" s="28">
        <v>979</v>
      </c>
      <c r="F106" s="28">
        <f>SUM(C106-D106-E106)</f>
        <v>13886</v>
      </c>
      <c r="G106" s="28">
        <v>190730</v>
      </c>
      <c r="H106" s="28">
        <v>84003</v>
      </c>
      <c r="I106" s="28">
        <v>6657</v>
      </c>
      <c r="J106" s="28">
        <f>SUM(G106-H106-I106)</f>
        <v>100070</v>
      </c>
      <c r="K106" s="28">
        <v>540</v>
      </c>
      <c r="L106" s="28">
        <v>0</v>
      </c>
      <c r="M106" s="28">
        <v>25262</v>
      </c>
      <c r="N106" s="28">
        <v>730</v>
      </c>
      <c r="O106" s="28">
        <v>730</v>
      </c>
    </row>
    <row r="107" spans="1:15" ht="12.75" customHeight="1">
      <c r="A107" s="4" t="s">
        <v>197</v>
      </c>
      <c r="B107" s="5" t="s">
        <v>198</v>
      </c>
      <c r="C107" s="28">
        <v>130059</v>
      </c>
      <c r="D107" s="28">
        <v>89375</v>
      </c>
      <c r="E107" s="28">
        <v>3715</v>
      </c>
      <c r="F107" s="28">
        <f>SUM(C107-D107-E107)</f>
        <v>36969</v>
      </c>
      <c r="G107" s="28">
        <v>359910</v>
      </c>
      <c r="H107" s="28">
        <v>172326</v>
      </c>
      <c r="I107" s="28">
        <v>10223</v>
      </c>
      <c r="J107" s="28">
        <f>SUM(G107-H107-I107)</f>
        <v>177361</v>
      </c>
      <c r="K107" s="28">
        <v>11002</v>
      </c>
      <c r="L107" s="28">
        <v>0</v>
      </c>
      <c r="M107" s="28">
        <v>6103</v>
      </c>
      <c r="N107" s="28">
        <v>9362</v>
      </c>
      <c r="O107" s="28">
        <v>9362</v>
      </c>
    </row>
    <row r="108" spans="1:15" ht="12.75" customHeight="1">
      <c r="A108" s="4" t="s">
        <v>199</v>
      </c>
      <c r="B108" s="5" t="s">
        <v>200</v>
      </c>
      <c r="C108" s="28">
        <v>35367</v>
      </c>
      <c r="D108" s="28">
        <v>24728</v>
      </c>
      <c r="E108" s="28">
        <v>1001</v>
      </c>
      <c r="F108" s="28">
        <f>SUM(C108-D108-E108)</f>
        <v>9638</v>
      </c>
      <c r="G108" s="28">
        <v>184931</v>
      </c>
      <c r="H108" s="28">
        <v>75995</v>
      </c>
      <c r="I108" s="28">
        <v>7703</v>
      </c>
      <c r="J108" s="28">
        <f>SUM(G108-H108-I108)</f>
        <v>101233</v>
      </c>
      <c r="K108" s="28">
        <v>988</v>
      </c>
      <c r="L108" s="28">
        <v>0</v>
      </c>
      <c r="M108" s="28">
        <v>8354</v>
      </c>
      <c r="N108" s="28">
        <v>3679</v>
      </c>
      <c r="O108" s="28">
        <v>3679</v>
      </c>
    </row>
    <row r="109" spans="1:15" ht="12.75" customHeight="1">
      <c r="A109" s="8"/>
      <c r="B109" s="9" t="s">
        <v>201</v>
      </c>
      <c r="C109" s="29">
        <f t="shared" ref="C109:O109" si="24">SUM(C104:C108)</f>
        <v>227034</v>
      </c>
      <c r="D109" s="29">
        <f t="shared" si="24"/>
        <v>156454</v>
      </c>
      <c r="E109" s="29">
        <f t="shared" si="24"/>
        <v>5994</v>
      </c>
      <c r="F109" s="29">
        <f t="shared" si="24"/>
        <v>64586</v>
      </c>
      <c r="G109" s="29">
        <f t="shared" si="24"/>
        <v>827819</v>
      </c>
      <c r="H109" s="29">
        <f t="shared" si="24"/>
        <v>380372</v>
      </c>
      <c r="I109" s="29">
        <f t="shared" si="24"/>
        <v>27272</v>
      </c>
      <c r="J109" s="29">
        <f t="shared" si="24"/>
        <v>420175</v>
      </c>
      <c r="K109" s="29">
        <f t="shared" si="24"/>
        <v>12962</v>
      </c>
      <c r="L109" s="29">
        <f t="shared" si="24"/>
        <v>0</v>
      </c>
      <c r="M109" s="29">
        <f t="shared" si="24"/>
        <v>44302</v>
      </c>
      <c r="N109" s="29">
        <f t="shared" si="24"/>
        <v>14113</v>
      </c>
      <c r="O109" s="29">
        <f t="shared" si="24"/>
        <v>14113</v>
      </c>
    </row>
    <row r="110" spans="1:15" ht="12.75" customHeight="1">
      <c r="A110" s="4" t="s">
        <v>202</v>
      </c>
      <c r="B110" s="5" t="s">
        <v>203</v>
      </c>
      <c r="C110" s="28">
        <v>59333</v>
      </c>
      <c r="D110" s="28">
        <v>47547</v>
      </c>
      <c r="E110" s="28">
        <v>438</v>
      </c>
      <c r="F110" s="28">
        <f t="shared" ref="F110:F115" si="25">SUM(C110-D110-E110)</f>
        <v>11348</v>
      </c>
      <c r="G110" s="28">
        <v>253340</v>
      </c>
      <c r="H110" s="28">
        <v>150664</v>
      </c>
      <c r="I110" s="28">
        <v>4479</v>
      </c>
      <c r="J110" s="28">
        <f t="shared" ref="J110:J115" si="26">SUM(G110-H110-I110)</f>
        <v>98197</v>
      </c>
      <c r="K110" s="28">
        <v>2885</v>
      </c>
      <c r="L110" s="28">
        <v>0</v>
      </c>
      <c r="M110" s="28">
        <v>21340</v>
      </c>
      <c r="N110" s="28">
        <v>843</v>
      </c>
      <c r="O110" s="28">
        <v>843</v>
      </c>
    </row>
    <row r="111" spans="1:15" ht="12.75" customHeight="1">
      <c r="A111" s="4" t="s">
        <v>204</v>
      </c>
      <c r="B111" s="5" t="s">
        <v>205</v>
      </c>
      <c r="C111" s="28">
        <v>6881</v>
      </c>
      <c r="D111" s="28">
        <v>6378</v>
      </c>
      <c r="E111" s="28">
        <v>103</v>
      </c>
      <c r="F111" s="28">
        <f t="shared" si="25"/>
        <v>400</v>
      </c>
      <c r="G111" s="28">
        <v>21564</v>
      </c>
      <c r="H111" s="28">
        <v>17680</v>
      </c>
      <c r="I111" s="28">
        <v>934</v>
      </c>
      <c r="J111" s="28">
        <f t="shared" si="26"/>
        <v>2950</v>
      </c>
      <c r="K111" s="28">
        <v>107</v>
      </c>
      <c r="L111" s="28">
        <v>0</v>
      </c>
      <c r="M111" s="28">
        <v>2686</v>
      </c>
      <c r="N111" s="28">
        <v>104</v>
      </c>
      <c r="O111" s="28">
        <v>104</v>
      </c>
    </row>
    <row r="112" spans="1:15" ht="12.75" customHeight="1">
      <c r="A112" s="4" t="s">
        <v>206</v>
      </c>
      <c r="B112" s="5" t="s">
        <v>207</v>
      </c>
      <c r="C112" s="28">
        <v>17819</v>
      </c>
      <c r="D112" s="28">
        <v>15092</v>
      </c>
      <c r="E112" s="28">
        <v>0</v>
      </c>
      <c r="F112" s="28">
        <f t="shared" si="25"/>
        <v>2727</v>
      </c>
      <c r="G112" s="28">
        <v>59338</v>
      </c>
      <c r="H112" s="28">
        <v>44354</v>
      </c>
      <c r="I112" s="28">
        <v>0</v>
      </c>
      <c r="J112" s="28">
        <f t="shared" si="26"/>
        <v>14984</v>
      </c>
      <c r="K112" s="28">
        <v>850</v>
      </c>
      <c r="L112" s="28">
        <v>0</v>
      </c>
      <c r="M112" s="28">
        <v>3489</v>
      </c>
      <c r="N112" s="28">
        <v>136</v>
      </c>
      <c r="O112" s="28">
        <v>136</v>
      </c>
    </row>
    <row r="113" spans="1:15" ht="12.75" customHeight="1">
      <c r="A113" s="4" t="s">
        <v>208</v>
      </c>
      <c r="B113" s="5" t="s">
        <v>209</v>
      </c>
      <c r="C113" s="28">
        <v>17806</v>
      </c>
      <c r="D113" s="28">
        <v>12567</v>
      </c>
      <c r="E113" s="28">
        <v>525</v>
      </c>
      <c r="F113" s="28">
        <f t="shared" si="25"/>
        <v>4714</v>
      </c>
      <c r="G113" s="28">
        <v>69308</v>
      </c>
      <c r="H113" s="28">
        <v>38406</v>
      </c>
      <c r="I113" s="28">
        <v>3517</v>
      </c>
      <c r="J113" s="28">
        <f t="shared" si="26"/>
        <v>27385</v>
      </c>
      <c r="K113" s="28">
        <v>1435</v>
      </c>
      <c r="L113" s="28">
        <v>0</v>
      </c>
      <c r="M113" s="28">
        <v>17684</v>
      </c>
      <c r="N113" s="28">
        <v>259</v>
      </c>
      <c r="O113" s="28">
        <v>259</v>
      </c>
    </row>
    <row r="114" spans="1:15" ht="12.75" customHeight="1">
      <c r="A114" s="4" t="s">
        <v>210</v>
      </c>
      <c r="B114" s="5" t="s">
        <v>211</v>
      </c>
      <c r="C114" s="28">
        <v>42008</v>
      </c>
      <c r="D114" s="28">
        <v>33977</v>
      </c>
      <c r="E114" s="28">
        <v>0</v>
      </c>
      <c r="F114" s="28">
        <f t="shared" si="25"/>
        <v>8031</v>
      </c>
      <c r="G114" s="28">
        <v>115559</v>
      </c>
      <c r="H114" s="28">
        <v>78980</v>
      </c>
      <c r="I114" s="28">
        <v>0</v>
      </c>
      <c r="J114" s="28">
        <f t="shared" si="26"/>
        <v>36579</v>
      </c>
      <c r="K114" s="28">
        <v>4162</v>
      </c>
      <c r="L114" s="28">
        <v>0</v>
      </c>
      <c r="M114" s="28">
        <v>11859</v>
      </c>
      <c r="N114" s="28">
        <v>2907</v>
      </c>
      <c r="O114" s="28">
        <v>2907</v>
      </c>
    </row>
    <row r="115" spans="1:15" ht="12.75" customHeight="1">
      <c r="A115" s="4" t="s">
        <v>212</v>
      </c>
      <c r="B115" s="5" t="s">
        <v>213</v>
      </c>
      <c r="C115" s="28">
        <v>28709</v>
      </c>
      <c r="D115" s="28">
        <v>21422</v>
      </c>
      <c r="E115" s="28">
        <v>0</v>
      </c>
      <c r="F115" s="28">
        <f t="shared" si="25"/>
        <v>7287</v>
      </c>
      <c r="G115" s="28">
        <v>101082</v>
      </c>
      <c r="H115" s="28">
        <v>63299</v>
      </c>
      <c r="I115" s="28">
        <v>0</v>
      </c>
      <c r="J115" s="28">
        <f t="shared" si="26"/>
        <v>37783</v>
      </c>
      <c r="K115" s="28">
        <v>23198</v>
      </c>
      <c r="L115" s="28">
        <v>0</v>
      </c>
      <c r="M115" s="28">
        <v>7077</v>
      </c>
      <c r="N115" s="28">
        <v>1380</v>
      </c>
      <c r="O115" s="28">
        <v>1380</v>
      </c>
    </row>
    <row r="116" spans="1:15" ht="12.75" customHeight="1">
      <c r="A116" s="8"/>
      <c r="B116" s="9" t="s">
        <v>214</v>
      </c>
      <c r="C116" s="29">
        <f t="shared" ref="C116:O116" si="27">SUM(C110:C115)</f>
        <v>172556</v>
      </c>
      <c r="D116" s="29">
        <f t="shared" si="27"/>
        <v>136983</v>
      </c>
      <c r="E116" s="29">
        <f t="shared" si="27"/>
        <v>1066</v>
      </c>
      <c r="F116" s="29">
        <f t="shared" si="27"/>
        <v>34507</v>
      </c>
      <c r="G116" s="29">
        <f t="shared" si="27"/>
        <v>620191</v>
      </c>
      <c r="H116" s="29">
        <f t="shared" si="27"/>
        <v>393383</v>
      </c>
      <c r="I116" s="29">
        <f t="shared" si="27"/>
        <v>8930</v>
      </c>
      <c r="J116" s="29">
        <f t="shared" si="27"/>
        <v>217878</v>
      </c>
      <c r="K116" s="29">
        <f t="shared" si="27"/>
        <v>32637</v>
      </c>
      <c r="L116" s="29">
        <f t="shared" si="27"/>
        <v>0</v>
      </c>
      <c r="M116" s="29">
        <f t="shared" si="27"/>
        <v>64135</v>
      </c>
      <c r="N116" s="29">
        <f t="shared" si="27"/>
        <v>5629</v>
      </c>
      <c r="O116" s="29">
        <f t="shared" si="27"/>
        <v>5629</v>
      </c>
    </row>
    <row r="117" spans="1:15" ht="12.75" customHeight="1">
      <c r="A117" s="4" t="s">
        <v>215</v>
      </c>
      <c r="B117" s="5" t="s">
        <v>216</v>
      </c>
      <c r="C117" s="28">
        <v>6224</v>
      </c>
      <c r="D117" s="28">
        <v>5213</v>
      </c>
      <c r="E117" s="28">
        <v>0</v>
      </c>
      <c r="F117" s="28">
        <f>SUM(C117-D117-E117)</f>
        <v>1011</v>
      </c>
      <c r="G117" s="28">
        <v>25055</v>
      </c>
      <c r="H117" s="28">
        <v>17917</v>
      </c>
      <c r="I117" s="28">
        <v>0</v>
      </c>
      <c r="J117" s="28">
        <f>SUM(G117-H117-I117)</f>
        <v>7138</v>
      </c>
      <c r="K117" s="28">
        <v>21</v>
      </c>
      <c r="L117" s="28">
        <v>0</v>
      </c>
      <c r="M117" s="28">
        <v>5241</v>
      </c>
      <c r="N117" s="28">
        <v>83</v>
      </c>
      <c r="O117" s="28">
        <v>83</v>
      </c>
    </row>
    <row r="118" spans="1:15" ht="12.75" customHeight="1">
      <c r="A118" s="4" t="s">
        <v>217</v>
      </c>
      <c r="B118" s="5" t="s">
        <v>218</v>
      </c>
      <c r="C118" s="28">
        <v>15077</v>
      </c>
      <c r="D118" s="28">
        <v>13067</v>
      </c>
      <c r="E118" s="28">
        <v>259</v>
      </c>
      <c r="F118" s="28">
        <f>SUM(C118-D118-E118)</f>
        <v>1751</v>
      </c>
      <c r="G118" s="28">
        <v>58202</v>
      </c>
      <c r="H118" s="28">
        <v>37816</v>
      </c>
      <c r="I118" s="28">
        <v>2166</v>
      </c>
      <c r="J118" s="28">
        <f>SUM(G118-H118-I118)</f>
        <v>18220</v>
      </c>
      <c r="K118" s="28">
        <v>136</v>
      </c>
      <c r="L118" s="28">
        <v>0</v>
      </c>
      <c r="M118" s="28">
        <v>5073</v>
      </c>
      <c r="N118" s="28">
        <v>1835</v>
      </c>
      <c r="O118" s="28">
        <v>1835</v>
      </c>
    </row>
    <row r="119" spans="1:15" ht="12.75" customHeight="1">
      <c r="A119" s="8"/>
      <c r="B119" s="9" t="s">
        <v>219</v>
      </c>
      <c r="C119" s="29">
        <f t="shared" ref="C119:O119" si="28">SUM(C117:C118)</f>
        <v>21301</v>
      </c>
      <c r="D119" s="29">
        <f t="shared" si="28"/>
        <v>18280</v>
      </c>
      <c r="E119" s="29">
        <f t="shared" si="28"/>
        <v>259</v>
      </c>
      <c r="F119" s="29">
        <f t="shared" si="28"/>
        <v>2762</v>
      </c>
      <c r="G119" s="29">
        <f t="shared" si="28"/>
        <v>83257</v>
      </c>
      <c r="H119" s="29">
        <f t="shared" si="28"/>
        <v>55733</v>
      </c>
      <c r="I119" s="29">
        <f t="shared" si="28"/>
        <v>2166</v>
      </c>
      <c r="J119" s="29">
        <f t="shared" si="28"/>
        <v>25358</v>
      </c>
      <c r="K119" s="29">
        <f t="shared" si="28"/>
        <v>157</v>
      </c>
      <c r="L119" s="29">
        <f t="shared" si="28"/>
        <v>0</v>
      </c>
      <c r="M119" s="29">
        <f t="shared" si="28"/>
        <v>10314</v>
      </c>
      <c r="N119" s="29">
        <f t="shared" si="28"/>
        <v>1918</v>
      </c>
      <c r="O119" s="29">
        <f t="shared" si="28"/>
        <v>1918</v>
      </c>
    </row>
    <row r="120" spans="1:15" ht="12.75" customHeight="1">
      <c r="A120" s="4" t="s">
        <v>220</v>
      </c>
      <c r="B120" s="5" t="s">
        <v>221</v>
      </c>
      <c r="C120" s="28">
        <v>18111</v>
      </c>
      <c r="D120" s="28">
        <v>16748</v>
      </c>
      <c r="E120" s="28">
        <v>281</v>
      </c>
      <c r="F120" s="28">
        <f>SUM(C120-D120-E120)</f>
        <v>1082</v>
      </c>
      <c r="G120" s="28">
        <v>57010</v>
      </c>
      <c r="H120" s="28">
        <v>46173</v>
      </c>
      <c r="I120" s="28">
        <v>2783</v>
      </c>
      <c r="J120" s="28">
        <f>SUM(G120-H120-I120)</f>
        <v>8054</v>
      </c>
      <c r="K120" s="28">
        <v>2336</v>
      </c>
      <c r="L120" s="28">
        <v>0</v>
      </c>
      <c r="M120" s="28">
        <v>1809</v>
      </c>
      <c r="N120" s="28">
        <v>2982</v>
      </c>
      <c r="O120" s="28">
        <v>2982</v>
      </c>
    </row>
    <row r="121" spans="1:15" ht="12.75" customHeight="1">
      <c r="A121" s="4" t="s">
        <v>222</v>
      </c>
      <c r="B121" s="5" t="s">
        <v>223</v>
      </c>
      <c r="C121" s="28">
        <v>28454</v>
      </c>
      <c r="D121" s="28">
        <v>25835</v>
      </c>
      <c r="E121" s="28">
        <v>609</v>
      </c>
      <c r="F121" s="28">
        <f>SUM(C121-D121-E121)</f>
        <v>2010</v>
      </c>
      <c r="G121" s="28">
        <v>97959</v>
      </c>
      <c r="H121" s="28">
        <v>74389</v>
      </c>
      <c r="I121" s="28">
        <v>4589</v>
      </c>
      <c r="J121" s="28">
        <f>SUM(G121-H121-I121)</f>
        <v>18981</v>
      </c>
      <c r="K121" s="28">
        <v>316</v>
      </c>
      <c r="L121" s="28">
        <v>0</v>
      </c>
      <c r="M121" s="28">
        <v>4441</v>
      </c>
      <c r="N121" s="28">
        <v>143</v>
      </c>
      <c r="O121" s="28">
        <v>143</v>
      </c>
    </row>
    <row r="122" spans="1:15" ht="12.75" customHeight="1">
      <c r="A122" s="4" t="s">
        <v>224</v>
      </c>
      <c r="B122" s="5" t="s">
        <v>225</v>
      </c>
      <c r="C122" s="28">
        <v>5542</v>
      </c>
      <c r="D122" s="28">
        <v>4686</v>
      </c>
      <c r="E122" s="28">
        <v>0</v>
      </c>
      <c r="F122" s="28">
        <f>SUM(C122-D122-E122)</f>
        <v>856</v>
      </c>
      <c r="G122" s="28">
        <v>18633</v>
      </c>
      <c r="H122" s="28">
        <v>12699</v>
      </c>
      <c r="I122" s="28">
        <v>0</v>
      </c>
      <c r="J122" s="28">
        <f>SUM(G122-H122-I122)</f>
        <v>5934</v>
      </c>
      <c r="K122" s="28">
        <v>141</v>
      </c>
      <c r="L122" s="28">
        <v>0</v>
      </c>
      <c r="M122" s="28">
        <v>5330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25391</v>
      </c>
      <c r="D123" s="28">
        <v>22829</v>
      </c>
      <c r="E123" s="28">
        <v>325</v>
      </c>
      <c r="F123" s="28">
        <f>SUM(C123-D123-E123)</f>
        <v>2237</v>
      </c>
      <c r="G123" s="28">
        <v>73875</v>
      </c>
      <c r="H123" s="28">
        <v>57467</v>
      </c>
      <c r="I123" s="28">
        <v>2425</v>
      </c>
      <c r="J123" s="28">
        <f>SUM(G123-H123-I123)</f>
        <v>13983</v>
      </c>
      <c r="K123" s="28">
        <v>1231</v>
      </c>
      <c r="L123" s="28">
        <v>0</v>
      </c>
      <c r="M123" s="28">
        <v>3323</v>
      </c>
      <c r="N123" s="28">
        <v>540</v>
      </c>
      <c r="O123" s="28">
        <v>540</v>
      </c>
    </row>
    <row r="124" spans="1:15" ht="12.75" customHeight="1">
      <c r="A124" s="4" t="s">
        <v>228</v>
      </c>
      <c r="B124" s="5" t="s">
        <v>229</v>
      </c>
      <c r="C124" s="28">
        <v>8124</v>
      </c>
      <c r="D124" s="28">
        <v>7537</v>
      </c>
      <c r="E124" s="28">
        <v>129</v>
      </c>
      <c r="F124" s="28">
        <f>SUM(C124-D124-E124)</f>
        <v>458</v>
      </c>
      <c r="G124" s="28">
        <v>22883</v>
      </c>
      <c r="H124" s="28">
        <v>18922</v>
      </c>
      <c r="I124" s="28">
        <v>1201</v>
      </c>
      <c r="J124" s="28">
        <f>SUM(G124-H124-I124)</f>
        <v>2760</v>
      </c>
      <c r="K124" s="28">
        <v>277</v>
      </c>
      <c r="L124" s="28">
        <v>0</v>
      </c>
      <c r="M124" s="28">
        <v>70</v>
      </c>
      <c r="N124" s="28">
        <v>191</v>
      </c>
      <c r="O124" s="28">
        <v>191</v>
      </c>
    </row>
    <row r="125" spans="1:15" ht="12.75" customHeight="1">
      <c r="A125" s="8"/>
      <c r="B125" s="9" t="s">
        <v>230</v>
      </c>
      <c r="C125" s="29">
        <f t="shared" ref="C125:O125" si="29">SUM(C120:C124)</f>
        <v>85622</v>
      </c>
      <c r="D125" s="29">
        <f t="shared" si="29"/>
        <v>77635</v>
      </c>
      <c r="E125" s="29">
        <f t="shared" si="29"/>
        <v>1344</v>
      </c>
      <c r="F125" s="29">
        <f t="shared" si="29"/>
        <v>6643</v>
      </c>
      <c r="G125" s="29">
        <f t="shared" si="29"/>
        <v>270360</v>
      </c>
      <c r="H125" s="29">
        <f t="shared" si="29"/>
        <v>209650</v>
      </c>
      <c r="I125" s="29">
        <f t="shared" si="29"/>
        <v>10998</v>
      </c>
      <c r="J125" s="29">
        <f t="shared" si="29"/>
        <v>49712</v>
      </c>
      <c r="K125" s="29">
        <f t="shared" si="29"/>
        <v>4301</v>
      </c>
      <c r="L125" s="29">
        <f t="shared" si="29"/>
        <v>0</v>
      </c>
      <c r="M125" s="29">
        <f t="shared" si="29"/>
        <v>14973</v>
      </c>
      <c r="N125" s="29">
        <f t="shared" si="29"/>
        <v>3884</v>
      </c>
      <c r="O125" s="29">
        <f t="shared" si="29"/>
        <v>3884</v>
      </c>
    </row>
    <row r="126" spans="1:15" ht="12.75" customHeight="1">
      <c r="A126" s="4" t="s">
        <v>231</v>
      </c>
      <c r="B126" s="5" t="s">
        <v>232</v>
      </c>
      <c r="C126" s="28">
        <v>18985</v>
      </c>
      <c r="D126" s="28">
        <v>14810</v>
      </c>
      <c r="E126" s="28">
        <v>0</v>
      </c>
      <c r="F126" s="28">
        <f t="shared" ref="F126:F134" si="30">SUM(C126-D126-E126)</f>
        <v>4175</v>
      </c>
      <c r="G126" s="28">
        <v>51646</v>
      </c>
      <c r="H126" s="28">
        <v>32408</v>
      </c>
      <c r="I126" s="28">
        <v>0</v>
      </c>
      <c r="J126" s="28">
        <f t="shared" ref="J126:J134" si="31">SUM(G126-H126-I126)</f>
        <v>19238</v>
      </c>
      <c r="K126" s="28">
        <v>234</v>
      </c>
      <c r="L126" s="28">
        <v>0</v>
      </c>
      <c r="M126" s="28">
        <v>5593</v>
      </c>
      <c r="N126" s="28">
        <v>519</v>
      </c>
      <c r="O126" s="28">
        <v>519</v>
      </c>
    </row>
    <row r="127" spans="1:15" ht="12.75" customHeight="1">
      <c r="A127" s="4" t="s">
        <v>233</v>
      </c>
      <c r="B127" s="5" t="s">
        <v>234</v>
      </c>
      <c r="C127" s="28">
        <v>9914</v>
      </c>
      <c r="D127" s="28">
        <v>8011</v>
      </c>
      <c r="E127" s="28">
        <v>0</v>
      </c>
      <c r="F127" s="28">
        <f t="shared" si="30"/>
        <v>1903</v>
      </c>
      <c r="G127" s="28">
        <v>29980</v>
      </c>
      <c r="H127" s="28">
        <v>23593</v>
      </c>
      <c r="I127" s="28">
        <v>0</v>
      </c>
      <c r="J127" s="28">
        <f t="shared" si="31"/>
        <v>6387</v>
      </c>
      <c r="K127" s="28">
        <v>115</v>
      </c>
      <c r="L127" s="28">
        <v>0</v>
      </c>
      <c r="M127" s="28">
        <v>1044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63073</v>
      </c>
      <c r="D128" s="28">
        <v>49812</v>
      </c>
      <c r="E128" s="28">
        <v>1119</v>
      </c>
      <c r="F128" s="28">
        <f t="shared" si="30"/>
        <v>12142</v>
      </c>
      <c r="G128" s="28">
        <v>147186</v>
      </c>
      <c r="H128" s="28">
        <v>105771</v>
      </c>
      <c r="I128" s="28">
        <v>5215</v>
      </c>
      <c r="J128" s="28">
        <f t="shared" si="31"/>
        <v>36200</v>
      </c>
      <c r="K128" s="28">
        <v>2391</v>
      </c>
      <c r="L128" s="28">
        <v>0</v>
      </c>
      <c r="M128" s="28">
        <v>13346</v>
      </c>
      <c r="N128" s="28">
        <v>919</v>
      </c>
      <c r="O128" s="28">
        <v>919</v>
      </c>
    </row>
    <row r="129" spans="1:15" ht="12.75" customHeight="1">
      <c r="A129" s="4" t="s">
        <v>237</v>
      </c>
      <c r="B129" s="5" t="s">
        <v>238</v>
      </c>
      <c r="C129" s="28">
        <v>6342</v>
      </c>
      <c r="D129" s="28">
        <v>4901</v>
      </c>
      <c r="E129" s="28">
        <v>293</v>
      </c>
      <c r="F129" s="28">
        <f t="shared" si="30"/>
        <v>1148</v>
      </c>
      <c r="G129" s="28">
        <v>24612</v>
      </c>
      <c r="H129" s="28">
        <v>12111</v>
      </c>
      <c r="I129" s="28">
        <v>2606</v>
      </c>
      <c r="J129" s="28">
        <f t="shared" si="31"/>
        <v>9895</v>
      </c>
      <c r="K129" s="28">
        <v>197</v>
      </c>
      <c r="L129" s="28">
        <v>0</v>
      </c>
      <c r="M129" s="28">
        <v>6129</v>
      </c>
      <c r="N129" s="28">
        <v>238</v>
      </c>
      <c r="O129" s="28">
        <v>238</v>
      </c>
    </row>
    <row r="130" spans="1:15" ht="12.75" customHeight="1">
      <c r="A130" s="4" t="s">
        <v>239</v>
      </c>
      <c r="B130" s="5" t="s">
        <v>240</v>
      </c>
      <c r="C130" s="28">
        <v>36963</v>
      </c>
      <c r="D130" s="28">
        <v>31357</v>
      </c>
      <c r="E130" s="28">
        <v>1916</v>
      </c>
      <c r="F130" s="28">
        <f t="shared" si="30"/>
        <v>3690</v>
      </c>
      <c r="G130" s="28">
        <v>93850</v>
      </c>
      <c r="H130" s="28">
        <v>51205</v>
      </c>
      <c r="I130" s="28">
        <v>8867</v>
      </c>
      <c r="J130" s="28">
        <f t="shared" si="31"/>
        <v>33778</v>
      </c>
      <c r="K130" s="28">
        <v>1130</v>
      </c>
      <c r="L130" s="28">
        <v>0</v>
      </c>
      <c r="M130" s="28">
        <v>546</v>
      </c>
      <c r="N130" s="28">
        <v>132716</v>
      </c>
      <c r="O130" s="28">
        <v>4608</v>
      </c>
    </row>
    <row r="131" spans="1:15" ht="12.75" customHeight="1">
      <c r="A131" s="4" t="s">
        <v>241</v>
      </c>
      <c r="B131" s="5" t="s">
        <v>242</v>
      </c>
      <c r="C131" s="28">
        <v>69594</v>
      </c>
      <c r="D131" s="28">
        <v>58422</v>
      </c>
      <c r="E131" s="28">
        <v>483</v>
      </c>
      <c r="F131" s="28">
        <f t="shared" si="30"/>
        <v>10689</v>
      </c>
      <c r="G131" s="28">
        <v>169003</v>
      </c>
      <c r="H131" s="28">
        <v>91171</v>
      </c>
      <c r="I131" s="28">
        <v>2889</v>
      </c>
      <c r="J131" s="28">
        <f t="shared" si="31"/>
        <v>74943</v>
      </c>
      <c r="K131" s="28">
        <v>2444</v>
      </c>
      <c r="L131" s="28">
        <v>0</v>
      </c>
      <c r="M131" s="28">
        <v>2624</v>
      </c>
      <c r="N131" s="28">
        <v>1576</v>
      </c>
      <c r="O131" s="28">
        <v>1576</v>
      </c>
    </row>
    <row r="132" spans="1:15" ht="12.75" customHeight="1">
      <c r="A132" s="4" t="s">
        <v>243</v>
      </c>
      <c r="B132" s="5" t="s">
        <v>244</v>
      </c>
      <c r="C132" s="28">
        <v>28177</v>
      </c>
      <c r="D132" s="28">
        <v>23847</v>
      </c>
      <c r="E132" s="28">
        <v>0</v>
      </c>
      <c r="F132" s="28">
        <f t="shared" si="30"/>
        <v>4330</v>
      </c>
      <c r="G132" s="28">
        <v>84500</v>
      </c>
      <c r="H132" s="28">
        <v>50023</v>
      </c>
      <c r="I132" s="28">
        <v>0</v>
      </c>
      <c r="J132" s="28">
        <f t="shared" si="31"/>
        <v>34477</v>
      </c>
      <c r="K132" s="28">
        <v>3901</v>
      </c>
      <c r="L132" s="28">
        <v>0</v>
      </c>
      <c r="M132" s="28">
        <v>7047</v>
      </c>
      <c r="N132" s="28">
        <v>105</v>
      </c>
      <c r="O132" s="28">
        <v>105</v>
      </c>
    </row>
    <row r="133" spans="1:15" ht="12.75" customHeight="1">
      <c r="A133" s="4" t="s">
        <v>245</v>
      </c>
      <c r="B133" s="5" t="s">
        <v>246</v>
      </c>
      <c r="C133" s="28">
        <v>28500</v>
      </c>
      <c r="D133" s="28">
        <v>25013</v>
      </c>
      <c r="E133" s="28">
        <v>0</v>
      </c>
      <c r="F133" s="28">
        <f t="shared" si="30"/>
        <v>3487</v>
      </c>
      <c r="G133" s="28">
        <v>76971</v>
      </c>
      <c r="H133" s="28">
        <v>57215</v>
      </c>
      <c r="I133" s="28">
        <v>0</v>
      </c>
      <c r="J133" s="28">
        <f t="shared" si="31"/>
        <v>19756</v>
      </c>
      <c r="K133" s="28">
        <v>16278</v>
      </c>
      <c r="L133" s="28">
        <v>0</v>
      </c>
      <c r="M133" s="28">
        <v>4777</v>
      </c>
      <c r="N133" s="28">
        <v>27</v>
      </c>
      <c r="O133" s="28">
        <v>27</v>
      </c>
    </row>
    <row r="134" spans="1:15" ht="12.75" customHeight="1">
      <c r="A134" s="4" t="s">
        <v>247</v>
      </c>
      <c r="B134" s="5" t="s">
        <v>248</v>
      </c>
      <c r="C134" s="28">
        <v>19325</v>
      </c>
      <c r="D134" s="28">
        <v>13880</v>
      </c>
      <c r="E134" s="28">
        <v>0</v>
      </c>
      <c r="F134" s="28">
        <f t="shared" si="30"/>
        <v>5445</v>
      </c>
      <c r="G134" s="28">
        <v>90475</v>
      </c>
      <c r="H134" s="28">
        <v>28147</v>
      </c>
      <c r="I134" s="28">
        <v>0</v>
      </c>
      <c r="J134" s="28">
        <f t="shared" si="31"/>
        <v>62328</v>
      </c>
      <c r="K134" s="28">
        <v>2584</v>
      </c>
      <c r="L134" s="28">
        <v>0</v>
      </c>
      <c r="M134" s="28">
        <v>5807</v>
      </c>
      <c r="N134" s="28">
        <v>56</v>
      </c>
      <c r="O134" s="28">
        <v>56</v>
      </c>
    </row>
    <row r="135" spans="1:15" ht="12.75" customHeight="1">
      <c r="A135" s="10"/>
      <c r="B135" s="9" t="s">
        <v>249</v>
      </c>
      <c r="C135" s="29">
        <f t="shared" ref="C135:O135" si="32">SUM(C126:C134)</f>
        <v>280873</v>
      </c>
      <c r="D135" s="29">
        <f t="shared" si="32"/>
        <v>230053</v>
      </c>
      <c r="E135" s="29">
        <f t="shared" si="32"/>
        <v>3811</v>
      </c>
      <c r="F135" s="29">
        <f t="shared" si="32"/>
        <v>47009</v>
      </c>
      <c r="G135" s="29">
        <f t="shared" si="32"/>
        <v>768223</v>
      </c>
      <c r="H135" s="29">
        <f t="shared" si="32"/>
        <v>451644</v>
      </c>
      <c r="I135" s="29">
        <f t="shared" si="32"/>
        <v>19577</v>
      </c>
      <c r="J135" s="29">
        <f t="shared" si="32"/>
        <v>297002</v>
      </c>
      <c r="K135" s="29">
        <f t="shared" si="32"/>
        <v>29274</v>
      </c>
      <c r="L135" s="29">
        <f t="shared" si="32"/>
        <v>0</v>
      </c>
      <c r="M135" s="29">
        <f t="shared" si="32"/>
        <v>46913</v>
      </c>
      <c r="N135" s="29">
        <f t="shared" si="32"/>
        <v>136156</v>
      </c>
      <c r="O135" s="29">
        <f t="shared" si="32"/>
        <v>8048</v>
      </c>
    </row>
    <row r="136" spans="1:15" ht="12.75" customHeight="1">
      <c r="A136" s="4" t="s">
        <v>250</v>
      </c>
      <c r="B136" s="5" t="s">
        <v>251</v>
      </c>
      <c r="C136" s="28">
        <v>41825</v>
      </c>
      <c r="D136" s="28">
        <v>39646</v>
      </c>
      <c r="E136" s="28">
        <v>0</v>
      </c>
      <c r="F136" s="28">
        <f t="shared" ref="F136:F143" si="33">SUM(C136-D136-E136)</f>
        <v>2179</v>
      </c>
      <c r="G136" s="28">
        <v>100578</v>
      </c>
      <c r="H136" s="28">
        <v>79600</v>
      </c>
      <c r="I136" s="28">
        <v>0</v>
      </c>
      <c r="J136" s="28">
        <f t="shared" ref="J136:J143" si="34">SUM(G136-H136-I136)</f>
        <v>20978</v>
      </c>
      <c r="K136" s="28">
        <v>10970</v>
      </c>
      <c r="L136" s="28">
        <v>7927</v>
      </c>
      <c r="M136" s="28">
        <v>6385</v>
      </c>
      <c r="N136" s="28">
        <v>13270</v>
      </c>
      <c r="O136" s="28">
        <v>12628</v>
      </c>
    </row>
    <row r="137" spans="1:15" ht="12.75" customHeight="1">
      <c r="A137" s="4" t="s">
        <v>252</v>
      </c>
      <c r="B137" s="5" t="s">
        <v>253</v>
      </c>
      <c r="C137" s="28">
        <v>6325</v>
      </c>
      <c r="D137" s="28">
        <v>4899</v>
      </c>
      <c r="E137" s="28">
        <v>0</v>
      </c>
      <c r="F137" s="28">
        <f t="shared" si="33"/>
        <v>1426</v>
      </c>
      <c r="G137" s="28">
        <v>13412</v>
      </c>
      <c r="H137" s="28">
        <v>10667</v>
      </c>
      <c r="I137" s="28">
        <v>0</v>
      </c>
      <c r="J137" s="28">
        <f t="shared" si="34"/>
        <v>2745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2906</v>
      </c>
      <c r="D138" s="28">
        <v>2613</v>
      </c>
      <c r="E138" s="28">
        <v>0</v>
      </c>
      <c r="F138" s="28">
        <f t="shared" si="33"/>
        <v>293</v>
      </c>
      <c r="G138" s="28">
        <v>8022</v>
      </c>
      <c r="H138" s="28">
        <v>7248</v>
      </c>
      <c r="I138" s="28">
        <v>0</v>
      </c>
      <c r="J138" s="28">
        <f t="shared" si="34"/>
        <v>774</v>
      </c>
      <c r="K138" s="28">
        <v>3</v>
      </c>
      <c r="L138" s="28">
        <v>0</v>
      </c>
      <c r="M138" s="28">
        <v>472</v>
      </c>
      <c r="N138" s="28">
        <v>404</v>
      </c>
      <c r="O138" s="28">
        <v>152</v>
      </c>
    </row>
    <row r="139" spans="1:15" ht="12.75" customHeight="1">
      <c r="A139" s="4" t="s">
        <v>256</v>
      </c>
      <c r="B139" s="5" t="s">
        <v>257</v>
      </c>
      <c r="C139" s="28">
        <v>10239</v>
      </c>
      <c r="D139" s="28">
        <v>9888</v>
      </c>
      <c r="E139" s="28">
        <v>0</v>
      </c>
      <c r="F139" s="28">
        <f t="shared" si="33"/>
        <v>351</v>
      </c>
      <c r="G139" s="28">
        <v>28487</v>
      </c>
      <c r="H139" s="28">
        <v>24865</v>
      </c>
      <c r="I139" s="28">
        <v>0</v>
      </c>
      <c r="J139" s="28">
        <f t="shared" si="34"/>
        <v>3622</v>
      </c>
      <c r="K139" s="28">
        <v>6884</v>
      </c>
      <c r="L139" s="28">
        <v>289</v>
      </c>
      <c r="M139" s="28">
        <v>4622</v>
      </c>
      <c r="N139" s="28">
        <v>808</v>
      </c>
      <c r="O139" s="28">
        <v>790</v>
      </c>
    </row>
    <row r="140" spans="1:15" ht="12.75" customHeight="1">
      <c r="A140" s="4" t="s">
        <v>258</v>
      </c>
      <c r="B140" s="5" t="s">
        <v>259</v>
      </c>
      <c r="C140" s="28">
        <v>1670</v>
      </c>
      <c r="D140" s="28">
        <v>1545</v>
      </c>
      <c r="E140" s="28">
        <v>0</v>
      </c>
      <c r="F140" s="28">
        <f t="shared" si="33"/>
        <v>125</v>
      </c>
      <c r="G140" s="28">
        <v>3539</v>
      </c>
      <c r="H140" s="28">
        <v>3122</v>
      </c>
      <c r="I140" s="28">
        <v>0</v>
      </c>
      <c r="J140" s="28">
        <f t="shared" si="34"/>
        <v>417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8223</v>
      </c>
      <c r="D141" s="28">
        <v>8032</v>
      </c>
      <c r="E141" s="28">
        <v>0</v>
      </c>
      <c r="F141" s="28">
        <f t="shared" si="33"/>
        <v>191</v>
      </c>
      <c r="G141" s="28">
        <v>18973</v>
      </c>
      <c r="H141" s="28">
        <v>15431</v>
      </c>
      <c r="I141" s="28">
        <v>0</v>
      </c>
      <c r="J141" s="28">
        <f t="shared" si="34"/>
        <v>3542</v>
      </c>
      <c r="K141" s="28">
        <v>2771</v>
      </c>
      <c r="L141" s="28">
        <v>0</v>
      </c>
      <c r="M141" s="28">
        <v>918</v>
      </c>
      <c r="N141" s="28">
        <v>1060</v>
      </c>
      <c r="O141" s="28">
        <v>1060</v>
      </c>
    </row>
    <row r="142" spans="1:15" ht="12.75" customHeight="1">
      <c r="A142" s="4" t="s">
        <v>262</v>
      </c>
      <c r="B142" s="5" t="s">
        <v>263</v>
      </c>
      <c r="C142" s="28">
        <v>9480</v>
      </c>
      <c r="D142" s="28">
        <v>7359</v>
      </c>
      <c r="E142" s="28">
        <v>0</v>
      </c>
      <c r="F142" s="28">
        <f t="shared" si="33"/>
        <v>2121</v>
      </c>
      <c r="G142" s="28">
        <v>29659</v>
      </c>
      <c r="H142" s="28">
        <v>23326</v>
      </c>
      <c r="I142" s="28">
        <v>0</v>
      </c>
      <c r="J142" s="28">
        <f t="shared" si="34"/>
        <v>6333</v>
      </c>
      <c r="K142" s="28">
        <v>3990</v>
      </c>
      <c r="L142" s="28">
        <v>22</v>
      </c>
      <c r="M142" s="28">
        <v>5757</v>
      </c>
      <c r="N142" s="28">
        <v>3678</v>
      </c>
      <c r="O142" s="28">
        <v>3588</v>
      </c>
    </row>
    <row r="143" spans="1:15" ht="12.75" customHeight="1">
      <c r="A143" s="4" t="s">
        <v>264</v>
      </c>
      <c r="B143" s="5" t="s">
        <v>265</v>
      </c>
      <c r="C143" s="28">
        <v>29071</v>
      </c>
      <c r="D143" s="28">
        <v>24393</v>
      </c>
      <c r="E143" s="28">
        <v>0</v>
      </c>
      <c r="F143" s="28">
        <f t="shared" si="33"/>
        <v>4678</v>
      </c>
      <c r="G143" s="28">
        <v>88147</v>
      </c>
      <c r="H143" s="28">
        <v>42443</v>
      </c>
      <c r="I143" s="28">
        <v>0</v>
      </c>
      <c r="J143" s="28">
        <f t="shared" si="34"/>
        <v>45704</v>
      </c>
      <c r="K143" s="28">
        <v>22655</v>
      </c>
      <c r="L143" s="28">
        <v>46</v>
      </c>
      <c r="M143" s="28">
        <v>7111</v>
      </c>
      <c r="N143" s="28">
        <v>7218</v>
      </c>
      <c r="O143" s="28">
        <v>7047</v>
      </c>
    </row>
    <row r="144" spans="1:15" ht="12.75" customHeight="1">
      <c r="A144" s="10"/>
      <c r="B144" s="9" t="s">
        <v>266</v>
      </c>
      <c r="C144" s="30">
        <f t="shared" ref="C144:O144" si="35">SUM(C136:C143)</f>
        <v>109739</v>
      </c>
      <c r="D144" s="30">
        <f t="shared" si="35"/>
        <v>98375</v>
      </c>
      <c r="E144" s="30">
        <f t="shared" si="35"/>
        <v>0</v>
      </c>
      <c r="F144" s="30">
        <f t="shared" si="35"/>
        <v>11364</v>
      </c>
      <c r="G144" s="30">
        <f t="shared" si="35"/>
        <v>290817</v>
      </c>
      <c r="H144" s="30">
        <f t="shared" si="35"/>
        <v>206702</v>
      </c>
      <c r="I144" s="30">
        <f t="shared" si="35"/>
        <v>0</v>
      </c>
      <c r="J144" s="30">
        <f t="shared" si="35"/>
        <v>84115</v>
      </c>
      <c r="K144" s="30">
        <f t="shared" si="35"/>
        <v>47350</v>
      </c>
      <c r="L144" s="30">
        <f t="shared" si="35"/>
        <v>8284</v>
      </c>
      <c r="M144" s="30">
        <f t="shared" si="35"/>
        <v>25265</v>
      </c>
      <c r="N144" s="30">
        <f t="shared" si="35"/>
        <v>26471</v>
      </c>
      <c r="O144" s="30">
        <f t="shared" si="35"/>
        <v>25289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3706164</v>
      </c>
      <c r="D145" s="31">
        <f t="shared" si="36"/>
        <v>2689354</v>
      </c>
      <c r="E145" s="31">
        <f t="shared" si="36"/>
        <v>95764</v>
      </c>
      <c r="F145" s="31">
        <f t="shared" si="36"/>
        <v>921046</v>
      </c>
      <c r="G145" s="31">
        <f t="shared" si="36"/>
        <v>11365187</v>
      </c>
      <c r="H145" s="31">
        <f t="shared" si="36"/>
        <v>5844118</v>
      </c>
      <c r="I145" s="31">
        <f t="shared" si="36"/>
        <v>500115</v>
      </c>
      <c r="J145" s="31">
        <f t="shared" si="36"/>
        <v>5020954</v>
      </c>
      <c r="K145" s="31">
        <f t="shared" si="36"/>
        <v>563106</v>
      </c>
      <c r="L145" s="31">
        <f t="shared" si="36"/>
        <v>14564</v>
      </c>
      <c r="M145" s="31">
        <f t="shared" si="36"/>
        <v>814715</v>
      </c>
      <c r="N145" s="31">
        <f t="shared" si="36"/>
        <v>562537</v>
      </c>
      <c r="O145" s="31">
        <f t="shared" si="36"/>
        <v>303410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2017-05-09T13:45:46Z</dcterms:modified>
</cp:coreProperties>
</file>