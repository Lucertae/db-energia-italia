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0" windowWidth="9660" windowHeight="5496" activeTab="1"/>
  </bookViews>
  <sheets>
    <sheet name="Mensile" sheetId="1" r:id="rId1"/>
    <sheet name="Aggregato" sheetId="2" r:id="rId2"/>
  </sheets>
  <calcPr calcId="125725"/>
</workbook>
</file>

<file path=xl/calcChain.xml><?xml version="1.0" encoding="utf-8"?>
<calcChain xmlns="http://schemas.openxmlformats.org/spreadsheetml/2006/main">
  <c r="N10" i="1"/>
  <c r="P10"/>
  <c r="N11"/>
  <c r="P11" s="1"/>
  <c r="N12"/>
  <c r="P12"/>
  <c r="N13"/>
  <c r="P13" s="1"/>
  <c r="N14"/>
  <c r="P14"/>
  <c r="N15"/>
  <c r="P15" s="1"/>
  <c r="N16"/>
  <c r="P16"/>
  <c r="N17"/>
  <c r="P17" s="1"/>
  <c r="N18"/>
  <c r="P18"/>
  <c r="N19"/>
  <c r="P19" s="1"/>
  <c r="N20"/>
  <c r="P20"/>
  <c r="N21"/>
  <c r="P21" s="1"/>
  <c r="N22"/>
  <c r="P22"/>
  <c r="N23"/>
  <c r="P23" s="1"/>
  <c r="N24"/>
  <c r="P24"/>
  <c r="N25"/>
  <c r="P25" s="1"/>
  <c r="N26"/>
  <c r="P26"/>
  <c r="N27"/>
  <c r="P27" s="1"/>
  <c r="N28"/>
  <c r="P28"/>
  <c r="N29"/>
  <c r="P29" s="1"/>
  <c r="N30"/>
  <c r="P30"/>
  <c r="N31"/>
  <c r="P31" s="1"/>
  <c r="N32"/>
  <c r="P32"/>
  <c r="N33"/>
  <c r="P33" s="1"/>
  <c r="N34"/>
  <c r="P34"/>
  <c r="N35"/>
  <c r="P35" s="1"/>
  <c r="N36"/>
  <c r="P36"/>
  <c r="N37"/>
  <c r="P37" s="1"/>
  <c r="N38"/>
  <c r="P38"/>
  <c r="N39"/>
  <c r="P39" s="1"/>
  <c r="N40"/>
  <c r="P40"/>
  <c r="N41"/>
  <c r="P41" s="1"/>
  <c r="N42"/>
  <c r="P42"/>
  <c r="C43"/>
  <c r="D43"/>
  <c r="E43"/>
  <c r="F43"/>
  <c r="G43"/>
  <c r="H43"/>
  <c r="I43"/>
  <c r="J43"/>
  <c r="K43"/>
  <c r="L43"/>
  <c r="M43"/>
  <c r="N43"/>
  <c r="O43"/>
  <c r="N10" i="2"/>
  <c r="P10"/>
  <c r="N11"/>
  <c r="P11" s="1"/>
  <c r="N12"/>
  <c r="P12"/>
  <c r="N13"/>
  <c r="P13" s="1"/>
  <c r="N14"/>
  <c r="P14"/>
  <c r="N15"/>
  <c r="P15" s="1"/>
  <c r="N16"/>
  <c r="P16"/>
  <c r="N17"/>
  <c r="P17" s="1"/>
  <c r="N18"/>
  <c r="P18"/>
  <c r="N19"/>
  <c r="P19" s="1"/>
  <c r="N20"/>
  <c r="P20"/>
  <c r="N21"/>
  <c r="P21" s="1"/>
  <c r="N22"/>
  <c r="P22"/>
  <c r="N23"/>
  <c r="P23" s="1"/>
  <c r="N24"/>
  <c r="P24"/>
  <c r="N25"/>
  <c r="P25" s="1"/>
  <c r="N26"/>
  <c r="P26"/>
  <c r="N27"/>
  <c r="P27" s="1"/>
  <c r="N28"/>
  <c r="P28"/>
  <c r="N29"/>
  <c r="P29" s="1"/>
  <c r="N30"/>
  <c r="P30"/>
  <c r="N31"/>
  <c r="P31" s="1"/>
  <c r="N32"/>
  <c r="P32"/>
  <c r="N33"/>
  <c r="P33" s="1"/>
  <c r="N34"/>
  <c r="P34"/>
  <c r="N35"/>
  <c r="P35" s="1"/>
  <c r="N36"/>
  <c r="P36"/>
  <c r="N37"/>
  <c r="P37" s="1"/>
  <c r="N38"/>
  <c r="P38"/>
  <c r="N39"/>
  <c r="P39" s="1"/>
  <c r="N40"/>
  <c r="P40"/>
  <c r="N41"/>
  <c r="P41" s="1"/>
  <c r="N42"/>
  <c r="P42"/>
  <c r="C43"/>
  <c r="D43"/>
  <c r="E43"/>
  <c r="F43"/>
  <c r="G43"/>
  <c r="H43"/>
  <c r="I43"/>
  <c r="J43"/>
  <c r="K43"/>
  <c r="L43"/>
  <c r="M43"/>
  <c r="N43"/>
  <c r="O43"/>
  <c r="P43" l="1"/>
  <c r="P43" i="1"/>
</calcChain>
</file>

<file path=xl/sharedStrings.xml><?xml version="1.0" encoding="utf-8"?>
<sst xmlns="http://schemas.openxmlformats.org/spreadsheetml/2006/main" count="182" uniqueCount="91">
  <si>
    <t>Ministero dello Sviluppo Economico</t>
  </si>
  <si>
    <t>BOLLETTINO PETROLIFERO</t>
  </si>
  <si>
    <t>DGSAIE DIV.6</t>
  </si>
  <si>
    <t>VENDITE</t>
  </si>
  <si>
    <t>DI PRODOTTI FINITI AL MERCATO INTERNO</t>
  </si>
  <si>
    <t>Report costruito su dati definitivi</t>
  </si>
  <si>
    <t>la materia è espressa in TONNELLATE intere</t>
  </si>
  <si>
    <t>Periodo: febbraio 2016</t>
  </si>
  <si>
    <t>Cod.</t>
  </si>
  <si>
    <t>PRODOTTO</t>
  </si>
  <si>
    <t>Rete</t>
  </si>
  <si>
    <t>Consum.ri finali</t>
  </si>
  <si>
    <t>Agricoltura</t>
  </si>
  <si>
    <t>Ferrovie</t>
  </si>
  <si>
    <t>Piccola Marina</t>
  </si>
  <si>
    <t>Aviazione</t>
  </si>
  <si>
    <t>Aziende Elettriche</t>
  </si>
  <si>
    <t>Industria</t>
  </si>
  <si>
    <t>Forze Armate</t>
  </si>
  <si>
    <t>Rivenditori</t>
  </si>
  <si>
    <t>Merce  SAC</t>
  </si>
  <si>
    <t>TOTALE</t>
  </si>
  <si>
    <t>Bunker marina</t>
  </si>
  <si>
    <t>Totale + Bunker</t>
  </si>
  <si>
    <t>C3</t>
  </si>
  <si>
    <t>G.P.L. Combustione</t>
  </si>
  <si>
    <t>C4</t>
  </si>
  <si>
    <t>G.P.L. Autotrazione</t>
  </si>
  <si>
    <t>R1</t>
  </si>
  <si>
    <t>Virgin Nafta</t>
  </si>
  <si>
    <t>D3</t>
  </si>
  <si>
    <t>Benzina senza Pb</t>
  </si>
  <si>
    <t>D6</t>
  </si>
  <si>
    <t>Benzina jetfuel</t>
  </si>
  <si>
    <t>D8</t>
  </si>
  <si>
    <t>Benzina avio</t>
  </si>
  <si>
    <t>DZ</t>
  </si>
  <si>
    <t>Benz. Altri usi</t>
  </si>
  <si>
    <t>E1</t>
  </si>
  <si>
    <t>Petrolio riscaldamento</t>
  </si>
  <si>
    <t>E2</t>
  </si>
  <si>
    <t>Carboturbo jetfuel</t>
  </si>
  <si>
    <t>EZ</t>
  </si>
  <si>
    <t>Petrolio altri usi</t>
  </si>
  <si>
    <t>F1</t>
  </si>
  <si>
    <t>Gasolio motori</t>
  </si>
  <si>
    <t>F2</t>
  </si>
  <si>
    <t>Gasolio riscaldamento</t>
  </si>
  <si>
    <t>FZ</t>
  </si>
  <si>
    <t>Gasolio uso termoelettrico</t>
  </si>
  <si>
    <t>G1</t>
  </si>
  <si>
    <t xml:space="preserve">O.C. ATZ </t>
  </si>
  <si>
    <t>G2</t>
  </si>
  <si>
    <t>O.C. BTZ</t>
  </si>
  <si>
    <t>H1</t>
  </si>
  <si>
    <t>Lubrif. Motori</t>
  </si>
  <si>
    <t>H2</t>
  </si>
  <si>
    <t>Lubrif. Industria</t>
  </si>
  <si>
    <t>H3</t>
  </si>
  <si>
    <t>Lubrificanti Bianchi</t>
  </si>
  <si>
    <t>H4</t>
  </si>
  <si>
    <t>Lubrificanti Isolanti</t>
  </si>
  <si>
    <t>H5</t>
  </si>
  <si>
    <t>Lubrificanti Basi</t>
  </si>
  <si>
    <t>H6</t>
  </si>
  <si>
    <t>Lubrificanti Rigenerati</t>
  </si>
  <si>
    <t>HZ</t>
  </si>
  <si>
    <t>Lubrificanti Altri usi</t>
  </si>
  <si>
    <t>I0</t>
  </si>
  <si>
    <t>Bitume</t>
  </si>
  <si>
    <t>LZ</t>
  </si>
  <si>
    <t xml:space="preserve">Petroliferi altri usi </t>
  </si>
  <si>
    <t>L5</t>
  </si>
  <si>
    <t>Coke di petrolio</t>
  </si>
  <si>
    <t>M0</t>
  </si>
  <si>
    <t>Altri chimici</t>
  </si>
  <si>
    <t>L1</t>
  </si>
  <si>
    <t>Zolfo</t>
  </si>
  <si>
    <t>L2</t>
  </si>
  <si>
    <t xml:space="preserve">Paraffina </t>
  </si>
  <si>
    <t>L3</t>
  </si>
  <si>
    <t>Vasellina</t>
  </si>
  <si>
    <t>P1</t>
  </si>
  <si>
    <t>Biodiesel</t>
  </si>
  <si>
    <t>P2</t>
  </si>
  <si>
    <t>Bioetanolo</t>
  </si>
  <si>
    <t>P3</t>
  </si>
  <si>
    <t>MTBE</t>
  </si>
  <si>
    <t>PZ</t>
  </si>
  <si>
    <t>Biocarburanti altri usi compreso termoelettrico</t>
  </si>
  <si>
    <t>Periodo: gennaio-febbraio 2016</t>
  </si>
</sst>
</file>

<file path=xl/styles.xml><?xml version="1.0" encoding="utf-8"?>
<styleSheet xmlns="http://schemas.openxmlformats.org/spreadsheetml/2006/main">
  <fonts count="13">
    <font>
      <sz val="11"/>
      <color indexed="8"/>
      <name val="Calibri"/>
    </font>
    <font>
      <b/>
      <sz val="10"/>
      <color indexed="10"/>
      <name val="Calibri"/>
    </font>
    <font>
      <sz val="10"/>
      <color indexed="10"/>
      <name val="Calibri"/>
    </font>
    <font>
      <sz val="9"/>
      <color indexed="10"/>
      <name val="Calibri"/>
    </font>
    <font>
      <b/>
      <sz val="9"/>
      <color indexed="10"/>
      <name val="Calibri"/>
    </font>
    <font>
      <b/>
      <sz val="8"/>
      <color indexed="10"/>
      <name val="Calibri"/>
    </font>
    <font>
      <sz val="9"/>
      <color indexed="8"/>
      <name val="Calibri"/>
    </font>
    <font>
      <b/>
      <sz val="9"/>
      <color indexed="9"/>
      <name val="Calibri"/>
    </font>
    <font>
      <b/>
      <sz val="10"/>
      <color indexed="9"/>
      <name val="Calibri"/>
    </font>
    <font>
      <b/>
      <sz val="11"/>
      <color indexed="14"/>
      <name val="Calibri"/>
    </font>
    <font>
      <b/>
      <sz val="12"/>
      <color indexed="10"/>
      <name val="Calibri"/>
    </font>
    <font>
      <sz val="12"/>
      <color indexed="10"/>
      <name val="Calibri"/>
    </font>
    <font>
      <b/>
      <sz val="11"/>
      <color indexed="10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11"/>
        <bgColor indexed="8"/>
      </patternFill>
    </fill>
    <fill>
      <patternFill patternType="solid">
        <fgColor indexed="10"/>
        <bgColor indexed="13"/>
      </patternFill>
    </fill>
  </fills>
  <borders count="21">
    <border>
      <left/>
      <right/>
      <top/>
      <bottom/>
      <diagonal/>
    </border>
    <border>
      <left style="double">
        <color indexed="12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hair">
        <color indexed="12"/>
      </left>
      <right style="thin">
        <color indexed="12"/>
      </right>
      <top style="hair">
        <color indexed="12"/>
      </top>
      <bottom style="hair">
        <color indexed="12"/>
      </bottom>
      <diagonal/>
    </border>
    <border>
      <left style="double">
        <color indexed="12"/>
      </left>
      <right style="hair">
        <color indexed="12"/>
      </right>
      <top/>
      <bottom/>
      <diagonal/>
    </border>
    <border>
      <left style="hair">
        <color indexed="12"/>
      </left>
      <right style="thin">
        <color indexed="12"/>
      </right>
      <top/>
      <bottom/>
      <diagonal/>
    </border>
    <border>
      <left style="double">
        <color indexed="12"/>
      </left>
      <right style="hair">
        <color indexed="12"/>
      </right>
      <top style="hair">
        <color indexed="12"/>
      </top>
      <bottom/>
      <diagonal/>
    </border>
    <border>
      <left/>
      <right style="thin">
        <color indexed="12"/>
      </right>
      <top style="hair">
        <color indexed="12"/>
      </top>
      <bottom/>
      <diagonal/>
    </border>
    <border>
      <left style="double">
        <color indexed="12"/>
      </left>
      <right/>
      <top style="double">
        <color indexed="12"/>
      </top>
      <bottom style="thin">
        <color indexed="12"/>
      </bottom>
      <diagonal/>
    </border>
    <border>
      <left style="hair">
        <color indexed="12"/>
      </left>
      <right style="thin">
        <color indexed="12"/>
      </right>
      <top style="double">
        <color indexed="12"/>
      </top>
      <bottom style="thin">
        <color indexed="12"/>
      </bottom>
      <diagonal/>
    </border>
    <border>
      <left style="thin">
        <color indexed="12"/>
      </left>
      <right style="hair">
        <color indexed="12"/>
      </right>
      <top style="double">
        <color indexed="12"/>
      </top>
      <bottom style="thin">
        <color indexed="12"/>
      </bottom>
      <diagonal/>
    </border>
    <border>
      <left style="hair">
        <color indexed="12"/>
      </left>
      <right style="hair">
        <color indexed="12"/>
      </right>
      <top style="double">
        <color indexed="12"/>
      </top>
      <bottom style="thin">
        <color indexed="12"/>
      </bottom>
      <diagonal/>
    </border>
    <border>
      <left style="double">
        <color indexed="12"/>
      </left>
      <right/>
      <top/>
      <bottom/>
      <diagonal/>
    </border>
    <border>
      <left/>
      <right style="hair">
        <color indexed="12"/>
      </right>
      <top/>
      <bottom/>
      <diagonal/>
    </border>
    <border>
      <left style="hair">
        <color indexed="12"/>
      </left>
      <right style="hair">
        <color indexed="12"/>
      </right>
      <top/>
      <bottom/>
      <diagonal/>
    </border>
    <border>
      <left style="hair">
        <color indexed="12"/>
      </left>
      <right/>
      <top style="double">
        <color indexed="12"/>
      </top>
      <bottom style="thin">
        <color indexed="12"/>
      </bottom>
      <diagonal/>
    </border>
    <border>
      <left style="hair">
        <color indexed="12"/>
      </left>
      <right/>
      <top style="hair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/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double">
        <color indexed="12"/>
      </bottom>
      <diagonal/>
    </border>
    <border>
      <left style="double">
        <color indexed="12"/>
      </left>
      <right/>
      <top style="hair">
        <color indexed="12"/>
      </top>
      <bottom style="double">
        <color indexed="12"/>
      </bottom>
      <diagonal/>
    </border>
    <border>
      <left/>
      <right style="thin">
        <color indexed="12"/>
      </right>
      <top style="hair">
        <color indexed="12"/>
      </top>
      <bottom style="double">
        <color indexed="12"/>
      </bottom>
      <diagonal/>
    </border>
  </borders>
  <cellStyleXfs count="1">
    <xf numFmtId="0" fontId="0" fillId="0" borderId="0" applyFill="0" applyProtection="0"/>
  </cellStyleXfs>
  <cellXfs count="42">
    <xf numFmtId="0" fontId="0" fillId="0" borderId="0" xfId="0" applyFill="1" applyProtection="1"/>
    <xf numFmtId="1" fontId="1" fillId="2" borderId="0" xfId="0" applyNumberFormat="1" applyFont="1" applyFill="1" applyProtection="1"/>
    <xf numFmtId="0" fontId="2" fillId="2" borderId="0" xfId="0" applyFont="1" applyFill="1" applyProtection="1"/>
    <xf numFmtId="1" fontId="1" fillId="2" borderId="0" xfId="0" applyNumberFormat="1" applyFont="1" applyFill="1" applyAlignment="1" applyProtection="1">
      <alignment horizontal="left"/>
    </xf>
    <xf numFmtId="1" fontId="1" fillId="2" borderId="0" xfId="0" applyNumberFormat="1" applyFont="1" applyFill="1" applyAlignment="1" applyProtection="1">
      <alignment horizontal="center"/>
    </xf>
    <xf numFmtId="1" fontId="2" fillId="2" borderId="0" xfId="0" applyNumberFormat="1" applyFont="1" applyFill="1" applyProtection="1"/>
    <xf numFmtId="1" fontId="3" fillId="2" borderId="0" xfId="0" applyNumberFormat="1" applyFont="1" applyFill="1" applyAlignment="1" applyProtection="1">
      <alignment horizontal="center"/>
    </xf>
    <xf numFmtId="1" fontId="3" fillId="2" borderId="0" xfId="0" applyNumberFormat="1" applyFont="1" applyFill="1" applyAlignment="1" applyProtection="1">
      <alignment horizontal="left"/>
    </xf>
    <xf numFmtId="1" fontId="2" fillId="2" borderId="0" xfId="0" applyNumberFormat="1" applyFont="1" applyFill="1" applyAlignment="1" applyProtection="1">
      <alignment horizontal="center"/>
    </xf>
    <xf numFmtId="1" fontId="2" fillId="2" borderId="0" xfId="0" applyNumberFormat="1" applyFont="1" applyFill="1" applyAlignment="1" applyProtection="1">
      <alignment horizontal="left"/>
    </xf>
    <xf numFmtId="1" fontId="4" fillId="2" borderId="0" xfId="0" applyNumberFormat="1" applyFont="1" applyFill="1" applyAlignment="1" applyProtection="1">
      <alignment horizontal="center" vertical="center"/>
    </xf>
    <xf numFmtId="1" fontId="4" fillId="0" borderId="1" xfId="0" applyNumberFormat="1" applyFont="1" applyFill="1" applyBorder="1" applyAlignment="1" applyProtection="1">
      <alignment horizontal="center" vertical="center"/>
      <protection locked="0"/>
    </xf>
    <xf numFmtId="1" fontId="4" fillId="0" borderId="2" xfId="0" applyNumberFormat="1" applyFont="1" applyFill="1" applyBorder="1" applyAlignment="1" applyProtection="1">
      <alignment horizontal="left" vertical="center"/>
      <protection locked="0"/>
    </xf>
    <xf numFmtId="1" fontId="4" fillId="0" borderId="3" xfId="0" applyNumberFormat="1" applyFont="1" applyFill="1" applyBorder="1" applyAlignment="1" applyProtection="1">
      <alignment horizontal="center" vertical="center"/>
      <protection locked="0"/>
    </xf>
    <xf numFmtId="1" fontId="4" fillId="0" borderId="4" xfId="0" applyNumberFormat="1" applyFont="1" applyFill="1" applyBorder="1" applyAlignment="1" applyProtection="1">
      <alignment horizontal="left" vertical="center"/>
      <protection locked="0"/>
    </xf>
    <xf numFmtId="1" fontId="4" fillId="0" borderId="2" xfId="0" applyNumberFormat="1" applyFont="1" applyFill="1" applyBorder="1" applyAlignment="1" applyProtection="1">
      <alignment vertical="center"/>
      <protection locked="0"/>
    </xf>
    <xf numFmtId="1" fontId="4" fillId="0" borderId="5" xfId="0" applyNumberFormat="1" applyFont="1" applyFill="1" applyBorder="1" applyAlignment="1" applyProtection="1">
      <alignment horizontal="center" vertical="center"/>
      <protection locked="0"/>
    </xf>
    <xf numFmtId="1" fontId="4" fillId="0" borderId="6" xfId="0" applyNumberFormat="1" applyFont="1" applyFill="1" applyBorder="1" applyAlignment="1" applyProtection="1">
      <alignment vertical="center"/>
      <protection locked="0"/>
    </xf>
    <xf numFmtId="0" fontId="4" fillId="0" borderId="7" xfId="0" applyFont="1" applyFill="1" applyBorder="1" applyAlignment="1" applyProtection="1">
      <alignment horizontal="center" vertical="center" wrapText="1"/>
    </xf>
    <xf numFmtId="0" fontId="1" fillId="0" borderId="8" xfId="0" applyFont="1" applyFill="1" applyBorder="1" applyAlignment="1" applyProtection="1">
      <alignment horizontal="center" vertical="center" wrapText="1"/>
    </xf>
    <xf numFmtId="0" fontId="1" fillId="0" borderId="9" xfId="0" applyFont="1" applyFill="1" applyBorder="1" applyAlignment="1" applyProtection="1">
      <alignment horizontal="center" vertical="center" wrapText="1"/>
    </xf>
    <xf numFmtId="0" fontId="1" fillId="0" borderId="10" xfId="0" applyFont="1" applyFill="1" applyBorder="1" applyAlignment="1" applyProtection="1">
      <alignment horizontal="center" vertical="center" wrapText="1"/>
    </xf>
    <xf numFmtId="0" fontId="5" fillId="0" borderId="11" xfId="0" applyFont="1" applyFill="1" applyBorder="1" applyAlignment="1" applyProtection="1">
      <alignment horizontal="center" vertical="center" wrapText="1"/>
    </xf>
    <xf numFmtId="0" fontId="5" fillId="0" borderId="4" xfId="0" applyFont="1" applyFill="1" applyBorder="1" applyAlignment="1" applyProtection="1">
      <alignment horizontal="center" vertical="center" wrapText="1"/>
    </xf>
    <xf numFmtId="0" fontId="5" fillId="0" borderId="12" xfId="0" applyFont="1" applyFill="1" applyBorder="1" applyAlignment="1" applyProtection="1">
      <alignment horizontal="center" vertical="center" wrapText="1"/>
    </xf>
    <xf numFmtId="0" fontId="5" fillId="0" borderId="13" xfId="0" applyFont="1" applyFill="1" applyBorder="1" applyAlignment="1" applyProtection="1">
      <alignment horizontal="center" vertical="center" wrapText="1"/>
    </xf>
    <xf numFmtId="0" fontId="1" fillId="0" borderId="14" xfId="0" applyFont="1" applyFill="1" applyBorder="1" applyAlignment="1" applyProtection="1">
      <alignment horizontal="center" vertical="center" wrapText="1"/>
    </xf>
    <xf numFmtId="3" fontId="5" fillId="0" borderId="15" xfId="0" applyNumberFormat="1" applyFont="1" applyFill="1" applyBorder="1" applyAlignment="1" applyProtection="1">
      <alignment horizontal="center"/>
    </xf>
    <xf numFmtId="0" fontId="1" fillId="2" borderId="0" xfId="0" applyFont="1" applyFill="1" applyProtection="1"/>
    <xf numFmtId="3" fontId="6" fillId="0" borderId="16" xfId="0" applyNumberFormat="1" applyFont="1" applyFill="1" applyBorder="1" applyProtection="1">
      <protection locked="0"/>
    </xf>
    <xf numFmtId="3" fontId="7" fillId="3" borderId="17" xfId="0" applyNumberFormat="1" applyFont="1" applyFill="1" applyBorder="1" applyProtection="1"/>
    <xf numFmtId="3" fontId="7" fillId="3" borderId="18" xfId="0" applyNumberFormat="1" applyFont="1" applyFill="1" applyBorder="1" applyProtection="1"/>
    <xf numFmtId="0" fontId="4" fillId="0" borderId="0" xfId="0" applyFont="1" applyFill="1" applyProtection="1">
      <protection locked="0"/>
    </xf>
    <xf numFmtId="1" fontId="8" fillId="3" borderId="19" xfId="0" applyNumberFormat="1" applyFont="1" applyFill="1" applyBorder="1" applyAlignment="1" applyProtection="1">
      <alignment horizontal="center" vertical="center"/>
    </xf>
    <xf numFmtId="1" fontId="8" fillId="3" borderId="20" xfId="0" applyNumberFormat="1" applyFont="1" applyFill="1" applyBorder="1" applyAlignment="1" applyProtection="1">
      <alignment horizontal="center" vertical="center"/>
    </xf>
    <xf numFmtId="0" fontId="9" fillId="2" borderId="0" xfId="0" applyFont="1" applyFill="1" applyAlignment="1" applyProtection="1">
      <alignment horizontal="center"/>
    </xf>
    <xf numFmtId="0" fontId="10" fillId="2" borderId="0" xfId="0" applyFont="1" applyFill="1" applyAlignment="1" applyProtection="1">
      <alignment horizontal="center"/>
    </xf>
    <xf numFmtId="0" fontId="11" fillId="2" borderId="0" xfId="0" applyFont="1" applyFill="1" applyAlignment="1" applyProtection="1">
      <alignment horizontal="center"/>
    </xf>
    <xf numFmtId="1" fontId="1" fillId="2" borderId="0" xfId="0" applyNumberFormat="1" applyFont="1" applyFill="1" applyAlignment="1" applyProtection="1">
      <alignment horizontal="center"/>
    </xf>
    <xf numFmtId="0" fontId="1" fillId="2" borderId="0" xfId="0" applyFont="1" applyFill="1" applyAlignment="1" applyProtection="1">
      <alignment horizontal="center"/>
    </xf>
    <xf numFmtId="1" fontId="12" fillId="2" borderId="0" xfId="0" applyNumberFormat="1" applyFont="1" applyFill="1" applyAlignment="1" applyProtection="1">
      <alignment horizontal="center"/>
    </xf>
    <xf numFmtId="1" fontId="2" fillId="2" borderId="0" xfId="0" applyNumberFormat="1" applyFont="1" applyFill="1" applyAlignment="1" applyProtection="1">
      <alignment horizontal="center"/>
    </xf>
  </cellXfs>
  <cellStyles count="1">
    <cellStyle name="Normale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333399"/>
      <rgbColor rgb="0099CCFF"/>
      <rgbColor rgb="003A3935"/>
      <rgbColor rgb="00808080"/>
      <rgbColor rgb="00DD0806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44"/>
  <sheetViews>
    <sheetView zoomScale="85" workbookViewId="0">
      <selection activeCell="B33" sqref="B33"/>
    </sheetView>
  </sheetViews>
  <sheetFormatPr defaultRowHeight="15" customHeight="1"/>
  <cols>
    <col min="1" max="1" width="5.6640625" customWidth="1"/>
    <col min="2" max="2" width="47.5546875" customWidth="1"/>
    <col min="3" max="3" width="11" customWidth="1"/>
    <col min="4" max="4" width="12.88671875" customWidth="1"/>
    <col min="5" max="5" width="9.88671875" customWidth="1"/>
    <col min="6" max="7" width="8" customWidth="1"/>
    <col min="8" max="8" width="8.6640625" customWidth="1"/>
    <col min="10" max="11" width="8" customWidth="1"/>
    <col min="12" max="12" width="9.88671875" customWidth="1"/>
    <col min="13" max="14" width="8.6640625" customWidth="1"/>
    <col min="15" max="15" width="9.109375" customWidth="1"/>
  </cols>
  <sheetData>
    <row r="1" spans="1:16" ht="15.75" customHeight="1">
      <c r="A1" s="36" t="s">
        <v>0</v>
      </c>
      <c r="B1" s="36"/>
      <c r="C1" s="40" t="s">
        <v>1</v>
      </c>
      <c r="D1" s="40"/>
      <c r="E1" s="40"/>
      <c r="F1" s="40"/>
      <c r="G1" s="40"/>
      <c r="H1" s="40"/>
      <c r="I1" s="40"/>
      <c r="J1" s="40"/>
      <c r="K1" s="1"/>
      <c r="L1" s="1"/>
      <c r="M1" s="2"/>
      <c r="N1" s="2"/>
      <c r="O1" s="3"/>
      <c r="P1" s="2"/>
    </row>
    <row r="2" spans="1:16" ht="15.75" customHeight="1">
      <c r="A2" s="37" t="s">
        <v>2</v>
      </c>
      <c r="B2" s="37"/>
      <c r="C2" s="4"/>
      <c r="D2" s="4"/>
      <c r="E2" s="5"/>
      <c r="F2" s="4"/>
      <c r="G2" s="4"/>
      <c r="H2" s="4"/>
      <c r="I2" s="4"/>
      <c r="J2" s="4"/>
      <c r="K2" s="1"/>
      <c r="L2" s="1"/>
      <c r="M2" s="2"/>
      <c r="N2" s="2"/>
      <c r="O2" s="3"/>
      <c r="P2" s="2"/>
    </row>
    <row r="3" spans="1:16" ht="15" customHeight="1">
      <c r="A3" s="6"/>
      <c r="B3" s="7"/>
      <c r="C3" s="39" t="s">
        <v>3</v>
      </c>
      <c r="D3" s="39"/>
      <c r="E3" s="39"/>
      <c r="F3" s="39"/>
      <c r="G3" s="39"/>
      <c r="H3" s="39"/>
      <c r="I3" s="39"/>
      <c r="J3" s="39"/>
      <c r="K3" s="3"/>
      <c r="L3" s="2"/>
      <c r="M3" s="2"/>
      <c r="N3" s="2"/>
      <c r="O3" s="2"/>
      <c r="P3" s="2"/>
    </row>
    <row r="4" spans="1:16" ht="15" customHeight="1">
      <c r="A4" s="8"/>
      <c r="B4" s="9"/>
      <c r="C4" s="41" t="s">
        <v>4</v>
      </c>
      <c r="D4" s="41"/>
      <c r="E4" s="41"/>
      <c r="F4" s="41"/>
      <c r="G4" s="41"/>
      <c r="H4" s="41"/>
      <c r="I4" s="41"/>
      <c r="J4" s="41"/>
      <c r="K4" s="38"/>
      <c r="L4" s="38"/>
      <c r="M4" s="38"/>
      <c r="N4" s="38"/>
      <c r="O4" s="38"/>
      <c r="P4" s="38"/>
    </row>
    <row r="5" spans="1:16" ht="15" customHeight="1">
      <c r="A5" s="8"/>
      <c r="B5" s="10"/>
      <c r="C5" s="4"/>
      <c r="D5" s="4"/>
      <c r="E5" s="5"/>
      <c r="F5" s="8"/>
      <c r="G5" s="8"/>
      <c r="H5" s="8"/>
      <c r="I5" s="1"/>
      <c r="J5" s="1"/>
      <c r="K5" s="38" t="s">
        <v>5</v>
      </c>
      <c r="L5" s="38"/>
      <c r="M5" s="38"/>
      <c r="N5" s="38"/>
      <c r="O5" s="38"/>
      <c r="P5" s="38"/>
    </row>
    <row r="6" spans="1:16" ht="15" customHeight="1">
      <c r="A6" s="35" t="s">
        <v>6</v>
      </c>
      <c r="B6" s="35"/>
      <c r="C6" s="5"/>
      <c r="D6" s="5"/>
      <c r="E6" s="5"/>
      <c r="F6" s="5"/>
      <c r="G6" s="5"/>
      <c r="H6" s="5"/>
      <c r="I6" s="28"/>
      <c r="J6" s="28"/>
      <c r="K6" s="39" t="s">
        <v>7</v>
      </c>
      <c r="L6" s="39"/>
      <c r="M6" s="39"/>
      <c r="N6" s="39"/>
      <c r="O6" s="39"/>
      <c r="P6" s="39"/>
    </row>
    <row r="7" spans="1:16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 ht="38.25" customHeight="1">
      <c r="A8" s="18" t="s">
        <v>8</v>
      </c>
      <c r="B8" s="19" t="s">
        <v>9</v>
      </c>
      <c r="C8" s="20" t="s">
        <v>10</v>
      </c>
      <c r="D8" s="21" t="s">
        <v>11</v>
      </c>
      <c r="E8" s="21" t="s">
        <v>12</v>
      </c>
      <c r="F8" s="21" t="s">
        <v>13</v>
      </c>
      <c r="G8" s="21" t="s">
        <v>14</v>
      </c>
      <c r="H8" s="21" t="s">
        <v>15</v>
      </c>
      <c r="I8" s="21" t="s">
        <v>16</v>
      </c>
      <c r="J8" s="21" t="s">
        <v>17</v>
      </c>
      <c r="K8" s="21" t="s">
        <v>18</v>
      </c>
      <c r="L8" s="21" t="s">
        <v>19</v>
      </c>
      <c r="M8" s="21" t="s">
        <v>20</v>
      </c>
      <c r="N8" s="21" t="s">
        <v>21</v>
      </c>
      <c r="O8" s="26" t="s">
        <v>22</v>
      </c>
      <c r="P8" s="21" t="s">
        <v>23</v>
      </c>
    </row>
    <row r="9" spans="1:16" ht="15" customHeight="1">
      <c r="A9" s="22">
        <v>1</v>
      </c>
      <c r="B9" s="23">
        <v>2</v>
      </c>
      <c r="C9" s="24">
        <v>3</v>
      </c>
      <c r="D9" s="25">
        <v>4</v>
      </c>
      <c r="E9" s="25">
        <v>5</v>
      </c>
      <c r="F9" s="25">
        <v>6</v>
      </c>
      <c r="G9" s="25">
        <v>7</v>
      </c>
      <c r="H9" s="25">
        <v>8</v>
      </c>
      <c r="I9" s="25">
        <v>9</v>
      </c>
      <c r="J9" s="25">
        <v>10</v>
      </c>
      <c r="K9" s="25">
        <v>11</v>
      </c>
      <c r="L9" s="25">
        <v>12</v>
      </c>
      <c r="M9" s="25">
        <v>13</v>
      </c>
      <c r="N9" s="25">
        <v>14</v>
      </c>
      <c r="O9" s="27">
        <v>15</v>
      </c>
      <c r="P9" s="27">
        <v>16</v>
      </c>
    </row>
    <row r="10" spans="1:16" ht="15" customHeight="1">
      <c r="A10" s="11" t="s">
        <v>24</v>
      </c>
      <c r="B10" s="12" t="s">
        <v>25</v>
      </c>
      <c r="C10" s="29">
        <v>0</v>
      </c>
      <c r="D10" s="29">
        <v>101899</v>
      </c>
      <c r="E10" s="29">
        <v>1820</v>
      </c>
      <c r="F10" s="29">
        <v>0</v>
      </c>
      <c r="G10" s="29">
        <v>0</v>
      </c>
      <c r="H10" s="29">
        <v>0</v>
      </c>
      <c r="I10" s="29">
        <v>0</v>
      </c>
      <c r="J10" s="29">
        <v>7158</v>
      </c>
      <c r="K10" s="29">
        <v>437</v>
      </c>
      <c r="L10" s="29">
        <v>68029</v>
      </c>
      <c r="M10" s="29">
        <v>922</v>
      </c>
      <c r="N10" s="30">
        <f t="shared" ref="N10:N42" si="0">SUM(C10:M10)</f>
        <v>180265</v>
      </c>
      <c r="O10" s="29">
        <v>0</v>
      </c>
      <c r="P10" s="30">
        <f t="shared" ref="P10:P42" si="1">SUM(N10:O10)</f>
        <v>180265</v>
      </c>
    </row>
    <row r="11" spans="1:16" ht="15" customHeight="1">
      <c r="A11" s="11" t="s">
        <v>26</v>
      </c>
      <c r="B11" s="12" t="s">
        <v>27</v>
      </c>
      <c r="C11" s="29">
        <v>63203</v>
      </c>
      <c r="D11" s="29">
        <v>3689</v>
      </c>
      <c r="E11" s="29">
        <v>0</v>
      </c>
      <c r="F11" s="29">
        <v>0</v>
      </c>
      <c r="G11" s="29">
        <v>0</v>
      </c>
      <c r="H11" s="29">
        <v>0</v>
      </c>
      <c r="I11" s="29">
        <v>0</v>
      </c>
      <c r="J11" s="29">
        <v>0</v>
      </c>
      <c r="K11" s="29">
        <v>0</v>
      </c>
      <c r="L11" s="29">
        <v>59830</v>
      </c>
      <c r="M11" s="29">
        <v>854</v>
      </c>
      <c r="N11" s="30">
        <f t="shared" si="0"/>
        <v>127576</v>
      </c>
      <c r="O11" s="29">
        <v>0</v>
      </c>
      <c r="P11" s="30">
        <f t="shared" si="1"/>
        <v>127576</v>
      </c>
    </row>
    <row r="12" spans="1:16" ht="15" customHeight="1">
      <c r="A12" s="11" t="s">
        <v>28</v>
      </c>
      <c r="B12" s="12" t="s">
        <v>29</v>
      </c>
      <c r="C12" s="29">
        <v>0</v>
      </c>
      <c r="D12" s="29">
        <v>0</v>
      </c>
      <c r="E12" s="29">
        <v>0</v>
      </c>
      <c r="F12" s="29">
        <v>0</v>
      </c>
      <c r="G12" s="29">
        <v>0</v>
      </c>
      <c r="H12" s="29">
        <v>0</v>
      </c>
      <c r="I12" s="29">
        <v>0</v>
      </c>
      <c r="J12" s="29">
        <v>2120</v>
      </c>
      <c r="K12" s="29">
        <v>0</v>
      </c>
      <c r="L12" s="29">
        <v>0</v>
      </c>
      <c r="M12" s="29">
        <v>0</v>
      </c>
      <c r="N12" s="30">
        <f t="shared" si="0"/>
        <v>2120</v>
      </c>
      <c r="O12" s="29">
        <v>0</v>
      </c>
      <c r="P12" s="30">
        <f t="shared" si="1"/>
        <v>2120</v>
      </c>
    </row>
    <row r="13" spans="1:16" ht="15" customHeight="1">
      <c r="A13" s="11" t="s">
        <v>30</v>
      </c>
      <c r="B13" s="12" t="s">
        <v>31</v>
      </c>
      <c r="C13" s="29">
        <v>431449</v>
      </c>
      <c r="D13" s="29">
        <v>1424</v>
      </c>
      <c r="E13" s="29">
        <v>112</v>
      </c>
      <c r="F13" s="29">
        <v>0</v>
      </c>
      <c r="G13" s="29">
        <v>0</v>
      </c>
      <c r="H13" s="29">
        <v>0</v>
      </c>
      <c r="I13" s="29">
        <v>0</v>
      </c>
      <c r="J13" s="29">
        <v>1143</v>
      </c>
      <c r="K13" s="29">
        <v>72</v>
      </c>
      <c r="L13" s="29">
        <v>136870</v>
      </c>
      <c r="M13" s="29">
        <v>4019</v>
      </c>
      <c r="N13" s="30">
        <f t="shared" si="0"/>
        <v>575089</v>
      </c>
      <c r="O13" s="29">
        <v>0</v>
      </c>
      <c r="P13" s="30">
        <f t="shared" si="1"/>
        <v>575089</v>
      </c>
    </row>
    <row r="14" spans="1:16" ht="15" customHeight="1">
      <c r="A14" s="11" t="s">
        <v>32</v>
      </c>
      <c r="B14" s="12" t="s">
        <v>33</v>
      </c>
      <c r="C14" s="29">
        <v>0</v>
      </c>
      <c r="D14" s="29">
        <v>0</v>
      </c>
      <c r="E14" s="29">
        <v>0</v>
      </c>
      <c r="F14" s="29">
        <v>0</v>
      </c>
      <c r="G14" s="29">
        <v>0</v>
      </c>
      <c r="H14" s="29">
        <v>83</v>
      </c>
      <c r="I14" s="29">
        <v>0</v>
      </c>
      <c r="J14" s="29">
        <v>0</v>
      </c>
      <c r="K14" s="29">
        <v>6</v>
      </c>
      <c r="L14" s="29">
        <v>0</v>
      </c>
      <c r="M14" s="29">
        <v>0</v>
      </c>
      <c r="N14" s="30">
        <f t="shared" si="0"/>
        <v>89</v>
      </c>
      <c r="O14" s="29">
        <v>0</v>
      </c>
      <c r="P14" s="30">
        <f t="shared" si="1"/>
        <v>89</v>
      </c>
    </row>
    <row r="15" spans="1:16" ht="15" customHeight="1">
      <c r="A15" s="11" t="s">
        <v>34</v>
      </c>
      <c r="B15" s="12" t="s">
        <v>35</v>
      </c>
      <c r="C15" s="29">
        <v>0</v>
      </c>
      <c r="D15" s="29">
        <v>0</v>
      </c>
      <c r="E15" s="29">
        <v>0</v>
      </c>
      <c r="F15" s="29">
        <v>0</v>
      </c>
      <c r="G15" s="29">
        <v>0</v>
      </c>
      <c r="H15" s="29">
        <v>47</v>
      </c>
      <c r="I15" s="29">
        <v>0</v>
      </c>
      <c r="J15" s="29">
        <v>0</v>
      </c>
      <c r="K15" s="29">
        <v>0</v>
      </c>
      <c r="L15" s="29">
        <v>0</v>
      </c>
      <c r="M15" s="29">
        <v>0</v>
      </c>
      <c r="N15" s="30">
        <f t="shared" si="0"/>
        <v>47</v>
      </c>
      <c r="O15" s="29">
        <v>0</v>
      </c>
      <c r="P15" s="30">
        <f t="shared" si="1"/>
        <v>47</v>
      </c>
    </row>
    <row r="16" spans="1:16" ht="15" customHeight="1">
      <c r="A16" s="11" t="s">
        <v>36</v>
      </c>
      <c r="B16" s="12" t="s">
        <v>37</v>
      </c>
      <c r="C16" s="29">
        <v>0</v>
      </c>
      <c r="D16" s="29">
        <v>0</v>
      </c>
      <c r="E16" s="29">
        <v>64</v>
      </c>
      <c r="F16" s="29">
        <v>0</v>
      </c>
      <c r="G16" s="29">
        <v>0</v>
      </c>
      <c r="H16" s="29">
        <v>0</v>
      </c>
      <c r="I16" s="29">
        <v>0</v>
      </c>
      <c r="J16" s="29">
        <v>322</v>
      </c>
      <c r="K16" s="29">
        <v>0</v>
      </c>
      <c r="L16" s="29">
        <v>0</v>
      </c>
      <c r="M16" s="29">
        <v>0</v>
      </c>
      <c r="N16" s="30">
        <f t="shared" si="0"/>
        <v>386</v>
      </c>
      <c r="O16" s="29">
        <v>0</v>
      </c>
      <c r="P16" s="30">
        <f t="shared" si="1"/>
        <v>386</v>
      </c>
    </row>
    <row r="17" spans="1:16" ht="15" customHeight="1">
      <c r="A17" s="11" t="s">
        <v>38</v>
      </c>
      <c r="B17" s="12" t="s">
        <v>39</v>
      </c>
      <c r="C17" s="29">
        <v>0</v>
      </c>
      <c r="D17" s="29">
        <v>4</v>
      </c>
      <c r="E17" s="29">
        <v>0</v>
      </c>
      <c r="F17" s="29">
        <v>0</v>
      </c>
      <c r="G17" s="29">
        <v>0</v>
      </c>
      <c r="H17" s="29">
        <v>0</v>
      </c>
      <c r="I17" s="29">
        <v>0</v>
      </c>
      <c r="J17" s="29">
        <v>0</v>
      </c>
      <c r="K17" s="29">
        <v>0</v>
      </c>
      <c r="L17" s="29">
        <v>71</v>
      </c>
      <c r="M17" s="29">
        <v>0</v>
      </c>
      <c r="N17" s="30">
        <f t="shared" si="0"/>
        <v>75</v>
      </c>
      <c r="O17" s="29">
        <v>0</v>
      </c>
      <c r="P17" s="30">
        <f t="shared" si="1"/>
        <v>75</v>
      </c>
    </row>
    <row r="18" spans="1:16" ht="15" customHeight="1">
      <c r="A18" s="11" t="s">
        <v>40</v>
      </c>
      <c r="B18" s="12" t="s">
        <v>41</v>
      </c>
      <c r="C18" s="29">
        <v>0</v>
      </c>
      <c r="D18" s="29">
        <v>0</v>
      </c>
      <c r="E18" s="29">
        <v>0</v>
      </c>
      <c r="F18" s="29">
        <v>0</v>
      </c>
      <c r="G18" s="29">
        <v>0</v>
      </c>
      <c r="H18" s="29">
        <v>247901</v>
      </c>
      <c r="I18" s="29">
        <v>0</v>
      </c>
      <c r="J18" s="29">
        <v>47</v>
      </c>
      <c r="K18" s="29">
        <v>26013</v>
      </c>
      <c r="L18" s="29">
        <v>0</v>
      </c>
      <c r="M18" s="29">
        <v>0</v>
      </c>
      <c r="N18" s="30">
        <f t="shared" si="0"/>
        <v>273961</v>
      </c>
      <c r="O18" s="29">
        <v>0</v>
      </c>
      <c r="P18" s="30">
        <f t="shared" si="1"/>
        <v>273961</v>
      </c>
    </row>
    <row r="19" spans="1:16" ht="15" customHeight="1">
      <c r="A19" s="13" t="s">
        <v>42</v>
      </c>
      <c r="B19" s="14" t="s">
        <v>43</v>
      </c>
      <c r="C19" s="29">
        <v>0</v>
      </c>
      <c r="D19" s="29">
        <v>4</v>
      </c>
      <c r="E19" s="29">
        <v>0</v>
      </c>
      <c r="F19" s="29">
        <v>0</v>
      </c>
      <c r="G19" s="29">
        <v>0</v>
      </c>
      <c r="H19" s="29">
        <v>0</v>
      </c>
      <c r="I19" s="29">
        <v>0</v>
      </c>
      <c r="J19" s="29">
        <v>0</v>
      </c>
      <c r="K19" s="29">
        <v>0</v>
      </c>
      <c r="L19" s="29">
        <v>0</v>
      </c>
      <c r="M19" s="29">
        <v>0</v>
      </c>
      <c r="N19" s="30">
        <f t="shared" si="0"/>
        <v>4</v>
      </c>
      <c r="O19" s="29">
        <v>0</v>
      </c>
      <c r="P19" s="30">
        <f t="shared" si="1"/>
        <v>4</v>
      </c>
    </row>
    <row r="20" spans="1:16" ht="15" customHeight="1">
      <c r="A20" s="11" t="s">
        <v>44</v>
      </c>
      <c r="B20" s="12" t="s">
        <v>45</v>
      </c>
      <c r="C20" s="29">
        <v>1006207</v>
      </c>
      <c r="D20" s="29">
        <v>60523</v>
      </c>
      <c r="E20" s="29">
        <v>115953</v>
      </c>
      <c r="F20" s="29">
        <v>3193</v>
      </c>
      <c r="G20" s="29">
        <v>18325</v>
      </c>
      <c r="H20" s="29">
        <v>0</v>
      </c>
      <c r="I20" s="29">
        <v>262</v>
      </c>
      <c r="J20" s="29">
        <v>6365</v>
      </c>
      <c r="K20" s="29">
        <v>2318</v>
      </c>
      <c r="L20" s="29">
        <v>693626</v>
      </c>
      <c r="M20" s="29">
        <v>40250</v>
      </c>
      <c r="N20" s="30">
        <f t="shared" si="0"/>
        <v>1947022</v>
      </c>
      <c r="O20" s="29">
        <v>35215</v>
      </c>
      <c r="P20" s="30">
        <f t="shared" si="1"/>
        <v>1982237</v>
      </c>
    </row>
    <row r="21" spans="1:16" ht="15" customHeight="1">
      <c r="A21" s="11" t="s">
        <v>46</v>
      </c>
      <c r="B21" s="12" t="s">
        <v>47</v>
      </c>
      <c r="C21" s="29">
        <v>0</v>
      </c>
      <c r="D21" s="29">
        <v>7326</v>
      </c>
      <c r="E21" s="29">
        <v>81</v>
      </c>
      <c r="F21" s="29">
        <v>0</v>
      </c>
      <c r="G21" s="29">
        <v>0</v>
      </c>
      <c r="H21" s="29">
        <v>0</v>
      </c>
      <c r="I21" s="29">
        <v>688</v>
      </c>
      <c r="J21" s="29">
        <v>553</v>
      </c>
      <c r="K21" s="29">
        <v>10671</v>
      </c>
      <c r="L21" s="29">
        <v>118237</v>
      </c>
      <c r="M21" s="29">
        <v>2944</v>
      </c>
      <c r="N21" s="30">
        <f t="shared" si="0"/>
        <v>140500</v>
      </c>
      <c r="O21" s="29">
        <v>5158</v>
      </c>
      <c r="P21" s="30">
        <f t="shared" si="1"/>
        <v>145658</v>
      </c>
    </row>
    <row r="22" spans="1:16" ht="15" customHeight="1">
      <c r="A22" s="13" t="s">
        <v>48</v>
      </c>
      <c r="B22" s="14" t="s">
        <v>49</v>
      </c>
      <c r="C22" s="29">
        <v>0</v>
      </c>
      <c r="D22" s="29">
        <v>31</v>
      </c>
      <c r="E22" s="29">
        <v>0</v>
      </c>
      <c r="F22" s="29">
        <v>0</v>
      </c>
      <c r="G22" s="29">
        <v>0</v>
      </c>
      <c r="H22" s="29">
        <v>0</v>
      </c>
      <c r="I22" s="29">
        <v>1468</v>
      </c>
      <c r="J22" s="29">
        <v>0</v>
      </c>
      <c r="K22" s="29">
        <v>0</v>
      </c>
      <c r="L22" s="29">
        <v>0</v>
      </c>
      <c r="M22" s="29">
        <v>20</v>
      </c>
      <c r="N22" s="30">
        <f t="shared" si="0"/>
        <v>1519</v>
      </c>
      <c r="O22" s="29">
        <v>0</v>
      </c>
      <c r="P22" s="30">
        <f t="shared" si="1"/>
        <v>1519</v>
      </c>
    </row>
    <row r="23" spans="1:16" ht="15" customHeight="1">
      <c r="A23" s="11" t="s">
        <v>50</v>
      </c>
      <c r="B23" s="15" t="s">
        <v>51</v>
      </c>
      <c r="C23" s="29">
        <v>0</v>
      </c>
      <c r="D23" s="29">
        <v>0</v>
      </c>
      <c r="E23" s="29">
        <v>0</v>
      </c>
      <c r="F23" s="29">
        <v>0</v>
      </c>
      <c r="G23" s="29">
        <v>0</v>
      </c>
      <c r="H23" s="29">
        <v>0</v>
      </c>
      <c r="I23" s="29">
        <v>84953</v>
      </c>
      <c r="J23" s="29">
        <v>0</v>
      </c>
      <c r="K23" s="29">
        <v>0</v>
      </c>
      <c r="L23" s="29">
        <v>745</v>
      </c>
      <c r="M23" s="29">
        <v>0</v>
      </c>
      <c r="N23" s="30">
        <f t="shared" si="0"/>
        <v>85698</v>
      </c>
      <c r="O23" s="29">
        <v>105701</v>
      </c>
      <c r="P23" s="30">
        <f t="shared" si="1"/>
        <v>191399</v>
      </c>
    </row>
    <row r="24" spans="1:16" ht="15" customHeight="1">
      <c r="A24" s="11" t="s">
        <v>52</v>
      </c>
      <c r="B24" s="12" t="s">
        <v>53</v>
      </c>
      <c r="C24" s="29">
        <v>0</v>
      </c>
      <c r="D24" s="29">
        <v>1516</v>
      </c>
      <c r="E24" s="29">
        <v>135</v>
      </c>
      <c r="F24" s="29">
        <v>0</v>
      </c>
      <c r="G24" s="29">
        <v>0</v>
      </c>
      <c r="H24" s="29">
        <v>0</v>
      </c>
      <c r="I24" s="29">
        <v>0</v>
      </c>
      <c r="J24" s="29">
        <v>1042</v>
      </c>
      <c r="K24" s="29">
        <v>195</v>
      </c>
      <c r="L24" s="29">
        <v>31245</v>
      </c>
      <c r="M24" s="29">
        <v>13443</v>
      </c>
      <c r="N24" s="30">
        <f t="shared" si="0"/>
        <v>47576</v>
      </c>
      <c r="O24" s="29">
        <v>60729</v>
      </c>
      <c r="P24" s="30">
        <f t="shared" si="1"/>
        <v>108305</v>
      </c>
    </row>
    <row r="25" spans="1:16" ht="15" customHeight="1">
      <c r="A25" s="11" t="s">
        <v>54</v>
      </c>
      <c r="B25" s="12" t="s">
        <v>55</v>
      </c>
      <c r="C25" s="29">
        <v>100</v>
      </c>
      <c r="D25" s="29">
        <v>6651</v>
      </c>
      <c r="E25" s="29">
        <v>661</v>
      </c>
      <c r="F25" s="29">
        <v>81</v>
      </c>
      <c r="G25" s="29">
        <v>174</v>
      </c>
      <c r="H25" s="29">
        <v>0</v>
      </c>
      <c r="I25" s="29">
        <v>62</v>
      </c>
      <c r="J25" s="29">
        <v>2183</v>
      </c>
      <c r="K25" s="29">
        <v>36</v>
      </c>
      <c r="L25" s="29">
        <v>6065</v>
      </c>
      <c r="M25" s="29">
        <v>446</v>
      </c>
      <c r="N25" s="30">
        <f t="shared" si="0"/>
        <v>16459</v>
      </c>
      <c r="O25" s="29">
        <v>2442</v>
      </c>
      <c r="P25" s="30">
        <f t="shared" si="1"/>
        <v>18901</v>
      </c>
    </row>
    <row r="26" spans="1:16" ht="15" customHeight="1">
      <c r="A26" s="11" t="s">
        <v>56</v>
      </c>
      <c r="B26" s="12" t="s">
        <v>57</v>
      </c>
      <c r="C26" s="29">
        <v>5</v>
      </c>
      <c r="D26" s="29">
        <v>3515</v>
      </c>
      <c r="E26" s="29">
        <v>145</v>
      </c>
      <c r="F26" s="29">
        <v>1</v>
      </c>
      <c r="G26" s="29">
        <v>105</v>
      </c>
      <c r="H26" s="29">
        <v>48</v>
      </c>
      <c r="I26" s="29">
        <v>42</v>
      </c>
      <c r="J26" s="29">
        <v>9360</v>
      </c>
      <c r="K26" s="29">
        <v>2</v>
      </c>
      <c r="L26" s="29">
        <v>3277</v>
      </c>
      <c r="M26" s="29">
        <v>921</v>
      </c>
      <c r="N26" s="30">
        <f t="shared" si="0"/>
        <v>17421</v>
      </c>
      <c r="O26" s="29">
        <v>255</v>
      </c>
      <c r="P26" s="30">
        <f t="shared" si="1"/>
        <v>17676</v>
      </c>
    </row>
    <row r="27" spans="1:16" ht="15" customHeight="1">
      <c r="A27" s="11" t="s">
        <v>58</v>
      </c>
      <c r="B27" s="12" t="s">
        <v>59</v>
      </c>
      <c r="C27" s="29">
        <v>0</v>
      </c>
      <c r="D27" s="29">
        <v>41</v>
      </c>
      <c r="E27" s="29">
        <v>1</v>
      </c>
      <c r="F27" s="29">
        <v>1</v>
      </c>
      <c r="G27" s="29">
        <v>0</v>
      </c>
      <c r="H27" s="29">
        <v>0</v>
      </c>
      <c r="I27" s="29">
        <v>0</v>
      </c>
      <c r="J27" s="29">
        <v>251</v>
      </c>
      <c r="K27" s="29">
        <v>0</v>
      </c>
      <c r="L27" s="29">
        <v>19</v>
      </c>
      <c r="M27" s="29">
        <v>149</v>
      </c>
      <c r="N27" s="30">
        <f t="shared" si="0"/>
        <v>462</v>
      </c>
      <c r="O27" s="29">
        <v>0</v>
      </c>
      <c r="P27" s="30">
        <f t="shared" si="1"/>
        <v>462</v>
      </c>
    </row>
    <row r="28" spans="1:16" ht="15" customHeight="1">
      <c r="A28" s="11" t="s">
        <v>60</v>
      </c>
      <c r="B28" s="12" t="s">
        <v>61</v>
      </c>
      <c r="C28" s="29">
        <v>0</v>
      </c>
      <c r="D28" s="29">
        <v>1</v>
      </c>
      <c r="E28" s="29">
        <v>0</v>
      </c>
      <c r="F28" s="29">
        <v>0</v>
      </c>
      <c r="G28" s="29">
        <v>0</v>
      </c>
      <c r="H28" s="29">
        <v>0</v>
      </c>
      <c r="I28" s="29">
        <v>12</v>
      </c>
      <c r="J28" s="29">
        <v>128</v>
      </c>
      <c r="K28" s="29">
        <v>0</v>
      </c>
      <c r="L28" s="29">
        <v>46</v>
      </c>
      <c r="M28" s="29">
        <v>0</v>
      </c>
      <c r="N28" s="30">
        <f t="shared" si="0"/>
        <v>187</v>
      </c>
      <c r="O28" s="29">
        <v>0</v>
      </c>
      <c r="P28" s="30">
        <f t="shared" si="1"/>
        <v>187</v>
      </c>
    </row>
    <row r="29" spans="1:16" ht="15" customHeight="1">
      <c r="A29" s="11" t="s">
        <v>62</v>
      </c>
      <c r="B29" s="12" t="s">
        <v>63</v>
      </c>
      <c r="C29" s="29">
        <v>0</v>
      </c>
      <c r="D29" s="29">
        <v>0</v>
      </c>
      <c r="E29" s="29">
        <v>0</v>
      </c>
      <c r="F29" s="29">
        <v>0</v>
      </c>
      <c r="G29" s="29">
        <v>0</v>
      </c>
      <c r="H29" s="29">
        <v>0</v>
      </c>
      <c r="I29" s="29">
        <v>0</v>
      </c>
      <c r="J29" s="29">
        <v>466</v>
      </c>
      <c r="K29" s="29">
        <v>0</v>
      </c>
      <c r="L29" s="29">
        <v>55</v>
      </c>
      <c r="M29" s="29">
        <v>7864</v>
      </c>
      <c r="N29" s="30">
        <f t="shared" si="0"/>
        <v>8385</v>
      </c>
      <c r="O29" s="29">
        <v>0</v>
      </c>
      <c r="P29" s="30">
        <f t="shared" si="1"/>
        <v>8385</v>
      </c>
    </row>
    <row r="30" spans="1:16" ht="15" customHeight="1">
      <c r="A30" s="11" t="s">
        <v>64</v>
      </c>
      <c r="B30" s="12" t="s">
        <v>65</v>
      </c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30">
        <f t="shared" si="0"/>
        <v>0</v>
      </c>
      <c r="O30" s="29"/>
      <c r="P30" s="30">
        <f t="shared" si="1"/>
        <v>0</v>
      </c>
    </row>
    <row r="31" spans="1:16" ht="15" customHeight="1">
      <c r="A31" s="11" t="s">
        <v>66</v>
      </c>
      <c r="B31" s="12" t="s">
        <v>67</v>
      </c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30">
        <f t="shared" si="0"/>
        <v>0</v>
      </c>
      <c r="O31" s="29"/>
      <c r="P31" s="30">
        <f t="shared" si="1"/>
        <v>0</v>
      </c>
    </row>
    <row r="32" spans="1:16" ht="15" customHeight="1">
      <c r="A32" s="11" t="s">
        <v>68</v>
      </c>
      <c r="B32" s="12" t="s">
        <v>69</v>
      </c>
      <c r="C32" s="29">
        <v>0</v>
      </c>
      <c r="D32" s="29">
        <v>4059</v>
      </c>
      <c r="E32" s="29">
        <v>0</v>
      </c>
      <c r="F32" s="29">
        <v>0</v>
      </c>
      <c r="G32" s="29">
        <v>0</v>
      </c>
      <c r="H32" s="29">
        <v>0</v>
      </c>
      <c r="I32" s="29">
        <v>0</v>
      </c>
      <c r="J32" s="29">
        <v>40830</v>
      </c>
      <c r="K32" s="29">
        <v>0</v>
      </c>
      <c r="L32" s="29">
        <v>28692</v>
      </c>
      <c r="M32" s="29">
        <v>1912</v>
      </c>
      <c r="N32" s="30">
        <f t="shared" si="0"/>
        <v>75493</v>
      </c>
      <c r="O32" s="29">
        <v>0</v>
      </c>
      <c r="P32" s="30">
        <f t="shared" si="1"/>
        <v>75493</v>
      </c>
    </row>
    <row r="33" spans="1:16" ht="15" customHeight="1">
      <c r="A33" s="11" t="s">
        <v>70</v>
      </c>
      <c r="B33" s="15" t="s">
        <v>71</v>
      </c>
      <c r="C33" s="29">
        <v>0</v>
      </c>
      <c r="D33" s="29">
        <v>0</v>
      </c>
      <c r="E33" s="29">
        <v>0</v>
      </c>
      <c r="F33" s="29">
        <v>0</v>
      </c>
      <c r="G33" s="29">
        <v>0</v>
      </c>
      <c r="H33" s="29">
        <v>0</v>
      </c>
      <c r="I33" s="29">
        <v>0</v>
      </c>
      <c r="J33" s="29">
        <v>7314</v>
      </c>
      <c r="K33" s="29">
        <v>0</v>
      </c>
      <c r="L33" s="29">
        <v>0</v>
      </c>
      <c r="M33" s="29">
        <v>0</v>
      </c>
      <c r="N33" s="30">
        <f t="shared" si="0"/>
        <v>7314</v>
      </c>
      <c r="O33" s="29">
        <v>0</v>
      </c>
      <c r="P33" s="30">
        <f t="shared" si="1"/>
        <v>7314</v>
      </c>
    </row>
    <row r="34" spans="1:16" ht="15" customHeight="1">
      <c r="A34" s="11" t="s">
        <v>72</v>
      </c>
      <c r="B34" s="15" t="s">
        <v>73</v>
      </c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30">
        <f t="shared" si="0"/>
        <v>0</v>
      </c>
      <c r="O34" s="29"/>
      <c r="P34" s="30">
        <f t="shared" si="1"/>
        <v>0</v>
      </c>
    </row>
    <row r="35" spans="1:16" ht="15" customHeight="1">
      <c r="A35" s="13" t="s">
        <v>74</v>
      </c>
      <c r="B35" s="14" t="s">
        <v>75</v>
      </c>
      <c r="C35" s="29">
        <v>5</v>
      </c>
      <c r="D35" s="29">
        <v>61</v>
      </c>
      <c r="E35" s="29">
        <v>0</v>
      </c>
      <c r="F35" s="29">
        <v>0</v>
      </c>
      <c r="G35" s="29">
        <v>0</v>
      </c>
      <c r="H35" s="29">
        <v>0</v>
      </c>
      <c r="I35" s="29">
        <v>0</v>
      </c>
      <c r="J35" s="29">
        <v>4453</v>
      </c>
      <c r="K35" s="29">
        <v>0</v>
      </c>
      <c r="L35" s="29">
        <v>159</v>
      </c>
      <c r="M35" s="29">
        <v>0</v>
      </c>
      <c r="N35" s="30">
        <f t="shared" si="0"/>
        <v>4678</v>
      </c>
      <c r="O35" s="29">
        <v>0</v>
      </c>
      <c r="P35" s="30">
        <f t="shared" si="1"/>
        <v>4678</v>
      </c>
    </row>
    <row r="36" spans="1:16" ht="15" customHeight="1">
      <c r="A36" s="11" t="s">
        <v>76</v>
      </c>
      <c r="B36" s="12" t="s">
        <v>77</v>
      </c>
      <c r="C36" s="29">
        <v>0</v>
      </c>
      <c r="D36" s="29">
        <v>0</v>
      </c>
      <c r="E36" s="29">
        <v>0</v>
      </c>
      <c r="F36" s="29">
        <v>0</v>
      </c>
      <c r="G36" s="29">
        <v>0</v>
      </c>
      <c r="H36" s="29">
        <v>0</v>
      </c>
      <c r="I36" s="29">
        <v>0</v>
      </c>
      <c r="J36" s="29">
        <v>23785</v>
      </c>
      <c r="K36" s="29">
        <v>0</v>
      </c>
      <c r="L36" s="29">
        <v>12328</v>
      </c>
      <c r="M36" s="29">
        <v>10157</v>
      </c>
      <c r="N36" s="30">
        <f t="shared" si="0"/>
        <v>46270</v>
      </c>
      <c r="O36" s="29">
        <v>0</v>
      </c>
      <c r="P36" s="30">
        <f t="shared" si="1"/>
        <v>46270</v>
      </c>
    </row>
    <row r="37" spans="1:16" ht="15" customHeight="1">
      <c r="A37" s="11" t="s">
        <v>78</v>
      </c>
      <c r="B37" s="12" t="s">
        <v>79</v>
      </c>
      <c r="C37" s="29">
        <v>0</v>
      </c>
      <c r="D37" s="29">
        <v>0</v>
      </c>
      <c r="E37" s="29">
        <v>0</v>
      </c>
      <c r="F37" s="29">
        <v>0</v>
      </c>
      <c r="G37" s="29">
        <v>0</v>
      </c>
      <c r="H37" s="29">
        <v>0</v>
      </c>
      <c r="I37" s="29">
        <v>0</v>
      </c>
      <c r="J37" s="29">
        <v>4300</v>
      </c>
      <c r="K37" s="29">
        <v>0</v>
      </c>
      <c r="L37" s="29">
        <v>319</v>
      </c>
      <c r="M37" s="29">
        <v>0</v>
      </c>
      <c r="N37" s="30">
        <f t="shared" si="0"/>
        <v>4619</v>
      </c>
      <c r="O37" s="29">
        <v>0</v>
      </c>
      <c r="P37" s="30">
        <f t="shared" si="1"/>
        <v>4619</v>
      </c>
    </row>
    <row r="38" spans="1:16" ht="15" customHeight="1">
      <c r="A38" s="13" t="s">
        <v>80</v>
      </c>
      <c r="B38" s="32" t="s">
        <v>81</v>
      </c>
      <c r="C38" s="29">
        <v>0</v>
      </c>
      <c r="D38" s="29">
        <v>0</v>
      </c>
      <c r="E38" s="29">
        <v>0</v>
      </c>
      <c r="F38" s="29">
        <v>0</v>
      </c>
      <c r="G38" s="29">
        <v>0</v>
      </c>
      <c r="H38" s="29">
        <v>0</v>
      </c>
      <c r="I38" s="29">
        <v>0</v>
      </c>
      <c r="J38" s="29">
        <v>16</v>
      </c>
      <c r="K38" s="29">
        <v>0</v>
      </c>
      <c r="L38" s="29">
        <v>0</v>
      </c>
      <c r="M38" s="29">
        <v>0</v>
      </c>
      <c r="N38" s="30">
        <f t="shared" si="0"/>
        <v>16</v>
      </c>
      <c r="O38" s="29">
        <v>0</v>
      </c>
      <c r="P38" s="30">
        <f t="shared" si="1"/>
        <v>16</v>
      </c>
    </row>
    <row r="39" spans="1:16" ht="15" customHeight="1">
      <c r="A39" s="16" t="s">
        <v>82</v>
      </c>
      <c r="B39" s="17" t="s">
        <v>83</v>
      </c>
      <c r="C39" s="29">
        <v>0</v>
      </c>
      <c r="D39" s="29">
        <v>1</v>
      </c>
      <c r="E39" s="29">
        <v>0</v>
      </c>
      <c r="F39" s="29">
        <v>0</v>
      </c>
      <c r="G39" s="29">
        <v>0</v>
      </c>
      <c r="H39" s="29">
        <v>0</v>
      </c>
      <c r="I39" s="29">
        <v>0</v>
      </c>
      <c r="J39" s="29">
        <v>53</v>
      </c>
      <c r="K39" s="29">
        <v>0</v>
      </c>
      <c r="L39" s="29">
        <v>5073</v>
      </c>
      <c r="M39" s="29">
        <v>0</v>
      </c>
      <c r="N39" s="30">
        <f t="shared" si="0"/>
        <v>5127</v>
      </c>
      <c r="O39" s="29">
        <v>0</v>
      </c>
      <c r="P39" s="30">
        <f t="shared" si="1"/>
        <v>5127</v>
      </c>
    </row>
    <row r="40" spans="1:16" ht="15" customHeight="1">
      <c r="A40" s="13" t="s">
        <v>84</v>
      </c>
      <c r="B40" s="32" t="s">
        <v>85</v>
      </c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30">
        <f t="shared" si="0"/>
        <v>0</v>
      </c>
      <c r="O40" s="29"/>
      <c r="P40" s="30">
        <f t="shared" si="1"/>
        <v>0</v>
      </c>
    </row>
    <row r="41" spans="1:16" ht="15" customHeight="1">
      <c r="A41" s="13" t="s">
        <v>86</v>
      </c>
      <c r="B41" s="32" t="s">
        <v>87</v>
      </c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30">
        <f t="shared" si="0"/>
        <v>0</v>
      </c>
      <c r="O41" s="29"/>
      <c r="P41" s="30">
        <f t="shared" si="1"/>
        <v>0</v>
      </c>
    </row>
    <row r="42" spans="1:16" ht="15" customHeight="1">
      <c r="A42" s="13" t="s">
        <v>88</v>
      </c>
      <c r="B42" s="32" t="s">
        <v>89</v>
      </c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30">
        <f t="shared" si="0"/>
        <v>0</v>
      </c>
      <c r="O42" s="29"/>
      <c r="P42" s="30">
        <f t="shared" si="1"/>
        <v>0</v>
      </c>
    </row>
    <row r="43" spans="1:16" ht="15.75" customHeight="1">
      <c r="A43" s="33" t="s">
        <v>21</v>
      </c>
      <c r="B43" s="34"/>
      <c r="C43" s="31">
        <f t="shared" ref="C43:P43" si="2">SUM(C10:C42)</f>
        <v>1500969</v>
      </c>
      <c r="D43" s="31">
        <f t="shared" si="2"/>
        <v>190745</v>
      </c>
      <c r="E43" s="31">
        <f t="shared" si="2"/>
        <v>118972</v>
      </c>
      <c r="F43" s="31">
        <f t="shared" si="2"/>
        <v>3276</v>
      </c>
      <c r="G43" s="31">
        <f t="shared" si="2"/>
        <v>18604</v>
      </c>
      <c r="H43" s="31">
        <f t="shared" si="2"/>
        <v>248079</v>
      </c>
      <c r="I43" s="31">
        <f t="shared" si="2"/>
        <v>87487</v>
      </c>
      <c r="J43" s="31">
        <f t="shared" si="2"/>
        <v>111889</v>
      </c>
      <c r="K43" s="31">
        <f t="shared" si="2"/>
        <v>39750</v>
      </c>
      <c r="L43" s="31">
        <f t="shared" si="2"/>
        <v>1164686</v>
      </c>
      <c r="M43" s="31">
        <f t="shared" si="2"/>
        <v>83901</v>
      </c>
      <c r="N43" s="31">
        <f t="shared" si="2"/>
        <v>3568358</v>
      </c>
      <c r="O43" s="31">
        <f t="shared" si="2"/>
        <v>209500</v>
      </c>
      <c r="P43" s="31">
        <f t="shared" si="2"/>
        <v>3777858</v>
      </c>
    </row>
    <row r="44" spans="1:16" ht="15.75" customHeight="1"/>
  </sheetData>
  <mergeCells count="10">
    <mergeCell ref="A43:B43"/>
    <mergeCell ref="A6:B6"/>
    <mergeCell ref="A1:B1"/>
    <mergeCell ref="A2:B2"/>
    <mergeCell ref="K4:P4"/>
    <mergeCell ref="K5:P5"/>
    <mergeCell ref="K6:P6"/>
    <mergeCell ref="C1:J1"/>
    <mergeCell ref="C3:J3"/>
    <mergeCell ref="C4:J4"/>
  </mergeCells>
  <pageMargins left="0.7" right="0.7" top="0.75" bottom="0.75" header="0.51180555555555551" footer="0.51180555555555551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P44"/>
  <sheetViews>
    <sheetView tabSelected="1" zoomScale="80" workbookViewId="0">
      <selection activeCell="B32" sqref="B32"/>
    </sheetView>
  </sheetViews>
  <sheetFormatPr defaultRowHeight="15" customHeight="1"/>
  <cols>
    <col min="1" max="1" width="5.6640625" customWidth="1"/>
    <col min="2" max="2" width="47.5546875" customWidth="1"/>
    <col min="3" max="3" width="11" customWidth="1"/>
    <col min="4" max="4" width="20.44140625" customWidth="1"/>
    <col min="5" max="5" width="11.33203125" customWidth="1"/>
    <col min="6" max="7" width="8" customWidth="1"/>
    <col min="8" max="8" width="9.33203125" customWidth="1"/>
    <col min="9" max="9" width="10.33203125" customWidth="1"/>
    <col min="10" max="10" width="8.5546875" customWidth="1"/>
    <col min="11" max="11" width="13.44140625" customWidth="1"/>
    <col min="12" max="12" width="10.5546875" customWidth="1"/>
    <col min="13" max="14" width="8.6640625" customWidth="1"/>
    <col min="15" max="15" width="9.109375" customWidth="1"/>
  </cols>
  <sheetData>
    <row r="1" spans="1:16" ht="15.75" customHeight="1">
      <c r="A1" s="36" t="s">
        <v>0</v>
      </c>
      <c r="B1" s="36"/>
      <c r="C1" s="40" t="s">
        <v>1</v>
      </c>
      <c r="D1" s="40"/>
      <c r="E1" s="40"/>
      <c r="F1" s="40"/>
      <c r="G1" s="40"/>
      <c r="H1" s="40"/>
      <c r="I1" s="40"/>
      <c r="J1" s="40"/>
      <c r="K1" s="1"/>
      <c r="L1" s="1"/>
      <c r="M1" s="2"/>
      <c r="N1" s="2"/>
      <c r="O1" s="3"/>
      <c r="P1" s="2"/>
    </row>
    <row r="2" spans="1:16" ht="15.75" customHeight="1">
      <c r="A2" s="37" t="s">
        <v>2</v>
      </c>
      <c r="B2" s="37"/>
      <c r="C2" s="4"/>
      <c r="D2" s="4"/>
      <c r="E2" s="5"/>
      <c r="F2" s="4"/>
      <c r="G2" s="4"/>
      <c r="H2" s="4"/>
      <c r="I2" s="4"/>
      <c r="J2" s="4"/>
      <c r="K2" s="1"/>
      <c r="L2" s="1"/>
      <c r="M2" s="2"/>
      <c r="N2" s="2"/>
      <c r="O2" s="3"/>
      <c r="P2" s="2"/>
    </row>
    <row r="3" spans="1:16" ht="15" customHeight="1">
      <c r="A3" s="6"/>
      <c r="B3" s="7"/>
      <c r="C3" s="39" t="s">
        <v>3</v>
      </c>
      <c r="D3" s="39"/>
      <c r="E3" s="39"/>
      <c r="F3" s="39"/>
      <c r="G3" s="39"/>
      <c r="H3" s="39"/>
      <c r="I3" s="39"/>
      <c r="J3" s="39"/>
      <c r="K3" s="3"/>
      <c r="L3" s="2"/>
      <c r="M3" s="2"/>
      <c r="N3" s="2"/>
      <c r="O3" s="2"/>
      <c r="P3" s="2"/>
    </row>
    <row r="4" spans="1:16" ht="15" customHeight="1">
      <c r="A4" s="8"/>
      <c r="B4" s="9"/>
      <c r="C4" s="41" t="s">
        <v>4</v>
      </c>
      <c r="D4" s="41"/>
      <c r="E4" s="41"/>
      <c r="F4" s="41"/>
      <c r="G4" s="41"/>
      <c r="H4" s="41"/>
      <c r="I4" s="41"/>
      <c r="J4" s="41"/>
      <c r="K4" s="38"/>
      <c r="L4" s="38"/>
      <c r="M4" s="38"/>
      <c r="N4" s="38"/>
      <c r="O4" s="38"/>
      <c r="P4" s="38"/>
    </row>
    <row r="5" spans="1:16" ht="15" customHeight="1">
      <c r="A5" s="8"/>
      <c r="B5" s="10"/>
      <c r="C5" s="4"/>
      <c r="D5" s="4"/>
      <c r="E5" s="5"/>
      <c r="F5" s="8"/>
      <c r="G5" s="8"/>
      <c r="H5" s="8"/>
      <c r="I5" s="1"/>
      <c r="J5" s="1"/>
      <c r="K5" s="38" t="s">
        <v>5</v>
      </c>
      <c r="L5" s="38"/>
      <c r="M5" s="38"/>
      <c r="N5" s="38"/>
      <c r="O5" s="38"/>
      <c r="P5" s="38"/>
    </row>
    <row r="6" spans="1:16" ht="15" customHeight="1">
      <c r="A6" s="35" t="s">
        <v>6</v>
      </c>
      <c r="B6" s="35"/>
      <c r="C6" s="5"/>
      <c r="D6" s="5"/>
      <c r="E6" s="5"/>
      <c r="F6" s="5"/>
      <c r="G6" s="5"/>
      <c r="H6" s="5"/>
      <c r="I6" s="28"/>
      <c r="J6" s="28"/>
      <c r="K6" s="39" t="s">
        <v>90</v>
      </c>
      <c r="L6" s="39"/>
      <c r="M6" s="39"/>
      <c r="N6" s="39"/>
      <c r="O6" s="39"/>
      <c r="P6" s="39"/>
    </row>
    <row r="7" spans="1:16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 ht="38.25" customHeight="1">
      <c r="A8" s="18" t="s">
        <v>8</v>
      </c>
      <c r="B8" s="19" t="s">
        <v>9</v>
      </c>
      <c r="C8" s="20" t="s">
        <v>10</v>
      </c>
      <c r="D8" s="21" t="s">
        <v>11</v>
      </c>
      <c r="E8" s="21" t="s">
        <v>12</v>
      </c>
      <c r="F8" s="21" t="s">
        <v>13</v>
      </c>
      <c r="G8" s="21" t="s">
        <v>14</v>
      </c>
      <c r="H8" s="21" t="s">
        <v>15</v>
      </c>
      <c r="I8" s="21" t="s">
        <v>16</v>
      </c>
      <c r="J8" s="21" t="s">
        <v>17</v>
      </c>
      <c r="K8" s="21" t="s">
        <v>18</v>
      </c>
      <c r="L8" s="21" t="s">
        <v>19</v>
      </c>
      <c r="M8" s="21" t="s">
        <v>20</v>
      </c>
      <c r="N8" s="21" t="s">
        <v>21</v>
      </c>
      <c r="O8" s="26" t="s">
        <v>22</v>
      </c>
      <c r="P8" s="21" t="s">
        <v>23</v>
      </c>
    </row>
    <row r="9" spans="1:16" ht="15" customHeight="1">
      <c r="A9" s="22">
        <v>1</v>
      </c>
      <c r="B9" s="23">
        <v>2</v>
      </c>
      <c r="C9" s="24">
        <v>3</v>
      </c>
      <c r="D9" s="25">
        <v>4</v>
      </c>
      <c r="E9" s="25">
        <v>5</v>
      </c>
      <c r="F9" s="25">
        <v>6</v>
      </c>
      <c r="G9" s="25">
        <v>7</v>
      </c>
      <c r="H9" s="25">
        <v>8</v>
      </c>
      <c r="I9" s="25">
        <v>9</v>
      </c>
      <c r="J9" s="25">
        <v>10</v>
      </c>
      <c r="K9" s="25">
        <v>11</v>
      </c>
      <c r="L9" s="25">
        <v>12</v>
      </c>
      <c r="M9" s="25">
        <v>13</v>
      </c>
      <c r="N9" s="25">
        <v>14</v>
      </c>
      <c r="O9" s="27">
        <v>15</v>
      </c>
      <c r="P9" s="27">
        <v>16</v>
      </c>
    </row>
    <row r="10" spans="1:16" ht="15" customHeight="1">
      <c r="A10" s="11" t="s">
        <v>24</v>
      </c>
      <c r="B10" s="12" t="s">
        <v>25</v>
      </c>
      <c r="C10" s="29">
        <v>0</v>
      </c>
      <c r="D10" s="29">
        <v>198126</v>
      </c>
      <c r="E10" s="29">
        <v>4004</v>
      </c>
      <c r="F10" s="29">
        <v>0</v>
      </c>
      <c r="G10" s="29">
        <v>0</v>
      </c>
      <c r="H10" s="29">
        <v>0</v>
      </c>
      <c r="I10" s="29">
        <v>0</v>
      </c>
      <c r="J10" s="29">
        <v>14608</v>
      </c>
      <c r="K10" s="29">
        <v>939</v>
      </c>
      <c r="L10" s="29">
        <v>148355</v>
      </c>
      <c r="M10" s="29">
        <v>1555</v>
      </c>
      <c r="N10" s="30">
        <f t="shared" ref="N10:N42" si="0">SUM(C10:M10)</f>
        <v>367587</v>
      </c>
      <c r="O10" s="29">
        <v>0</v>
      </c>
      <c r="P10" s="30">
        <f t="shared" ref="P10:P42" si="1">SUM(N10:O10)</f>
        <v>367587</v>
      </c>
    </row>
    <row r="11" spans="1:16" ht="15" customHeight="1">
      <c r="A11" s="11" t="s">
        <v>26</v>
      </c>
      <c r="B11" s="12" t="s">
        <v>27</v>
      </c>
      <c r="C11" s="29">
        <v>124986</v>
      </c>
      <c r="D11" s="29">
        <v>7470</v>
      </c>
      <c r="E11" s="29">
        <v>0</v>
      </c>
      <c r="F11" s="29">
        <v>0</v>
      </c>
      <c r="G11" s="29">
        <v>0</v>
      </c>
      <c r="H11" s="29">
        <v>0</v>
      </c>
      <c r="I11" s="29">
        <v>0</v>
      </c>
      <c r="J11" s="29">
        <v>0</v>
      </c>
      <c r="K11" s="29">
        <v>0</v>
      </c>
      <c r="L11" s="29">
        <v>119543</v>
      </c>
      <c r="M11" s="29">
        <v>1672</v>
      </c>
      <c r="N11" s="30">
        <f t="shared" si="0"/>
        <v>253671</v>
      </c>
      <c r="O11" s="29">
        <v>0</v>
      </c>
      <c r="P11" s="30">
        <f t="shared" si="1"/>
        <v>253671</v>
      </c>
    </row>
    <row r="12" spans="1:16" ht="15" customHeight="1">
      <c r="A12" s="11" t="s">
        <v>28</v>
      </c>
      <c r="B12" s="12" t="s">
        <v>29</v>
      </c>
      <c r="C12" s="29">
        <v>0</v>
      </c>
      <c r="D12" s="29">
        <v>0</v>
      </c>
      <c r="E12" s="29">
        <v>0</v>
      </c>
      <c r="F12" s="29">
        <v>0</v>
      </c>
      <c r="G12" s="29">
        <v>0</v>
      </c>
      <c r="H12" s="29">
        <v>0</v>
      </c>
      <c r="I12" s="29">
        <v>0</v>
      </c>
      <c r="J12" s="29">
        <v>3824</v>
      </c>
      <c r="K12" s="29">
        <v>0</v>
      </c>
      <c r="L12" s="29">
        <v>0</v>
      </c>
      <c r="M12" s="29">
        <v>0</v>
      </c>
      <c r="N12" s="30">
        <f t="shared" si="0"/>
        <v>3824</v>
      </c>
      <c r="O12" s="29">
        <v>0</v>
      </c>
      <c r="P12" s="30">
        <f t="shared" si="1"/>
        <v>3824</v>
      </c>
    </row>
    <row r="13" spans="1:16" ht="15" customHeight="1">
      <c r="A13" s="11" t="s">
        <v>30</v>
      </c>
      <c r="B13" s="12" t="s">
        <v>31</v>
      </c>
      <c r="C13" s="29">
        <v>849128</v>
      </c>
      <c r="D13" s="29">
        <v>3090</v>
      </c>
      <c r="E13" s="29">
        <v>139</v>
      </c>
      <c r="F13" s="29">
        <v>0</v>
      </c>
      <c r="G13" s="29">
        <v>0</v>
      </c>
      <c r="H13" s="29">
        <v>0</v>
      </c>
      <c r="I13" s="29">
        <v>0</v>
      </c>
      <c r="J13" s="29">
        <v>4453</v>
      </c>
      <c r="K13" s="29">
        <v>122</v>
      </c>
      <c r="L13" s="29">
        <v>269116</v>
      </c>
      <c r="M13" s="29">
        <v>7616</v>
      </c>
      <c r="N13" s="30">
        <f t="shared" si="0"/>
        <v>1133664</v>
      </c>
      <c r="O13" s="29">
        <v>0</v>
      </c>
      <c r="P13" s="30">
        <f t="shared" si="1"/>
        <v>1133664</v>
      </c>
    </row>
    <row r="14" spans="1:16" ht="15" customHeight="1">
      <c r="A14" s="11" t="s">
        <v>32</v>
      </c>
      <c r="B14" s="12" t="s">
        <v>33</v>
      </c>
      <c r="C14" s="29">
        <v>0</v>
      </c>
      <c r="D14" s="29">
        <v>0</v>
      </c>
      <c r="E14" s="29">
        <v>0</v>
      </c>
      <c r="F14" s="29">
        <v>0</v>
      </c>
      <c r="G14" s="29">
        <v>0</v>
      </c>
      <c r="H14" s="29">
        <v>157</v>
      </c>
      <c r="I14" s="29">
        <v>0</v>
      </c>
      <c r="J14" s="29">
        <v>0</v>
      </c>
      <c r="K14" s="29">
        <v>6</v>
      </c>
      <c r="L14" s="29">
        <v>0</v>
      </c>
      <c r="M14" s="29">
        <v>0</v>
      </c>
      <c r="N14" s="30">
        <f t="shared" si="0"/>
        <v>163</v>
      </c>
      <c r="O14" s="29">
        <v>0</v>
      </c>
      <c r="P14" s="30">
        <f t="shared" si="1"/>
        <v>163</v>
      </c>
    </row>
    <row r="15" spans="1:16" ht="15" customHeight="1">
      <c r="A15" s="11" t="s">
        <v>34</v>
      </c>
      <c r="B15" s="12" t="s">
        <v>35</v>
      </c>
      <c r="C15" s="29">
        <v>0</v>
      </c>
      <c r="D15" s="29">
        <v>0</v>
      </c>
      <c r="E15" s="29">
        <v>0</v>
      </c>
      <c r="F15" s="29">
        <v>0</v>
      </c>
      <c r="G15" s="29">
        <v>0</v>
      </c>
      <c r="H15" s="29">
        <v>148</v>
      </c>
      <c r="I15" s="29">
        <v>0</v>
      </c>
      <c r="J15" s="29">
        <v>0</v>
      </c>
      <c r="K15" s="29">
        <v>0</v>
      </c>
      <c r="L15" s="29">
        <v>0</v>
      </c>
      <c r="M15" s="29">
        <v>0</v>
      </c>
      <c r="N15" s="30">
        <f t="shared" si="0"/>
        <v>148</v>
      </c>
      <c r="O15" s="29">
        <v>0</v>
      </c>
      <c r="P15" s="30">
        <f t="shared" si="1"/>
        <v>148</v>
      </c>
    </row>
    <row r="16" spans="1:16" ht="15" customHeight="1">
      <c r="A16" s="11" t="s">
        <v>36</v>
      </c>
      <c r="B16" s="12" t="s">
        <v>37</v>
      </c>
      <c r="C16" s="29">
        <v>0</v>
      </c>
      <c r="D16" s="29">
        <v>0</v>
      </c>
      <c r="E16" s="29">
        <v>76</v>
      </c>
      <c r="F16" s="29">
        <v>0</v>
      </c>
      <c r="G16" s="29">
        <v>0</v>
      </c>
      <c r="H16" s="29">
        <v>0</v>
      </c>
      <c r="I16" s="29">
        <v>0</v>
      </c>
      <c r="J16" s="29">
        <v>719</v>
      </c>
      <c r="K16" s="29">
        <v>0</v>
      </c>
      <c r="L16" s="29">
        <v>0</v>
      </c>
      <c r="M16" s="29">
        <v>0</v>
      </c>
      <c r="N16" s="30">
        <f t="shared" si="0"/>
        <v>795</v>
      </c>
      <c r="O16" s="29">
        <v>0</v>
      </c>
      <c r="P16" s="30">
        <f t="shared" si="1"/>
        <v>795</v>
      </c>
    </row>
    <row r="17" spans="1:16" ht="15" customHeight="1">
      <c r="A17" s="11" t="s">
        <v>38</v>
      </c>
      <c r="B17" s="12" t="s">
        <v>39</v>
      </c>
      <c r="C17" s="29">
        <v>0</v>
      </c>
      <c r="D17" s="29">
        <v>12</v>
      </c>
      <c r="E17" s="29">
        <v>0</v>
      </c>
      <c r="F17" s="29">
        <v>0</v>
      </c>
      <c r="G17" s="29">
        <v>0</v>
      </c>
      <c r="H17" s="29">
        <v>0</v>
      </c>
      <c r="I17" s="29">
        <v>0</v>
      </c>
      <c r="J17" s="29">
        <v>4</v>
      </c>
      <c r="K17" s="29">
        <v>0</v>
      </c>
      <c r="L17" s="29">
        <v>656</v>
      </c>
      <c r="M17" s="29">
        <v>0</v>
      </c>
      <c r="N17" s="30">
        <f t="shared" si="0"/>
        <v>672</v>
      </c>
      <c r="O17" s="29">
        <v>0</v>
      </c>
      <c r="P17" s="30">
        <f t="shared" si="1"/>
        <v>672</v>
      </c>
    </row>
    <row r="18" spans="1:16" ht="15" customHeight="1">
      <c r="A18" s="11" t="s">
        <v>40</v>
      </c>
      <c r="B18" s="12" t="s">
        <v>41</v>
      </c>
      <c r="C18" s="29">
        <v>0</v>
      </c>
      <c r="D18" s="29">
        <v>0</v>
      </c>
      <c r="E18" s="29">
        <v>0</v>
      </c>
      <c r="F18" s="29">
        <v>0</v>
      </c>
      <c r="G18" s="29">
        <v>0</v>
      </c>
      <c r="H18" s="29">
        <v>504564</v>
      </c>
      <c r="I18" s="29">
        <v>0</v>
      </c>
      <c r="J18" s="29">
        <v>47</v>
      </c>
      <c r="K18" s="29">
        <v>38989</v>
      </c>
      <c r="L18" s="29">
        <v>0</v>
      </c>
      <c r="M18" s="29">
        <v>0</v>
      </c>
      <c r="N18" s="30">
        <f t="shared" si="0"/>
        <v>543600</v>
      </c>
      <c r="O18" s="29">
        <v>0</v>
      </c>
      <c r="P18" s="30">
        <f t="shared" si="1"/>
        <v>543600</v>
      </c>
    </row>
    <row r="19" spans="1:16" ht="15" customHeight="1">
      <c r="A19" s="13" t="s">
        <v>42</v>
      </c>
      <c r="B19" s="14" t="s">
        <v>43</v>
      </c>
      <c r="C19" s="29">
        <v>0</v>
      </c>
      <c r="D19" s="29">
        <v>14</v>
      </c>
      <c r="E19" s="29">
        <v>0</v>
      </c>
      <c r="F19" s="29">
        <v>0</v>
      </c>
      <c r="G19" s="29">
        <v>0</v>
      </c>
      <c r="H19" s="29">
        <v>0</v>
      </c>
      <c r="I19" s="29">
        <v>0</v>
      </c>
      <c r="J19" s="29">
        <v>0</v>
      </c>
      <c r="K19" s="29">
        <v>0</v>
      </c>
      <c r="L19" s="29">
        <v>99</v>
      </c>
      <c r="M19" s="29">
        <v>0</v>
      </c>
      <c r="N19" s="30">
        <f t="shared" si="0"/>
        <v>113</v>
      </c>
      <c r="O19" s="29">
        <v>0</v>
      </c>
      <c r="P19" s="30">
        <f t="shared" si="1"/>
        <v>113</v>
      </c>
    </row>
    <row r="20" spans="1:16" ht="15" customHeight="1">
      <c r="A20" s="11" t="s">
        <v>44</v>
      </c>
      <c r="B20" s="12" t="s">
        <v>45</v>
      </c>
      <c r="C20" s="29">
        <v>1967171</v>
      </c>
      <c r="D20" s="29">
        <v>117556</v>
      </c>
      <c r="E20" s="29">
        <v>182046</v>
      </c>
      <c r="F20" s="29">
        <v>5815</v>
      </c>
      <c r="G20" s="29">
        <v>35916</v>
      </c>
      <c r="H20" s="29">
        <v>0</v>
      </c>
      <c r="I20" s="29">
        <v>736</v>
      </c>
      <c r="J20" s="29">
        <v>12838</v>
      </c>
      <c r="K20" s="29">
        <v>4524</v>
      </c>
      <c r="L20" s="29">
        <v>1350883</v>
      </c>
      <c r="M20" s="29">
        <v>80028</v>
      </c>
      <c r="N20" s="30">
        <f t="shared" si="0"/>
        <v>3757513</v>
      </c>
      <c r="O20" s="29">
        <v>64919</v>
      </c>
      <c r="P20" s="30">
        <f t="shared" si="1"/>
        <v>3822432</v>
      </c>
    </row>
    <row r="21" spans="1:16" ht="15" customHeight="1">
      <c r="A21" s="11" t="s">
        <v>46</v>
      </c>
      <c r="B21" s="12" t="s">
        <v>47</v>
      </c>
      <c r="C21" s="29">
        <v>0</v>
      </c>
      <c r="D21" s="29">
        <v>16376</v>
      </c>
      <c r="E21" s="29">
        <v>149</v>
      </c>
      <c r="F21" s="29">
        <v>0</v>
      </c>
      <c r="G21" s="29">
        <v>55</v>
      </c>
      <c r="H21" s="29">
        <v>0</v>
      </c>
      <c r="I21" s="29">
        <v>1059</v>
      </c>
      <c r="J21" s="29">
        <v>1118</v>
      </c>
      <c r="K21" s="29">
        <v>18372</v>
      </c>
      <c r="L21" s="29">
        <v>262898</v>
      </c>
      <c r="M21" s="29">
        <v>5556</v>
      </c>
      <c r="N21" s="30">
        <f t="shared" si="0"/>
        <v>305583</v>
      </c>
      <c r="O21" s="29">
        <v>11490</v>
      </c>
      <c r="P21" s="30">
        <f t="shared" si="1"/>
        <v>317073</v>
      </c>
    </row>
    <row r="22" spans="1:16" ht="15" customHeight="1">
      <c r="A22" s="13" t="s">
        <v>48</v>
      </c>
      <c r="B22" s="14" t="s">
        <v>49</v>
      </c>
      <c r="C22" s="29">
        <v>0</v>
      </c>
      <c r="D22" s="29">
        <v>92</v>
      </c>
      <c r="E22" s="29">
        <v>0</v>
      </c>
      <c r="F22" s="29">
        <v>0</v>
      </c>
      <c r="G22" s="29">
        <v>0</v>
      </c>
      <c r="H22" s="29">
        <v>0</v>
      </c>
      <c r="I22" s="29">
        <v>2755</v>
      </c>
      <c r="J22" s="29">
        <v>0</v>
      </c>
      <c r="K22" s="29">
        <v>0</v>
      </c>
      <c r="L22" s="29">
        <v>0</v>
      </c>
      <c r="M22" s="29">
        <v>20</v>
      </c>
      <c r="N22" s="30">
        <f t="shared" si="0"/>
        <v>2867</v>
      </c>
      <c r="O22" s="29">
        <v>0</v>
      </c>
      <c r="P22" s="30">
        <f t="shared" si="1"/>
        <v>2867</v>
      </c>
    </row>
    <row r="23" spans="1:16" ht="15" customHeight="1">
      <c r="A23" s="11" t="s">
        <v>50</v>
      </c>
      <c r="B23" s="15" t="s">
        <v>51</v>
      </c>
      <c r="C23" s="29">
        <v>0</v>
      </c>
      <c r="D23" s="29">
        <v>0</v>
      </c>
      <c r="E23" s="29">
        <v>0</v>
      </c>
      <c r="F23" s="29">
        <v>0</v>
      </c>
      <c r="G23" s="29">
        <v>0</v>
      </c>
      <c r="H23" s="29">
        <v>0</v>
      </c>
      <c r="I23" s="29">
        <v>143380</v>
      </c>
      <c r="J23" s="29">
        <v>0</v>
      </c>
      <c r="K23" s="29">
        <v>0</v>
      </c>
      <c r="L23" s="29">
        <v>1248</v>
      </c>
      <c r="M23" s="29">
        <v>320</v>
      </c>
      <c r="N23" s="30">
        <f t="shared" si="0"/>
        <v>144948</v>
      </c>
      <c r="O23" s="29">
        <v>209731</v>
      </c>
      <c r="P23" s="30">
        <f t="shared" si="1"/>
        <v>354679</v>
      </c>
    </row>
    <row r="24" spans="1:16" ht="15" customHeight="1">
      <c r="A24" s="11" t="s">
        <v>52</v>
      </c>
      <c r="B24" s="12" t="s">
        <v>53</v>
      </c>
      <c r="C24" s="29">
        <v>0</v>
      </c>
      <c r="D24" s="29">
        <v>3764</v>
      </c>
      <c r="E24" s="29">
        <v>210</v>
      </c>
      <c r="F24" s="29">
        <v>0</v>
      </c>
      <c r="G24" s="29">
        <v>0</v>
      </c>
      <c r="H24" s="29">
        <v>0</v>
      </c>
      <c r="I24" s="29">
        <v>0</v>
      </c>
      <c r="J24" s="29">
        <v>2103</v>
      </c>
      <c r="K24" s="29">
        <v>241</v>
      </c>
      <c r="L24" s="29">
        <v>62171</v>
      </c>
      <c r="M24" s="29">
        <v>29044</v>
      </c>
      <c r="N24" s="30">
        <f t="shared" si="0"/>
        <v>97533</v>
      </c>
      <c r="O24" s="29">
        <v>123644</v>
      </c>
      <c r="P24" s="30">
        <f t="shared" si="1"/>
        <v>221177</v>
      </c>
    </row>
    <row r="25" spans="1:16" ht="15" customHeight="1">
      <c r="A25" s="11" t="s">
        <v>54</v>
      </c>
      <c r="B25" s="12" t="s">
        <v>55</v>
      </c>
      <c r="C25" s="29">
        <v>337</v>
      </c>
      <c r="D25" s="29">
        <v>12346</v>
      </c>
      <c r="E25" s="29">
        <v>1178</v>
      </c>
      <c r="F25" s="29">
        <v>91</v>
      </c>
      <c r="G25" s="29">
        <v>359</v>
      </c>
      <c r="H25" s="29">
        <v>4</v>
      </c>
      <c r="I25" s="29">
        <v>126</v>
      </c>
      <c r="J25" s="29">
        <v>4021</v>
      </c>
      <c r="K25" s="29">
        <v>74</v>
      </c>
      <c r="L25" s="29">
        <v>11245</v>
      </c>
      <c r="M25" s="29">
        <v>865</v>
      </c>
      <c r="N25" s="30">
        <f t="shared" si="0"/>
        <v>30646</v>
      </c>
      <c r="O25" s="29">
        <v>4503</v>
      </c>
      <c r="P25" s="30">
        <f t="shared" si="1"/>
        <v>35149</v>
      </c>
    </row>
    <row r="26" spans="1:16" ht="15" customHeight="1">
      <c r="A26" s="11" t="s">
        <v>56</v>
      </c>
      <c r="B26" s="12" t="s">
        <v>57</v>
      </c>
      <c r="C26" s="29">
        <v>9</v>
      </c>
      <c r="D26" s="29">
        <v>6380</v>
      </c>
      <c r="E26" s="29">
        <v>290</v>
      </c>
      <c r="F26" s="29">
        <v>4</v>
      </c>
      <c r="G26" s="29">
        <v>144</v>
      </c>
      <c r="H26" s="29">
        <v>90</v>
      </c>
      <c r="I26" s="29">
        <v>73</v>
      </c>
      <c r="J26" s="29">
        <v>16847</v>
      </c>
      <c r="K26" s="29">
        <v>11</v>
      </c>
      <c r="L26" s="29">
        <v>6179</v>
      </c>
      <c r="M26" s="29">
        <v>1332</v>
      </c>
      <c r="N26" s="30">
        <f t="shared" si="0"/>
        <v>31359</v>
      </c>
      <c r="O26" s="29">
        <v>413</v>
      </c>
      <c r="P26" s="30">
        <f t="shared" si="1"/>
        <v>31772</v>
      </c>
    </row>
    <row r="27" spans="1:16" ht="15" customHeight="1">
      <c r="A27" s="11" t="s">
        <v>58</v>
      </c>
      <c r="B27" s="12" t="s">
        <v>59</v>
      </c>
      <c r="C27" s="29">
        <v>0</v>
      </c>
      <c r="D27" s="29">
        <v>66</v>
      </c>
      <c r="E27" s="29">
        <v>2</v>
      </c>
      <c r="F27" s="29">
        <v>1</v>
      </c>
      <c r="G27" s="29">
        <v>0</v>
      </c>
      <c r="H27" s="29">
        <v>0</v>
      </c>
      <c r="I27" s="29">
        <v>0</v>
      </c>
      <c r="J27" s="29">
        <v>621</v>
      </c>
      <c r="K27" s="29">
        <v>0</v>
      </c>
      <c r="L27" s="29">
        <v>31</v>
      </c>
      <c r="M27" s="29">
        <v>397</v>
      </c>
      <c r="N27" s="30">
        <f t="shared" si="0"/>
        <v>1118</v>
      </c>
      <c r="O27" s="29">
        <v>0</v>
      </c>
      <c r="P27" s="30">
        <f t="shared" si="1"/>
        <v>1118</v>
      </c>
    </row>
    <row r="28" spans="1:16" ht="15" customHeight="1">
      <c r="A28" s="11" t="s">
        <v>60</v>
      </c>
      <c r="B28" s="12" t="s">
        <v>61</v>
      </c>
      <c r="C28" s="29">
        <v>0</v>
      </c>
      <c r="D28" s="29">
        <v>7</v>
      </c>
      <c r="E28" s="29">
        <v>1</v>
      </c>
      <c r="F28" s="29">
        <v>0</v>
      </c>
      <c r="G28" s="29">
        <v>0</v>
      </c>
      <c r="H28" s="29">
        <v>0</v>
      </c>
      <c r="I28" s="29">
        <v>38</v>
      </c>
      <c r="J28" s="29">
        <v>179</v>
      </c>
      <c r="K28" s="29">
        <v>0</v>
      </c>
      <c r="L28" s="29">
        <v>89</v>
      </c>
      <c r="M28" s="29">
        <v>0</v>
      </c>
      <c r="N28" s="30">
        <f t="shared" si="0"/>
        <v>314</v>
      </c>
      <c r="O28" s="29">
        <v>0</v>
      </c>
      <c r="P28" s="30">
        <f t="shared" si="1"/>
        <v>314</v>
      </c>
    </row>
    <row r="29" spans="1:16" ht="15" customHeight="1">
      <c r="A29" s="11" t="s">
        <v>62</v>
      </c>
      <c r="B29" s="12" t="s">
        <v>63</v>
      </c>
      <c r="C29" s="29">
        <v>0</v>
      </c>
      <c r="D29" s="29">
        <v>0</v>
      </c>
      <c r="E29" s="29">
        <v>0</v>
      </c>
      <c r="F29" s="29">
        <v>0</v>
      </c>
      <c r="G29" s="29">
        <v>0</v>
      </c>
      <c r="H29" s="29">
        <v>0</v>
      </c>
      <c r="I29" s="29">
        <v>0</v>
      </c>
      <c r="J29" s="29">
        <v>707</v>
      </c>
      <c r="K29" s="29">
        <v>0</v>
      </c>
      <c r="L29" s="29">
        <v>184</v>
      </c>
      <c r="M29" s="29">
        <v>14703</v>
      </c>
      <c r="N29" s="30">
        <f t="shared" si="0"/>
        <v>15594</v>
      </c>
      <c r="O29" s="29">
        <v>0</v>
      </c>
      <c r="P29" s="30">
        <f t="shared" si="1"/>
        <v>15594</v>
      </c>
    </row>
    <row r="30" spans="1:16" ht="15" customHeight="1">
      <c r="A30" s="11" t="s">
        <v>64</v>
      </c>
      <c r="B30" s="12" t="s">
        <v>65</v>
      </c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30">
        <f t="shared" si="0"/>
        <v>0</v>
      </c>
      <c r="O30" s="29"/>
      <c r="P30" s="30">
        <f t="shared" si="1"/>
        <v>0</v>
      </c>
    </row>
    <row r="31" spans="1:16" ht="15" customHeight="1">
      <c r="A31" s="11" t="s">
        <v>66</v>
      </c>
      <c r="B31" s="12" t="s">
        <v>67</v>
      </c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30">
        <f t="shared" si="0"/>
        <v>0</v>
      </c>
      <c r="O31" s="29"/>
      <c r="P31" s="30">
        <f t="shared" si="1"/>
        <v>0</v>
      </c>
    </row>
    <row r="32" spans="1:16" ht="15" customHeight="1">
      <c r="A32" s="11" t="s">
        <v>68</v>
      </c>
      <c r="B32" s="12" t="s">
        <v>69</v>
      </c>
      <c r="C32" s="29">
        <v>0</v>
      </c>
      <c r="D32" s="29">
        <v>6958</v>
      </c>
      <c r="E32" s="29">
        <v>0</v>
      </c>
      <c r="F32" s="29">
        <v>0</v>
      </c>
      <c r="G32" s="29">
        <v>0</v>
      </c>
      <c r="H32" s="29">
        <v>0</v>
      </c>
      <c r="I32" s="29">
        <v>0</v>
      </c>
      <c r="J32" s="29">
        <v>75967</v>
      </c>
      <c r="K32" s="29">
        <v>0</v>
      </c>
      <c r="L32" s="29">
        <v>45167</v>
      </c>
      <c r="M32" s="29">
        <v>3693</v>
      </c>
      <c r="N32" s="30">
        <f t="shared" si="0"/>
        <v>131785</v>
      </c>
      <c r="O32" s="29">
        <v>0</v>
      </c>
      <c r="P32" s="30">
        <f t="shared" si="1"/>
        <v>131785</v>
      </c>
    </row>
    <row r="33" spans="1:16" ht="15" customHeight="1">
      <c r="A33" s="11" t="s">
        <v>70</v>
      </c>
      <c r="B33" s="15" t="s">
        <v>71</v>
      </c>
      <c r="C33" s="29">
        <v>0</v>
      </c>
      <c r="D33" s="29">
        <v>0</v>
      </c>
      <c r="E33" s="29">
        <v>0</v>
      </c>
      <c r="F33" s="29">
        <v>0</v>
      </c>
      <c r="G33" s="29">
        <v>0</v>
      </c>
      <c r="H33" s="29">
        <v>0</v>
      </c>
      <c r="I33" s="29">
        <v>0</v>
      </c>
      <c r="J33" s="29">
        <v>12398</v>
      </c>
      <c r="K33" s="29">
        <v>0</v>
      </c>
      <c r="L33" s="29">
        <v>0</v>
      </c>
      <c r="M33" s="29">
        <v>0</v>
      </c>
      <c r="N33" s="30">
        <f t="shared" si="0"/>
        <v>12398</v>
      </c>
      <c r="O33" s="29">
        <v>0</v>
      </c>
      <c r="P33" s="30">
        <f t="shared" si="1"/>
        <v>12398</v>
      </c>
    </row>
    <row r="34" spans="1:16" ht="15" customHeight="1">
      <c r="A34" s="11" t="s">
        <v>72</v>
      </c>
      <c r="B34" s="15" t="s">
        <v>73</v>
      </c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30">
        <f t="shared" si="0"/>
        <v>0</v>
      </c>
      <c r="O34" s="29"/>
      <c r="P34" s="30">
        <f t="shared" si="1"/>
        <v>0</v>
      </c>
    </row>
    <row r="35" spans="1:16" ht="15" customHeight="1">
      <c r="A35" s="13" t="s">
        <v>74</v>
      </c>
      <c r="B35" s="14" t="s">
        <v>75</v>
      </c>
      <c r="C35" s="29">
        <v>10</v>
      </c>
      <c r="D35" s="29">
        <v>130</v>
      </c>
      <c r="E35" s="29">
        <v>0</v>
      </c>
      <c r="F35" s="29">
        <v>0</v>
      </c>
      <c r="G35" s="29">
        <v>0</v>
      </c>
      <c r="H35" s="29">
        <v>0</v>
      </c>
      <c r="I35" s="29">
        <v>0</v>
      </c>
      <c r="J35" s="29">
        <v>8494</v>
      </c>
      <c r="K35" s="29">
        <v>0</v>
      </c>
      <c r="L35" s="29">
        <v>300</v>
      </c>
      <c r="M35" s="29">
        <v>0</v>
      </c>
      <c r="N35" s="30">
        <f t="shared" si="0"/>
        <v>8934</v>
      </c>
      <c r="O35" s="29">
        <v>0</v>
      </c>
      <c r="P35" s="30">
        <f t="shared" si="1"/>
        <v>8934</v>
      </c>
    </row>
    <row r="36" spans="1:16" ht="15" customHeight="1">
      <c r="A36" s="11" t="s">
        <v>76</v>
      </c>
      <c r="B36" s="12" t="s">
        <v>77</v>
      </c>
      <c r="C36" s="29">
        <v>0</v>
      </c>
      <c r="D36" s="29">
        <v>0</v>
      </c>
      <c r="E36" s="29">
        <v>0</v>
      </c>
      <c r="F36" s="29">
        <v>0</v>
      </c>
      <c r="G36" s="29">
        <v>0</v>
      </c>
      <c r="H36" s="29">
        <v>0</v>
      </c>
      <c r="I36" s="29">
        <v>0</v>
      </c>
      <c r="J36" s="29">
        <v>43937</v>
      </c>
      <c r="K36" s="29">
        <v>0</v>
      </c>
      <c r="L36" s="29">
        <v>26626</v>
      </c>
      <c r="M36" s="29">
        <v>20798</v>
      </c>
      <c r="N36" s="30">
        <f t="shared" si="0"/>
        <v>91361</v>
      </c>
      <c r="O36" s="29">
        <v>0</v>
      </c>
      <c r="P36" s="30">
        <f t="shared" si="1"/>
        <v>91361</v>
      </c>
    </row>
    <row r="37" spans="1:16" ht="15" customHeight="1">
      <c r="A37" s="11" t="s">
        <v>78</v>
      </c>
      <c r="B37" s="12" t="s">
        <v>79</v>
      </c>
      <c r="C37" s="29">
        <v>0</v>
      </c>
      <c r="D37" s="29">
        <v>0</v>
      </c>
      <c r="E37" s="29">
        <v>0</v>
      </c>
      <c r="F37" s="29">
        <v>0</v>
      </c>
      <c r="G37" s="29">
        <v>0</v>
      </c>
      <c r="H37" s="29">
        <v>0</v>
      </c>
      <c r="I37" s="29">
        <v>0</v>
      </c>
      <c r="J37" s="29">
        <v>6887</v>
      </c>
      <c r="K37" s="29">
        <v>0</v>
      </c>
      <c r="L37" s="29">
        <v>638</v>
      </c>
      <c r="M37" s="29">
        <v>0</v>
      </c>
      <c r="N37" s="30">
        <f t="shared" si="0"/>
        <v>7525</v>
      </c>
      <c r="O37" s="29">
        <v>0</v>
      </c>
      <c r="P37" s="30">
        <f t="shared" si="1"/>
        <v>7525</v>
      </c>
    </row>
    <row r="38" spans="1:16" ht="15" customHeight="1">
      <c r="A38" s="13" t="s">
        <v>80</v>
      </c>
      <c r="B38" s="32" t="s">
        <v>81</v>
      </c>
      <c r="C38" s="29">
        <v>0</v>
      </c>
      <c r="D38" s="29">
        <v>0</v>
      </c>
      <c r="E38" s="29">
        <v>0</v>
      </c>
      <c r="F38" s="29">
        <v>0</v>
      </c>
      <c r="G38" s="29">
        <v>0</v>
      </c>
      <c r="H38" s="29">
        <v>0</v>
      </c>
      <c r="I38" s="29">
        <v>0</v>
      </c>
      <c r="J38" s="29">
        <v>42</v>
      </c>
      <c r="K38" s="29">
        <v>0</v>
      </c>
      <c r="L38" s="29">
        <v>0</v>
      </c>
      <c r="M38" s="29">
        <v>0</v>
      </c>
      <c r="N38" s="30">
        <f t="shared" si="0"/>
        <v>42</v>
      </c>
      <c r="O38" s="29">
        <v>0</v>
      </c>
      <c r="P38" s="30">
        <f t="shared" si="1"/>
        <v>42</v>
      </c>
    </row>
    <row r="39" spans="1:16" ht="15" customHeight="1">
      <c r="A39" s="16" t="s">
        <v>82</v>
      </c>
      <c r="B39" s="17" t="s">
        <v>83</v>
      </c>
      <c r="C39" s="29">
        <v>0</v>
      </c>
      <c r="D39" s="29">
        <v>2</v>
      </c>
      <c r="E39" s="29">
        <v>0</v>
      </c>
      <c r="F39" s="29">
        <v>0</v>
      </c>
      <c r="G39" s="29">
        <v>0</v>
      </c>
      <c r="H39" s="29">
        <v>0</v>
      </c>
      <c r="I39" s="29">
        <v>0</v>
      </c>
      <c r="J39" s="29">
        <v>83</v>
      </c>
      <c r="K39" s="29">
        <v>0</v>
      </c>
      <c r="L39" s="29">
        <v>11392</v>
      </c>
      <c r="M39" s="29">
        <v>0</v>
      </c>
      <c r="N39" s="30">
        <f t="shared" si="0"/>
        <v>11477</v>
      </c>
      <c r="O39" s="29">
        <v>0</v>
      </c>
      <c r="P39" s="30">
        <f t="shared" si="1"/>
        <v>11477</v>
      </c>
    </row>
    <row r="40" spans="1:16" ht="15" customHeight="1">
      <c r="A40" s="13" t="s">
        <v>84</v>
      </c>
      <c r="B40" s="32" t="s">
        <v>85</v>
      </c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30">
        <f t="shared" si="0"/>
        <v>0</v>
      </c>
      <c r="O40" s="29"/>
      <c r="P40" s="30">
        <f t="shared" si="1"/>
        <v>0</v>
      </c>
    </row>
    <row r="41" spans="1:16" ht="15" customHeight="1">
      <c r="A41" s="13" t="s">
        <v>86</v>
      </c>
      <c r="B41" s="32" t="s">
        <v>87</v>
      </c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30">
        <f t="shared" si="0"/>
        <v>0</v>
      </c>
      <c r="O41" s="29"/>
      <c r="P41" s="30">
        <f t="shared" si="1"/>
        <v>0</v>
      </c>
    </row>
    <row r="42" spans="1:16" ht="15" customHeight="1">
      <c r="A42" s="13" t="s">
        <v>88</v>
      </c>
      <c r="B42" s="32" t="s">
        <v>89</v>
      </c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30">
        <f t="shared" si="0"/>
        <v>0</v>
      </c>
      <c r="O42" s="29"/>
      <c r="P42" s="30">
        <f t="shared" si="1"/>
        <v>0</v>
      </c>
    </row>
    <row r="43" spans="1:16" ht="15.75" customHeight="1">
      <c r="A43" s="33" t="s">
        <v>21</v>
      </c>
      <c r="B43" s="34"/>
      <c r="C43" s="31">
        <f t="shared" ref="C43:P43" si="2">SUM(C10:C42)</f>
        <v>2941641</v>
      </c>
      <c r="D43" s="31">
        <f t="shared" si="2"/>
        <v>372389</v>
      </c>
      <c r="E43" s="31">
        <f t="shared" si="2"/>
        <v>188095</v>
      </c>
      <c r="F43" s="31">
        <f t="shared" si="2"/>
        <v>5911</v>
      </c>
      <c r="G43" s="31">
        <f t="shared" si="2"/>
        <v>36474</v>
      </c>
      <c r="H43" s="31">
        <f t="shared" si="2"/>
        <v>504963</v>
      </c>
      <c r="I43" s="31">
        <f t="shared" si="2"/>
        <v>148167</v>
      </c>
      <c r="J43" s="31">
        <f t="shared" si="2"/>
        <v>209897</v>
      </c>
      <c r="K43" s="31">
        <f t="shared" si="2"/>
        <v>63278</v>
      </c>
      <c r="L43" s="31">
        <f t="shared" si="2"/>
        <v>2316820</v>
      </c>
      <c r="M43" s="31">
        <f t="shared" si="2"/>
        <v>167599</v>
      </c>
      <c r="N43" s="31">
        <f t="shared" si="2"/>
        <v>6955234</v>
      </c>
      <c r="O43" s="31">
        <f t="shared" si="2"/>
        <v>414700</v>
      </c>
      <c r="P43" s="31">
        <f t="shared" si="2"/>
        <v>7369934</v>
      </c>
    </row>
    <row r="44" spans="1:16" ht="15.75" customHeight="1"/>
  </sheetData>
  <mergeCells count="10">
    <mergeCell ref="A43:B43"/>
    <mergeCell ref="A1:B1"/>
    <mergeCell ref="A2:B2"/>
    <mergeCell ref="K4:P4"/>
    <mergeCell ref="K5:P5"/>
    <mergeCell ref="A6:B6"/>
    <mergeCell ref="K6:P6"/>
    <mergeCell ref="C1:J1"/>
    <mergeCell ref="C3:J3"/>
    <mergeCell ref="C4:J4"/>
  </mergeCells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Mensile</vt:lpstr>
      <vt:lpstr>Aggregato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Bollettino Petrolifero</dc:title>
  <dc:creator>Ministero Sviluppo Economico;alessio</dc:creator>
  <cp:lastModifiedBy>antonello.mariti</cp:lastModifiedBy>
  <dcterms:created xsi:type="dcterms:W3CDTF">2014-06-24T10:36:02Z</dcterms:created>
  <dcterms:modified xsi:type="dcterms:W3CDTF">2017-04-20T14:02:03Z</dcterms:modified>
</cp:coreProperties>
</file>