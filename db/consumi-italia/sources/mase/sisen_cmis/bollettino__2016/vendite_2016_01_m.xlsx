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N10" i="2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P43" i="1" l="1"/>
  <c r="P43" i="2"/>
</calcChain>
</file>

<file path=xl/sharedStrings.xml><?xml version="1.0" encoding="utf-8"?>
<sst xmlns="http://schemas.openxmlformats.org/spreadsheetml/2006/main" count="182" uniqueCount="90">
  <si>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</si>
  <si>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</si>
  <si>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</si>
  <si>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</si>
  <si>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</si>
  <si>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definitivi</t>
  </si>
  <si>
    <t>la materia è espressa in TONNELLATE intere</t>
  </si>
  <si>
    <t>Periodo: gennaio 2016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</si>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</sst>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zoomScale="85" workbookViewId="0">
      <selection activeCell="B33" sqref="B33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96228</v>
      </c>
      <c r="E10" s="29">
        <v>2184</v>
      </c>
      <c r="F10" s="29">
        <v>0</v>
      </c>
      <c r="G10" s="29">
        <v>0</v>
      </c>
      <c r="H10" s="29">
        <v>0</v>
      </c>
      <c r="I10" s="29">
        <v>0</v>
      </c>
      <c r="J10" s="29">
        <v>7450</v>
      </c>
      <c r="K10" s="29">
        <v>502</v>
      </c>
      <c r="L10" s="29">
        <v>80326</v>
      </c>
      <c r="M10" s="29">
        <v>633</v>
      </c>
      <c r="N10" s="30">
        <f t="shared" ref="N10:N42" si="0">SUM(C10:M10)</f>
        <v>187323</v>
      </c>
      <c r="O10" s="29">
        <v>0</v>
      </c>
      <c r="P10" s="30">
        <f t="shared" ref="P10:P42" si="1">SUM(N10:O10)</f>
        <v>187323</v>
      </c>
    </row>
    <row r="11" spans="1:16" ht="15" customHeight="1">
      <c r="A11" s="11" t="s">
        <v>26</v>
      </c>
      <c r="B11" s="12" t="s">
        <v>27</v>
      </c>
      <c r="C11" s="29">
        <v>61783</v>
      </c>
      <c r="D11" s="29">
        <v>3781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59714</v>
      </c>
      <c r="M11" s="29">
        <v>818</v>
      </c>
      <c r="N11" s="30">
        <f t="shared" si="0"/>
        <v>126096</v>
      </c>
      <c r="O11" s="29">
        <v>0</v>
      </c>
      <c r="P11" s="30">
        <f t="shared" si="1"/>
        <v>126096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1704</v>
      </c>
      <c r="K12" s="29">
        <v>0</v>
      </c>
      <c r="L12" s="29">
        <v>0</v>
      </c>
      <c r="M12" s="29">
        <v>0</v>
      </c>
      <c r="N12" s="30">
        <f t="shared" si="0"/>
        <v>1704</v>
      </c>
      <c r="O12" s="29">
        <v>0</v>
      </c>
      <c r="P12" s="30">
        <f t="shared" si="1"/>
        <v>1704</v>
      </c>
    </row>
    <row r="13" spans="1:16" ht="15" customHeight="1">
      <c r="A13" s="11" t="s">
        <v>30</v>
      </c>
      <c r="B13" s="12" t="s">
        <v>31</v>
      </c>
      <c r="C13" s="29">
        <v>417679</v>
      </c>
      <c r="D13" s="29">
        <v>1666</v>
      </c>
      <c r="E13" s="29">
        <v>27</v>
      </c>
      <c r="F13" s="29">
        <v>0</v>
      </c>
      <c r="G13" s="29">
        <v>0</v>
      </c>
      <c r="H13" s="29">
        <v>0</v>
      </c>
      <c r="I13" s="29">
        <v>0</v>
      </c>
      <c r="J13" s="29">
        <v>3310</v>
      </c>
      <c r="K13" s="29">
        <v>50</v>
      </c>
      <c r="L13" s="29">
        <v>132247</v>
      </c>
      <c r="M13" s="29">
        <v>3597</v>
      </c>
      <c r="N13" s="30">
        <f t="shared" si="0"/>
        <v>558576</v>
      </c>
      <c r="O13" s="29">
        <v>0</v>
      </c>
      <c r="P13" s="30">
        <f t="shared" si="1"/>
        <v>558576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74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30">
        <f t="shared" si="0"/>
        <v>74</v>
      </c>
      <c r="O14" s="29">
        <v>0</v>
      </c>
      <c r="P14" s="30">
        <f t="shared" si="1"/>
        <v>74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101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101</v>
      </c>
      <c r="O15" s="29">
        <v>0</v>
      </c>
      <c r="P15" s="30">
        <f t="shared" si="1"/>
        <v>101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12</v>
      </c>
      <c r="F16" s="29">
        <v>0</v>
      </c>
      <c r="G16" s="29">
        <v>0</v>
      </c>
      <c r="H16" s="29">
        <v>0</v>
      </c>
      <c r="I16" s="29">
        <v>0</v>
      </c>
      <c r="J16" s="29">
        <v>397</v>
      </c>
      <c r="K16" s="29">
        <v>0</v>
      </c>
      <c r="L16" s="29">
        <v>0</v>
      </c>
      <c r="M16" s="29">
        <v>0</v>
      </c>
      <c r="N16" s="30">
        <f t="shared" si="0"/>
        <v>409</v>
      </c>
      <c r="O16" s="29">
        <v>0</v>
      </c>
      <c r="P16" s="30">
        <f t="shared" si="1"/>
        <v>409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8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4</v>
      </c>
      <c r="K17" s="29">
        <v>0</v>
      </c>
      <c r="L17" s="29">
        <v>585</v>
      </c>
      <c r="M17" s="29">
        <v>0</v>
      </c>
      <c r="N17" s="30">
        <f t="shared" si="0"/>
        <v>597</v>
      </c>
      <c r="O17" s="29">
        <v>0</v>
      </c>
      <c r="P17" s="30">
        <f t="shared" si="1"/>
        <v>597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256662</v>
      </c>
      <c r="I18" s="29">
        <v>0</v>
      </c>
      <c r="J18" s="29">
        <v>0</v>
      </c>
      <c r="K18" s="29">
        <v>12976</v>
      </c>
      <c r="L18" s="29">
        <v>0</v>
      </c>
      <c r="M18" s="29">
        <v>0</v>
      </c>
      <c r="N18" s="30">
        <f t="shared" si="0"/>
        <v>269638</v>
      </c>
      <c r="O18" s="29">
        <v>0</v>
      </c>
      <c r="P18" s="30">
        <f t="shared" si="1"/>
        <v>269638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10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99</v>
      </c>
      <c r="M19" s="29">
        <v>0</v>
      </c>
      <c r="N19" s="30">
        <f t="shared" si="0"/>
        <v>109</v>
      </c>
      <c r="O19" s="29">
        <v>0</v>
      </c>
      <c r="P19" s="30">
        <f t="shared" si="1"/>
        <v>109</v>
      </c>
    </row>
    <row r="20" spans="1:16" ht="15" customHeight="1">
      <c r="A20" s="11" t="s">
        <v>44</v>
      </c>
      <c r="B20" s="12" t="s">
        <v>45</v>
      </c>
      <c r="C20" s="29">
        <v>960964</v>
      </c>
      <c r="D20" s="29">
        <v>57034</v>
      </c>
      <c r="E20" s="29">
        <v>66093</v>
      </c>
      <c r="F20" s="29">
        <v>2622</v>
      </c>
      <c r="G20" s="29">
        <v>17591</v>
      </c>
      <c r="H20" s="29">
        <v>0</v>
      </c>
      <c r="I20" s="29">
        <v>474</v>
      </c>
      <c r="J20" s="29">
        <v>6473</v>
      </c>
      <c r="K20" s="29">
        <v>2205</v>
      </c>
      <c r="L20" s="29">
        <v>657257</v>
      </c>
      <c r="M20" s="29">
        <v>39779</v>
      </c>
      <c r="N20" s="30">
        <f t="shared" si="0"/>
        <v>1810492</v>
      </c>
      <c r="O20" s="29">
        <v>29705</v>
      </c>
      <c r="P20" s="30">
        <f t="shared" si="1"/>
        <v>1840197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9050</v>
      </c>
      <c r="E21" s="29">
        <v>68</v>
      </c>
      <c r="F21" s="29">
        <v>0</v>
      </c>
      <c r="G21" s="29">
        <v>55</v>
      </c>
      <c r="H21" s="29">
        <v>0</v>
      </c>
      <c r="I21" s="29">
        <v>372</v>
      </c>
      <c r="J21" s="29">
        <v>565</v>
      </c>
      <c r="K21" s="29">
        <v>7701</v>
      </c>
      <c r="L21" s="29">
        <v>144661</v>
      </c>
      <c r="M21" s="29">
        <v>2611</v>
      </c>
      <c r="N21" s="30">
        <f t="shared" si="0"/>
        <v>165083</v>
      </c>
      <c r="O21" s="29">
        <v>6331</v>
      </c>
      <c r="P21" s="30">
        <f t="shared" si="1"/>
        <v>171414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61</v>
      </c>
      <c r="E22" s="29">
        <v>0</v>
      </c>
      <c r="F22" s="29">
        <v>0</v>
      </c>
      <c r="G22" s="29">
        <v>0</v>
      </c>
      <c r="H22" s="29">
        <v>0</v>
      </c>
      <c r="I22" s="29">
        <v>1288</v>
      </c>
      <c r="J22" s="29">
        <v>0</v>
      </c>
      <c r="K22" s="29">
        <v>0</v>
      </c>
      <c r="L22" s="29">
        <v>0</v>
      </c>
      <c r="M22" s="29">
        <v>0</v>
      </c>
      <c r="N22" s="30">
        <f t="shared" si="0"/>
        <v>1349</v>
      </c>
      <c r="O22" s="29">
        <v>0</v>
      </c>
      <c r="P22" s="30">
        <f t="shared" si="1"/>
        <v>1349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58427</v>
      </c>
      <c r="J23" s="29">
        <v>0</v>
      </c>
      <c r="K23" s="29">
        <v>0</v>
      </c>
      <c r="L23" s="29">
        <v>503</v>
      </c>
      <c r="M23" s="29">
        <v>320</v>
      </c>
      <c r="N23" s="30">
        <f t="shared" si="0"/>
        <v>59250</v>
      </c>
      <c r="O23" s="29">
        <v>104030</v>
      </c>
      <c r="P23" s="30">
        <f t="shared" si="1"/>
        <v>163280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2248</v>
      </c>
      <c r="E24" s="29">
        <v>75</v>
      </c>
      <c r="F24" s="29">
        <v>0</v>
      </c>
      <c r="G24" s="29">
        <v>0</v>
      </c>
      <c r="H24" s="29">
        <v>0</v>
      </c>
      <c r="I24" s="29">
        <v>0</v>
      </c>
      <c r="J24" s="29">
        <v>1061</v>
      </c>
      <c r="K24" s="29">
        <v>46</v>
      </c>
      <c r="L24" s="29">
        <v>30925</v>
      </c>
      <c r="M24" s="29">
        <v>15601</v>
      </c>
      <c r="N24" s="30">
        <f t="shared" si="0"/>
        <v>49956</v>
      </c>
      <c r="O24" s="29">
        <v>62915</v>
      </c>
      <c r="P24" s="30">
        <f t="shared" si="1"/>
        <v>112871</v>
      </c>
    </row>
    <row r="25" spans="1:16" ht="15" customHeight="1">
      <c r="A25" s="11" t="s">
        <v>54</v>
      </c>
      <c r="B25" s="12" t="s">
        <v>55</v>
      </c>
      <c r="C25" s="29">
        <v>237</v>
      </c>
      <c r="D25" s="29">
        <v>5696</v>
      </c>
      <c r="E25" s="29">
        <v>517</v>
      </c>
      <c r="F25" s="29">
        <v>10</v>
      </c>
      <c r="G25" s="29">
        <v>185</v>
      </c>
      <c r="H25" s="29">
        <v>4</v>
      </c>
      <c r="I25" s="29">
        <v>64</v>
      </c>
      <c r="J25" s="29">
        <v>1838</v>
      </c>
      <c r="K25" s="29">
        <v>38</v>
      </c>
      <c r="L25" s="29">
        <v>5180</v>
      </c>
      <c r="M25" s="29">
        <v>418</v>
      </c>
      <c r="N25" s="30">
        <f t="shared" si="0"/>
        <v>14187</v>
      </c>
      <c r="O25" s="29">
        <v>2061</v>
      </c>
      <c r="P25" s="30">
        <f t="shared" si="1"/>
        <v>16248</v>
      </c>
    </row>
    <row r="26" spans="1:16" ht="15" customHeight="1">
      <c r="A26" s="11" t="s">
        <v>56</v>
      </c>
      <c r="B26" s="12" t="s">
        <v>57</v>
      </c>
      <c r="C26" s="29">
        <v>4</v>
      </c>
      <c r="D26" s="29">
        <v>2865</v>
      </c>
      <c r="E26" s="29">
        <v>145</v>
      </c>
      <c r="F26" s="29">
        <v>3</v>
      </c>
      <c r="G26" s="29">
        <v>39</v>
      </c>
      <c r="H26" s="29">
        <v>41</v>
      </c>
      <c r="I26" s="29">
        <v>31</v>
      </c>
      <c r="J26" s="29">
        <v>7487</v>
      </c>
      <c r="K26" s="29">
        <v>8</v>
      </c>
      <c r="L26" s="29">
        <v>2902</v>
      </c>
      <c r="M26" s="29">
        <v>411</v>
      </c>
      <c r="N26" s="30">
        <f t="shared" si="0"/>
        <v>13936</v>
      </c>
      <c r="O26" s="29">
        <v>158</v>
      </c>
      <c r="P26" s="30">
        <f t="shared" si="1"/>
        <v>14094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25</v>
      </c>
      <c r="E27" s="29">
        <v>1</v>
      </c>
      <c r="F27" s="29">
        <v>0</v>
      </c>
      <c r="G27" s="29">
        <v>0</v>
      </c>
      <c r="H27" s="29">
        <v>0</v>
      </c>
      <c r="I27" s="29">
        <v>0</v>
      </c>
      <c r="J27" s="29">
        <v>371</v>
      </c>
      <c r="K27" s="29">
        <v>0</v>
      </c>
      <c r="L27" s="29">
        <v>12</v>
      </c>
      <c r="M27" s="29">
        <v>248</v>
      </c>
      <c r="N27" s="30">
        <f t="shared" si="0"/>
        <v>657</v>
      </c>
      <c r="O27" s="29">
        <v>0</v>
      </c>
      <c r="P27" s="30">
        <f t="shared" si="1"/>
        <v>657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5</v>
      </c>
      <c r="E28" s="29">
        <v>0</v>
      </c>
      <c r="F28" s="29">
        <v>0</v>
      </c>
      <c r="G28" s="29">
        <v>0</v>
      </c>
      <c r="H28" s="29">
        <v>0</v>
      </c>
      <c r="I28" s="29">
        <v>26</v>
      </c>
      <c r="J28" s="29">
        <v>51</v>
      </c>
      <c r="K28" s="29">
        <v>0</v>
      </c>
      <c r="L28" s="29">
        <v>43</v>
      </c>
      <c r="M28" s="29">
        <v>0</v>
      </c>
      <c r="N28" s="30">
        <f t="shared" si="0"/>
        <v>125</v>
      </c>
      <c r="O28" s="29">
        <v>0</v>
      </c>
      <c r="P28" s="30">
        <f t="shared" si="1"/>
        <v>125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240</v>
      </c>
      <c r="K29" s="29">
        <v>0</v>
      </c>
      <c r="L29" s="29">
        <v>129</v>
      </c>
      <c r="M29" s="29">
        <v>6839</v>
      </c>
      <c r="N29" s="30">
        <f t="shared" si="0"/>
        <v>7208</v>
      </c>
      <c r="O29" s="29">
        <v>0</v>
      </c>
      <c r="P29" s="30">
        <f t="shared" si="1"/>
        <v>7208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2898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35136</v>
      </c>
      <c r="K32" s="29">
        <v>0</v>
      </c>
      <c r="L32" s="29">
        <v>16475</v>
      </c>
      <c r="M32" s="29">
        <v>1780</v>
      </c>
      <c r="N32" s="30">
        <f t="shared" si="0"/>
        <v>56289</v>
      </c>
      <c r="O32" s="29">
        <v>0</v>
      </c>
      <c r="P32" s="30">
        <f t="shared" si="1"/>
        <v>56289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5083</v>
      </c>
      <c r="K33" s="29">
        <v>0</v>
      </c>
      <c r="L33" s="29">
        <v>0</v>
      </c>
      <c r="M33" s="29">
        <v>0</v>
      </c>
      <c r="N33" s="30">
        <f t="shared" si="0"/>
        <v>5083</v>
      </c>
      <c r="O33" s="29">
        <v>0</v>
      </c>
      <c r="P33" s="30">
        <f t="shared" si="1"/>
        <v>5083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5</v>
      </c>
      <c r="D35" s="29">
        <v>69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4041</v>
      </c>
      <c r="K35" s="29">
        <v>0</v>
      </c>
      <c r="L35" s="29">
        <v>142</v>
      </c>
      <c r="M35" s="29">
        <v>0</v>
      </c>
      <c r="N35" s="30">
        <f t="shared" si="0"/>
        <v>4257</v>
      </c>
      <c r="O35" s="29">
        <v>0</v>
      </c>
      <c r="P35" s="30">
        <f t="shared" si="1"/>
        <v>4257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20152</v>
      </c>
      <c r="K36" s="29">
        <v>0</v>
      </c>
      <c r="L36" s="29">
        <v>14299</v>
      </c>
      <c r="M36" s="29">
        <v>10640</v>
      </c>
      <c r="N36" s="30">
        <f t="shared" si="0"/>
        <v>45091</v>
      </c>
      <c r="O36" s="29">
        <v>0</v>
      </c>
      <c r="P36" s="30">
        <f t="shared" si="1"/>
        <v>45091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2587</v>
      </c>
      <c r="K37" s="29">
        <v>0</v>
      </c>
      <c r="L37" s="29">
        <v>319</v>
      </c>
      <c r="M37" s="29">
        <v>0</v>
      </c>
      <c r="N37" s="30">
        <f t="shared" si="0"/>
        <v>2906</v>
      </c>
      <c r="O37" s="29">
        <v>0</v>
      </c>
      <c r="P37" s="30">
        <f t="shared" si="1"/>
        <v>2906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26</v>
      </c>
      <c r="K38" s="29">
        <v>0</v>
      </c>
      <c r="L38" s="29">
        <v>0</v>
      </c>
      <c r="M38" s="29">
        <v>0</v>
      </c>
      <c r="N38" s="30">
        <f t="shared" si="0"/>
        <v>26</v>
      </c>
      <c r="O38" s="29">
        <v>0</v>
      </c>
      <c r="P38" s="30">
        <f t="shared" si="1"/>
        <v>26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1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30</v>
      </c>
      <c r="K39" s="29">
        <v>0</v>
      </c>
      <c r="L39" s="29">
        <v>6319</v>
      </c>
      <c r="M39" s="29">
        <v>0</v>
      </c>
      <c r="N39" s="30">
        <f t="shared" si="0"/>
        <v>6350</v>
      </c>
      <c r="O39" s="29">
        <v>0</v>
      </c>
      <c r="P39" s="30">
        <f t="shared" si="1"/>
        <v>6350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1440672</v>
      </c>
      <c r="D43" s="31">
        <f t="shared" si="2"/>
        <v>181645</v>
      </c>
      <c r="E43" s="31">
        <f t="shared" si="2"/>
        <v>69122</v>
      </c>
      <c r="F43" s="31">
        <f t="shared" si="2"/>
        <v>2635</v>
      </c>
      <c r="G43" s="31">
        <f t="shared" si="2"/>
        <v>17870</v>
      </c>
      <c r="H43" s="31">
        <f t="shared" si="2"/>
        <v>256882</v>
      </c>
      <c r="I43" s="31">
        <f t="shared" si="2"/>
        <v>60682</v>
      </c>
      <c r="J43" s="31">
        <f t="shared" si="2"/>
        <v>98006</v>
      </c>
      <c r="K43" s="31">
        <f t="shared" si="2"/>
        <v>23526</v>
      </c>
      <c r="L43" s="31">
        <f t="shared" si="2"/>
        <v>1152137</v>
      </c>
      <c r="M43" s="31">
        <f t="shared" si="2"/>
        <v>83695</v>
      </c>
      <c r="N43" s="31">
        <f t="shared" si="2"/>
        <v>3386872</v>
      </c>
      <c r="O43" s="31">
        <f t="shared" si="2"/>
        <v>205200</v>
      </c>
      <c r="P43" s="31">
        <f t="shared" si="2"/>
        <v>3592072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tabSelected="1" zoomScale="80" workbookViewId="0">
      <selection activeCell="B32" sqref="B3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96228</v>
      </c>
      <c r="E10" s="29">
        <v>2184</v>
      </c>
      <c r="F10" s="29">
        <v>0</v>
      </c>
      <c r="G10" s="29">
        <v>0</v>
      </c>
      <c r="H10" s="29">
        <v>0</v>
      </c>
      <c r="I10" s="29">
        <v>0</v>
      </c>
      <c r="J10" s="29">
        <v>7450</v>
      </c>
      <c r="K10" s="29">
        <v>502</v>
      </c>
      <c r="L10" s="29">
        <v>80326</v>
      </c>
      <c r="M10" s="29">
        <v>633</v>
      </c>
      <c r="N10" s="30">
        <f t="shared" ref="N10:N42" si="0">SUM(C10:M10)</f>
        <v>187323</v>
      </c>
      <c r="O10" s="29">
        <v>0</v>
      </c>
      <c r="P10" s="30">
        <f t="shared" ref="P10:P42" si="1">SUM(N10:O10)</f>
        <v>187323</v>
      </c>
    </row>
    <row r="11" spans="1:16" ht="15" customHeight="1">
      <c r="A11" s="11" t="s">
        <v>26</v>
      </c>
      <c r="B11" s="12" t="s">
        <v>27</v>
      </c>
      <c r="C11" s="29">
        <v>61783</v>
      </c>
      <c r="D11" s="29">
        <v>3781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59714</v>
      </c>
      <c r="M11" s="29">
        <v>818</v>
      </c>
      <c r="N11" s="30">
        <f t="shared" si="0"/>
        <v>126096</v>
      </c>
      <c r="O11" s="29">
        <v>0</v>
      </c>
      <c r="P11" s="30">
        <f t="shared" si="1"/>
        <v>126096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1704</v>
      </c>
      <c r="K12" s="29">
        <v>0</v>
      </c>
      <c r="L12" s="29">
        <v>0</v>
      </c>
      <c r="M12" s="29">
        <v>0</v>
      </c>
      <c r="N12" s="30">
        <f t="shared" si="0"/>
        <v>1704</v>
      </c>
      <c r="O12" s="29">
        <v>0</v>
      </c>
      <c r="P12" s="30">
        <f t="shared" si="1"/>
        <v>1704</v>
      </c>
    </row>
    <row r="13" spans="1:16" ht="15" customHeight="1">
      <c r="A13" s="11" t="s">
        <v>30</v>
      </c>
      <c r="B13" s="12" t="s">
        <v>31</v>
      </c>
      <c r="C13" s="29">
        <v>417679</v>
      </c>
      <c r="D13" s="29">
        <v>1666</v>
      </c>
      <c r="E13" s="29">
        <v>27</v>
      </c>
      <c r="F13" s="29">
        <v>0</v>
      </c>
      <c r="G13" s="29">
        <v>0</v>
      </c>
      <c r="H13" s="29">
        <v>0</v>
      </c>
      <c r="I13" s="29">
        <v>0</v>
      </c>
      <c r="J13" s="29">
        <v>3310</v>
      </c>
      <c r="K13" s="29">
        <v>50</v>
      </c>
      <c r="L13" s="29">
        <v>132247</v>
      </c>
      <c r="M13" s="29">
        <v>3597</v>
      </c>
      <c r="N13" s="30">
        <f t="shared" si="0"/>
        <v>558576</v>
      </c>
      <c r="O13" s="29">
        <v>0</v>
      </c>
      <c r="P13" s="30">
        <f t="shared" si="1"/>
        <v>558576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74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30">
        <f t="shared" si="0"/>
        <v>74</v>
      </c>
      <c r="O14" s="29">
        <v>0</v>
      </c>
      <c r="P14" s="30">
        <f t="shared" si="1"/>
        <v>74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101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101</v>
      </c>
      <c r="O15" s="29">
        <v>0</v>
      </c>
      <c r="P15" s="30">
        <f t="shared" si="1"/>
        <v>101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12</v>
      </c>
      <c r="F16" s="29">
        <v>0</v>
      </c>
      <c r="G16" s="29">
        <v>0</v>
      </c>
      <c r="H16" s="29">
        <v>0</v>
      </c>
      <c r="I16" s="29">
        <v>0</v>
      </c>
      <c r="J16" s="29">
        <v>397</v>
      </c>
      <c r="K16" s="29">
        <v>0</v>
      </c>
      <c r="L16" s="29">
        <v>0</v>
      </c>
      <c r="M16" s="29">
        <v>0</v>
      </c>
      <c r="N16" s="30">
        <f t="shared" si="0"/>
        <v>409</v>
      </c>
      <c r="O16" s="29">
        <v>0</v>
      </c>
      <c r="P16" s="30">
        <f t="shared" si="1"/>
        <v>409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8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4</v>
      </c>
      <c r="K17" s="29">
        <v>0</v>
      </c>
      <c r="L17" s="29">
        <v>585</v>
      </c>
      <c r="M17" s="29">
        <v>0</v>
      </c>
      <c r="N17" s="30">
        <f t="shared" si="0"/>
        <v>597</v>
      </c>
      <c r="O17" s="29">
        <v>0</v>
      </c>
      <c r="P17" s="30">
        <f t="shared" si="1"/>
        <v>597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256662</v>
      </c>
      <c r="I18" s="29">
        <v>0</v>
      </c>
      <c r="J18" s="29">
        <v>0</v>
      </c>
      <c r="K18" s="29">
        <v>12976</v>
      </c>
      <c r="L18" s="29">
        <v>0</v>
      </c>
      <c r="M18" s="29">
        <v>0</v>
      </c>
      <c r="N18" s="30">
        <f t="shared" si="0"/>
        <v>269638</v>
      </c>
      <c r="O18" s="29">
        <v>0</v>
      </c>
      <c r="P18" s="30">
        <f t="shared" si="1"/>
        <v>269638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10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99</v>
      </c>
      <c r="M19" s="29">
        <v>0</v>
      </c>
      <c r="N19" s="30">
        <f t="shared" si="0"/>
        <v>109</v>
      </c>
      <c r="O19" s="29">
        <v>0</v>
      </c>
      <c r="P19" s="30">
        <f t="shared" si="1"/>
        <v>109</v>
      </c>
    </row>
    <row r="20" spans="1:16" ht="15" customHeight="1">
      <c r="A20" s="11" t="s">
        <v>44</v>
      </c>
      <c r="B20" s="12" t="s">
        <v>45</v>
      </c>
      <c r="C20" s="29">
        <v>960964</v>
      </c>
      <c r="D20" s="29">
        <v>57034</v>
      </c>
      <c r="E20" s="29">
        <v>66093</v>
      </c>
      <c r="F20" s="29">
        <v>2622</v>
      </c>
      <c r="G20" s="29">
        <v>17591</v>
      </c>
      <c r="H20" s="29">
        <v>0</v>
      </c>
      <c r="I20" s="29">
        <v>474</v>
      </c>
      <c r="J20" s="29">
        <v>6473</v>
      </c>
      <c r="K20" s="29">
        <v>2205</v>
      </c>
      <c r="L20" s="29">
        <v>657257</v>
      </c>
      <c r="M20" s="29">
        <v>39779</v>
      </c>
      <c r="N20" s="30">
        <f t="shared" si="0"/>
        <v>1810492</v>
      </c>
      <c r="O20" s="29">
        <v>29705</v>
      </c>
      <c r="P20" s="30">
        <f t="shared" si="1"/>
        <v>1840197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9050</v>
      </c>
      <c r="E21" s="29">
        <v>68</v>
      </c>
      <c r="F21" s="29">
        <v>0</v>
      </c>
      <c r="G21" s="29">
        <v>55</v>
      </c>
      <c r="H21" s="29">
        <v>0</v>
      </c>
      <c r="I21" s="29">
        <v>372</v>
      </c>
      <c r="J21" s="29">
        <v>565</v>
      </c>
      <c r="K21" s="29">
        <v>7701</v>
      </c>
      <c r="L21" s="29">
        <v>144661</v>
      </c>
      <c r="M21" s="29">
        <v>2611</v>
      </c>
      <c r="N21" s="30">
        <f t="shared" si="0"/>
        <v>165083</v>
      </c>
      <c r="O21" s="29">
        <v>6331</v>
      </c>
      <c r="P21" s="30">
        <f t="shared" si="1"/>
        <v>171414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61</v>
      </c>
      <c r="E22" s="29">
        <v>0</v>
      </c>
      <c r="F22" s="29">
        <v>0</v>
      </c>
      <c r="G22" s="29">
        <v>0</v>
      </c>
      <c r="H22" s="29">
        <v>0</v>
      </c>
      <c r="I22" s="29">
        <v>1288</v>
      </c>
      <c r="J22" s="29">
        <v>0</v>
      </c>
      <c r="K22" s="29">
        <v>0</v>
      </c>
      <c r="L22" s="29">
        <v>0</v>
      </c>
      <c r="M22" s="29">
        <v>0</v>
      </c>
      <c r="N22" s="30">
        <f t="shared" si="0"/>
        <v>1349</v>
      </c>
      <c r="O22" s="29">
        <v>0</v>
      </c>
      <c r="P22" s="30">
        <f t="shared" si="1"/>
        <v>1349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58427</v>
      </c>
      <c r="J23" s="29">
        <v>0</v>
      </c>
      <c r="K23" s="29">
        <v>0</v>
      </c>
      <c r="L23" s="29">
        <v>503</v>
      </c>
      <c r="M23" s="29">
        <v>320</v>
      </c>
      <c r="N23" s="30">
        <f t="shared" si="0"/>
        <v>59250</v>
      </c>
      <c r="O23" s="29">
        <v>104030</v>
      </c>
      <c r="P23" s="30">
        <f t="shared" si="1"/>
        <v>163280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2248</v>
      </c>
      <c r="E24" s="29">
        <v>75</v>
      </c>
      <c r="F24" s="29">
        <v>0</v>
      </c>
      <c r="G24" s="29">
        <v>0</v>
      </c>
      <c r="H24" s="29">
        <v>0</v>
      </c>
      <c r="I24" s="29">
        <v>0</v>
      </c>
      <c r="J24" s="29">
        <v>1061</v>
      </c>
      <c r="K24" s="29">
        <v>46</v>
      </c>
      <c r="L24" s="29">
        <v>30925</v>
      </c>
      <c r="M24" s="29">
        <v>15601</v>
      </c>
      <c r="N24" s="30">
        <f t="shared" si="0"/>
        <v>49956</v>
      </c>
      <c r="O24" s="29">
        <v>62915</v>
      </c>
      <c r="P24" s="30">
        <f t="shared" si="1"/>
        <v>112871</v>
      </c>
    </row>
    <row r="25" spans="1:16" ht="15" customHeight="1">
      <c r="A25" s="11" t="s">
        <v>54</v>
      </c>
      <c r="B25" s="12" t="s">
        <v>55</v>
      </c>
      <c r="C25" s="29">
        <v>237</v>
      </c>
      <c r="D25" s="29">
        <v>5696</v>
      </c>
      <c r="E25" s="29">
        <v>517</v>
      </c>
      <c r="F25" s="29">
        <v>10</v>
      </c>
      <c r="G25" s="29">
        <v>185</v>
      </c>
      <c r="H25" s="29">
        <v>4</v>
      </c>
      <c r="I25" s="29">
        <v>64</v>
      </c>
      <c r="J25" s="29">
        <v>1838</v>
      </c>
      <c r="K25" s="29">
        <v>38</v>
      </c>
      <c r="L25" s="29">
        <v>5180</v>
      </c>
      <c r="M25" s="29">
        <v>418</v>
      </c>
      <c r="N25" s="30">
        <f t="shared" si="0"/>
        <v>14187</v>
      </c>
      <c r="O25" s="29">
        <v>2061</v>
      </c>
      <c r="P25" s="30">
        <f t="shared" si="1"/>
        <v>16248</v>
      </c>
    </row>
    <row r="26" spans="1:16" ht="15" customHeight="1">
      <c r="A26" s="11" t="s">
        <v>56</v>
      </c>
      <c r="B26" s="12" t="s">
        <v>57</v>
      </c>
      <c r="C26" s="29">
        <v>4</v>
      </c>
      <c r="D26" s="29">
        <v>2865</v>
      </c>
      <c r="E26" s="29">
        <v>145</v>
      </c>
      <c r="F26" s="29">
        <v>3</v>
      </c>
      <c r="G26" s="29">
        <v>39</v>
      </c>
      <c r="H26" s="29">
        <v>41</v>
      </c>
      <c r="I26" s="29">
        <v>31</v>
      </c>
      <c r="J26" s="29">
        <v>7487</v>
      </c>
      <c r="K26" s="29">
        <v>8</v>
      </c>
      <c r="L26" s="29">
        <v>2902</v>
      </c>
      <c r="M26" s="29">
        <v>411</v>
      </c>
      <c r="N26" s="30">
        <f t="shared" si="0"/>
        <v>13936</v>
      </c>
      <c r="O26" s="29">
        <v>158</v>
      </c>
      <c r="P26" s="30">
        <f t="shared" si="1"/>
        <v>14094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25</v>
      </c>
      <c r="E27" s="29">
        <v>1</v>
      </c>
      <c r="F27" s="29">
        <v>0</v>
      </c>
      <c r="G27" s="29">
        <v>0</v>
      </c>
      <c r="H27" s="29">
        <v>0</v>
      </c>
      <c r="I27" s="29">
        <v>0</v>
      </c>
      <c r="J27" s="29">
        <v>371</v>
      </c>
      <c r="K27" s="29">
        <v>0</v>
      </c>
      <c r="L27" s="29">
        <v>12</v>
      </c>
      <c r="M27" s="29">
        <v>248</v>
      </c>
      <c r="N27" s="30">
        <f t="shared" si="0"/>
        <v>657</v>
      </c>
      <c r="O27" s="29">
        <v>0</v>
      </c>
      <c r="P27" s="30">
        <f t="shared" si="1"/>
        <v>657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5</v>
      </c>
      <c r="E28" s="29">
        <v>0</v>
      </c>
      <c r="F28" s="29">
        <v>0</v>
      </c>
      <c r="G28" s="29">
        <v>0</v>
      </c>
      <c r="H28" s="29">
        <v>0</v>
      </c>
      <c r="I28" s="29">
        <v>26</v>
      </c>
      <c r="J28" s="29">
        <v>51</v>
      </c>
      <c r="K28" s="29">
        <v>0</v>
      </c>
      <c r="L28" s="29">
        <v>43</v>
      </c>
      <c r="M28" s="29">
        <v>0</v>
      </c>
      <c r="N28" s="30">
        <f t="shared" si="0"/>
        <v>125</v>
      </c>
      <c r="O28" s="29">
        <v>0</v>
      </c>
      <c r="P28" s="30">
        <f t="shared" si="1"/>
        <v>125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240</v>
      </c>
      <c r="K29" s="29">
        <v>0</v>
      </c>
      <c r="L29" s="29">
        <v>129</v>
      </c>
      <c r="M29" s="29">
        <v>6839</v>
      </c>
      <c r="N29" s="30">
        <f t="shared" si="0"/>
        <v>7208</v>
      </c>
      <c r="O29" s="29">
        <v>0</v>
      </c>
      <c r="P29" s="30">
        <f t="shared" si="1"/>
        <v>7208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2898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35136</v>
      </c>
      <c r="K32" s="29">
        <v>0</v>
      </c>
      <c r="L32" s="29">
        <v>16475</v>
      </c>
      <c r="M32" s="29">
        <v>1780</v>
      </c>
      <c r="N32" s="30">
        <f t="shared" si="0"/>
        <v>56289</v>
      </c>
      <c r="O32" s="29">
        <v>0</v>
      </c>
      <c r="P32" s="30">
        <f t="shared" si="1"/>
        <v>56289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5083</v>
      </c>
      <c r="K33" s="29">
        <v>0</v>
      </c>
      <c r="L33" s="29">
        <v>0</v>
      </c>
      <c r="M33" s="29">
        <v>0</v>
      </c>
      <c r="N33" s="30">
        <f t="shared" si="0"/>
        <v>5083</v>
      </c>
      <c r="O33" s="29">
        <v>0</v>
      </c>
      <c r="P33" s="30">
        <f t="shared" si="1"/>
        <v>5083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5</v>
      </c>
      <c r="D35" s="29">
        <v>69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4041</v>
      </c>
      <c r="K35" s="29">
        <v>0</v>
      </c>
      <c r="L35" s="29">
        <v>142</v>
      </c>
      <c r="M35" s="29">
        <v>0</v>
      </c>
      <c r="N35" s="30">
        <f t="shared" si="0"/>
        <v>4257</v>
      </c>
      <c r="O35" s="29">
        <v>0</v>
      </c>
      <c r="P35" s="30">
        <f t="shared" si="1"/>
        <v>4257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20152</v>
      </c>
      <c r="K36" s="29">
        <v>0</v>
      </c>
      <c r="L36" s="29">
        <v>14299</v>
      </c>
      <c r="M36" s="29">
        <v>10640</v>
      </c>
      <c r="N36" s="30">
        <f t="shared" si="0"/>
        <v>45091</v>
      </c>
      <c r="O36" s="29">
        <v>0</v>
      </c>
      <c r="P36" s="30">
        <f t="shared" si="1"/>
        <v>45091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2587</v>
      </c>
      <c r="K37" s="29">
        <v>0</v>
      </c>
      <c r="L37" s="29">
        <v>319</v>
      </c>
      <c r="M37" s="29">
        <v>0</v>
      </c>
      <c r="N37" s="30">
        <f t="shared" si="0"/>
        <v>2906</v>
      </c>
      <c r="O37" s="29">
        <v>0</v>
      </c>
      <c r="P37" s="30">
        <f t="shared" si="1"/>
        <v>2906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26</v>
      </c>
      <c r="K38" s="29">
        <v>0</v>
      </c>
      <c r="L38" s="29">
        <v>0</v>
      </c>
      <c r="M38" s="29">
        <v>0</v>
      </c>
      <c r="N38" s="30">
        <f t="shared" si="0"/>
        <v>26</v>
      </c>
      <c r="O38" s="29">
        <v>0</v>
      </c>
      <c r="P38" s="30">
        <f t="shared" si="1"/>
        <v>26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1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30</v>
      </c>
      <c r="K39" s="29">
        <v>0</v>
      </c>
      <c r="L39" s="29">
        <v>6319</v>
      </c>
      <c r="M39" s="29">
        <v>0</v>
      </c>
      <c r="N39" s="30">
        <f t="shared" si="0"/>
        <v>6350</v>
      </c>
      <c r="O39" s="29">
        <v>0</v>
      </c>
      <c r="P39" s="30">
        <f t="shared" si="1"/>
        <v>6350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1440672</v>
      </c>
      <c r="D43" s="31">
        <f t="shared" si="2"/>
        <v>181645</v>
      </c>
      <c r="E43" s="31">
        <f t="shared" si="2"/>
        <v>69122</v>
      </c>
      <c r="F43" s="31">
        <f t="shared" si="2"/>
        <v>2635</v>
      </c>
      <c r="G43" s="31">
        <f t="shared" si="2"/>
        <v>17870</v>
      </c>
      <c r="H43" s="31">
        <f t="shared" si="2"/>
        <v>256882</v>
      </c>
      <c r="I43" s="31">
        <f t="shared" si="2"/>
        <v>60682</v>
      </c>
      <c r="J43" s="31">
        <f t="shared" si="2"/>
        <v>98006</v>
      </c>
      <c r="K43" s="31">
        <f t="shared" si="2"/>
        <v>23526</v>
      </c>
      <c r="L43" s="31">
        <f t="shared" si="2"/>
        <v>1152137</v>
      </c>
      <c r="M43" s="31">
        <f t="shared" si="2"/>
        <v>83695</v>
      </c>
      <c r="N43" s="31">
        <f t="shared" si="2"/>
        <v>3386872</v>
      </c>
      <c r="O43" s="31">
        <f t="shared" si="2"/>
        <v>205200</v>
      </c>
      <c r="P43" s="31">
        <f t="shared" si="2"/>
        <v>3592072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2017-04-20T13:59:33Z</dcterms:modified>
</cp:coreProperties>
</file>