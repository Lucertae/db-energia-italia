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<sst xmlns="http://schemas.openxmlformats.org/spreadsheetml/2006/main" count="526" uniqueCount="264">
  <si>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</si>
  <si>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</si>
  <si>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</si>
  <si>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</si>
  <si>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</si>
  <si>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</si>
  <si>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</si>
  <si>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maggio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</si>
  <si>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</si>
  <si>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</si>
  <si>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</si>
  <si>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</si>
  <si>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</si>
  <si>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</si>
  <si>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</si>
  <si>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</si>
  <si>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</si>
  <si>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</si>
  <si>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</si>
  <si>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</si>
  <si>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</si>
  <si>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</si>
  <si>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</si>
  <si>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</si>
  <si>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</si>
  <si>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</si>
  <si>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</si>
  <si>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</si>
  <si>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</si>
  <si>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</si>
  <si>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</si>
  <si>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</si>
  <si>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</si>
  <si>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</si>
  <si>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</si>
  <si>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</si>
  <si>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</si>
  <si>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</si>
  <si>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</si>
  <si>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</si>
  <si>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</si>
  <si>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</si>
  <si>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</si>
  <si>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</si>
  <si>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</si>
  <si>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</si>
  <si>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</si>
  <si>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</si>
  <si>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</si>
  <si>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</si>
  <si>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</si>
  <si>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</si>
  <si>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</si>
  <si>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</si>
  <si>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</si>
  <si>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</si>
  <si>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</si>
  <si>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</si>
  <si>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</si>
  <si>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</si>
  <si>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</si>
  <si>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</si>
  <si>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</si>
  <si>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</si>
  <si>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</si>
  <si>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</si>
  <si>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</si>
  <si>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</si>
  <si>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</si>
  <si>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</si>
  <si>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</si>
  <si>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</si>
  <si>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</si>
  <si>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</si>
  <si>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</si>
  <si>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</si>
  <si>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</si>
  <si>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</si>
  <si>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</si>
  <si>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</si>
  <si>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</si>
  <si>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</si>
  <si>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</si>
  <si>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</si>
  <si>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</si>
  <si>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</si>
  <si>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</si>
  <si>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</si>
  <si>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</si>
  <si>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</si>
  <si>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</si>
  <si>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</si>
  <si>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</si>
  <si>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</si>
  <si>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</si>
  <si>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</si>
  <si>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</si>
  <si>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</si>
  <si>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</si>
  <si>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</si>
  <si>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</si>
  <si>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</si>
  <si>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</si>
  <si>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</si>
  <si>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</si>
  <si>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</si>
  <si>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</si>
  <si>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</si>
  <si>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</si>
  <si>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</si>
  <si>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</si>
  <si>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</si>
  <si>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</si>
  <si>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</si>
  <si>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</si>
  <si>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</si>
  <si>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</si>
  <si>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</si>
  <si>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</si>
  <si>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</si>
  <si>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</si>
  <si>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</si>
  <si>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</si>
  <si>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</si>
  <si>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</si>
  <si>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</si>
  <si>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</si>
  <si>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</si>
  <si>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</si>
  <si>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</si>
  <si>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</si>
  <si>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</si>
  <si>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</si>
  <si>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</si>
  <si>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</si>
  <si>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</si>
  <si>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</si>
  <si>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</si>
  <si>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</si>
  <si>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</si>
  <si>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</si>
  <si>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</si>
  <si>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</si>
  <si>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</si>
  <si>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</si>
  <si>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</si>
  <si>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</si>
  <si>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</si>
  <si>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</si>
  <si>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</si>
  <si>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</si>
  <si>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</si>
  <si>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</si>
  <si>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</si>
  <si>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</si>
  <si>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</si>
  <si>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</si>
  <si>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</si>
  <si>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</si>
  <si>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</si>
  <si>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</si>
  <si>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</si>
  <si>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</si>
  <si>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</si>
  <si>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</si>
  <si>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</si>
  <si>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</si>
  <si>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</si>
  <si>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</si>
  <si>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</si>
  <si>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</si>
  <si>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</si>
  <si>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</si>
  <si>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</si>
  <si>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</si>
  <si>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</si>
  <si>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</si>
  <si>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</si>
  <si>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</si>
  <si>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</si>
  <si>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</si>
  <si>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</si>
  <si>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</si>
  <si>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</si>
  <si>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</si>
  <si>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</si>
  <si>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</si>
  <si>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</si>
  <si>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</si>
  <si>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</si>
  <si>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</si>
  <si>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</si>
  <si>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</si>
  <si>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</si>
  <si>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</si>
  <si>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</si>
  <si>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</si>
  <si>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</si>
  <si>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</si>
  <si>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</si>
  <si>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</si>
  <si>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</si>
  <si>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</si>
  <si>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</si>
  <si>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</si>
  <si>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</si>
  <si>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</si>
  <si>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</si>
  <si>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</si>
  <si>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</si>
  <si>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</si>
  <si>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</si>
  <si>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</si>
  <si>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</si>
  <si>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</si>
  <si>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</si>
  <si>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</si>
  <si>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</si>
  <si>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</si>
  <si>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</si>
  <si>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</si>
  <si>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</si>
  <si>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</si>
  <si>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</si>
  <si>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</si>
  <si>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</si>
  <si>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</si>
  <si>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</si>
  <si>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</si>
  <si>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</si>
  <si>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</si>
  <si>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</si>
  <si>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</si>
  <si>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</si>
  <si>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</si>
  <si>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</si>
  <si>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</si>
  <si>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</si>
  <si>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</si>
  <si>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</si>
  <si>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</si>
  <si>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</si>
  <si>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</si>
  <si>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</si>
  <si>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</si>
  <si>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</si>
  <si>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</si>
  <si>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</si>
  <si>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</si>
  <si>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</si>
  <si>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</si>
  <si>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</si>
  <si>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</si>
  <si>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</si>
  <si>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</si>
  <si>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</si>
  <si>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</si>
  <si>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</si>
  <si>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</si>
  <si>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</si>
  <si>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</si>
  <si>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</si>
  <si>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</si>
  <si>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gennaio-maggio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</si>
</sst>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1327</v>
      </c>
      <c r="D15" s="29">
        <v>945</v>
      </c>
      <c r="E15" s="29">
        <v>857</v>
      </c>
      <c r="F15" s="29">
        <v>43</v>
      </c>
      <c r="G15" s="29">
        <v>200</v>
      </c>
      <c r="H15" s="29">
        <v>400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637</v>
      </c>
      <c r="D16" s="30">
        <v>354</v>
      </c>
      <c r="E16" s="30">
        <v>350</v>
      </c>
      <c r="F16" s="30">
        <v>60</v>
      </c>
      <c r="G16" s="30">
        <v>202</v>
      </c>
      <c r="H16" s="30">
        <v>50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392</v>
      </c>
      <c r="D17" s="30">
        <v>256</v>
      </c>
      <c r="E17" s="30">
        <v>256</v>
      </c>
      <c r="F17" s="30">
        <v>46</v>
      </c>
      <c r="G17" s="30">
        <v>83</v>
      </c>
      <c r="H17" s="30">
        <v>68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2789</v>
      </c>
      <c r="D18" s="30">
        <v>1495</v>
      </c>
      <c r="E18" s="30">
        <v>464</v>
      </c>
      <c r="F18" s="30">
        <v>195</v>
      </c>
      <c r="G18" s="30">
        <v>839</v>
      </c>
      <c r="H18" s="30">
        <v>793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1341</v>
      </c>
      <c r="D19" s="30">
        <v>708</v>
      </c>
      <c r="E19" s="30">
        <v>687</v>
      </c>
      <c r="F19" s="30">
        <v>18</v>
      </c>
      <c r="G19" s="30">
        <v>533</v>
      </c>
      <c r="H19" s="30">
        <v>153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6949</v>
      </c>
      <c r="D20" s="30">
        <v>4469</v>
      </c>
      <c r="E20" s="30">
        <v>4169</v>
      </c>
      <c r="F20" s="30">
        <v>349</v>
      </c>
      <c r="G20" s="30">
        <v>1191</v>
      </c>
      <c r="H20" s="30">
        <v>2049</v>
      </c>
      <c r="I20" s="30">
        <v>6</v>
      </c>
    </row>
    <row r="21" spans="1:9" ht="12.75" customHeight="1">
      <c r="A21" s="3" t="s">
        <v>32</v>
      </c>
      <c r="B21" s="4" t="s">
        <v>33</v>
      </c>
      <c r="C21" s="30">
        <v>289</v>
      </c>
      <c r="D21" s="30">
        <v>187</v>
      </c>
      <c r="E21" s="30">
        <v>187</v>
      </c>
      <c r="F21" s="30">
        <v>12</v>
      </c>
      <c r="G21" s="30">
        <v>67</v>
      </c>
      <c r="H21" s="30">
        <v>30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433</v>
      </c>
      <c r="D22" s="30">
        <v>319</v>
      </c>
      <c r="E22" s="30">
        <v>319</v>
      </c>
      <c r="F22" s="30">
        <v>24</v>
      </c>
      <c r="G22" s="30">
        <v>81</v>
      </c>
      <c r="H22" s="30">
        <v>67</v>
      </c>
      <c r="I22" s="30">
        <v>4</v>
      </c>
    </row>
    <row r="23" spans="1:9" ht="12.75" customHeight="1">
      <c r="A23" s="5"/>
      <c r="B23" s="6" t="s">
        <v>36</v>
      </c>
      <c r="C23" s="31">
        <f t="shared" ref="C23:I23" si="0">SUM(C15:C22)</f>
        <v>14157</v>
      </c>
      <c r="D23" s="31">
        <f t="shared" si="0"/>
        <v>8733</v>
      </c>
      <c r="E23" s="31">
        <f t="shared" si="0"/>
        <v>7289</v>
      </c>
      <c r="F23" s="31">
        <f t="shared" si="0"/>
        <v>747</v>
      </c>
      <c r="G23" s="31">
        <f t="shared" si="0"/>
        <v>3196</v>
      </c>
      <c r="H23" s="31">
        <f t="shared" si="0"/>
        <v>3610</v>
      </c>
      <c r="I23" s="31">
        <f t="shared" si="0"/>
        <v>15</v>
      </c>
    </row>
    <row r="24" spans="1:9" ht="14.25" customHeight="1">
      <c r="A24" s="3" t="s">
        <v>37</v>
      </c>
      <c r="B24" s="4" t="s">
        <v>38</v>
      </c>
      <c r="C24" s="32">
        <v>587</v>
      </c>
      <c r="D24" s="32">
        <v>132</v>
      </c>
      <c r="E24" s="32">
        <v>101</v>
      </c>
      <c r="F24" s="32">
        <v>54</v>
      </c>
      <c r="G24" s="32">
        <v>165</v>
      </c>
      <c r="H24" s="32">
        <v>98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587</v>
      </c>
      <c r="D25" s="31">
        <f t="shared" si="1"/>
        <v>132</v>
      </c>
      <c r="E25" s="31">
        <f t="shared" si="1"/>
        <v>101</v>
      </c>
      <c r="F25" s="31">
        <f t="shared" si="1"/>
        <v>54</v>
      </c>
      <c r="G25" s="31">
        <f t="shared" si="1"/>
        <v>165</v>
      </c>
      <c r="H25" s="31">
        <f t="shared" si="1"/>
        <v>98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2226</v>
      </c>
      <c r="D26" s="32">
        <v>1122</v>
      </c>
      <c r="E26" s="32">
        <v>227</v>
      </c>
      <c r="F26" s="32">
        <v>108</v>
      </c>
      <c r="G26" s="32">
        <v>97</v>
      </c>
      <c r="H26" s="32">
        <v>264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704</v>
      </c>
      <c r="D27" s="32">
        <v>72</v>
      </c>
      <c r="E27" s="32">
        <v>72</v>
      </c>
      <c r="F27" s="32">
        <v>117</v>
      </c>
      <c r="G27" s="32">
        <v>346</v>
      </c>
      <c r="H27" s="32">
        <v>26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251</v>
      </c>
      <c r="D28" s="32">
        <v>181</v>
      </c>
      <c r="E28" s="32">
        <v>181</v>
      </c>
      <c r="F28" s="32">
        <v>8</v>
      </c>
      <c r="G28" s="32">
        <v>17</v>
      </c>
      <c r="H28" s="32">
        <v>41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384</v>
      </c>
      <c r="D29" s="32">
        <v>49</v>
      </c>
      <c r="E29" s="32">
        <v>49</v>
      </c>
      <c r="F29" s="32">
        <v>44</v>
      </c>
      <c r="G29" s="32">
        <v>212</v>
      </c>
      <c r="H29" s="32">
        <v>105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3565</v>
      </c>
      <c r="D30" s="31">
        <f t="shared" si="2"/>
        <v>1424</v>
      </c>
      <c r="E30" s="31">
        <f t="shared" si="2"/>
        <v>529</v>
      </c>
      <c r="F30" s="31">
        <f t="shared" si="2"/>
        <v>277</v>
      </c>
      <c r="G30" s="31">
        <f t="shared" si="2"/>
        <v>672</v>
      </c>
      <c r="H30" s="31">
        <f t="shared" si="2"/>
        <v>436</v>
      </c>
      <c r="I30" s="31">
        <f t="shared" si="2"/>
        <v>6</v>
      </c>
    </row>
    <row r="31" spans="1:9" ht="12.75" customHeight="1">
      <c r="A31" s="3" t="s">
        <v>49</v>
      </c>
      <c r="B31" s="4" t="s">
        <v>50</v>
      </c>
      <c r="C31" s="32">
        <v>2906</v>
      </c>
      <c r="D31" s="32">
        <v>865</v>
      </c>
      <c r="E31" s="32">
        <v>821</v>
      </c>
      <c r="F31" s="32">
        <v>140</v>
      </c>
      <c r="G31" s="32">
        <v>1651</v>
      </c>
      <c r="H31" s="32">
        <v>760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4855</v>
      </c>
      <c r="D32" s="32">
        <v>3266</v>
      </c>
      <c r="E32" s="32">
        <v>2135</v>
      </c>
      <c r="F32" s="32">
        <v>126</v>
      </c>
      <c r="G32" s="32">
        <v>856</v>
      </c>
      <c r="H32" s="32">
        <v>1676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604</v>
      </c>
      <c r="D33" s="32">
        <v>235</v>
      </c>
      <c r="E33" s="32">
        <v>235</v>
      </c>
      <c r="F33" s="32">
        <v>53</v>
      </c>
      <c r="G33" s="32">
        <v>159</v>
      </c>
      <c r="H33" s="32">
        <v>333</v>
      </c>
      <c r="I33" s="32">
        <v>2</v>
      </c>
    </row>
    <row r="34" spans="1:9" ht="12.75" customHeight="1">
      <c r="A34" s="3" t="s">
        <v>55</v>
      </c>
      <c r="B34" s="4" t="s">
        <v>56</v>
      </c>
      <c r="C34" s="32">
        <v>907</v>
      </c>
      <c r="D34" s="32">
        <v>553</v>
      </c>
      <c r="E34" s="32">
        <v>528</v>
      </c>
      <c r="F34" s="32">
        <v>22</v>
      </c>
      <c r="G34" s="32">
        <v>151</v>
      </c>
      <c r="H34" s="32">
        <v>450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426</v>
      </c>
      <c r="D35" s="32">
        <v>182</v>
      </c>
      <c r="E35" s="32">
        <v>182</v>
      </c>
      <c r="F35" s="32">
        <v>19</v>
      </c>
      <c r="G35" s="32">
        <v>26</v>
      </c>
      <c r="H35" s="32">
        <v>296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317</v>
      </c>
      <c r="D36" s="32">
        <v>220</v>
      </c>
      <c r="E36" s="32">
        <v>220</v>
      </c>
      <c r="F36" s="32">
        <v>8</v>
      </c>
      <c r="G36" s="32">
        <v>29</v>
      </c>
      <c r="H36" s="32">
        <v>370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2948</v>
      </c>
      <c r="D37" s="32">
        <v>2257</v>
      </c>
      <c r="E37" s="32">
        <v>537</v>
      </c>
      <c r="F37" s="32">
        <v>26</v>
      </c>
      <c r="G37" s="32">
        <v>178</v>
      </c>
      <c r="H37" s="32">
        <v>496</v>
      </c>
      <c r="I37" s="32">
        <v>2</v>
      </c>
    </row>
    <row r="38" spans="1:9" ht="12.75" customHeight="1">
      <c r="A38" s="3" t="s">
        <v>63</v>
      </c>
      <c r="B38" s="4" t="s">
        <v>64</v>
      </c>
      <c r="C38" s="32">
        <v>5113</v>
      </c>
      <c r="D38" s="32">
        <v>3914</v>
      </c>
      <c r="E38" s="32">
        <v>2796</v>
      </c>
      <c r="F38" s="32">
        <v>70</v>
      </c>
      <c r="G38" s="32">
        <v>230</v>
      </c>
      <c r="H38" s="32">
        <v>3034</v>
      </c>
      <c r="I38" s="32">
        <v>8</v>
      </c>
    </row>
    <row r="39" spans="1:9" ht="12.75" customHeight="1">
      <c r="A39" s="3" t="s">
        <v>65</v>
      </c>
      <c r="B39" s="4" t="s">
        <v>66</v>
      </c>
      <c r="C39" s="32">
        <v>870</v>
      </c>
      <c r="D39" s="32">
        <v>758</v>
      </c>
      <c r="E39" s="32">
        <v>758</v>
      </c>
      <c r="F39" s="32">
        <v>22</v>
      </c>
      <c r="G39" s="32">
        <v>35</v>
      </c>
      <c r="H39" s="32">
        <v>561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1067</v>
      </c>
      <c r="D40" s="32">
        <v>873</v>
      </c>
      <c r="E40" s="32">
        <v>579</v>
      </c>
      <c r="F40" s="32">
        <v>44</v>
      </c>
      <c r="G40" s="32">
        <v>85</v>
      </c>
      <c r="H40" s="32">
        <v>381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644</v>
      </c>
      <c r="D41" s="32">
        <v>105</v>
      </c>
      <c r="E41" s="32">
        <v>90</v>
      </c>
      <c r="F41" s="32">
        <v>96</v>
      </c>
      <c r="G41" s="32">
        <v>136</v>
      </c>
      <c r="H41" s="32">
        <v>78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891</v>
      </c>
      <c r="D42" s="32">
        <v>669</v>
      </c>
      <c r="E42" s="32">
        <v>475</v>
      </c>
      <c r="F42" s="32">
        <v>48</v>
      </c>
      <c r="G42" s="32">
        <v>124</v>
      </c>
      <c r="H42" s="32">
        <v>301</v>
      </c>
      <c r="I42" s="32">
        <v>2</v>
      </c>
    </row>
    <row r="43" spans="1:9" ht="12.75" customHeight="1">
      <c r="A43" s="5"/>
      <c r="B43" s="6" t="s">
        <v>73</v>
      </c>
      <c r="C43" s="31">
        <f t="shared" ref="C43:I43" si="3">SUM(C31:C42)</f>
        <v>21548</v>
      </c>
      <c r="D43" s="31">
        <f t="shared" si="3"/>
        <v>13897</v>
      </c>
      <c r="E43" s="31">
        <f t="shared" si="3"/>
        <v>9356</v>
      </c>
      <c r="F43" s="31">
        <f t="shared" si="3"/>
        <v>674</v>
      </c>
      <c r="G43" s="31">
        <f t="shared" si="3"/>
        <v>3660</v>
      </c>
      <c r="H43" s="31">
        <f t="shared" si="3"/>
        <v>8736</v>
      </c>
      <c r="I43" s="31">
        <f t="shared" si="3"/>
        <v>23</v>
      </c>
    </row>
    <row r="44" spans="1:9" ht="12.75" customHeight="1">
      <c r="A44" s="3" t="s">
        <v>74</v>
      </c>
      <c r="B44" s="4" t="s">
        <v>75</v>
      </c>
      <c r="C44" s="32">
        <v>1008</v>
      </c>
      <c r="D44" s="32">
        <v>219</v>
      </c>
      <c r="E44" s="32">
        <v>219</v>
      </c>
      <c r="F44" s="32">
        <v>207</v>
      </c>
      <c r="G44" s="32">
        <v>428</v>
      </c>
      <c r="H44" s="32">
        <v>171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1546</v>
      </c>
      <c r="D45" s="32">
        <v>685</v>
      </c>
      <c r="E45" s="32">
        <v>632</v>
      </c>
      <c r="F45" s="32">
        <v>180</v>
      </c>
      <c r="G45" s="32">
        <v>620</v>
      </c>
      <c r="H45" s="32">
        <v>293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2554</v>
      </c>
      <c r="D46" s="31">
        <f t="shared" si="4"/>
        <v>904</v>
      </c>
      <c r="E46" s="31">
        <f t="shared" si="4"/>
        <v>851</v>
      </c>
      <c r="F46" s="31">
        <f t="shared" si="4"/>
        <v>387</v>
      </c>
      <c r="G46" s="31">
        <f t="shared" si="4"/>
        <v>1048</v>
      </c>
      <c r="H46" s="31">
        <f t="shared" si="4"/>
        <v>464</v>
      </c>
      <c r="I46" s="31">
        <f t="shared" si="4"/>
        <v>3</v>
      </c>
    </row>
    <row r="47" spans="1:9" ht="12.75" customHeight="1">
      <c r="A47" s="8" t="s">
        <v>79</v>
      </c>
      <c r="B47" s="4" t="s">
        <v>80</v>
      </c>
      <c r="C47" s="33">
        <v>59</v>
      </c>
      <c r="D47" s="33">
        <v>19</v>
      </c>
      <c r="E47" s="33">
        <v>19</v>
      </c>
      <c r="F47" s="32">
        <v>16</v>
      </c>
      <c r="G47" s="32">
        <v>16</v>
      </c>
      <c r="H47" s="32">
        <v>49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931</v>
      </c>
      <c r="D48" s="33">
        <v>255</v>
      </c>
      <c r="E48" s="33">
        <v>234</v>
      </c>
      <c r="F48" s="32">
        <v>54</v>
      </c>
      <c r="G48" s="32">
        <v>433</v>
      </c>
      <c r="H48" s="32">
        <v>177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114</v>
      </c>
      <c r="D49" s="33">
        <v>19</v>
      </c>
      <c r="E49" s="33">
        <v>0</v>
      </c>
      <c r="F49" s="32">
        <v>22</v>
      </c>
      <c r="G49" s="32">
        <v>27</v>
      </c>
      <c r="H49" s="32">
        <v>53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2889</v>
      </c>
      <c r="D50" s="33">
        <v>424</v>
      </c>
      <c r="E50" s="33">
        <v>171</v>
      </c>
      <c r="F50" s="32">
        <v>287</v>
      </c>
      <c r="G50" s="32">
        <v>2066</v>
      </c>
      <c r="H50" s="32">
        <v>421</v>
      </c>
      <c r="I50" s="32">
        <v>3</v>
      </c>
    </row>
    <row r="51" spans="1:9" ht="12.75" customHeight="1">
      <c r="A51" s="9"/>
      <c r="B51" s="6" t="s">
        <v>87</v>
      </c>
      <c r="C51" s="31">
        <f t="shared" ref="C51:I51" si="5">SUM(C47:C50)</f>
        <v>3993</v>
      </c>
      <c r="D51" s="31">
        <f t="shared" si="5"/>
        <v>717</v>
      </c>
      <c r="E51" s="31">
        <f t="shared" si="5"/>
        <v>424</v>
      </c>
      <c r="F51" s="31">
        <f t="shared" si="5"/>
        <v>379</v>
      </c>
      <c r="G51" s="31">
        <f t="shared" si="5"/>
        <v>2542</v>
      </c>
      <c r="H51" s="31">
        <f t="shared" si="5"/>
        <v>700</v>
      </c>
      <c r="I51" s="31">
        <f t="shared" si="5"/>
        <v>3</v>
      </c>
    </row>
    <row r="52" spans="1:9" ht="12.75" customHeight="1">
      <c r="A52" s="8" t="s">
        <v>88</v>
      </c>
      <c r="B52" s="4" t="s">
        <v>89</v>
      </c>
      <c r="C52" s="33">
        <v>877</v>
      </c>
      <c r="D52" s="33">
        <v>179</v>
      </c>
      <c r="E52" s="33">
        <v>91</v>
      </c>
      <c r="F52" s="32">
        <v>103</v>
      </c>
      <c r="G52" s="32">
        <v>517</v>
      </c>
      <c r="H52" s="32">
        <v>31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3783</v>
      </c>
      <c r="D53" s="33">
        <v>2803</v>
      </c>
      <c r="E53" s="33">
        <v>2084</v>
      </c>
      <c r="F53" s="32">
        <v>110</v>
      </c>
      <c r="G53" s="32">
        <v>512</v>
      </c>
      <c r="H53" s="32">
        <v>482</v>
      </c>
      <c r="I53" s="32">
        <v>2</v>
      </c>
    </row>
    <row r="54" spans="1:9" ht="12.75" customHeight="1">
      <c r="A54" s="8" t="s">
        <v>92</v>
      </c>
      <c r="B54" s="4" t="s">
        <v>93</v>
      </c>
      <c r="C54" s="33">
        <v>851</v>
      </c>
      <c r="D54" s="33">
        <v>585</v>
      </c>
      <c r="E54" s="33">
        <v>185</v>
      </c>
      <c r="F54" s="32">
        <v>37</v>
      </c>
      <c r="G54" s="32">
        <v>110</v>
      </c>
      <c r="H54" s="32">
        <v>375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2186</v>
      </c>
      <c r="D55" s="33">
        <v>1268</v>
      </c>
      <c r="E55" s="33">
        <v>813</v>
      </c>
      <c r="F55" s="32">
        <v>143</v>
      </c>
      <c r="G55" s="32">
        <v>577</v>
      </c>
      <c r="H55" s="32">
        <v>374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3913</v>
      </c>
      <c r="D56" s="33">
        <v>2768</v>
      </c>
      <c r="E56" s="33">
        <v>916</v>
      </c>
      <c r="F56" s="32">
        <v>102</v>
      </c>
      <c r="G56" s="32">
        <v>593</v>
      </c>
      <c r="H56" s="32">
        <v>211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5094</v>
      </c>
      <c r="D57" s="33">
        <v>3431</v>
      </c>
      <c r="E57" s="33">
        <v>1551</v>
      </c>
      <c r="F57" s="32">
        <v>123</v>
      </c>
      <c r="G57" s="32">
        <v>909</v>
      </c>
      <c r="H57" s="32">
        <v>356</v>
      </c>
      <c r="I57" s="32">
        <v>3</v>
      </c>
    </row>
    <row r="58" spans="1:9" ht="12.75" customHeight="1">
      <c r="A58" s="8" t="s">
        <v>100</v>
      </c>
      <c r="B58" s="4" t="s">
        <v>101</v>
      </c>
      <c r="C58" s="33">
        <v>2349</v>
      </c>
      <c r="D58" s="33">
        <v>1514</v>
      </c>
      <c r="E58" s="33">
        <v>1096</v>
      </c>
      <c r="F58" s="32">
        <v>97</v>
      </c>
      <c r="G58" s="32">
        <v>389</v>
      </c>
      <c r="H58" s="32">
        <v>1050</v>
      </c>
      <c r="I58" s="32">
        <v>2</v>
      </c>
    </row>
    <row r="59" spans="1:9" ht="12.75" customHeight="1">
      <c r="A59" s="9"/>
      <c r="B59" s="6" t="s">
        <v>102</v>
      </c>
      <c r="C59" s="31">
        <f t="shared" ref="C59:I59" si="6">SUM(C52:C58)</f>
        <v>19053</v>
      </c>
      <c r="D59" s="31">
        <f t="shared" si="6"/>
        <v>12548</v>
      </c>
      <c r="E59" s="31">
        <f t="shared" si="6"/>
        <v>6736</v>
      </c>
      <c r="F59" s="31">
        <f t="shared" si="6"/>
        <v>715</v>
      </c>
      <c r="G59" s="31">
        <f t="shared" si="6"/>
        <v>3607</v>
      </c>
      <c r="H59" s="31">
        <f t="shared" si="6"/>
        <v>2879</v>
      </c>
      <c r="I59" s="31">
        <f t="shared" si="6"/>
        <v>10</v>
      </c>
    </row>
    <row r="60" spans="1:9" ht="12.75" customHeight="1">
      <c r="A60" s="8" t="s">
        <v>103</v>
      </c>
      <c r="B60" s="4" t="s">
        <v>104</v>
      </c>
      <c r="C60" s="33">
        <v>4027</v>
      </c>
      <c r="D60" s="33">
        <v>3145</v>
      </c>
      <c r="E60" s="33">
        <v>978</v>
      </c>
      <c r="F60" s="32">
        <v>59</v>
      </c>
      <c r="G60" s="32">
        <v>197</v>
      </c>
      <c r="H60" s="32">
        <v>605</v>
      </c>
      <c r="I60" s="32">
        <v>4</v>
      </c>
    </row>
    <row r="61" spans="1:9" ht="12.75" customHeight="1">
      <c r="A61" s="8" t="s">
        <v>105</v>
      </c>
      <c r="B61" s="4" t="s">
        <v>106</v>
      </c>
      <c r="C61" s="33">
        <v>1198</v>
      </c>
      <c r="D61" s="33">
        <v>820</v>
      </c>
      <c r="E61" s="33">
        <v>755</v>
      </c>
      <c r="F61" s="32">
        <v>50</v>
      </c>
      <c r="G61" s="32">
        <v>209</v>
      </c>
      <c r="H61" s="32">
        <v>246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2817</v>
      </c>
      <c r="D62" s="33">
        <v>2090</v>
      </c>
      <c r="E62" s="33">
        <v>660</v>
      </c>
      <c r="F62" s="32">
        <v>92</v>
      </c>
      <c r="G62" s="32">
        <v>526</v>
      </c>
      <c r="H62" s="32">
        <v>650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1767</v>
      </c>
      <c r="D63" s="33">
        <v>1516</v>
      </c>
      <c r="E63" s="33">
        <v>1120</v>
      </c>
      <c r="F63" s="32">
        <v>46</v>
      </c>
      <c r="G63" s="32">
        <v>164</v>
      </c>
      <c r="H63" s="32">
        <v>725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17730</v>
      </c>
      <c r="D64" s="33">
        <v>15416</v>
      </c>
      <c r="E64" s="33">
        <v>673</v>
      </c>
      <c r="F64" s="32">
        <v>28</v>
      </c>
      <c r="G64" s="32">
        <v>750</v>
      </c>
      <c r="H64" s="32">
        <v>309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937</v>
      </c>
      <c r="D65" s="33">
        <v>731</v>
      </c>
      <c r="E65" s="33">
        <v>617</v>
      </c>
      <c r="F65" s="32">
        <v>17</v>
      </c>
      <c r="G65" s="32">
        <v>164</v>
      </c>
      <c r="H65" s="32">
        <v>210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1187</v>
      </c>
      <c r="D66" s="33">
        <v>918</v>
      </c>
      <c r="E66" s="33">
        <v>658</v>
      </c>
      <c r="F66" s="32">
        <v>26</v>
      </c>
      <c r="G66" s="32">
        <v>43</v>
      </c>
      <c r="H66" s="32">
        <v>704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2186</v>
      </c>
      <c r="D67" s="33">
        <v>1765</v>
      </c>
      <c r="E67" s="33">
        <v>773</v>
      </c>
      <c r="F67" s="32">
        <v>40</v>
      </c>
      <c r="G67" s="32">
        <v>149</v>
      </c>
      <c r="H67" s="32">
        <v>406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1750</v>
      </c>
      <c r="D68" s="33">
        <v>1363</v>
      </c>
      <c r="E68" s="33">
        <v>445</v>
      </c>
      <c r="F68" s="32">
        <v>45</v>
      </c>
      <c r="G68" s="32">
        <v>117</v>
      </c>
      <c r="H68" s="32">
        <v>73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33599</v>
      </c>
      <c r="D69" s="31">
        <f t="shared" si="7"/>
        <v>27764</v>
      </c>
      <c r="E69" s="31">
        <f t="shared" si="7"/>
        <v>6679</v>
      </c>
      <c r="F69" s="31">
        <f t="shared" si="7"/>
        <v>403</v>
      </c>
      <c r="G69" s="31">
        <f t="shared" si="7"/>
        <v>2319</v>
      </c>
      <c r="H69" s="31">
        <f t="shared" si="7"/>
        <v>3928</v>
      </c>
      <c r="I69" s="31">
        <f t="shared" si="7"/>
        <v>12</v>
      </c>
    </row>
    <row r="70" spans="1:9" ht="12.75" customHeight="1">
      <c r="A70" s="8" t="s">
        <v>122</v>
      </c>
      <c r="B70" s="4" t="s">
        <v>123</v>
      </c>
      <c r="C70" s="33">
        <v>1625</v>
      </c>
      <c r="D70" s="33">
        <v>1109</v>
      </c>
      <c r="E70" s="33">
        <v>731</v>
      </c>
      <c r="F70" s="32">
        <v>99</v>
      </c>
      <c r="G70" s="32">
        <v>307</v>
      </c>
      <c r="H70" s="32">
        <v>278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3227</v>
      </c>
      <c r="D71" s="33">
        <v>2073</v>
      </c>
      <c r="E71" s="33">
        <v>1822</v>
      </c>
      <c r="F71" s="32">
        <v>137</v>
      </c>
      <c r="G71" s="32">
        <v>333</v>
      </c>
      <c r="H71" s="32">
        <v>337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923</v>
      </c>
      <c r="D72" s="33">
        <v>370</v>
      </c>
      <c r="E72" s="33">
        <v>370</v>
      </c>
      <c r="F72" s="32">
        <v>131</v>
      </c>
      <c r="G72" s="32">
        <v>359</v>
      </c>
      <c r="H72" s="32">
        <v>80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1061</v>
      </c>
      <c r="D73" s="33">
        <v>392</v>
      </c>
      <c r="E73" s="33">
        <v>392</v>
      </c>
      <c r="F73" s="32">
        <v>81</v>
      </c>
      <c r="G73" s="32">
        <v>547</v>
      </c>
      <c r="H73" s="32">
        <v>169</v>
      </c>
      <c r="I73" s="32">
        <v>2</v>
      </c>
    </row>
    <row r="74" spans="1:9" ht="12.75" customHeight="1">
      <c r="A74" s="8" t="s">
        <v>130</v>
      </c>
      <c r="B74" s="4" t="s">
        <v>131</v>
      </c>
      <c r="C74" s="33">
        <v>1110</v>
      </c>
      <c r="D74" s="33">
        <v>570</v>
      </c>
      <c r="E74" s="33">
        <v>520</v>
      </c>
      <c r="F74" s="32">
        <v>68</v>
      </c>
      <c r="G74" s="32">
        <v>190</v>
      </c>
      <c r="H74" s="32">
        <v>283</v>
      </c>
      <c r="I74" s="32">
        <v>2</v>
      </c>
    </row>
    <row r="75" spans="1:9" ht="12.75" customHeight="1">
      <c r="A75" s="8" t="s">
        <v>132</v>
      </c>
      <c r="B75" s="4" t="s">
        <v>133</v>
      </c>
      <c r="C75" s="33">
        <v>451</v>
      </c>
      <c r="D75" s="33">
        <v>154</v>
      </c>
      <c r="E75" s="33">
        <v>133</v>
      </c>
      <c r="F75" s="32">
        <v>58</v>
      </c>
      <c r="G75" s="32">
        <v>81</v>
      </c>
      <c r="H75" s="32">
        <v>1124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1067</v>
      </c>
      <c r="D76" s="33">
        <v>798</v>
      </c>
      <c r="E76" s="33">
        <v>746</v>
      </c>
      <c r="F76" s="32">
        <v>59</v>
      </c>
      <c r="G76" s="32">
        <v>153</v>
      </c>
      <c r="H76" s="32">
        <v>121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1835</v>
      </c>
      <c r="D77" s="33">
        <v>558</v>
      </c>
      <c r="E77" s="33">
        <v>314</v>
      </c>
      <c r="F77" s="32">
        <v>78</v>
      </c>
      <c r="G77" s="32">
        <v>312</v>
      </c>
      <c r="H77" s="32">
        <v>148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335</v>
      </c>
      <c r="D78" s="33">
        <v>265</v>
      </c>
      <c r="E78" s="33">
        <v>265</v>
      </c>
      <c r="F78" s="32">
        <v>31</v>
      </c>
      <c r="G78" s="32">
        <v>25</v>
      </c>
      <c r="H78" s="32">
        <v>38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847</v>
      </c>
      <c r="D79" s="33">
        <v>324</v>
      </c>
      <c r="E79" s="33">
        <v>294</v>
      </c>
      <c r="F79" s="32">
        <v>60</v>
      </c>
      <c r="G79" s="32">
        <v>400</v>
      </c>
      <c r="H79" s="32">
        <v>144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12481</v>
      </c>
      <c r="D80" s="31">
        <f t="shared" si="8"/>
        <v>6613</v>
      </c>
      <c r="E80" s="31">
        <f t="shared" si="8"/>
        <v>5587</v>
      </c>
      <c r="F80" s="31">
        <f t="shared" si="8"/>
        <v>802</v>
      </c>
      <c r="G80" s="31">
        <f t="shared" si="8"/>
        <v>2707</v>
      </c>
      <c r="H80" s="31">
        <f t="shared" si="8"/>
        <v>2722</v>
      </c>
      <c r="I80" s="31">
        <f t="shared" si="8"/>
        <v>15</v>
      </c>
    </row>
    <row r="81" spans="1:9" ht="12.75" customHeight="1">
      <c r="A81" s="10" t="s">
        <v>143</v>
      </c>
      <c r="B81" s="4" t="s">
        <v>144</v>
      </c>
      <c r="C81" s="30">
        <v>2518</v>
      </c>
      <c r="D81" s="30">
        <v>1539</v>
      </c>
      <c r="E81" s="30">
        <v>636</v>
      </c>
      <c r="F81" s="32">
        <v>44</v>
      </c>
      <c r="G81" s="32">
        <v>306</v>
      </c>
      <c r="H81" s="32">
        <v>256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946</v>
      </c>
      <c r="D82" s="30">
        <v>795</v>
      </c>
      <c r="E82" s="30">
        <v>502</v>
      </c>
      <c r="F82" s="32">
        <v>16</v>
      </c>
      <c r="G82" s="32">
        <v>96</v>
      </c>
      <c r="H82" s="32">
        <v>262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232</v>
      </c>
      <c r="D83" s="30">
        <v>64</v>
      </c>
      <c r="E83" s="30">
        <v>61</v>
      </c>
      <c r="F83" s="32">
        <v>16</v>
      </c>
      <c r="G83" s="32">
        <v>62</v>
      </c>
      <c r="H83" s="32">
        <v>19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888</v>
      </c>
      <c r="D84" s="30">
        <v>383</v>
      </c>
      <c r="E84" s="30">
        <v>312</v>
      </c>
      <c r="F84" s="32">
        <v>81</v>
      </c>
      <c r="G84" s="32">
        <v>368</v>
      </c>
      <c r="H84" s="32">
        <v>113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1005</v>
      </c>
      <c r="D85" s="30">
        <v>568</v>
      </c>
      <c r="E85" s="30">
        <v>431</v>
      </c>
      <c r="F85" s="32">
        <v>40</v>
      </c>
      <c r="G85" s="32">
        <v>218</v>
      </c>
      <c r="H85" s="32">
        <v>153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5589</v>
      </c>
      <c r="D86" s="31">
        <f t="shared" si="9"/>
        <v>3349</v>
      </c>
      <c r="E86" s="31">
        <f t="shared" si="9"/>
        <v>1942</v>
      </c>
      <c r="F86" s="31">
        <f t="shared" si="9"/>
        <v>197</v>
      </c>
      <c r="G86" s="31">
        <f t="shared" si="9"/>
        <v>1050</v>
      </c>
      <c r="H86" s="31">
        <f t="shared" si="9"/>
        <v>803</v>
      </c>
      <c r="I86" s="31">
        <f t="shared" si="9"/>
        <v>3</v>
      </c>
    </row>
    <row r="87" spans="1:9" ht="12.75" customHeight="1">
      <c r="A87" s="10" t="s">
        <v>154</v>
      </c>
      <c r="B87" s="4" t="s">
        <v>155</v>
      </c>
      <c r="C87" s="30">
        <v>2646</v>
      </c>
      <c r="D87" s="30">
        <v>1470</v>
      </c>
      <c r="E87" s="30">
        <v>1371</v>
      </c>
      <c r="F87" s="32">
        <v>89</v>
      </c>
      <c r="G87" s="32">
        <v>819</v>
      </c>
      <c r="H87" s="32">
        <v>379</v>
      </c>
      <c r="I87" s="32">
        <v>1</v>
      </c>
    </row>
    <row r="88" spans="1:9" ht="12.75" customHeight="1">
      <c r="A88" s="10" t="s">
        <v>156</v>
      </c>
      <c r="B88" s="4" t="s">
        <v>157</v>
      </c>
      <c r="C88" s="30">
        <v>1482</v>
      </c>
      <c r="D88" s="30">
        <v>757</v>
      </c>
      <c r="E88" s="30">
        <v>732</v>
      </c>
      <c r="F88" s="32">
        <v>39</v>
      </c>
      <c r="G88" s="32">
        <v>224</v>
      </c>
      <c r="H88" s="32">
        <v>277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4128</v>
      </c>
      <c r="D89" s="31">
        <f t="shared" si="10"/>
        <v>2227</v>
      </c>
      <c r="E89" s="31">
        <f t="shared" si="10"/>
        <v>2103</v>
      </c>
      <c r="F89" s="31">
        <f t="shared" si="10"/>
        <v>128</v>
      </c>
      <c r="G89" s="31">
        <f t="shared" si="10"/>
        <v>1043</v>
      </c>
      <c r="H89" s="31">
        <f t="shared" si="10"/>
        <v>656</v>
      </c>
      <c r="I89" s="31">
        <f t="shared" si="10"/>
        <v>1</v>
      </c>
    </row>
    <row r="90" spans="1:9" ht="12.75" customHeight="1">
      <c r="A90" s="10" t="s">
        <v>159</v>
      </c>
      <c r="B90" s="4" t="s">
        <v>160</v>
      </c>
      <c r="C90" s="30">
        <v>4143</v>
      </c>
      <c r="D90" s="30">
        <v>1484</v>
      </c>
      <c r="E90" s="30">
        <v>879</v>
      </c>
      <c r="F90" s="32">
        <v>151</v>
      </c>
      <c r="G90" s="32">
        <v>1366</v>
      </c>
      <c r="H90" s="32">
        <v>207</v>
      </c>
      <c r="I90" s="32">
        <v>2</v>
      </c>
    </row>
    <row r="91" spans="1:9" ht="12.75" customHeight="1">
      <c r="A91" s="10" t="s">
        <v>161</v>
      </c>
      <c r="B91" s="4" t="s">
        <v>162</v>
      </c>
      <c r="C91" s="30">
        <v>2205</v>
      </c>
      <c r="D91" s="30">
        <v>699</v>
      </c>
      <c r="E91" s="30">
        <v>683</v>
      </c>
      <c r="F91" s="32">
        <v>161</v>
      </c>
      <c r="G91" s="32">
        <v>905</v>
      </c>
      <c r="H91" s="32">
        <v>203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752</v>
      </c>
      <c r="D92" s="30">
        <v>378</v>
      </c>
      <c r="E92" s="30">
        <v>378</v>
      </c>
      <c r="F92" s="32">
        <v>53</v>
      </c>
      <c r="G92" s="32">
        <v>291</v>
      </c>
      <c r="H92" s="32">
        <v>19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31625</v>
      </c>
      <c r="D93" s="30">
        <v>23565</v>
      </c>
      <c r="E93" s="30">
        <v>11299</v>
      </c>
      <c r="F93" s="32">
        <v>372</v>
      </c>
      <c r="G93" s="32">
        <v>2731</v>
      </c>
      <c r="H93" s="32">
        <v>1633</v>
      </c>
      <c r="I93" s="32">
        <v>9</v>
      </c>
    </row>
    <row r="94" spans="1:9" ht="12.75" customHeight="1">
      <c r="A94" s="10" t="s">
        <v>167</v>
      </c>
      <c r="B94" s="4" t="s">
        <v>168</v>
      </c>
      <c r="C94" s="30">
        <v>1950</v>
      </c>
      <c r="D94" s="30">
        <v>494</v>
      </c>
      <c r="E94" s="30">
        <v>388</v>
      </c>
      <c r="F94" s="32">
        <v>102</v>
      </c>
      <c r="G94" s="32">
        <v>837</v>
      </c>
      <c r="H94" s="32">
        <v>89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40675</v>
      </c>
      <c r="D95" s="31">
        <f t="shared" si="11"/>
        <v>26620</v>
      </c>
      <c r="E95" s="31">
        <f t="shared" si="11"/>
        <v>13627</v>
      </c>
      <c r="F95" s="31">
        <f t="shared" si="11"/>
        <v>839</v>
      </c>
      <c r="G95" s="31">
        <f t="shared" si="11"/>
        <v>6130</v>
      </c>
      <c r="H95" s="31">
        <f t="shared" si="11"/>
        <v>2151</v>
      </c>
      <c r="I95" s="31">
        <f t="shared" si="11"/>
        <v>12</v>
      </c>
    </row>
    <row r="96" spans="1:9" ht="12.75" customHeight="1">
      <c r="A96" s="10" t="s">
        <v>170</v>
      </c>
      <c r="B96" s="4" t="s">
        <v>171</v>
      </c>
      <c r="C96" s="30">
        <v>499</v>
      </c>
      <c r="D96" s="30">
        <v>345</v>
      </c>
      <c r="E96" s="30">
        <v>345</v>
      </c>
      <c r="F96" s="32">
        <v>14</v>
      </c>
      <c r="G96" s="32">
        <v>121</v>
      </c>
      <c r="H96" s="32">
        <v>331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337</v>
      </c>
      <c r="D97" s="30">
        <v>164</v>
      </c>
      <c r="E97" s="30">
        <v>51</v>
      </c>
      <c r="F97" s="32">
        <v>9</v>
      </c>
      <c r="G97" s="32">
        <v>69</v>
      </c>
      <c r="H97" s="32">
        <v>22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836</v>
      </c>
      <c r="D98" s="31">
        <f t="shared" si="12"/>
        <v>509</v>
      </c>
      <c r="E98" s="31">
        <f t="shared" si="12"/>
        <v>396</v>
      </c>
      <c r="F98" s="31">
        <f t="shared" si="12"/>
        <v>23</v>
      </c>
      <c r="G98" s="31">
        <f t="shared" si="12"/>
        <v>190</v>
      </c>
      <c r="H98" s="31">
        <f t="shared" si="12"/>
        <v>353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1354</v>
      </c>
      <c r="D99" s="30">
        <v>607</v>
      </c>
      <c r="E99" s="30">
        <v>360</v>
      </c>
      <c r="F99" s="32">
        <v>51</v>
      </c>
      <c r="G99" s="32">
        <v>323</v>
      </c>
      <c r="H99" s="32">
        <v>262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698</v>
      </c>
      <c r="D100" s="30">
        <v>458</v>
      </c>
      <c r="E100" s="30">
        <v>322</v>
      </c>
      <c r="F100" s="32">
        <v>26</v>
      </c>
      <c r="G100" s="32">
        <v>195</v>
      </c>
      <c r="H100" s="32">
        <v>105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1600</v>
      </c>
      <c r="D101" s="30">
        <v>938</v>
      </c>
      <c r="E101" s="30">
        <v>253</v>
      </c>
      <c r="F101" s="32">
        <v>96</v>
      </c>
      <c r="G101" s="32">
        <v>338</v>
      </c>
      <c r="H101" s="32">
        <v>174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1055</v>
      </c>
      <c r="D102" s="30">
        <v>639</v>
      </c>
      <c r="E102" s="30">
        <v>563</v>
      </c>
      <c r="F102" s="32">
        <v>47</v>
      </c>
      <c r="G102" s="32">
        <v>330</v>
      </c>
      <c r="H102" s="32">
        <v>99</v>
      </c>
      <c r="I102" s="32">
        <v>2</v>
      </c>
    </row>
    <row r="103" spans="1:9" ht="12.75" customHeight="1">
      <c r="A103" s="11"/>
      <c r="B103" s="6" t="s">
        <v>183</v>
      </c>
      <c r="C103" s="31">
        <f t="shared" ref="C103:I103" si="13">SUM(C99:C102)</f>
        <v>4707</v>
      </c>
      <c r="D103" s="31">
        <f t="shared" si="13"/>
        <v>2642</v>
      </c>
      <c r="E103" s="31">
        <f t="shared" si="13"/>
        <v>1498</v>
      </c>
      <c r="F103" s="31">
        <f t="shared" si="13"/>
        <v>220</v>
      </c>
      <c r="G103" s="31">
        <f t="shared" si="13"/>
        <v>1186</v>
      </c>
      <c r="H103" s="31">
        <f t="shared" si="13"/>
        <v>640</v>
      </c>
      <c r="I103" s="31">
        <f t="shared" si="13"/>
        <v>3</v>
      </c>
    </row>
    <row r="104" spans="1:9" ht="12.75" customHeight="1">
      <c r="A104" s="10" t="s">
        <v>184</v>
      </c>
      <c r="B104" s="4" t="s">
        <v>185</v>
      </c>
      <c r="C104" s="30">
        <v>1022</v>
      </c>
      <c r="D104" s="30">
        <v>504</v>
      </c>
      <c r="E104" s="30">
        <v>118</v>
      </c>
      <c r="F104" s="32">
        <v>39</v>
      </c>
      <c r="G104" s="32">
        <v>226</v>
      </c>
      <c r="H104" s="32">
        <v>387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955</v>
      </c>
      <c r="D105" s="30">
        <v>309</v>
      </c>
      <c r="E105" s="30">
        <v>120</v>
      </c>
      <c r="F105" s="32">
        <v>100</v>
      </c>
      <c r="G105" s="32">
        <v>176</v>
      </c>
      <c r="H105" s="32">
        <v>68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6054</v>
      </c>
      <c r="D106" s="30">
        <v>3181</v>
      </c>
      <c r="E106" s="30">
        <v>896</v>
      </c>
      <c r="F106" s="32">
        <v>218</v>
      </c>
      <c r="G106" s="32">
        <v>679</v>
      </c>
      <c r="H106" s="32">
        <v>254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18799</v>
      </c>
      <c r="D107" s="30">
        <v>12179</v>
      </c>
      <c r="E107" s="30">
        <v>1390</v>
      </c>
      <c r="F107" s="32">
        <v>1147</v>
      </c>
      <c r="G107" s="32">
        <v>1142</v>
      </c>
      <c r="H107" s="32">
        <v>1003</v>
      </c>
      <c r="I107" s="32">
        <v>3</v>
      </c>
    </row>
    <row r="108" spans="1:9" ht="12.75" customHeight="1">
      <c r="A108" s="10" t="s">
        <v>192</v>
      </c>
      <c r="B108" s="4" t="s">
        <v>193</v>
      </c>
      <c r="C108" s="30">
        <v>5578</v>
      </c>
      <c r="D108" s="30">
        <v>1725</v>
      </c>
      <c r="E108" s="30">
        <v>579</v>
      </c>
      <c r="F108" s="32">
        <v>309</v>
      </c>
      <c r="G108" s="32">
        <v>575</v>
      </c>
      <c r="H108" s="32">
        <v>492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32408</v>
      </c>
      <c r="D109" s="31">
        <f t="shared" si="14"/>
        <v>17898</v>
      </c>
      <c r="E109" s="31">
        <f t="shared" si="14"/>
        <v>3103</v>
      </c>
      <c r="F109" s="31">
        <f t="shared" si="14"/>
        <v>1813</v>
      </c>
      <c r="G109" s="31">
        <f t="shared" si="14"/>
        <v>2798</v>
      </c>
      <c r="H109" s="31">
        <f t="shared" si="14"/>
        <v>2204</v>
      </c>
      <c r="I109" s="31">
        <f t="shared" si="14"/>
        <v>7</v>
      </c>
    </row>
    <row r="110" spans="1:9" ht="12.75" customHeight="1">
      <c r="A110" s="3" t="s">
        <v>195</v>
      </c>
      <c r="B110" s="4" t="s">
        <v>196</v>
      </c>
      <c r="C110" s="30">
        <v>3854</v>
      </c>
      <c r="D110" s="30">
        <v>2027</v>
      </c>
      <c r="E110" s="30">
        <v>1081</v>
      </c>
      <c r="F110" s="32">
        <v>292</v>
      </c>
      <c r="G110" s="32">
        <v>812</v>
      </c>
      <c r="H110" s="32">
        <v>504</v>
      </c>
      <c r="I110" s="32">
        <v>2</v>
      </c>
    </row>
    <row r="111" spans="1:9" ht="12.75" customHeight="1">
      <c r="A111" s="3" t="s">
        <v>197</v>
      </c>
      <c r="B111" s="4" t="s">
        <v>198</v>
      </c>
      <c r="C111" s="30">
        <v>421</v>
      </c>
      <c r="D111" s="30">
        <v>237</v>
      </c>
      <c r="E111" s="30">
        <v>237</v>
      </c>
      <c r="F111" s="32">
        <v>31</v>
      </c>
      <c r="G111" s="32">
        <v>137</v>
      </c>
      <c r="H111" s="32">
        <v>20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3071</v>
      </c>
      <c r="D112" s="30">
        <v>2646</v>
      </c>
      <c r="E112" s="30">
        <v>365</v>
      </c>
      <c r="F112" s="32">
        <v>108</v>
      </c>
      <c r="G112" s="32">
        <v>177</v>
      </c>
      <c r="H112" s="32">
        <v>111</v>
      </c>
      <c r="I112" s="32">
        <v>0</v>
      </c>
    </row>
    <row r="113" spans="1:9" ht="12.75" customHeight="1">
      <c r="A113" s="3" t="s">
        <v>201</v>
      </c>
      <c r="B113" s="4" t="s">
        <v>202</v>
      </c>
      <c r="C113" s="30">
        <v>2117</v>
      </c>
      <c r="D113" s="30">
        <v>1191</v>
      </c>
      <c r="E113" s="30">
        <v>346</v>
      </c>
      <c r="F113" s="32">
        <v>161</v>
      </c>
      <c r="G113" s="32">
        <v>493</v>
      </c>
      <c r="H113" s="32">
        <v>507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2854</v>
      </c>
      <c r="D114" s="30">
        <v>1403</v>
      </c>
      <c r="E114" s="30">
        <v>680</v>
      </c>
      <c r="F114" s="32">
        <v>332</v>
      </c>
      <c r="G114" s="32">
        <v>264</v>
      </c>
      <c r="H114" s="32">
        <v>206</v>
      </c>
      <c r="I114" s="32">
        <v>6</v>
      </c>
    </row>
    <row r="115" spans="1:9" ht="12.75" customHeight="1">
      <c r="A115" s="3" t="s">
        <v>205</v>
      </c>
      <c r="B115" s="4" t="s">
        <v>206</v>
      </c>
      <c r="C115" s="30">
        <v>832</v>
      </c>
      <c r="D115" s="30">
        <v>452</v>
      </c>
      <c r="E115" s="30">
        <v>332</v>
      </c>
      <c r="F115" s="32">
        <v>79</v>
      </c>
      <c r="G115" s="32">
        <v>127</v>
      </c>
      <c r="H115" s="32">
        <v>1081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13149</v>
      </c>
      <c r="D116" s="31">
        <f t="shared" si="15"/>
        <v>7956</v>
      </c>
      <c r="E116" s="31">
        <f t="shared" si="15"/>
        <v>3041</v>
      </c>
      <c r="F116" s="31">
        <f t="shared" si="15"/>
        <v>1003</v>
      </c>
      <c r="G116" s="31">
        <f t="shared" si="15"/>
        <v>2010</v>
      </c>
      <c r="H116" s="31">
        <f t="shared" si="15"/>
        <v>2429</v>
      </c>
      <c r="I116" s="31">
        <f t="shared" si="15"/>
        <v>8</v>
      </c>
    </row>
    <row r="117" spans="1:9" ht="12.75" customHeight="1">
      <c r="A117" s="3" t="s">
        <v>208</v>
      </c>
      <c r="B117" s="4" t="s">
        <v>209</v>
      </c>
      <c r="C117" s="30">
        <v>300</v>
      </c>
      <c r="D117" s="30">
        <v>173</v>
      </c>
      <c r="E117" s="30">
        <v>91</v>
      </c>
      <c r="F117" s="32">
        <v>9</v>
      </c>
      <c r="G117" s="32">
        <v>90</v>
      </c>
      <c r="H117" s="32">
        <v>86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1006</v>
      </c>
      <c r="D118" s="34">
        <v>366</v>
      </c>
      <c r="E118" s="30">
        <v>307</v>
      </c>
      <c r="F118" s="32">
        <v>153</v>
      </c>
      <c r="G118" s="32">
        <v>338</v>
      </c>
      <c r="H118" s="32">
        <v>212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1306</v>
      </c>
      <c r="D119" s="31">
        <f t="shared" si="16"/>
        <v>539</v>
      </c>
      <c r="E119" s="31">
        <f t="shared" si="16"/>
        <v>398</v>
      </c>
      <c r="F119" s="31">
        <f t="shared" si="16"/>
        <v>162</v>
      </c>
      <c r="G119" s="31">
        <f t="shared" si="16"/>
        <v>428</v>
      </c>
      <c r="H119" s="31">
        <f t="shared" si="16"/>
        <v>298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1216</v>
      </c>
      <c r="D120" s="30">
        <v>394</v>
      </c>
      <c r="E120" s="30">
        <v>249</v>
      </c>
      <c r="F120" s="32">
        <v>88</v>
      </c>
      <c r="G120" s="32">
        <v>279</v>
      </c>
      <c r="H120" s="32">
        <v>53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2086</v>
      </c>
      <c r="D121" s="30">
        <v>395</v>
      </c>
      <c r="E121" s="30">
        <v>344</v>
      </c>
      <c r="F121" s="32">
        <v>377</v>
      </c>
      <c r="G121" s="32">
        <v>600</v>
      </c>
      <c r="H121" s="32">
        <v>126</v>
      </c>
      <c r="I121" s="32">
        <v>3</v>
      </c>
    </row>
    <row r="122" spans="1:9" ht="12.75" customHeight="1">
      <c r="A122" s="3" t="s">
        <v>217</v>
      </c>
      <c r="B122" s="4" t="s">
        <v>218</v>
      </c>
      <c r="C122" s="30">
        <v>489</v>
      </c>
      <c r="D122" s="30">
        <v>59</v>
      </c>
      <c r="E122" s="30">
        <v>59</v>
      </c>
      <c r="F122" s="32">
        <v>65</v>
      </c>
      <c r="G122" s="32">
        <v>85</v>
      </c>
      <c r="H122" s="32">
        <v>32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1778</v>
      </c>
      <c r="D123" s="30">
        <v>408</v>
      </c>
      <c r="E123" s="30">
        <v>269</v>
      </c>
      <c r="F123" s="32">
        <v>459</v>
      </c>
      <c r="G123" s="32">
        <v>367</v>
      </c>
      <c r="H123" s="32">
        <v>99</v>
      </c>
      <c r="I123" s="32">
        <v>2</v>
      </c>
    </row>
    <row r="124" spans="1:9" ht="12.75" customHeight="1">
      <c r="A124" s="3" t="s">
        <v>221</v>
      </c>
      <c r="B124" s="4" t="s">
        <v>222</v>
      </c>
      <c r="C124" s="30">
        <v>562</v>
      </c>
      <c r="D124" s="30">
        <v>43</v>
      </c>
      <c r="E124" s="30">
        <v>34</v>
      </c>
      <c r="F124" s="32">
        <v>21</v>
      </c>
      <c r="G124" s="32">
        <v>114</v>
      </c>
      <c r="H124" s="32">
        <v>24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6131</v>
      </c>
      <c r="D125" s="31">
        <f t="shared" si="17"/>
        <v>1299</v>
      </c>
      <c r="E125" s="31">
        <f t="shared" si="17"/>
        <v>955</v>
      </c>
      <c r="F125" s="31">
        <f t="shared" si="17"/>
        <v>1010</v>
      </c>
      <c r="G125" s="31">
        <f t="shared" si="17"/>
        <v>1445</v>
      </c>
      <c r="H125" s="31">
        <f t="shared" si="17"/>
        <v>334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696</v>
      </c>
      <c r="D126" s="30">
        <v>96</v>
      </c>
      <c r="E126" s="30">
        <v>13</v>
      </c>
      <c r="F126" s="32">
        <v>295</v>
      </c>
      <c r="G126" s="32">
        <v>180</v>
      </c>
      <c r="H126" s="32">
        <v>119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233</v>
      </c>
      <c r="D127" s="30">
        <v>60</v>
      </c>
      <c r="E127" s="30">
        <v>27</v>
      </c>
      <c r="F127" s="32">
        <v>78</v>
      </c>
      <c r="G127" s="32">
        <v>84</v>
      </c>
      <c r="H127" s="32">
        <v>65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3880</v>
      </c>
      <c r="D128" s="30">
        <v>2208</v>
      </c>
      <c r="E128" s="30">
        <v>313</v>
      </c>
      <c r="F128" s="32">
        <v>993</v>
      </c>
      <c r="G128" s="32">
        <v>229</v>
      </c>
      <c r="H128" s="32">
        <v>162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2571</v>
      </c>
      <c r="D129" s="30">
        <v>927</v>
      </c>
      <c r="E129" s="30">
        <v>108</v>
      </c>
      <c r="F129" s="32">
        <v>36</v>
      </c>
      <c r="G129" s="32">
        <v>27</v>
      </c>
      <c r="H129" s="32">
        <v>40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1553</v>
      </c>
      <c r="D130" s="30">
        <v>882</v>
      </c>
      <c r="E130" s="30">
        <v>714</v>
      </c>
      <c r="F130" s="32">
        <v>320</v>
      </c>
      <c r="G130" s="32">
        <v>262</v>
      </c>
      <c r="H130" s="32">
        <v>150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4433</v>
      </c>
      <c r="D131" s="30">
        <v>2423</v>
      </c>
      <c r="E131" s="30">
        <v>1032</v>
      </c>
      <c r="F131" s="32">
        <v>1153</v>
      </c>
      <c r="G131" s="32">
        <v>435</v>
      </c>
      <c r="H131" s="32">
        <v>141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2237</v>
      </c>
      <c r="D132" s="30">
        <v>1194</v>
      </c>
      <c r="E132" s="30">
        <v>152</v>
      </c>
      <c r="F132" s="32">
        <v>596</v>
      </c>
      <c r="G132" s="32">
        <v>60</v>
      </c>
      <c r="H132" s="32">
        <v>133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2284</v>
      </c>
      <c r="D133" s="30">
        <v>1329</v>
      </c>
      <c r="E133" s="30">
        <v>277</v>
      </c>
      <c r="F133" s="32">
        <v>724</v>
      </c>
      <c r="G133" s="32">
        <v>182</v>
      </c>
      <c r="H133" s="32">
        <v>131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1116</v>
      </c>
      <c r="D134" s="30">
        <v>160</v>
      </c>
      <c r="E134" s="30">
        <v>101</v>
      </c>
      <c r="F134" s="32">
        <v>672</v>
      </c>
      <c r="G134" s="32">
        <v>210</v>
      </c>
      <c r="H134" s="32">
        <v>137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19003</v>
      </c>
      <c r="D135" s="31">
        <f t="shared" si="18"/>
        <v>9279</v>
      </c>
      <c r="E135" s="31">
        <f t="shared" si="18"/>
        <v>2737</v>
      </c>
      <c r="F135" s="31">
        <f t="shared" si="18"/>
        <v>4867</v>
      </c>
      <c r="G135" s="31">
        <f t="shared" si="18"/>
        <v>1669</v>
      </c>
      <c r="H135" s="31">
        <f t="shared" si="18"/>
        <v>1078</v>
      </c>
      <c r="I135" s="31">
        <f t="shared" si="18"/>
        <v>4</v>
      </c>
    </row>
    <row r="136" spans="1:9" ht="12.75" customHeight="1">
      <c r="A136" s="3" t="s">
        <v>243</v>
      </c>
      <c r="B136" s="4" t="s">
        <v>244</v>
      </c>
      <c r="C136" s="30">
        <v>5027</v>
      </c>
      <c r="D136" s="30">
        <v>825</v>
      </c>
      <c r="E136" s="30">
        <v>378</v>
      </c>
      <c r="F136" s="32">
        <v>1921</v>
      </c>
      <c r="G136" s="32">
        <v>532</v>
      </c>
      <c r="H136" s="32">
        <v>485</v>
      </c>
      <c r="I136" s="32">
        <v>1</v>
      </c>
    </row>
    <row r="137" spans="1:9" ht="12.75" customHeight="1">
      <c r="A137" s="3" t="s">
        <v>245</v>
      </c>
      <c r="B137" s="4" t="s">
        <v>246</v>
      </c>
      <c r="C137" s="30">
        <v>596</v>
      </c>
      <c r="D137" s="30">
        <v>37</v>
      </c>
      <c r="E137" s="30">
        <v>37</v>
      </c>
      <c r="F137" s="32">
        <v>121</v>
      </c>
      <c r="G137" s="32">
        <v>381</v>
      </c>
      <c r="H137" s="32">
        <v>3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685</v>
      </c>
      <c r="D138" s="30">
        <v>5</v>
      </c>
      <c r="E138" s="30">
        <v>5</v>
      </c>
      <c r="F138" s="32">
        <v>116</v>
      </c>
      <c r="G138" s="32">
        <v>544</v>
      </c>
      <c r="H138" s="32">
        <v>7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1076</v>
      </c>
      <c r="D139" s="30">
        <v>87</v>
      </c>
      <c r="E139" s="30">
        <v>55</v>
      </c>
      <c r="F139" s="32">
        <v>222</v>
      </c>
      <c r="G139" s="32">
        <v>118</v>
      </c>
      <c r="H139" s="32">
        <v>20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270</v>
      </c>
      <c r="D140" s="30">
        <v>0</v>
      </c>
      <c r="E140" s="30">
        <v>0</v>
      </c>
      <c r="F140" s="32">
        <v>86</v>
      </c>
      <c r="G140" s="32">
        <v>56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833</v>
      </c>
      <c r="D141" s="30">
        <v>31</v>
      </c>
      <c r="E141" s="30">
        <v>31</v>
      </c>
      <c r="F141" s="32">
        <v>172</v>
      </c>
      <c r="G141" s="32">
        <v>373</v>
      </c>
      <c r="H141" s="32">
        <v>16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791</v>
      </c>
      <c r="D142" s="30">
        <v>133</v>
      </c>
      <c r="E142" s="30">
        <v>18</v>
      </c>
      <c r="F142" s="32">
        <v>198</v>
      </c>
      <c r="G142" s="32">
        <v>83</v>
      </c>
      <c r="H142" s="32">
        <v>43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1705</v>
      </c>
      <c r="D143" s="30">
        <v>271</v>
      </c>
      <c r="E143" s="30">
        <v>204</v>
      </c>
      <c r="F143" s="32">
        <v>589</v>
      </c>
      <c r="G143" s="32">
        <v>298</v>
      </c>
      <c r="H143" s="32">
        <v>120</v>
      </c>
      <c r="I143" s="32">
        <v>2</v>
      </c>
    </row>
    <row r="144" spans="1:9" ht="12.75" customHeight="1">
      <c r="A144" s="7"/>
      <c r="B144" s="6" t="s">
        <v>259</v>
      </c>
      <c r="C144" s="35">
        <f t="shared" ref="C144:I144" si="19">SUM(C136:C143)</f>
        <v>10983</v>
      </c>
      <c r="D144" s="35">
        <f t="shared" si="19"/>
        <v>1389</v>
      </c>
      <c r="E144" s="35">
        <f t="shared" si="19"/>
        <v>728</v>
      </c>
      <c r="F144" s="35">
        <f t="shared" si="19"/>
        <v>3425</v>
      </c>
      <c r="G144" s="35">
        <f t="shared" si="19"/>
        <v>2385</v>
      </c>
      <c r="H144" s="35">
        <f t="shared" si="19"/>
        <v>694</v>
      </c>
      <c r="I144" s="35">
        <f t="shared" si="19"/>
        <v>4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250452</v>
      </c>
      <c r="D145" s="32">
        <f t="shared" si="20"/>
        <v>146439</v>
      </c>
      <c r="E145" s="32">
        <f t="shared" si="20"/>
        <v>68080</v>
      </c>
      <c r="F145" s="32">
        <f t="shared" si="20"/>
        <v>18125</v>
      </c>
      <c r="G145" s="32">
        <f t="shared" si="20"/>
        <v>40250</v>
      </c>
      <c r="H145" s="32">
        <f t="shared" si="20"/>
        <v>35213</v>
      </c>
      <c r="I145" s="32">
        <f t="shared" si="20"/>
        <v>139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8239</v>
      </c>
      <c r="D15" s="29">
        <v>4534</v>
      </c>
      <c r="E15" s="29">
        <v>4188</v>
      </c>
      <c r="F15" s="29">
        <v>280</v>
      </c>
      <c r="G15" s="29">
        <v>2368</v>
      </c>
      <c r="H15" s="29">
        <v>1726</v>
      </c>
      <c r="I15" s="29">
        <v>3</v>
      </c>
    </row>
    <row r="16" spans="1:19" ht="12.75" customHeight="1">
      <c r="A16" s="3" t="s">
        <v>22</v>
      </c>
      <c r="B16" s="4" t="s">
        <v>23</v>
      </c>
      <c r="C16" s="30">
        <v>4524</v>
      </c>
      <c r="D16" s="30">
        <v>1670</v>
      </c>
      <c r="E16" s="30">
        <v>1628</v>
      </c>
      <c r="F16" s="30">
        <v>318</v>
      </c>
      <c r="G16" s="30">
        <v>2515</v>
      </c>
      <c r="H16" s="30">
        <v>245</v>
      </c>
      <c r="I16" s="30">
        <v>2</v>
      </c>
    </row>
    <row r="17" spans="1:9" ht="12.75" customHeight="1">
      <c r="A17" s="3" t="s">
        <v>24</v>
      </c>
      <c r="B17" s="4" t="s">
        <v>25</v>
      </c>
      <c r="C17" s="30">
        <v>2191</v>
      </c>
      <c r="D17" s="30">
        <v>1066</v>
      </c>
      <c r="E17" s="30">
        <v>1066</v>
      </c>
      <c r="F17" s="30">
        <v>254</v>
      </c>
      <c r="G17" s="30">
        <v>863</v>
      </c>
      <c r="H17" s="30">
        <v>262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17375</v>
      </c>
      <c r="D18" s="30">
        <v>5986</v>
      </c>
      <c r="E18" s="30">
        <v>2197</v>
      </c>
      <c r="F18" s="30">
        <v>999</v>
      </c>
      <c r="G18" s="30">
        <v>8885</v>
      </c>
      <c r="H18" s="30">
        <v>4020</v>
      </c>
      <c r="I18" s="30">
        <v>2</v>
      </c>
    </row>
    <row r="19" spans="1:9" ht="12.75" customHeight="1">
      <c r="A19" s="3" t="s">
        <v>28</v>
      </c>
      <c r="B19" s="4" t="s">
        <v>29</v>
      </c>
      <c r="C19" s="30">
        <v>8097</v>
      </c>
      <c r="D19" s="30">
        <v>3386</v>
      </c>
      <c r="E19" s="30">
        <v>3232</v>
      </c>
      <c r="F19" s="30">
        <v>100</v>
      </c>
      <c r="G19" s="30">
        <v>3784</v>
      </c>
      <c r="H19" s="30">
        <v>630</v>
      </c>
      <c r="I19" s="30">
        <v>3</v>
      </c>
    </row>
    <row r="20" spans="1:9" ht="12.75" customHeight="1">
      <c r="A20" s="3" t="s">
        <v>30</v>
      </c>
      <c r="B20" s="4" t="s">
        <v>31</v>
      </c>
      <c r="C20" s="30">
        <v>43107</v>
      </c>
      <c r="D20" s="30">
        <v>21655</v>
      </c>
      <c r="E20" s="30">
        <v>20056</v>
      </c>
      <c r="F20" s="30">
        <v>1988</v>
      </c>
      <c r="G20" s="30">
        <v>13644</v>
      </c>
      <c r="H20" s="30">
        <v>9322</v>
      </c>
      <c r="I20" s="30">
        <v>16</v>
      </c>
    </row>
    <row r="21" spans="1:9" ht="12.75" customHeight="1">
      <c r="A21" s="3" t="s">
        <v>32</v>
      </c>
      <c r="B21" s="4" t="s">
        <v>33</v>
      </c>
      <c r="C21" s="30">
        <v>1797</v>
      </c>
      <c r="D21" s="30">
        <v>889</v>
      </c>
      <c r="E21" s="30">
        <v>889</v>
      </c>
      <c r="F21" s="30">
        <v>110</v>
      </c>
      <c r="G21" s="30">
        <v>775</v>
      </c>
      <c r="H21" s="30">
        <v>122</v>
      </c>
      <c r="I21" s="30">
        <v>3</v>
      </c>
    </row>
    <row r="22" spans="1:9" ht="12.75" customHeight="1">
      <c r="A22" s="3" t="s">
        <v>34</v>
      </c>
      <c r="B22" s="4" t="s">
        <v>35</v>
      </c>
      <c r="C22" s="30">
        <v>2631</v>
      </c>
      <c r="D22" s="30">
        <v>1603</v>
      </c>
      <c r="E22" s="30">
        <v>1603</v>
      </c>
      <c r="F22" s="30">
        <v>137</v>
      </c>
      <c r="G22" s="30">
        <v>882</v>
      </c>
      <c r="H22" s="30">
        <v>430</v>
      </c>
      <c r="I22" s="30">
        <v>5</v>
      </c>
    </row>
    <row r="23" spans="1:9" ht="12.75" customHeight="1">
      <c r="A23" s="5"/>
      <c r="B23" s="6" t="s">
        <v>36</v>
      </c>
      <c r="C23" s="31">
        <f t="shared" ref="C23:I23" si="0">SUM(C15:C22)</f>
        <v>87961</v>
      </c>
      <c r="D23" s="31">
        <f t="shared" si="0"/>
        <v>40789</v>
      </c>
      <c r="E23" s="31">
        <f t="shared" si="0"/>
        <v>34859</v>
      </c>
      <c r="F23" s="31">
        <f t="shared" si="0"/>
        <v>4186</v>
      </c>
      <c r="G23" s="31">
        <f t="shared" si="0"/>
        <v>33716</v>
      </c>
      <c r="H23" s="31">
        <f t="shared" si="0"/>
        <v>16757</v>
      </c>
      <c r="I23" s="31">
        <f t="shared" si="0"/>
        <v>34</v>
      </c>
    </row>
    <row r="24" spans="1:9" ht="14.25" customHeight="1">
      <c r="A24" s="3" t="s">
        <v>37</v>
      </c>
      <c r="B24" s="4" t="s">
        <v>38</v>
      </c>
      <c r="C24" s="32">
        <v>4141</v>
      </c>
      <c r="D24" s="32">
        <v>557</v>
      </c>
      <c r="E24" s="32">
        <v>419</v>
      </c>
      <c r="F24" s="32">
        <v>365</v>
      </c>
      <c r="G24" s="32">
        <v>1576</v>
      </c>
      <c r="H24" s="32">
        <v>223</v>
      </c>
      <c r="I24" s="32">
        <v>2</v>
      </c>
    </row>
    <row r="25" spans="1:9" ht="14.25" customHeight="1">
      <c r="A25" s="7"/>
      <c r="B25" s="6" t="s">
        <v>39</v>
      </c>
      <c r="C25" s="31">
        <f t="shared" ref="C25:I25" si="1">SUM(C24)</f>
        <v>4141</v>
      </c>
      <c r="D25" s="31">
        <f t="shared" si="1"/>
        <v>557</v>
      </c>
      <c r="E25" s="31">
        <f t="shared" si="1"/>
        <v>419</v>
      </c>
      <c r="F25" s="31">
        <f t="shared" si="1"/>
        <v>365</v>
      </c>
      <c r="G25" s="31">
        <f t="shared" si="1"/>
        <v>1576</v>
      </c>
      <c r="H25" s="31">
        <f t="shared" si="1"/>
        <v>223</v>
      </c>
      <c r="I25" s="31">
        <f t="shared" si="1"/>
        <v>2</v>
      </c>
    </row>
    <row r="26" spans="1:9" ht="12.75" customHeight="1">
      <c r="A26" s="3" t="s">
        <v>40</v>
      </c>
      <c r="B26" s="4" t="s">
        <v>41</v>
      </c>
      <c r="C26" s="32">
        <v>12262</v>
      </c>
      <c r="D26" s="32">
        <v>6796</v>
      </c>
      <c r="E26" s="32">
        <v>985</v>
      </c>
      <c r="F26" s="32">
        <v>691</v>
      </c>
      <c r="G26" s="32">
        <v>1143</v>
      </c>
      <c r="H26" s="32">
        <v>1440</v>
      </c>
      <c r="I26" s="32">
        <v>8</v>
      </c>
    </row>
    <row r="27" spans="1:9" ht="12.75" customHeight="1">
      <c r="A27" s="3" t="s">
        <v>42</v>
      </c>
      <c r="B27" s="4" t="s">
        <v>43</v>
      </c>
      <c r="C27" s="32">
        <v>6052</v>
      </c>
      <c r="D27" s="32">
        <v>313</v>
      </c>
      <c r="E27" s="32">
        <v>313</v>
      </c>
      <c r="F27" s="32">
        <v>804</v>
      </c>
      <c r="G27" s="32">
        <v>3616</v>
      </c>
      <c r="H27" s="32">
        <v>101</v>
      </c>
      <c r="I27" s="32">
        <v>5</v>
      </c>
    </row>
    <row r="28" spans="1:9" ht="12.75" customHeight="1">
      <c r="A28" s="3" t="s">
        <v>44</v>
      </c>
      <c r="B28" s="4" t="s">
        <v>45</v>
      </c>
      <c r="C28" s="32">
        <v>1314</v>
      </c>
      <c r="D28" s="32">
        <v>825</v>
      </c>
      <c r="E28" s="32">
        <v>825</v>
      </c>
      <c r="F28" s="32">
        <v>57</v>
      </c>
      <c r="G28" s="32">
        <v>176</v>
      </c>
      <c r="H28" s="32">
        <v>264</v>
      </c>
      <c r="I28" s="32">
        <v>4</v>
      </c>
    </row>
    <row r="29" spans="1:9" ht="12.75" customHeight="1">
      <c r="A29" s="3" t="s">
        <v>46</v>
      </c>
      <c r="B29" s="4" t="s">
        <v>47</v>
      </c>
      <c r="C29" s="32">
        <v>3246</v>
      </c>
      <c r="D29" s="32">
        <v>246</v>
      </c>
      <c r="E29" s="32">
        <v>233</v>
      </c>
      <c r="F29" s="32">
        <v>356</v>
      </c>
      <c r="G29" s="32">
        <v>2477</v>
      </c>
      <c r="H29" s="32">
        <v>406</v>
      </c>
      <c r="I29" s="32">
        <v>4</v>
      </c>
    </row>
    <row r="30" spans="1:9" ht="12.75" customHeight="1">
      <c r="A30" s="5"/>
      <c r="B30" s="6" t="s">
        <v>48</v>
      </c>
      <c r="C30" s="31">
        <f t="shared" ref="C30:I30" si="2">SUM(C26:C29)</f>
        <v>22874</v>
      </c>
      <c r="D30" s="31">
        <f t="shared" si="2"/>
        <v>8180</v>
      </c>
      <c r="E30" s="31">
        <f t="shared" si="2"/>
        <v>2356</v>
      </c>
      <c r="F30" s="31">
        <f t="shared" si="2"/>
        <v>1908</v>
      </c>
      <c r="G30" s="31">
        <f t="shared" si="2"/>
        <v>7412</v>
      </c>
      <c r="H30" s="31">
        <f t="shared" si="2"/>
        <v>2211</v>
      </c>
      <c r="I30" s="31">
        <f t="shared" si="2"/>
        <v>21</v>
      </c>
    </row>
    <row r="31" spans="1:9" ht="12.75" customHeight="1">
      <c r="A31" s="3" t="s">
        <v>49</v>
      </c>
      <c r="B31" s="4" t="s">
        <v>50</v>
      </c>
      <c r="C31" s="32">
        <v>17959</v>
      </c>
      <c r="D31" s="32">
        <v>4049</v>
      </c>
      <c r="E31" s="32">
        <v>3828</v>
      </c>
      <c r="F31" s="32">
        <v>669</v>
      </c>
      <c r="G31" s="32">
        <v>11932</v>
      </c>
      <c r="H31" s="32">
        <v>3613</v>
      </c>
      <c r="I31" s="32">
        <v>8</v>
      </c>
    </row>
    <row r="32" spans="1:9" ht="12.75" customHeight="1">
      <c r="A32" s="3" t="s">
        <v>51</v>
      </c>
      <c r="B32" s="4" t="s">
        <v>52</v>
      </c>
      <c r="C32" s="32">
        <v>27584</v>
      </c>
      <c r="D32" s="32">
        <v>15552</v>
      </c>
      <c r="E32" s="32">
        <v>10527</v>
      </c>
      <c r="F32" s="32">
        <v>811</v>
      </c>
      <c r="G32" s="32">
        <v>7212</v>
      </c>
      <c r="H32" s="32">
        <v>7257</v>
      </c>
      <c r="I32" s="32">
        <v>13</v>
      </c>
    </row>
    <row r="33" spans="1:9" ht="12.75" customHeight="1">
      <c r="A33" s="3" t="s">
        <v>53</v>
      </c>
      <c r="B33" s="4" t="s">
        <v>54</v>
      </c>
      <c r="C33" s="32">
        <v>4868</v>
      </c>
      <c r="D33" s="32">
        <v>1131</v>
      </c>
      <c r="E33" s="32">
        <v>1131</v>
      </c>
      <c r="F33" s="32">
        <v>315</v>
      </c>
      <c r="G33" s="32">
        <v>2412</v>
      </c>
      <c r="H33" s="32">
        <v>1407</v>
      </c>
      <c r="I33" s="32">
        <v>7</v>
      </c>
    </row>
    <row r="34" spans="1:9" ht="12.75" customHeight="1">
      <c r="A34" s="3" t="s">
        <v>55</v>
      </c>
      <c r="B34" s="4" t="s">
        <v>56</v>
      </c>
      <c r="C34" s="32">
        <v>5362</v>
      </c>
      <c r="D34" s="32">
        <v>2544</v>
      </c>
      <c r="E34" s="32">
        <v>2501</v>
      </c>
      <c r="F34" s="32">
        <v>124</v>
      </c>
      <c r="G34" s="32">
        <v>1360</v>
      </c>
      <c r="H34" s="32">
        <v>2412</v>
      </c>
      <c r="I34" s="32">
        <v>5</v>
      </c>
    </row>
    <row r="35" spans="1:9" ht="12.75" customHeight="1">
      <c r="A35" s="3" t="s">
        <v>57</v>
      </c>
      <c r="B35" s="4" t="s">
        <v>58</v>
      </c>
      <c r="C35" s="32">
        <v>2756</v>
      </c>
      <c r="D35" s="32">
        <v>806</v>
      </c>
      <c r="E35" s="32">
        <v>806</v>
      </c>
      <c r="F35" s="32">
        <v>169</v>
      </c>
      <c r="G35" s="32">
        <v>1398</v>
      </c>
      <c r="H35" s="32">
        <v>1248</v>
      </c>
      <c r="I35" s="32">
        <v>3</v>
      </c>
    </row>
    <row r="36" spans="1:9" ht="12.75" customHeight="1">
      <c r="A36" s="3" t="s">
        <v>59</v>
      </c>
      <c r="B36" s="4" t="s">
        <v>60</v>
      </c>
      <c r="C36" s="32">
        <v>1610</v>
      </c>
      <c r="D36" s="32">
        <v>1123</v>
      </c>
      <c r="E36" s="32">
        <v>1123</v>
      </c>
      <c r="F36" s="32">
        <v>49</v>
      </c>
      <c r="G36" s="32">
        <v>293</v>
      </c>
      <c r="H36" s="32">
        <v>1546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14846</v>
      </c>
      <c r="D37" s="32">
        <v>8890</v>
      </c>
      <c r="E37" s="32">
        <v>2566</v>
      </c>
      <c r="F37" s="32">
        <v>268</v>
      </c>
      <c r="G37" s="32">
        <v>3159</v>
      </c>
      <c r="H37" s="32">
        <v>2171</v>
      </c>
      <c r="I37" s="32">
        <v>5</v>
      </c>
    </row>
    <row r="38" spans="1:9" ht="12.75" customHeight="1">
      <c r="A38" s="3" t="s">
        <v>63</v>
      </c>
      <c r="B38" s="4" t="s">
        <v>64</v>
      </c>
      <c r="C38" s="32">
        <v>29772</v>
      </c>
      <c r="D38" s="32">
        <v>20289</v>
      </c>
      <c r="E38" s="32">
        <v>13795</v>
      </c>
      <c r="F38" s="32">
        <v>597</v>
      </c>
      <c r="G38" s="32">
        <v>3555</v>
      </c>
      <c r="H38" s="32">
        <v>15081</v>
      </c>
      <c r="I38" s="32">
        <v>37</v>
      </c>
    </row>
    <row r="39" spans="1:9" ht="12.75" customHeight="1">
      <c r="A39" s="3" t="s">
        <v>65</v>
      </c>
      <c r="B39" s="4" t="s">
        <v>66</v>
      </c>
      <c r="C39" s="32">
        <v>4073</v>
      </c>
      <c r="D39" s="32">
        <v>3276</v>
      </c>
      <c r="E39" s="32">
        <v>3276</v>
      </c>
      <c r="F39" s="32">
        <v>182</v>
      </c>
      <c r="G39" s="32">
        <v>559</v>
      </c>
      <c r="H39" s="32">
        <v>2982</v>
      </c>
      <c r="I39" s="32">
        <v>6</v>
      </c>
    </row>
    <row r="40" spans="1:9" ht="12.75" customHeight="1">
      <c r="A40" s="3" t="s">
        <v>67</v>
      </c>
      <c r="B40" s="4" t="s">
        <v>68</v>
      </c>
      <c r="C40" s="32">
        <v>6090</v>
      </c>
      <c r="D40" s="32">
        <v>3847</v>
      </c>
      <c r="E40" s="32">
        <v>2593</v>
      </c>
      <c r="F40" s="32">
        <v>214</v>
      </c>
      <c r="G40" s="32">
        <v>1054</v>
      </c>
      <c r="H40" s="32">
        <v>1921</v>
      </c>
      <c r="I40" s="32">
        <v>5</v>
      </c>
    </row>
    <row r="41" spans="1:9" ht="12.75" customHeight="1">
      <c r="A41" s="3" t="s">
        <v>69</v>
      </c>
      <c r="B41" s="4" t="s">
        <v>70</v>
      </c>
      <c r="C41" s="32">
        <v>4169</v>
      </c>
      <c r="D41" s="32">
        <v>377</v>
      </c>
      <c r="E41" s="32">
        <v>362</v>
      </c>
      <c r="F41" s="32">
        <v>583</v>
      </c>
      <c r="G41" s="32">
        <v>1584</v>
      </c>
      <c r="H41" s="32">
        <v>385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5369</v>
      </c>
      <c r="D42" s="32">
        <v>3248</v>
      </c>
      <c r="E42" s="32">
        <v>2162</v>
      </c>
      <c r="F42" s="32">
        <v>327</v>
      </c>
      <c r="G42" s="32">
        <v>1713</v>
      </c>
      <c r="H42" s="32">
        <v>1393</v>
      </c>
      <c r="I42" s="32">
        <v>10</v>
      </c>
    </row>
    <row r="43" spans="1:9" ht="12.75" customHeight="1">
      <c r="A43" s="5"/>
      <c r="B43" s="6" t="s">
        <v>73</v>
      </c>
      <c r="C43" s="31">
        <f t="shared" ref="C43:I43" si="3">SUM(C31:C42)</f>
        <v>124458</v>
      </c>
      <c r="D43" s="31">
        <f t="shared" si="3"/>
        <v>65132</v>
      </c>
      <c r="E43" s="31">
        <f t="shared" si="3"/>
        <v>44670</v>
      </c>
      <c r="F43" s="31">
        <f t="shared" si="3"/>
        <v>4308</v>
      </c>
      <c r="G43" s="31">
        <f t="shared" si="3"/>
        <v>36231</v>
      </c>
      <c r="H43" s="31">
        <f t="shared" si="3"/>
        <v>41416</v>
      </c>
      <c r="I43" s="31">
        <f t="shared" si="3"/>
        <v>101</v>
      </c>
    </row>
    <row r="44" spans="1:9" ht="12.75" customHeight="1">
      <c r="A44" s="3" t="s">
        <v>74</v>
      </c>
      <c r="B44" s="4" t="s">
        <v>75</v>
      </c>
      <c r="C44" s="32">
        <v>6674</v>
      </c>
      <c r="D44" s="32">
        <v>1139</v>
      </c>
      <c r="E44" s="32">
        <v>1139</v>
      </c>
      <c r="F44" s="32">
        <v>1058</v>
      </c>
      <c r="G44" s="32">
        <v>3582</v>
      </c>
      <c r="H44" s="32">
        <v>812</v>
      </c>
      <c r="I44" s="32">
        <v>9</v>
      </c>
    </row>
    <row r="45" spans="1:9" ht="12.75" customHeight="1">
      <c r="A45" s="3" t="s">
        <v>76</v>
      </c>
      <c r="B45" s="4" t="s">
        <v>77</v>
      </c>
      <c r="C45" s="32">
        <v>9985</v>
      </c>
      <c r="D45" s="32">
        <v>3465</v>
      </c>
      <c r="E45" s="32">
        <v>3201</v>
      </c>
      <c r="F45" s="32">
        <v>987</v>
      </c>
      <c r="G45" s="32">
        <v>5421</v>
      </c>
      <c r="H45" s="32">
        <v>1742</v>
      </c>
      <c r="I45" s="32">
        <v>8</v>
      </c>
    </row>
    <row r="46" spans="1:9" ht="12.75" customHeight="1">
      <c r="A46" s="5"/>
      <c r="B46" s="6" t="s">
        <v>78</v>
      </c>
      <c r="C46" s="31">
        <f t="shared" ref="C46:I46" si="4">SUM(C44:C45)</f>
        <v>16659</v>
      </c>
      <c r="D46" s="31">
        <f t="shared" si="4"/>
        <v>4604</v>
      </c>
      <c r="E46" s="31">
        <f t="shared" si="4"/>
        <v>4340</v>
      </c>
      <c r="F46" s="31">
        <f t="shared" si="4"/>
        <v>2045</v>
      </c>
      <c r="G46" s="31">
        <f t="shared" si="4"/>
        <v>9003</v>
      </c>
      <c r="H46" s="31">
        <f t="shared" si="4"/>
        <v>2554</v>
      </c>
      <c r="I46" s="31">
        <f t="shared" si="4"/>
        <v>17</v>
      </c>
    </row>
    <row r="47" spans="1:9" ht="12.75" customHeight="1">
      <c r="A47" s="8" t="s">
        <v>79</v>
      </c>
      <c r="B47" s="4" t="s">
        <v>80</v>
      </c>
      <c r="C47" s="33">
        <v>373</v>
      </c>
      <c r="D47" s="33">
        <v>83</v>
      </c>
      <c r="E47" s="33">
        <v>83</v>
      </c>
      <c r="F47" s="32">
        <v>81</v>
      </c>
      <c r="G47" s="32">
        <v>202</v>
      </c>
      <c r="H47" s="32">
        <v>264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5917</v>
      </c>
      <c r="D48" s="33">
        <v>1319</v>
      </c>
      <c r="E48" s="33">
        <v>1153</v>
      </c>
      <c r="F48" s="32">
        <v>350</v>
      </c>
      <c r="G48" s="32">
        <v>3682</v>
      </c>
      <c r="H48" s="32">
        <v>944</v>
      </c>
      <c r="I48" s="32">
        <v>3</v>
      </c>
    </row>
    <row r="49" spans="1:9" ht="12.75" customHeight="1">
      <c r="A49" s="8" t="s">
        <v>83</v>
      </c>
      <c r="B49" s="4" t="s">
        <v>84</v>
      </c>
      <c r="C49" s="33">
        <v>915</v>
      </c>
      <c r="D49" s="33">
        <v>76</v>
      </c>
      <c r="E49" s="33">
        <v>0</v>
      </c>
      <c r="F49" s="32">
        <v>297</v>
      </c>
      <c r="G49" s="32">
        <v>496</v>
      </c>
      <c r="H49" s="32">
        <v>247</v>
      </c>
      <c r="I49" s="32">
        <v>2</v>
      </c>
    </row>
    <row r="50" spans="1:9" ht="12.75" customHeight="1">
      <c r="A50" s="8" t="s">
        <v>85</v>
      </c>
      <c r="B50" s="4" t="s">
        <v>86</v>
      </c>
      <c r="C50" s="33">
        <v>20765</v>
      </c>
      <c r="D50" s="33">
        <v>2006</v>
      </c>
      <c r="E50" s="33">
        <v>831</v>
      </c>
      <c r="F50" s="32">
        <v>1466</v>
      </c>
      <c r="G50" s="32">
        <v>16826</v>
      </c>
      <c r="H50" s="32">
        <v>1764</v>
      </c>
      <c r="I50" s="32">
        <v>7</v>
      </c>
    </row>
    <row r="51" spans="1:9" ht="12.75" customHeight="1">
      <c r="A51" s="9"/>
      <c r="B51" s="6" t="s">
        <v>87</v>
      </c>
      <c r="C51" s="31">
        <f t="shared" ref="C51:I51" si="5">SUM(C47:C50)</f>
        <v>27970</v>
      </c>
      <c r="D51" s="31">
        <f t="shared" si="5"/>
        <v>3484</v>
      </c>
      <c r="E51" s="31">
        <f t="shared" si="5"/>
        <v>2067</v>
      </c>
      <c r="F51" s="31">
        <f t="shared" si="5"/>
        <v>2194</v>
      </c>
      <c r="G51" s="31">
        <f t="shared" si="5"/>
        <v>21206</v>
      </c>
      <c r="H51" s="31">
        <f t="shared" si="5"/>
        <v>3219</v>
      </c>
      <c r="I51" s="31">
        <f t="shared" si="5"/>
        <v>13</v>
      </c>
    </row>
    <row r="52" spans="1:9" ht="12.75" customHeight="1">
      <c r="A52" s="8" t="s">
        <v>88</v>
      </c>
      <c r="B52" s="4" t="s">
        <v>89</v>
      </c>
      <c r="C52" s="33">
        <v>7560</v>
      </c>
      <c r="D52" s="33">
        <v>1001</v>
      </c>
      <c r="E52" s="33">
        <v>514</v>
      </c>
      <c r="F52" s="32">
        <v>617</v>
      </c>
      <c r="G52" s="32">
        <v>5728</v>
      </c>
      <c r="H52" s="32">
        <v>146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23105</v>
      </c>
      <c r="D53" s="33">
        <v>12753</v>
      </c>
      <c r="E53" s="33">
        <v>9655</v>
      </c>
      <c r="F53" s="32">
        <v>753</v>
      </c>
      <c r="G53" s="32">
        <v>6368</v>
      </c>
      <c r="H53" s="32">
        <v>2217</v>
      </c>
      <c r="I53" s="32">
        <v>5</v>
      </c>
    </row>
    <row r="54" spans="1:9" ht="12.75" customHeight="1">
      <c r="A54" s="8" t="s">
        <v>92</v>
      </c>
      <c r="B54" s="4" t="s">
        <v>93</v>
      </c>
      <c r="C54" s="33">
        <v>5864</v>
      </c>
      <c r="D54" s="33">
        <v>3147</v>
      </c>
      <c r="E54" s="33">
        <v>1057</v>
      </c>
      <c r="F54" s="32">
        <v>251</v>
      </c>
      <c r="G54" s="32">
        <v>1695</v>
      </c>
      <c r="H54" s="32">
        <v>2255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14934</v>
      </c>
      <c r="D55" s="33">
        <v>5608</v>
      </c>
      <c r="E55" s="33">
        <v>3650</v>
      </c>
      <c r="F55" s="32">
        <v>1097</v>
      </c>
      <c r="G55" s="32">
        <v>7813</v>
      </c>
      <c r="H55" s="32">
        <v>1914</v>
      </c>
      <c r="I55" s="32">
        <v>9</v>
      </c>
    </row>
    <row r="56" spans="1:9" ht="12.75" customHeight="1">
      <c r="A56" s="8" t="s">
        <v>96</v>
      </c>
      <c r="B56" s="4" t="s">
        <v>97</v>
      </c>
      <c r="C56" s="33">
        <v>19126</v>
      </c>
      <c r="D56" s="33">
        <v>9877</v>
      </c>
      <c r="E56" s="33">
        <v>4411</v>
      </c>
      <c r="F56" s="32">
        <v>668</v>
      </c>
      <c r="G56" s="32">
        <v>5120</v>
      </c>
      <c r="H56" s="32">
        <v>1098</v>
      </c>
      <c r="I56" s="32">
        <v>6</v>
      </c>
    </row>
    <row r="57" spans="1:9" ht="12.75" customHeight="1">
      <c r="A57" s="8" t="s">
        <v>98</v>
      </c>
      <c r="B57" s="4" t="s">
        <v>99</v>
      </c>
      <c r="C57" s="33">
        <v>28634</v>
      </c>
      <c r="D57" s="33">
        <v>15097</v>
      </c>
      <c r="E57" s="33">
        <v>7373</v>
      </c>
      <c r="F57" s="32">
        <v>857</v>
      </c>
      <c r="G57" s="32">
        <v>8542</v>
      </c>
      <c r="H57" s="32">
        <v>1699</v>
      </c>
      <c r="I57" s="32">
        <v>13</v>
      </c>
    </row>
    <row r="58" spans="1:9" ht="12.75" customHeight="1">
      <c r="A58" s="8" t="s">
        <v>100</v>
      </c>
      <c r="B58" s="4" t="s">
        <v>101</v>
      </c>
      <c r="C58" s="33">
        <v>13111</v>
      </c>
      <c r="D58" s="33">
        <v>6479</v>
      </c>
      <c r="E58" s="33">
        <v>5419</v>
      </c>
      <c r="F58" s="32">
        <v>599</v>
      </c>
      <c r="G58" s="32">
        <v>3703</v>
      </c>
      <c r="H58" s="32">
        <v>4323</v>
      </c>
      <c r="I58" s="32">
        <v>7</v>
      </c>
    </row>
    <row r="59" spans="1:9" ht="12.75" customHeight="1">
      <c r="A59" s="9"/>
      <c r="B59" s="6" t="s">
        <v>102</v>
      </c>
      <c r="C59" s="31">
        <f t="shared" ref="C59:I59" si="6">SUM(C52:C58)</f>
        <v>112334</v>
      </c>
      <c r="D59" s="31">
        <f t="shared" si="6"/>
        <v>53962</v>
      </c>
      <c r="E59" s="31">
        <f t="shared" si="6"/>
        <v>32079</v>
      </c>
      <c r="F59" s="31">
        <f t="shared" si="6"/>
        <v>4842</v>
      </c>
      <c r="G59" s="31">
        <f t="shared" si="6"/>
        <v>38969</v>
      </c>
      <c r="H59" s="31">
        <f t="shared" si="6"/>
        <v>13652</v>
      </c>
      <c r="I59" s="31">
        <f t="shared" si="6"/>
        <v>42</v>
      </c>
    </row>
    <row r="60" spans="1:9" ht="12.75" customHeight="1">
      <c r="A60" s="8" t="s">
        <v>103</v>
      </c>
      <c r="B60" s="4" t="s">
        <v>104</v>
      </c>
      <c r="C60" s="33">
        <v>23999</v>
      </c>
      <c r="D60" s="33">
        <v>14727</v>
      </c>
      <c r="E60" s="33">
        <v>4474</v>
      </c>
      <c r="F60" s="32">
        <v>415</v>
      </c>
      <c r="G60" s="32">
        <v>7414</v>
      </c>
      <c r="H60" s="32">
        <v>2679</v>
      </c>
      <c r="I60" s="32">
        <v>31</v>
      </c>
    </row>
    <row r="61" spans="1:9" ht="12.75" customHeight="1">
      <c r="A61" s="8" t="s">
        <v>105</v>
      </c>
      <c r="B61" s="4" t="s">
        <v>106</v>
      </c>
      <c r="C61" s="33">
        <v>7497</v>
      </c>
      <c r="D61" s="33">
        <v>3607</v>
      </c>
      <c r="E61" s="33">
        <v>3299</v>
      </c>
      <c r="F61" s="32">
        <v>327</v>
      </c>
      <c r="G61" s="32">
        <v>3387</v>
      </c>
      <c r="H61" s="32">
        <v>2315</v>
      </c>
      <c r="I61" s="32">
        <v>4</v>
      </c>
    </row>
    <row r="62" spans="1:9" ht="12.75" customHeight="1">
      <c r="A62" s="8" t="s">
        <v>107</v>
      </c>
      <c r="B62" s="4" t="s">
        <v>108</v>
      </c>
      <c r="C62" s="33">
        <v>15916</v>
      </c>
      <c r="D62" s="33">
        <v>9248</v>
      </c>
      <c r="E62" s="33">
        <v>2960</v>
      </c>
      <c r="F62" s="32">
        <v>493</v>
      </c>
      <c r="G62" s="32">
        <v>5530</v>
      </c>
      <c r="H62" s="32">
        <v>3154</v>
      </c>
      <c r="I62" s="32">
        <v>9</v>
      </c>
    </row>
    <row r="63" spans="1:9" ht="12.75" customHeight="1">
      <c r="A63" s="8" t="s">
        <v>109</v>
      </c>
      <c r="B63" s="4" t="s">
        <v>110</v>
      </c>
      <c r="C63" s="33">
        <v>9577</v>
      </c>
      <c r="D63" s="33">
        <v>6670</v>
      </c>
      <c r="E63" s="33">
        <v>5135</v>
      </c>
      <c r="F63" s="32">
        <v>313</v>
      </c>
      <c r="G63" s="32">
        <v>2458</v>
      </c>
      <c r="H63" s="32">
        <v>3516</v>
      </c>
      <c r="I63" s="32">
        <v>4</v>
      </c>
    </row>
    <row r="64" spans="1:9" ht="12.75" customHeight="1">
      <c r="A64" s="8" t="s">
        <v>111</v>
      </c>
      <c r="B64" s="4" t="s">
        <v>112</v>
      </c>
      <c r="C64" s="33">
        <v>90909</v>
      </c>
      <c r="D64" s="33">
        <v>71582</v>
      </c>
      <c r="E64" s="33">
        <v>3052</v>
      </c>
      <c r="F64" s="32">
        <v>143</v>
      </c>
      <c r="G64" s="32">
        <v>7164</v>
      </c>
      <c r="H64" s="32">
        <v>1360</v>
      </c>
      <c r="I64" s="32">
        <v>6</v>
      </c>
    </row>
    <row r="65" spans="1:9" ht="12.75" customHeight="1">
      <c r="A65" s="8" t="s">
        <v>113</v>
      </c>
      <c r="B65" s="4" t="s">
        <v>114</v>
      </c>
      <c r="C65" s="33">
        <v>5380</v>
      </c>
      <c r="D65" s="33">
        <v>3552</v>
      </c>
      <c r="E65" s="33">
        <v>2947</v>
      </c>
      <c r="F65" s="32">
        <v>118</v>
      </c>
      <c r="G65" s="32">
        <v>1684</v>
      </c>
      <c r="H65" s="32">
        <v>936</v>
      </c>
      <c r="I65" s="32">
        <v>5</v>
      </c>
    </row>
    <row r="66" spans="1:9" ht="12.75" customHeight="1">
      <c r="A66" s="8" t="s">
        <v>115</v>
      </c>
      <c r="B66" s="4" t="s">
        <v>116</v>
      </c>
      <c r="C66" s="33">
        <v>6833</v>
      </c>
      <c r="D66" s="33">
        <v>4349</v>
      </c>
      <c r="E66" s="33">
        <v>3129</v>
      </c>
      <c r="F66" s="32">
        <v>168</v>
      </c>
      <c r="G66" s="32">
        <v>1006</v>
      </c>
      <c r="H66" s="32">
        <v>3685</v>
      </c>
      <c r="I66" s="32">
        <v>5</v>
      </c>
    </row>
    <row r="67" spans="1:9" ht="12.75" customHeight="1">
      <c r="A67" s="8" t="s">
        <v>117</v>
      </c>
      <c r="B67" s="4" t="s">
        <v>118</v>
      </c>
      <c r="C67" s="33">
        <v>12141</v>
      </c>
      <c r="D67" s="33">
        <v>7766</v>
      </c>
      <c r="E67" s="33">
        <v>3649</v>
      </c>
      <c r="F67" s="32">
        <v>268</v>
      </c>
      <c r="G67" s="32">
        <v>2959</v>
      </c>
      <c r="H67" s="32">
        <v>1786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9952</v>
      </c>
      <c r="D68" s="33">
        <v>6539</v>
      </c>
      <c r="E68" s="33">
        <v>2081</v>
      </c>
      <c r="F68" s="32">
        <v>229</v>
      </c>
      <c r="G68" s="32">
        <v>1569</v>
      </c>
      <c r="H68" s="32">
        <v>309</v>
      </c>
      <c r="I68" s="32">
        <v>10</v>
      </c>
    </row>
    <row r="69" spans="1:9" ht="12.75" customHeight="1">
      <c r="A69" s="5"/>
      <c r="B69" s="6" t="s">
        <v>121</v>
      </c>
      <c r="C69" s="31">
        <f t="shared" ref="C69:I69" si="7">SUM(C60:C68)</f>
        <v>182204</v>
      </c>
      <c r="D69" s="31">
        <f t="shared" si="7"/>
        <v>128040</v>
      </c>
      <c r="E69" s="31">
        <f t="shared" si="7"/>
        <v>30726</v>
      </c>
      <c r="F69" s="31">
        <f t="shared" si="7"/>
        <v>2474</v>
      </c>
      <c r="G69" s="31">
        <f t="shared" si="7"/>
        <v>33171</v>
      </c>
      <c r="H69" s="31">
        <f t="shared" si="7"/>
        <v>19740</v>
      </c>
      <c r="I69" s="31">
        <f t="shared" si="7"/>
        <v>76</v>
      </c>
    </row>
    <row r="70" spans="1:9" ht="12.75" customHeight="1">
      <c r="A70" s="8" t="s">
        <v>122</v>
      </c>
      <c r="B70" s="4" t="s">
        <v>123</v>
      </c>
      <c r="C70" s="33">
        <v>10882</v>
      </c>
      <c r="D70" s="33">
        <v>6312</v>
      </c>
      <c r="E70" s="33">
        <v>4762</v>
      </c>
      <c r="F70" s="32">
        <v>594</v>
      </c>
      <c r="G70" s="32">
        <v>3181</v>
      </c>
      <c r="H70" s="32">
        <v>1610</v>
      </c>
      <c r="I70" s="32">
        <v>8</v>
      </c>
    </row>
    <row r="71" spans="1:9" ht="12.75" customHeight="1">
      <c r="A71" s="8" t="s">
        <v>124</v>
      </c>
      <c r="B71" s="4" t="s">
        <v>125</v>
      </c>
      <c r="C71" s="33">
        <v>20253</v>
      </c>
      <c r="D71" s="33">
        <v>10680</v>
      </c>
      <c r="E71" s="33">
        <v>9536</v>
      </c>
      <c r="F71" s="32">
        <v>905</v>
      </c>
      <c r="G71" s="32">
        <v>4022</v>
      </c>
      <c r="H71" s="32">
        <v>1783</v>
      </c>
      <c r="I71" s="32">
        <v>12</v>
      </c>
    </row>
    <row r="72" spans="1:9" ht="12.75" customHeight="1">
      <c r="A72" s="8" t="s">
        <v>126</v>
      </c>
      <c r="B72" s="4" t="s">
        <v>127</v>
      </c>
      <c r="C72" s="33">
        <v>5509</v>
      </c>
      <c r="D72" s="33">
        <v>1547</v>
      </c>
      <c r="E72" s="33">
        <v>1498</v>
      </c>
      <c r="F72" s="32">
        <v>815</v>
      </c>
      <c r="G72" s="32">
        <v>2995</v>
      </c>
      <c r="H72" s="32">
        <v>335</v>
      </c>
      <c r="I72" s="32">
        <v>4</v>
      </c>
    </row>
    <row r="73" spans="1:9" ht="12.75" customHeight="1">
      <c r="A73" s="8" t="s">
        <v>128</v>
      </c>
      <c r="B73" s="4" t="s">
        <v>129</v>
      </c>
      <c r="C73" s="33">
        <v>6222</v>
      </c>
      <c r="D73" s="33">
        <v>1689</v>
      </c>
      <c r="E73" s="33">
        <v>1689</v>
      </c>
      <c r="F73" s="32">
        <v>536</v>
      </c>
      <c r="G73" s="32">
        <v>3957</v>
      </c>
      <c r="H73" s="32">
        <v>686</v>
      </c>
      <c r="I73" s="32">
        <v>5</v>
      </c>
    </row>
    <row r="74" spans="1:9" ht="12.75" customHeight="1">
      <c r="A74" s="8" t="s">
        <v>130</v>
      </c>
      <c r="B74" s="4" t="s">
        <v>131</v>
      </c>
      <c r="C74" s="33">
        <v>7441</v>
      </c>
      <c r="D74" s="33">
        <v>2735</v>
      </c>
      <c r="E74" s="33">
        <v>2513</v>
      </c>
      <c r="F74" s="32">
        <v>567</v>
      </c>
      <c r="G74" s="32">
        <v>2431</v>
      </c>
      <c r="H74" s="32">
        <v>1246</v>
      </c>
      <c r="I74" s="32">
        <v>11</v>
      </c>
    </row>
    <row r="75" spans="1:9" ht="12.75" customHeight="1">
      <c r="A75" s="8" t="s">
        <v>132</v>
      </c>
      <c r="B75" s="4" t="s">
        <v>133</v>
      </c>
      <c r="C75" s="33">
        <v>3108</v>
      </c>
      <c r="D75" s="33">
        <v>941</v>
      </c>
      <c r="E75" s="33">
        <v>823</v>
      </c>
      <c r="F75" s="32">
        <v>355</v>
      </c>
      <c r="G75" s="32">
        <v>560</v>
      </c>
      <c r="H75" s="32">
        <v>4370</v>
      </c>
      <c r="I75" s="32">
        <v>2</v>
      </c>
    </row>
    <row r="76" spans="1:9" ht="12.75" customHeight="1">
      <c r="A76" s="10" t="s">
        <v>134</v>
      </c>
      <c r="B76" s="4" t="s">
        <v>135</v>
      </c>
      <c r="C76" s="33">
        <v>6386</v>
      </c>
      <c r="D76" s="33">
        <v>4258</v>
      </c>
      <c r="E76" s="33">
        <v>4016</v>
      </c>
      <c r="F76" s="32">
        <v>384</v>
      </c>
      <c r="G76" s="32">
        <v>1613</v>
      </c>
      <c r="H76" s="32">
        <v>540</v>
      </c>
      <c r="I76" s="32">
        <v>10</v>
      </c>
    </row>
    <row r="77" spans="1:9" ht="12.75" customHeight="1">
      <c r="A77" s="10" t="s">
        <v>136</v>
      </c>
      <c r="B77" s="4" t="s">
        <v>137</v>
      </c>
      <c r="C77" s="33">
        <v>11523</v>
      </c>
      <c r="D77" s="33">
        <v>3601</v>
      </c>
      <c r="E77" s="33">
        <v>2095</v>
      </c>
      <c r="F77" s="32">
        <v>559</v>
      </c>
      <c r="G77" s="32">
        <v>3136</v>
      </c>
      <c r="H77" s="32">
        <v>628</v>
      </c>
      <c r="I77" s="32">
        <v>7</v>
      </c>
    </row>
    <row r="78" spans="1:9" ht="12.75" customHeight="1">
      <c r="A78" s="10" t="s">
        <v>138</v>
      </c>
      <c r="B78" s="4" t="s">
        <v>139</v>
      </c>
      <c r="C78" s="33">
        <v>1995</v>
      </c>
      <c r="D78" s="33">
        <v>1314</v>
      </c>
      <c r="E78" s="33">
        <v>1313</v>
      </c>
      <c r="F78" s="32">
        <v>213</v>
      </c>
      <c r="G78" s="32">
        <v>456</v>
      </c>
      <c r="H78" s="32">
        <v>245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6648</v>
      </c>
      <c r="D79" s="33">
        <v>1581</v>
      </c>
      <c r="E79" s="33">
        <v>1448</v>
      </c>
      <c r="F79" s="32">
        <v>392</v>
      </c>
      <c r="G79" s="32">
        <v>4019</v>
      </c>
      <c r="H79" s="32">
        <v>564</v>
      </c>
      <c r="I79" s="32">
        <v>7</v>
      </c>
    </row>
    <row r="80" spans="1:9" ht="12.75" customHeight="1">
      <c r="A80" s="11"/>
      <c r="B80" s="6" t="s">
        <v>142</v>
      </c>
      <c r="C80" s="31">
        <f t="shared" ref="C80:I80" si="8">SUM(C70:C79)</f>
        <v>79967</v>
      </c>
      <c r="D80" s="31">
        <f t="shared" si="8"/>
        <v>34658</v>
      </c>
      <c r="E80" s="31">
        <f t="shared" si="8"/>
        <v>29693</v>
      </c>
      <c r="F80" s="31">
        <f t="shared" si="8"/>
        <v>5320</v>
      </c>
      <c r="G80" s="31">
        <f t="shared" si="8"/>
        <v>26370</v>
      </c>
      <c r="H80" s="31">
        <f t="shared" si="8"/>
        <v>12007</v>
      </c>
      <c r="I80" s="31">
        <f t="shared" si="8"/>
        <v>68</v>
      </c>
    </row>
    <row r="81" spans="1:9" ht="12.75" customHeight="1">
      <c r="A81" s="10" t="s">
        <v>143</v>
      </c>
      <c r="B81" s="4" t="s">
        <v>144</v>
      </c>
      <c r="C81" s="30">
        <v>12303</v>
      </c>
      <c r="D81" s="30">
        <v>7089</v>
      </c>
      <c r="E81" s="30">
        <v>3292</v>
      </c>
      <c r="F81" s="32">
        <v>276</v>
      </c>
      <c r="G81" s="32">
        <v>3522</v>
      </c>
      <c r="H81" s="32">
        <v>1254</v>
      </c>
      <c r="I81" s="32">
        <v>7</v>
      </c>
    </row>
    <row r="82" spans="1:9" ht="12.75" customHeight="1">
      <c r="A82" s="10" t="s">
        <v>145</v>
      </c>
      <c r="B82" s="4" t="s">
        <v>146</v>
      </c>
      <c r="C82" s="30">
        <v>5806</v>
      </c>
      <c r="D82" s="30">
        <v>3692</v>
      </c>
      <c r="E82" s="30">
        <v>2394</v>
      </c>
      <c r="F82" s="32">
        <v>267</v>
      </c>
      <c r="G82" s="32">
        <v>1651</v>
      </c>
      <c r="H82" s="32">
        <v>1258</v>
      </c>
      <c r="I82" s="32">
        <v>3</v>
      </c>
    </row>
    <row r="83" spans="1:9" ht="12.75" customHeight="1">
      <c r="A83" s="10" t="s">
        <v>147</v>
      </c>
      <c r="B83" s="4" t="s">
        <v>148</v>
      </c>
      <c r="C83" s="30">
        <v>1651</v>
      </c>
      <c r="D83" s="30">
        <v>349</v>
      </c>
      <c r="E83" s="30">
        <v>291</v>
      </c>
      <c r="F83" s="32">
        <v>96</v>
      </c>
      <c r="G83" s="32">
        <v>482</v>
      </c>
      <c r="H83" s="32">
        <v>105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4986</v>
      </c>
      <c r="D84" s="30">
        <v>1643</v>
      </c>
      <c r="E84" s="30">
        <v>1437</v>
      </c>
      <c r="F84" s="32">
        <v>452</v>
      </c>
      <c r="G84" s="32">
        <v>2835</v>
      </c>
      <c r="H84" s="32">
        <v>654</v>
      </c>
      <c r="I84" s="32">
        <v>6</v>
      </c>
    </row>
    <row r="85" spans="1:9" ht="12.75" customHeight="1">
      <c r="A85" s="10" t="s">
        <v>151</v>
      </c>
      <c r="B85" s="4" t="s">
        <v>152</v>
      </c>
      <c r="C85" s="30">
        <v>6852</v>
      </c>
      <c r="D85" s="30">
        <v>2930</v>
      </c>
      <c r="E85" s="30">
        <v>2106</v>
      </c>
      <c r="F85" s="32">
        <v>295</v>
      </c>
      <c r="G85" s="32">
        <v>2679</v>
      </c>
      <c r="H85" s="32">
        <v>690</v>
      </c>
      <c r="I85" s="32">
        <v>4</v>
      </c>
    </row>
    <row r="86" spans="1:9" ht="12.75" customHeight="1">
      <c r="A86" s="11"/>
      <c r="B86" s="6" t="s">
        <v>153</v>
      </c>
      <c r="C86" s="31">
        <f t="shared" ref="C86:I86" si="9">SUM(C81:C85)</f>
        <v>31598</v>
      </c>
      <c r="D86" s="31">
        <f t="shared" si="9"/>
        <v>15703</v>
      </c>
      <c r="E86" s="31">
        <f t="shared" si="9"/>
        <v>9520</v>
      </c>
      <c r="F86" s="31">
        <f t="shared" si="9"/>
        <v>1386</v>
      </c>
      <c r="G86" s="31">
        <f t="shared" si="9"/>
        <v>11169</v>
      </c>
      <c r="H86" s="31">
        <f t="shared" si="9"/>
        <v>3961</v>
      </c>
      <c r="I86" s="31">
        <f t="shared" si="9"/>
        <v>21</v>
      </c>
    </row>
    <row r="87" spans="1:9" ht="12.75" customHeight="1">
      <c r="A87" s="10" t="s">
        <v>154</v>
      </c>
      <c r="B87" s="4" t="s">
        <v>155</v>
      </c>
      <c r="C87" s="30">
        <v>17041</v>
      </c>
      <c r="D87" s="30">
        <v>6968</v>
      </c>
      <c r="E87" s="30">
        <v>6557</v>
      </c>
      <c r="F87" s="32">
        <v>724</v>
      </c>
      <c r="G87" s="32">
        <v>7625</v>
      </c>
      <c r="H87" s="32">
        <v>1920</v>
      </c>
      <c r="I87" s="32">
        <v>12</v>
      </c>
    </row>
    <row r="88" spans="1:9" ht="12.75" customHeight="1">
      <c r="A88" s="10" t="s">
        <v>156</v>
      </c>
      <c r="B88" s="4" t="s">
        <v>157</v>
      </c>
      <c r="C88" s="30">
        <v>10072</v>
      </c>
      <c r="D88" s="30">
        <v>3642</v>
      </c>
      <c r="E88" s="30">
        <v>3453</v>
      </c>
      <c r="F88" s="32">
        <v>308</v>
      </c>
      <c r="G88" s="32">
        <v>2223</v>
      </c>
      <c r="H88" s="32">
        <v>842</v>
      </c>
      <c r="I88" s="32">
        <v>6</v>
      </c>
    </row>
    <row r="89" spans="1:9" ht="12.75" customHeight="1">
      <c r="A89" s="11"/>
      <c r="B89" s="6" t="s">
        <v>158</v>
      </c>
      <c r="C89" s="31">
        <f t="shared" ref="C89:I89" si="10">SUM(C87:C88)</f>
        <v>27113</v>
      </c>
      <c r="D89" s="31">
        <f t="shared" si="10"/>
        <v>10610</v>
      </c>
      <c r="E89" s="31">
        <f t="shared" si="10"/>
        <v>10010</v>
      </c>
      <c r="F89" s="31">
        <f t="shared" si="10"/>
        <v>1032</v>
      </c>
      <c r="G89" s="31">
        <f t="shared" si="10"/>
        <v>9848</v>
      </c>
      <c r="H89" s="31">
        <f t="shared" si="10"/>
        <v>2762</v>
      </c>
      <c r="I89" s="31">
        <f t="shared" si="10"/>
        <v>18</v>
      </c>
    </row>
    <row r="90" spans="1:9" ht="12.75" customHeight="1">
      <c r="A90" s="10" t="s">
        <v>159</v>
      </c>
      <c r="B90" s="4" t="s">
        <v>160</v>
      </c>
      <c r="C90" s="30">
        <v>23906</v>
      </c>
      <c r="D90" s="30">
        <v>7152</v>
      </c>
      <c r="E90" s="30">
        <v>4688</v>
      </c>
      <c r="F90" s="32">
        <v>972</v>
      </c>
      <c r="G90" s="32">
        <v>6997</v>
      </c>
      <c r="H90" s="32">
        <v>953</v>
      </c>
      <c r="I90" s="32">
        <v>8</v>
      </c>
    </row>
    <row r="91" spans="1:9" ht="12.75" customHeight="1">
      <c r="A91" s="10" t="s">
        <v>161</v>
      </c>
      <c r="B91" s="4" t="s">
        <v>162</v>
      </c>
      <c r="C91" s="30">
        <v>12436</v>
      </c>
      <c r="D91" s="30">
        <v>3563</v>
      </c>
      <c r="E91" s="30">
        <v>3450</v>
      </c>
      <c r="F91" s="32">
        <v>1058</v>
      </c>
      <c r="G91" s="32">
        <v>4939</v>
      </c>
      <c r="H91" s="32">
        <v>842</v>
      </c>
      <c r="I91" s="32">
        <v>7</v>
      </c>
    </row>
    <row r="92" spans="1:9" ht="12.75" customHeight="1">
      <c r="A92" s="10" t="s">
        <v>163</v>
      </c>
      <c r="B92" s="4" t="s">
        <v>164</v>
      </c>
      <c r="C92" s="30">
        <v>4779</v>
      </c>
      <c r="D92" s="30">
        <v>1755</v>
      </c>
      <c r="E92" s="30">
        <v>1720</v>
      </c>
      <c r="F92" s="32">
        <v>337</v>
      </c>
      <c r="G92" s="32">
        <v>2647</v>
      </c>
      <c r="H92" s="32">
        <v>87</v>
      </c>
      <c r="I92" s="32">
        <v>6</v>
      </c>
    </row>
    <row r="93" spans="1:9" ht="12.75" customHeight="1">
      <c r="A93" s="10" t="s">
        <v>165</v>
      </c>
      <c r="B93" s="4" t="s">
        <v>166</v>
      </c>
      <c r="C93" s="30">
        <v>161289</v>
      </c>
      <c r="D93" s="30">
        <v>112301</v>
      </c>
      <c r="E93" s="30">
        <v>54822</v>
      </c>
      <c r="F93" s="32">
        <v>3419</v>
      </c>
      <c r="G93" s="32">
        <v>20206</v>
      </c>
      <c r="H93" s="32">
        <v>7889</v>
      </c>
      <c r="I93" s="32">
        <v>60</v>
      </c>
    </row>
    <row r="94" spans="1:9" ht="12.75" customHeight="1">
      <c r="A94" s="10" t="s">
        <v>167</v>
      </c>
      <c r="B94" s="4" t="s">
        <v>168</v>
      </c>
      <c r="C94" s="30">
        <v>10574</v>
      </c>
      <c r="D94" s="30">
        <v>2385</v>
      </c>
      <c r="E94" s="30">
        <v>1942</v>
      </c>
      <c r="F94" s="32">
        <v>692</v>
      </c>
      <c r="G94" s="32">
        <v>4597</v>
      </c>
      <c r="H94" s="32">
        <v>387</v>
      </c>
      <c r="I94" s="32">
        <v>2</v>
      </c>
    </row>
    <row r="95" spans="1:9" ht="12.75" customHeight="1">
      <c r="A95" s="11"/>
      <c r="B95" s="6" t="s">
        <v>169</v>
      </c>
      <c r="C95" s="31">
        <f t="shared" ref="C95:I95" si="11">SUM(C90:C94)</f>
        <v>212984</v>
      </c>
      <c r="D95" s="31">
        <f t="shared" si="11"/>
        <v>127156</v>
      </c>
      <c r="E95" s="31">
        <f t="shared" si="11"/>
        <v>66622</v>
      </c>
      <c r="F95" s="31">
        <f t="shared" si="11"/>
        <v>6478</v>
      </c>
      <c r="G95" s="31">
        <f t="shared" si="11"/>
        <v>39386</v>
      </c>
      <c r="H95" s="31">
        <f t="shared" si="11"/>
        <v>10158</v>
      </c>
      <c r="I95" s="31">
        <f t="shared" si="11"/>
        <v>83</v>
      </c>
    </row>
    <row r="96" spans="1:9" ht="12.75" customHeight="1">
      <c r="A96" s="10" t="s">
        <v>170</v>
      </c>
      <c r="B96" s="4" t="s">
        <v>171</v>
      </c>
      <c r="C96" s="30">
        <v>2473</v>
      </c>
      <c r="D96" s="30">
        <v>1255</v>
      </c>
      <c r="E96" s="30">
        <v>1255</v>
      </c>
      <c r="F96" s="32">
        <v>80</v>
      </c>
      <c r="G96" s="32">
        <v>1119</v>
      </c>
      <c r="H96" s="32">
        <v>1595</v>
      </c>
      <c r="I96" s="32">
        <v>6</v>
      </c>
    </row>
    <row r="97" spans="1:9" ht="12.75" customHeight="1">
      <c r="A97" s="10" t="s">
        <v>172</v>
      </c>
      <c r="B97" s="4" t="s">
        <v>173</v>
      </c>
      <c r="C97" s="30">
        <v>2184</v>
      </c>
      <c r="D97" s="30">
        <v>753</v>
      </c>
      <c r="E97" s="30">
        <v>252</v>
      </c>
      <c r="F97" s="32">
        <v>46</v>
      </c>
      <c r="G97" s="32">
        <v>598</v>
      </c>
      <c r="H97" s="32">
        <v>92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4657</v>
      </c>
      <c r="D98" s="31">
        <f t="shared" si="12"/>
        <v>2008</v>
      </c>
      <c r="E98" s="31">
        <f t="shared" si="12"/>
        <v>1507</v>
      </c>
      <c r="F98" s="31">
        <f t="shared" si="12"/>
        <v>126</v>
      </c>
      <c r="G98" s="31">
        <f t="shared" si="12"/>
        <v>1717</v>
      </c>
      <c r="H98" s="31">
        <f t="shared" si="12"/>
        <v>1687</v>
      </c>
      <c r="I98" s="31">
        <f t="shared" si="12"/>
        <v>7</v>
      </c>
    </row>
    <row r="99" spans="1:9" ht="12.75" customHeight="1">
      <c r="A99" s="10" t="s">
        <v>175</v>
      </c>
      <c r="B99" s="4" t="s">
        <v>176</v>
      </c>
      <c r="C99" s="30">
        <v>7476</v>
      </c>
      <c r="D99" s="30">
        <v>3604</v>
      </c>
      <c r="E99" s="30">
        <v>1733</v>
      </c>
      <c r="F99" s="32">
        <v>411</v>
      </c>
      <c r="G99" s="32">
        <v>2546</v>
      </c>
      <c r="H99" s="32">
        <v>1185</v>
      </c>
      <c r="I99" s="32">
        <v>9</v>
      </c>
    </row>
    <row r="100" spans="1:9" ht="12.75" customHeight="1">
      <c r="A100" s="10" t="s">
        <v>177</v>
      </c>
      <c r="B100" s="4" t="s">
        <v>178</v>
      </c>
      <c r="C100" s="30">
        <v>4530</v>
      </c>
      <c r="D100" s="30">
        <v>2638</v>
      </c>
      <c r="E100" s="30">
        <v>2227</v>
      </c>
      <c r="F100" s="32">
        <v>201</v>
      </c>
      <c r="G100" s="32">
        <v>1477</v>
      </c>
      <c r="H100" s="32">
        <v>394</v>
      </c>
      <c r="I100" s="32">
        <v>8</v>
      </c>
    </row>
    <row r="101" spans="1:9" ht="12.75" customHeight="1">
      <c r="A101" s="10" t="s">
        <v>179</v>
      </c>
      <c r="B101" s="4" t="s">
        <v>180</v>
      </c>
      <c r="C101" s="30">
        <v>8840</v>
      </c>
      <c r="D101" s="30">
        <v>3961</v>
      </c>
      <c r="E101" s="30">
        <v>1153</v>
      </c>
      <c r="F101" s="32">
        <v>699</v>
      </c>
      <c r="G101" s="32">
        <v>3085</v>
      </c>
      <c r="H101" s="32">
        <v>755</v>
      </c>
      <c r="I101" s="32">
        <v>5</v>
      </c>
    </row>
    <row r="102" spans="1:9" ht="12.75" customHeight="1">
      <c r="A102" s="10" t="s">
        <v>181</v>
      </c>
      <c r="B102" s="4" t="s">
        <v>182</v>
      </c>
      <c r="C102" s="30">
        <v>5454</v>
      </c>
      <c r="D102" s="30">
        <v>3244</v>
      </c>
      <c r="E102" s="30">
        <v>2753</v>
      </c>
      <c r="F102" s="32">
        <v>249</v>
      </c>
      <c r="G102" s="32">
        <v>1920</v>
      </c>
      <c r="H102" s="32">
        <v>390</v>
      </c>
      <c r="I102" s="32">
        <v>8</v>
      </c>
    </row>
    <row r="103" spans="1:9" ht="12.75" customHeight="1">
      <c r="A103" s="11"/>
      <c r="B103" s="6" t="s">
        <v>183</v>
      </c>
      <c r="C103" s="31">
        <f t="shared" ref="C103:I103" si="13">SUM(C99:C102)</f>
        <v>26300</v>
      </c>
      <c r="D103" s="31">
        <f t="shared" si="13"/>
        <v>13447</v>
      </c>
      <c r="E103" s="31">
        <f t="shared" si="13"/>
        <v>7866</v>
      </c>
      <c r="F103" s="31">
        <f t="shared" si="13"/>
        <v>1560</v>
      </c>
      <c r="G103" s="31">
        <f t="shared" si="13"/>
        <v>9028</v>
      </c>
      <c r="H103" s="31">
        <f t="shared" si="13"/>
        <v>2724</v>
      </c>
      <c r="I103" s="31">
        <f t="shared" si="13"/>
        <v>30</v>
      </c>
    </row>
    <row r="104" spans="1:9" ht="12.75" customHeight="1">
      <c r="A104" s="10" t="s">
        <v>184</v>
      </c>
      <c r="B104" s="4" t="s">
        <v>185</v>
      </c>
      <c r="C104" s="30">
        <v>6088</v>
      </c>
      <c r="D104" s="30">
        <v>2196</v>
      </c>
      <c r="E104" s="30">
        <v>588</v>
      </c>
      <c r="F104" s="32">
        <v>255</v>
      </c>
      <c r="G104" s="32">
        <v>1652</v>
      </c>
      <c r="H104" s="32">
        <v>1748</v>
      </c>
      <c r="I104" s="32">
        <v>2</v>
      </c>
    </row>
    <row r="105" spans="1:9" ht="12.75" customHeight="1">
      <c r="A105" s="10" t="s">
        <v>186</v>
      </c>
      <c r="B105" s="4" t="s">
        <v>187</v>
      </c>
      <c r="C105" s="30">
        <v>6405</v>
      </c>
      <c r="D105" s="30">
        <v>1564</v>
      </c>
      <c r="E105" s="30">
        <v>734</v>
      </c>
      <c r="F105" s="32">
        <v>592</v>
      </c>
      <c r="G105" s="32">
        <v>1475</v>
      </c>
      <c r="H105" s="32">
        <v>382</v>
      </c>
      <c r="I105" s="32">
        <v>3</v>
      </c>
    </row>
    <row r="106" spans="1:9" ht="12.75" customHeight="1">
      <c r="A106" s="10" t="s">
        <v>188</v>
      </c>
      <c r="B106" s="4" t="s">
        <v>189</v>
      </c>
      <c r="C106" s="30">
        <v>37469</v>
      </c>
      <c r="D106" s="30">
        <v>17547</v>
      </c>
      <c r="E106" s="30">
        <v>4876</v>
      </c>
      <c r="F106" s="32">
        <v>1444</v>
      </c>
      <c r="G106" s="32">
        <v>5197</v>
      </c>
      <c r="H106" s="32">
        <v>1292</v>
      </c>
      <c r="I106" s="32">
        <v>5</v>
      </c>
    </row>
    <row r="107" spans="1:9" ht="12.75" customHeight="1">
      <c r="A107" s="10" t="s">
        <v>190</v>
      </c>
      <c r="B107" s="4" t="s">
        <v>191</v>
      </c>
      <c r="C107" s="30">
        <v>107133</v>
      </c>
      <c r="D107" s="30">
        <v>56431</v>
      </c>
      <c r="E107" s="30">
        <v>7198</v>
      </c>
      <c r="F107" s="32">
        <v>8651</v>
      </c>
      <c r="G107" s="32">
        <v>8550</v>
      </c>
      <c r="H107" s="32">
        <v>4679</v>
      </c>
      <c r="I107" s="32">
        <v>11</v>
      </c>
    </row>
    <row r="108" spans="1:9" ht="12.75" customHeight="1">
      <c r="A108" s="10" t="s">
        <v>192</v>
      </c>
      <c r="B108" s="4" t="s">
        <v>193</v>
      </c>
      <c r="C108" s="30">
        <v>33172</v>
      </c>
      <c r="D108" s="30">
        <v>8756</v>
      </c>
      <c r="E108" s="30">
        <v>2939</v>
      </c>
      <c r="F108" s="32">
        <v>2132</v>
      </c>
      <c r="G108" s="32">
        <v>4277</v>
      </c>
      <c r="H108" s="32">
        <v>2382</v>
      </c>
      <c r="I108" s="32">
        <v>5</v>
      </c>
    </row>
    <row r="109" spans="1:9" ht="12.75" customHeight="1">
      <c r="A109" s="11"/>
      <c r="B109" s="6" t="s">
        <v>194</v>
      </c>
      <c r="C109" s="31">
        <f t="shared" ref="C109:I109" si="14">SUM(C104:C108)</f>
        <v>190267</v>
      </c>
      <c r="D109" s="31">
        <f t="shared" si="14"/>
        <v>86494</v>
      </c>
      <c r="E109" s="31">
        <f t="shared" si="14"/>
        <v>16335</v>
      </c>
      <c r="F109" s="31">
        <f t="shared" si="14"/>
        <v>13074</v>
      </c>
      <c r="G109" s="31">
        <f t="shared" si="14"/>
        <v>21151</v>
      </c>
      <c r="H109" s="31">
        <f t="shared" si="14"/>
        <v>10483</v>
      </c>
      <c r="I109" s="31">
        <f t="shared" si="14"/>
        <v>26</v>
      </c>
    </row>
    <row r="110" spans="1:9" ht="12.75" customHeight="1">
      <c r="A110" s="3" t="s">
        <v>195</v>
      </c>
      <c r="B110" s="4" t="s">
        <v>196</v>
      </c>
      <c r="C110" s="30">
        <v>20682</v>
      </c>
      <c r="D110" s="30">
        <v>8794</v>
      </c>
      <c r="E110" s="30">
        <v>5033</v>
      </c>
      <c r="F110" s="32">
        <v>2531</v>
      </c>
      <c r="G110" s="32">
        <v>5240</v>
      </c>
      <c r="H110" s="32">
        <v>2597</v>
      </c>
      <c r="I110" s="32">
        <v>16</v>
      </c>
    </row>
    <row r="111" spans="1:9" ht="12.75" customHeight="1">
      <c r="A111" s="3" t="s">
        <v>197</v>
      </c>
      <c r="B111" s="4" t="s">
        <v>198</v>
      </c>
      <c r="C111" s="30">
        <v>2114</v>
      </c>
      <c r="D111" s="30">
        <v>1122</v>
      </c>
      <c r="E111" s="30">
        <v>1122</v>
      </c>
      <c r="F111" s="32">
        <v>213</v>
      </c>
      <c r="G111" s="32">
        <v>763</v>
      </c>
      <c r="H111" s="32">
        <v>110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8709</v>
      </c>
      <c r="D112" s="30">
        <v>5820</v>
      </c>
      <c r="E112" s="30">
        <v>1619</v>
      </c>
      <c r="F112" s="32">
        <v>775</v>
      </c>
      <c r="G112" s="32">
        <v>1397</v>
      </c>
      <c r="H112" s="32">
        <v>661</v>
      </c>
      <c r="I112" s="32">
        <v>5</v>
      </c>
    </row>
    <row r="113" spans="1:9" ht="12.75" customHeight="1">
      <c r="A113" s="3" t="s">
        <v>201</v>
      </c>
      <c r="B113" s="4" t="s">
        <v>202</v>
      </c>
      <c r="C113" s="30">
        <v>14950</v>
      </c>
      <c r="D113" s="30">
        <v>6681</v>
      </c>
      <c r="E113" s="30">
        <v>1750</v>
      </c>
      <c r="F113" s="32">
        <v>1107</v>
      </c>
      <c r="G113" s="32">
        <v>2861</v>
      </c>
      <c r="H113" s="32">
        <v>2187</v>
      </c>
      <c r="I113" s="32">
        <v>2</v>
      </c>
    </row>
    <row r="114" spans="1:9" ht="12.75" customHeight="1">
      <c r="A114" s="3" t="s">
        <v>203</v>
      </c>
      <c r="B114" s="4" t="s">
        <v>204</v>
      </c>
      <c r="C114" s="30">
        <v>16497</v>
      </c>
      <c r="D114" s="30">
        <v>7452</v>
      </c>
      <c r="E114" s="30">
        <v>3990</v>
      </c>
      <c r="F114" s="32">
        <v>2070</v>
      </c>
      <c r="G114" s="32">
        <v>1764</v>
      </c>
      <c r="H114" s="32">
        <v>960</v>
      </c>
      <c r="I114" s="32">
        <v>20</v>
      </c>
    </row>
    <row r="115" spans="1:9" ht="12.75" customHeight="1">
      <c r="A115" s="3" t="s">
        <v>205</v>
      </c>
      <c r="B115" s="4" t="s">
        <v>206</v>
      </c>
      <c r="C115" s="30">
        <v>5110</v>
      </c>
      <c r="D115" s="30">
        <v>2657</v>
      </c>
      <c r="E115" s="30">
        <v>1870</v>
      </c>
      <c r="F115" s="32">
        <v>847</v>
      </c>
      <c r="G115" s="32">
        <v>1094</v>
      </c>
      <c r="H115" s="32">
        <v>4881</v>
      </c>
      <c r="I115" s="32">
        <v>3</v>
      </c>
    </row>
    <row r="116" spans="1:9" ht="12.75" customHeight="1">
      <c r="A116" s="5"/>
      <c r="B116" s="6" t="s">
        <v>207</v>
      </c>
      <c r="C116" s="31">
        <f t="shared" ref="C116:I116" si="15">SUM(C110:C115)</f>
        <v>68062</v>
      </c>
      <c r="D116" s="31">
        <f t="shared" si="15"/>
        <v>32526</v>
      </c>
      <c r="E116" s="31">
        <f t="shared" si="15"/>
        <v>15384</v>
      </c>
      <c r="F116" s="31">
        <f t="shared" si="15"/>
        <v>7543</v>
      </c>
      <c r="G116" s="31">
        <f t="shared" si="15"/>
        <v>13119</v>
      </c>
      <c r="H116" s="31">
        <f t="shared" si="15"/>
        <v>11396</v>
      </c>
      <c r="I116" s="31">
        <f t="shared" si="15"/>
        <v>50</v>
      </c>
    </row>
    <row r="117" spans="1:9" ht="12.75" customHeight="1">
      <c r="A117" s="3" t="s">
        <v>208</v>
      </c>
      <c r="B117" s="4" t="s">
        <v>209</v>
      </c>
      <c r="C117" s="30">
        <v>1528</v>
      </c>
      <c r="D117" s="30">
        <v>753</v>
      </c>
      <c r="E117" s="30">
        <v>452</v>
      </c>
      <c r="F117" s="32">
        <v>131</v>
      </c>
      <c r="G117" s="32">
        <v>615</v>
      </c>
      <c r="H117" s="32">
        <v>341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6051</v>
      </c>
      <c r="D118" s="34">
        <v>1806</v>
      </c>
      <c r="E118" s="30">
        <v>1459</v>
      </c>
      <c r="F118" s="32">
        <v>1036</v>
      </c>
      <c r="G118" s="32">
        <v>2410</v>
      </c>
      <c r="H118" s="32">
        <v>852</v>
      </c>
      <c r="I118" s="32">
        <v>5</v>
      </c>
    </row>
    <row r="119" spans="1:9" ht="12.75" customHeight="1">
      <c r="A119" s="5"/>
      <c r="B119" s="6" t="s">
        <v>212</v>
      </c>
      <c r="C119" s="31">
        <f t="shared" ref="C119:I119" si="16">SUM(C117:C118)</f>
        <v>7579</v>
      </c>
      <c r="D119" s="31">
        <f t="shared" si="16"/>
        <v>2559</v>
      </c>
      <c r="E119" s="31">
        <f t="shared" si="16"/>
        <v>1911</v>
      </c>
      <c r="F119" s="31">
        <f t="shared" si="16"/>
        <v>1167</v>
      </c>
      <c r="G119" s="31">
        <f t="shared" si="16"/>
        <v>3025</v>
      </c>
      <c r="H119" s="31">
        <f t="shared" si="16"/>
        <v>1193</v>
      </c>
      <c r="I119" s="31">
        <f t="shared" si="16"/>
        <v>6</v>
      </c>
    </row>
    <row r="120" spans="1:9" ht="12.75" customHeight="1">
      <c r="A120" s="3" t="s">
        <v>213</v>
      </c>
      <c r="B120" s="4" t="s">
        <v>214</v>
      </c>
      <c r="C120" s="30">
        <v>7197</v>
      </c>
      <c r="D120" s="30">
        <v>2345</v>
      </c>
      <c r="E120" s="30">
        <v>1238</v>
      </c>
      <c r="F120" s="32">
        <v>1333</v>
      </c>
      <c r="G120" s="32">
        <v>2371</v>
      </c>
      <c r="H120" s="32">
        <v>263</v>
      </c>
      <c r="I120" s="32">
        <v>4</v>
      </c>
    </row>
    <row r="121" spans="1:9" ht="12.75" customHeight="1">
      <c r="A121" s="3" t="s">
        <v>215</v>
      </c>
      <c r="B121" s="4" t="s">
        <v>216</v>
      </c>
      <c r="C121" s="30">
        <v>11383</v>
      </c>
      <c r="D121" s="30">
        <v>2025</v>
      </c>
      <c r="E121" s="30">
        <v>1611</v>
      </c>
      <c r="F121" s="32">
        <v>2841</v>
      </c>
      <c r="G121" s="32">
        <v>4684</v>
      </c>
      <c r="H121" s="32">
        <v>553</v>
      </c>
      <c r="I121" s="32">
        <v>10</v>
      </c>
    </row>
    <row r="122" spans="1:9" ht="12.75" customHeight="1">
      <c r="A122" s="3" t="s">
        <v>217</v>
      </c>
      <c r="B122" s="4" t="s">
        <v>218</v>
      </c>
      <c r="C122" s="30">
        <v>2664</v>
      </c>
      <c r="D122" s="30">
        <v>350</v>
      </c>
      <c r="E122" s="30">
        <v>332</v>
      </c>
      <c r="F122" s="32">
        <v>463</v>
      </c>
      <c r="G122" s="32">
        <v>671</v>
      </c>
      <c r="H122" s="32">
        <v>160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9248</v>
      </c>
      <c r="D123" s="30">
        <v>2264</v>
      </c>
      <c r="E123" s="30">
        <v>1471</v>
      </c>
      <c r="F123" s="32">
        <v>3348</v>
      </c>
      <c r="G123" s="32">
        <v>2712</v>
      </c>
      <c r="H123" s="32">
        <v>684</v>
      </c>
      <c r="I123" s="32">
        <v>11</v>
      </c>
    </row>
    <row r="124" spans="1:9" ht="12.75" customHeight="1">
      <c r="A124" s="3" t="s">
        <v>221</v>
      </c>
      <c r="B124" s="4" t="s">
        <v>222</v>
      </c>
      <c r="C124" s="30">
        <v>2779</v>
      </c>
      <c r="D124" s="30">
        <v>206</v>
      </c>
      <c r="E124" s="30">
        <v>153</v>
      </c>
      <c r="F124" s="32">
        <v>251</v>
      </c>
      <c r="G124" s="32">
        <v>1035</v>
      </c>
      <c r="H124" s="32">
        <v>80</v>
      </c>
      <c r="I124" s="32">
        <v>2</v>
      </c>
    </row>
    <row r="125" spans="1:9" ht="12.75" customHeight="1">
      <c r="A125" s="5"/>
      <c r="B125" s="6" t="s">
        <v>223</v>
      </c>
      <c r="C125" s="31">
        <f t="shared" ref="C125:I125" si="17">SUM(C120:C124)</f>
        <v>33271</v>
      </c>
      <c r="D125" s="31">
        <f t="shared" si="17"/>
        <v>7190</v>
      </c>
      <c r="E125" s="31">
        <f t="shared" si="17"/>
        <v>4805</v>
      </c>
      <c r="F125" s="31">
        <f t="shared" si="17"/>
        <v>8236</v>
      </c>
      <c r="G125" s="31">
        <f t="shared" si="17"/>
        <v>11473</v>
      </c>
      <c r="H125" s="31">
        <f t="shared" si="17"/>
        <v>1740</v>
      </c>
      <c r="I125" s="31">
        <f t="shared" si="17"/>
        <v>28</v>
      </c>
    </row>
    <row r="126" spans="1:9" ht="12.75" customHeight="1">
      <c r="A126" s="3" t="s">
        <v>224</v>
      </c>
      <c r="B126" s="4" t="s">
        <v>225</v>
      </c>
      <c r="C126" s="30">
        <v>5146</v>
      </c>
      <c r="D126" s="30">
        <v>695</v>
      </c>
      <c r="E126" s="30">
        <v>60</v>
      </c>
      <c r="F126" s="32">
        <v>2900</v>
      </c>
      <c r="G126" s="32">
        <v>1271</v>
      </c>
      <c r="H126" s="32">
        <v>492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1342</v>
      </c>
      <c r="D127" s="30">
        <v>226</v>
      </c>
      <c r="E127" s="30">
        <v>101</v>
      </c>
      <c r="F127" s="32">
        <v>636</v>
      </c>
      <c r="G127" s="32">
        <v>469</v>
      </c>
      <c r="H127" s="32">
        <v>265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23771</v>
      </c>
      <c r="D128" s="30">
        <v>11433</v>
      </c>
      <c r="E128" s="30">
        <v>1363</v>
      </c>
      <c r="F128" s="32">
        <v>7630</v>
      </c>
      <c r="G128" s="32">
        <v>2514</v>
      </c>
      <c r="H128" s="32">
        <v>835</v>
      </c>
      <c r="I128" s="32">
        <v>6</v>
      </c>
    </row>
    <row r="129" spans="1:9" ht="12.75" customHeight="1">
      <c r="A129" s="3" t="s">
        <v>230</v>
      </c>
      <c r="B129" s="4" t="s">
        <v>231</v>
      </c>
      <c r="C129" s="30">
        <v>10747</v>
      </c>
      <c r="D129" s="30">
        <v>3180</v>
      </c>
      <c r="E129" s="30">
        <v>310</v>
      </c>
      <c r="F129" s="32">
        <v>729</v>
      </c>
      <c r="G129" s="32">
        <v>309</v>
      </c>
      <c r="H129" s="32">
        <v>169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8982</v>
      </c>
      <c r="D130" s="30">
        <v>4340</v>
      </c>
      <c r="E130" s="30">
        <v>3378</v>
      </c>
      <c r="F130" s="32">
        <v>2497</v>
      </c>
      <c r="G130" s="32">
        <v>2056</v>
      </c>
      <c r="H130" s="32">
        <v>640</v>
      </c>
      <c r="I130" s="32">
        <v>10</v>
      </c>
    </row>
    <row r="131" spans="1:9" ht="12.75" customHeight="1">
      <c r="A131" s="3" t="s">
        <v>234</v>
      </c>
      <c r="B131" s="4" t="s">
        <v>235</v>
      </c>
      <c r="C131" s="30">
        <v>25801</v>
      </c>
      <c r="D131" s="30">
        <v>11255</v>
      </c>
      <c r="E131" s="30">
        <v>4592</v>
      </c>
      <c r="F131" s="32">
        <v>9337</v>
      </c>
      <c r="G131" s="32">
        <v>3420</v>
      </c>
      <c r="H131" s="32">
        <v>674</v>
      </c>
      <c r="I131" s="32">
        <v>7</v>
      </c>
    </row>
    <row r="132" spans="1:9" ht="12.75" customHeight="1">
      <c r="A132" s="3" t="s">
        <v>236</v>
      </c>
      <c r="B132" s="4" t="s">
        <v>237</v>
      </c>
      <c r="C132" s="30">
        <v>12014</v>
      </c>
      <c r="D132" s="30">
        <v>5238</v>
      </c>
      <c r="E132" s="30">
        <v>451</v>
      </c>
      <c r="F132" s="32">
        <v>4632</v>
      </c>
      <c r="G132" s="32">
        <v>922</v>
      </c>
      <c r="H132" s="32">
        <v>598</v>
      </c>
      <c r="I132" s="32">
        <v>2</v>
      </c>
    </row>
    <row r="133" spans="1:9" ht="12.75" customHeight="1">
      <c r="A133" s="3" t="s">
        <v>238</v>
      </c>
      <c r="B133" s="4" t="s">
        <v>239</v>
      </c>
      <c r="C133" s="30">
        <v>10020</v>
      </c>
      <c r="D133" s="30">
        <v>4805</v>
      </c>
      <c r="E133" s="30">
        <v>958</v>
      </c>
      <c r="F133" s="32">
        <v>3880</v>
      </c>
      <c r="G133" s="32">
        <v>1286</v>
      </c>
      <c r="H133" s="32">
        <v>564</v>
      </c>
      <c r="I133" s="32">
        <v>3</v>
      </c>
    </row>
    <row r="134" spans="1:9" ht="12.75" customHeight="1">
      <c r="A134" s="3" t="s">
        <v>240</v>
      </c>
      <c r="B134" s="4" t="s">
        <v>241</v>
      </c>
      <c r="C134" s="30">
        <v>5739</v>
      </c>
      <c r="D134" s="30">
        <v>680</v>
      </c>
      <c r="E134" s="30">
        <v>350</v>
      </c>
      <c r="F134" s="32">
        <v>3689</v>
      </c>
      <c r="G134" s="32">
        <v>1295</v>
      </c>
      <c r="H134" s="32">
        <v>543</v>
      </c>
      <c r="I134" s="32">
        <v>3</v>
      </c>
    </row>
    <row r="135" spans="1:9" ht="12.75" customHeight="1">
      <c r="A135" s="7"/>
      <c r="B135" s="6" t="s">
        <v>242</v>
      </c>
      <c r="C135" s="31">
        <f t="shared" ref="C135:I135" si="18">SUM(C126:C134)</f>
        <v>103562</v>
      </c>
      <c r="D135" s="31">
        <f t="shared" si="18"/>
        <v>41852</v>
      </c>
      <c r="E135" s="31">
        <f t="shared" si="18"/>
        <v>11563</v>
      </c>
      <c r="F135" s="31">
        <f t="shared" si="18"/>
        <v>35930</v>
      </c>
      <c r="G135" s="31">
        <f t="shared" si="18"/>
        <v>13542</v>
      </c>
      <c r="H135" s="31">
        <f t="shared" si="18"/>
        <v>4780</v>
      </c>
      <c r="I135" s="31">
        <f t="shared" si="18"/>
        <v>34</v>
      </c>
    </row>
    <row r="136" spans="1:9" ht="12.75" customHeight="1">
      <c r="A136" s="3" t="s">
        <v>243</v>
      </c>
      <c r="B136" s="4" t="s">
        <v>244</v>
      </c>
      <c r="C136" s="30">
        <v>30204</v>
      </c>
      <c r="D136" s="30">
        <v>3079</v>
      </c>
      <c r="E136" s="30">
        <v>1859</v>
      </c>
      <c r="F136" s="32">
        <v>12375</v>
      </c>
      <c r="G136" s="32">
        <v>4542</v>
      </c>
      <c r="H136" s="32">
        <v>1974</v>
      </c>
      <c r="I136" s="32">
        <v>7</v>
      </c>
    </row>
    <row r="137" spans="1:9" ht="12.75" customHeight="1">
      <c r="A137" s="3" t="s">
        <v>245</v>
      </c>
      <c r="B137" s="4" t="s">
        <v>246</v>
      </c>
      <c r="C137" s="30">
        <v>3456</v>
      </c>
      <c r="D137" s="30">
        <v>219</v>
      </c>
      <c r="E137" s="30">
        <v>189</v>
      </c>
      <c r="F137" s="32">
        <v>827</v>
      </c>
      <c r="G137" s="32">
        <v>2352</v>
      </c>
      <c r="H137" s="32">
        <v>12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4015</v>
      </c>
      <c r="D138" s="30">
        <v>49</v>
      </c>
      <c r="E138" s="30">
        <v>35</v>
      </c>
      <c r="F138" s="32">
        <v>788</v>
      </c>
      <c r="G138" s="32">
        <v>2646</v>
      </c>
      <c r="H138" s="32">
        <v>19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6899</v>
      </c>
      <c r="D139" s="30">
        <v>432</v>
      </c>
      <c r="E139" s="30">
        <v>229</v>
      </c>
      <c r="F139" s="32">
        <v>1712</v>
      </c>
      <c r="G139" s="32">
        <v>1188</v>
      </c>
      <c r="H139" s="32">
        <v>86</v>
      </c>
      <c r="I139" s="32">
        <v>5</v>
      </c>
    </row>
    <row r="140" spans="1:9" ht="12.75" customHeight="1">
      <c r="A140" s="3" t="s">
        <v>251</v>
      </c>
      <c r="B140" s="4" t="s">
        <v>252</v>
      </c>
      <c r="C140" s="30">
        <v>1656</v>
      </c>
      <c r="D140" s="30">
        <v>10</v>
      </c>
      <c r="E140" s="30">
        <v>0</v>
      </c>
      <c r="F140" s="32">
        <v>482</v>
      </c>
      <c r="G140" s="32">
        <v>364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4694</v>
      </c>
      <c r="D141" s="30">
        <v>271</v>
      </c>
      <c r="E141" s="30">
        <v>211</v>
      </c>
      <c r="F141" s="32">
        <v>1215</v>
      </c>
      <c r="G141" s="32">
        <v>2951</v>
      </c>
      <c r="H141" s="32">
        <v>54</v>
      </c>
      <c r="I141" s="32">
        <v>3</v>
      </c>
    </row>
    <row r="142" spans="1:9" ht="12.75" customHeight="1">
      <c r="A142" s="3" t="s">
        <v>255</v>
      </c>
      <c r="B142" s="4" t="s">
        <v>256</v>
      </c>
      <c r="C142" s="30">
        <v>4992</v>
      </c>
      <c r="D142" s="30">
        <v>606</v>
      </c>
      <c r="E142" s="30">
        <v>90</v>
      </c>
      <c r="F142" s="32">
        <v>1444</v>
      </c>
      <c r="G142" s="32">
        <v>1381</v>
      </c>
      <c r="H142" s="32">
        <v>200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13590</v>
      </c>
      <c r="D143" s="30">
        <v>2249</v>
      </c>
      <c r="E143" s="30">
        <v>921</v>
      </c>
      <c r="F143" s="32">
        <v>4323</v>
      </c>
      <c r="G143" s="32">
        <v>3234</v>
      </c>
      <c r="H143" s="32">
        <v>442</v>
      </c>
      <c r="I143" s="32">
        <v>3</v>
      </c>
    </row>
    <row r="144" spans="1:9" ht="12.75" customHeight="1">
      <c r="A144" s="7"/>
      <c r="B144" s="6" t="s">
        <v>259</v>
      </c>
      <c r="C144" s="35">
        <f t="shared" ref="C144:I144" si="19">SUM(C136:C143)</f>
        <v>69506</v>
      </c>
      <c r="D144" s="35">
        <f t="shared" si="19"/>
        <v>6915</v>
      </c>
      <c r="E144" s="35">
        <f t="shared" si="19"/>
        <v>3534</v>
      </c>
      <c r="F144" s="35">
        <f t="shared" si="19"/>
        <v>23166</v>
      </c>
      <c r="G144" s="35">
        <f t="shared" si="19"/>
        <v>18658</v>
      </c>
      <c r="H144" s="35">
        <f t="shared" si="19"/>
        <v>2788</v>
      </c>
      <c r="I144" s="35">
        <f t="shared" si="19"/>
        <v>22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1433467</v>
      </c>
      <c r="D145" s="32">
        <f t="shared" si="20"/>
        <v>685866</v>
      </c>
      <c r="E145" s="32">
        <f t="shared" si="20"/>
        <v>330266</v>
      </c>
      <c r="F145" s="32">
        <f t="shared" si="20"/>
        <v>127340</v>
      </c>
      <c r="G145" s="32">
        <f t="shared" si="20"/>
        <v>359770</v>
      </c>
      <c r="H145" s="32">
        <f t="shared" si="20"/>
        <v>165451</v>
      </c>
      <c r="I145" s="32">
        <f t="shared" si="20"/>
        <v>699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2017-05-09T13:47:26Z</dcterms:modified>
</cp:coreProperties>
</file>