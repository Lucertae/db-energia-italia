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J15"/>
  <c r="J23" s="1"/>
  <c r="F16"/>
  <c r="F23" s="1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J30" s="1"/>
  <c r="F27"/>
  <c r="F30" s="1"/>
  <c r="J27"/>
  <c r="F28"/>
  <c r="J28"/>
  <c r="F29"/>
  <c r="J29"/>
  <c r="C30"/>
  <c r="D30"/>
  <c r="E30"/>
  <c r="G30"/>
  <c r="H30"/>
  <c r="I30"/>
  <c r="K30"/>
  <c r="L30"/>
  <c r="M30"/>
  <c r="N30"/>
  <c r="O30"/>
  <c r="F31"/>
  <c r="F43" s="1"/>
  <c r="J31"/>
  <c r="J43" s="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K43"/>
  <c r="L43"/>
  <c r="M43"/>
  <c r="N43"/>
  <c r="O43"/>
  <c r="F44"/>
  <c r="J44"/>
  <c r="F45"/>
  <c r="J45"/>
  <c r="C46"/>
  <c r="D46"/>
  <c r="E46"/>
  <c r="F46"/>
  <c r="G46"/>
  <c r="H46"/>
  <c r="I46"/>
  <c r="J46"/>
  <c r="K46"/>
  <c r="L46"/>
  <c r="M46"/>
  <c r="N46"/>
  <c r="O46"/>
  <c r="F47"/>
  <c r="J47"/>
  <c r="F48"/>
  <c r="F51" s="1"/>
  <c r="J48"/>
  <c r="F49"/>
  <c r="J49"/>
  <c r="F50"/>
  <c r="J50"/>
  <c r="C51"/>
  <c r="D51"/>
  <c r="E51"/>
  <c r="G51"/>
  <c r="H51"/>
  <c r="I51"/>
  <c r="J51"/>
  <c r="K51"/>
  <c r="L51"/>
  <c r="M51"/>
  <c r="N51"/>
  <c r="O51"/>
  <c r="F52"/>
  <c r="J52"/>
  <c r="F53"/>
  <c r="J53"/>
  <c r="F54"/>
  <c r="J54"/>
  <c r="F55"/>
  <c r="J55"/>
  <c r="F56"/>
  <c r="J56"/>
  <c r="F57"/>
  <c r="J57"/>
  <c r="F58"/>
  <c r="J58"/>
  <c r="C59"/>
  <c r="D59"/>
  <c r="E59"/>
  <c r="F59"/>
  <c r="G59"/>
  <c r="H59"/>
  <c r="I59"/>
  <c r="J59"/>
  <c r="K59"/>
  <c r="L59"/>
  <c r="M59"/>
  <c r="N59"/>
  <c r="O59"/>
  <c r="F60"/>
  <c r="J60"/>
  <c r="F61"/>
  <c r="F69" s="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K69"/>
  <c r="L69"/>
  <c r="M69"/>
  <c r="N69"/>
  <c r="O69"/>
  <c r="F70"/>
  <c r="J70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F80"/>
  <c r="G80"/>
  <c r="H80"/>
  <c r="I80"/>
  <c r="J80"/>
  <c r="K80"/>
  <c r="L80"/>
  <c r="M80"/>
  <c r="N80"/>
  <c r="O80"/>
  <c r="F81"/>
  <c r="J81"/>
  <c r="F82"/>
  <c r="F86" s="1"/>
  <c r="J82"/>
  <c r="J86" s="1"/>
  <c r="F83"/>
  <c r="J83"/>
  <c r="F84"/>
  <c r="J84"/>
  <c r="F85"/>
  <c r="J85"/>
  <c r="C86"/>
  <c r="D86"/>
  <c r="E86"/>
  <c r="G86"/>
  <c r="H86"/>
  <c r="I86"/>
  <c r="K86"/>
  <c r="L86"/>
  <c r="M86"/>
  <c r="N86"/>
  <c r="O86"/>
  <c r="F87"/>
  <c r="J87"/>
  <c r="F88"/>
  <c r="J88"/>
  <c r="C89"/>
  <c r="D89"/>
  <c r="E89"/>
  <c r="F89"/>
  <c r="G89"/>
  <c r="H89"/>
  <c r="I89"/>
  <c r="J89"/>
  <c r="K89"/>
  <c r="L89"/>
  <c r="M89"/>
  <c r="N89"/>
  <c r="O89"/>
  <c r="F90"/>
  <c r="J90"/>
  <c r="F91"/>
  <c r="F95" s="1"/>
  <c r="J91"/>
  <c r="J95" s="1"/>
  <c r="F92"/>
  <c r="J92"/>
  <c r="F93"/>
  <c r="J93"/>
  <c r="F94"/>
  <c r="J94"/>
  <c r="C95"/>
  <c r="D95"/>
  <c r="E95"/>
  <c r="G95"/>
  <c r="H95"/>
  <c r="I95"/>
  <c r="K95"/>
  <c r="L95"/>
  <c r="M95"/>
  <c r="N95"/>
  <c r="O95"/>
  <c r="F96"/>
  <c r="J96"/>
  <c r="F97"/>
  <c r="J97"/>
  <c r="C98"/>
  <c r="D98"/>
  <c r="E98"/>
  <c r="F98"/>
  <c r="G98"/>
  <c r="H98"/>
  <c r="I98"/>
  <c r="J98"/>
  <c r="K98"/>
  <c r="L98"/>
  <c r="M98"/>
  <c r="N98"/>
  <c r="O98"/>
  <c r="F99"/>
  <c r="J99"/>
  <c r="F100"/>
  <c r="F103" s="1"/>
  <c r="J100"/>
  <c r="F101"/>
  <c r="J101"/>
  <c r="F102"/>
  <c r="J102"/>
  <c r="C103"/>
  <c r="D103"/>
  <c r="E103"/>
  <c r="G103"/>
  <c r="H103"/>
  <c r="I103"/>
  <c r="J103"/>
  <c r="K103"/>
  <c r="L103"/>
  <c r="M103"/>
  <c r="N103"/>
  <c r="O103"/>
  <c r="F104"/>
  <c r="J104"/>
  <c r="F105"/>
  <c r="J105"/>
  <c r="F106"/>
  <c r="J106"/>
  <c r="F107"/>
  <c r="J107"/>
  <c r="F108"/>
  <c r="J108"/>
  <c r="C109"/>
  <c r="D109"/>
  <c r="E109"/>
  <c r="F109"/>
  <c r="G109"/>
  <c r="H109"/>
  <c r="I109"/>
  <c r="J109"/>
  <c r="K109"/>
  <c r="L109"/>
  <c r="M109"/>
  <c r="N109"/>
  <c r="O109"/>
  <c r="F110"/>
  <c r="J110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J116"/>
  <c r="K116"/>
  <c r="L116"/>
  <c r="M116"/>
  <c r="N116"/>
  <c r="O116"/>
  <c r="F117"/>
  <c r="J117"/>
  <c r="J119" s="1"/>
  <c r="F118"/>
  <c r="F119" s="1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F122"/>
  <c r="J122"/>
  <c r="F123"/>
  <c r="J123"/>
  <c r="F124"/>
  <c r="J124"/>
  <c r="C125"/>
  <c r="D125"/>
  <c r="E125"/>
  <c r="G125"/>
  <c r="H125"/>
  <c r="I125"/>
  <c r="J125"/>
  <c r="K125"/>
  <c r="L125"/>
  <c r="M125"/>
  <c r="N125"/>
  <c r="O125"/>
  <c r="F126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C145" s="1"/>
  <c r="D135"/>
  <c r="E135"/>
  <c r="F135"/>
  <c r="G135"/>
  <c r="G145" s="1"/>
  <c r="H135"/>
  <c r="I135"/>
  <c r="J135"/>
  <c r="K135"/>
  <c r="K145" s="1"/>
  <c r="L135"/>
  <c r="M135"/>
  <c r="N135"/>
  <c r="O135"/>
  <c r="O145" s="1"/>
  <c r="F136"/>
  <c r="J136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E144"/>
  <c r="E145" s="1"/>
  <c r="G144"/>
  <c r="H144"/>
  <c r="I144"/>
  <c r="I145" s="1"/>
  <c r="J144"/>
  <c r="K144"/>
  <c r="L144"/>
  <c r="M144"/>
  <c r="M145" s="1"/>
  <c r="N144"/>
  <c r="N145" s="1"/>
  <c r="O144"/>
  <c r="D145"/>
  <c r="H145"/>
  <c r="L145"/>
  <c r="F15" i="2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5" s="1"/>
  <c r="O135"/>
  <c r="F136"/>
  <c r="J136"/>
  <c r="J144" s="1"/>
  <c r="J145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O144"/>
  <c r="C145"/>
  <c r="G145"/>
  <c r="K145"/>
  <c r="O145"/>
  <c r="F145" l="1"/>
  <c r="F145" i="1"/>
  <c r="J145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<sst xmlns="http://schemas.openxmlformats.org/spreadsheetml/2006/main" count="544" uniqueCount="271">
  <si>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</si>
  <si>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</si>
  <si>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</si>
  <si>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</si>
  <si>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</si>
  <si>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</si>
  <si>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definitivi</t>
  </si>
  <si>
    <t>Periodo: luglio 2016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</si>
  <si>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</si>
  <si>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</si>
  <si>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</si>
  <si>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</si>
  <si>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</si>
  <si>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</si>
  <si>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</si>
  <si>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</si>
  <si>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</si>
  <si>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</si>
  <si>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</si>
  <si>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</si>
  <si>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</si>
  <si>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</si>
  <si>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</si>
  <si>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</si>
  <si>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</si>
  <si>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</si>
  <si>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</si>
  <si>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</si>
  <si>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</si>
  <si>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</si>
  <si>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</si>
  <si>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</si>
  <si>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</si>
  <si>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</si>
  <si>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</si>
  <si>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</si>
  <si>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</si>
  <si>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</si>
  <si>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</si>
  <si>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</si>
  <si>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</si>
  <si>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</si>
  <si>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</si>
  <si>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</si>
  <si>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</si>
  <si>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</si>
  <si>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</si>
  <si>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</si>
  <si>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</si>
  <si>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</si>
  <si>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</si>
  <si>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</si>
  <si>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</si>
  <si>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</si>
  <si>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</si>
  <si>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</si>
  <si>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</si>
  <si>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</si>
  <si>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</si>
  <si>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</si>
  <si>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</si>
  <si>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</si>
  <si>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</si>
  <si>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</si>
  <si>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</si>
  <si>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</si>
  <si>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</si>
  <si>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</si>
  <si>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</si>
  <si>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</si>
  <si>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</si>
  <si>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</si>
  <si>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</si>
  <si>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</si>
  <si>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</si>
  <si>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</si>
  <si>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</si>
  <si>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</si>
  <si>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</si>
  <si>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</si>
  <si>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</si>
  <si>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</si>
  <si>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</si>
  <si>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</si>
  <si>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</si>
  <si>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</si>
  <si>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</si>
  <si>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</si>
  <si>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</si>
  <si>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</si>
  <si>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</si>
  <si>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</si>
  <si>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</si>
  <si>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</si>
  <si>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</si>
  <si>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</si>
  <si>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</si>
  <si>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</si>
  <si>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</si>
  <si>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</si>
  <si>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</si>
  <si>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</si>
  <si>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</si>
  <si>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</si>
  <si>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</si>
  <si>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</si>
  <si>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</si>
  <si>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</si>
  <si>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</si>
  <si>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</si>
  <si>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</si>
  <si>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</si>
  <si>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</si>
  <si>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</si>
  <si>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</si>
  <si>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</si>
  <si>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</si>
  <si>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</si>
  <si>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</si>
  <si>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</si>
  <si>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</si>
  <si>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</si>
  <si>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</si>
  <si>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</si>
  <si>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</si>
  <si>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</si>
  <si>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</si>
  <si>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</si>
  <si>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</si>
  <si>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</si>
  <si>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</si>
  <si>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</si>
  <si>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</si>
  <si>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</si>
  <si>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</si>
  <si>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</si>
  <si>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</si>
  <si>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</si>
  <si>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</si>
  <si>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</si>
  <si>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</si>
  <si>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</si>
  <si>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</si>
  <si>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</si>
  <si>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</si>
  <si>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</si>
  <si>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</si>
  <si>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</si>
  <si>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</si>
  <si>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</si>
  <si>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</si>
  <si>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</si>
  <si>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</si>
  <si>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</si>
  <si>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</si>
  <si>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</si>
  <si>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</si>
  <si>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</si>
  <si>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</si>
  <si>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</si>
  <si>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</si>
  <si>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</si>
  <si>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</si>
  <si>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</si>
  <si>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</si>
  <si>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</si>
  <si>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</si>
  <si>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</si>
  <si>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</si>
  <si>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</si>
  <si>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</si>
  <si>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</si>
  <si>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</si>
  <si>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</si>
  <si>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</si>
  <si>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</si>
  <si>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</si>
  <si>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</si>
  <si>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</si>
  <si>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</si>
  <si>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</si>
  <si>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</si>
  <si>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</si>
  <si>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</si>
  <si>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</si>
  <si>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</si>
  <si>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</si>
  <si>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</si>
  <si>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</si>
  <si>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</si>
  <si>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</si>
  <si>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</si>
  <si>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</si>
  <si>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</si>
  <si>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</si>
  <si>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</si>
  <si>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</si>
  <si>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</si>
  <si>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</si>
  <si>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</si>
  <si>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</si>
  <si>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</si>
  <si>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</si>
  <si>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</si>
  <si>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</si>
  <si>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</si>
  <si>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</si>
  <si>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</si>
  <si>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</si>
  <si>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</si>
  <si>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</si>
  <si>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</si>
  <si>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</si>
  <si>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</si>
  <si>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</si>
  <si>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</si>
  <si>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</si>
  <si>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</si>
  <si>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</si>
  <si>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</si>
  <si>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</si>
  <si>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</si>
  <si>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</si>
  <si>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</si>
  <si>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</si>
  <si>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</si>
  <si>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</si>
  <si>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</si>
  <si>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</si>
  <si>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</si>
  <si>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</si>
  <si>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</si>
  <si>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</si>
  <si>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</si>
  <si>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</si>
  <si>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</si>
  <si>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</si>
  <si>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</si>
  <si>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</si>
  <si>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</si>
  <si>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</si>
  <si>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</si>
  <si>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</si>
  <si>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</si>
  <si>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</si>
  <si>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</si>
  <si>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</si>
  <si>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</si>
  <si>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</si>
  <si>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</si>
  <si>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</si>
  <si>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</si>
  <si>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</si>
  <si>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</si>
  <si>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</si>
  <si>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</si>
  <si>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</si>
  <si>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</si>
  <si>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</si>
  <si>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</si>
  <si>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</si>
  <si>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</si>
  <si>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</si>
  <si>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</si>
  <si>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</si>
  <si>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</si>
  <si>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</si>
  <si>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</si>
  <si>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</si>
  <si>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</si>
  <si>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gennaio-luglio 2016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</si>
</sst>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10560</v>
      </c>
      <c r="D15" s="28">
        <v>3715</v>
      </c>
      <c r="E15" s="28">
        <v>958</v>
      </c>
      <c r="F15" s="28">
        <f t="shared" ref="F15:F22" si="0">SUM(C15-D15-E15)</f>
        <v>5887</v>
      </c>
      <c r="G15" s="28">
        <v>32956</v>
      </c>
      <c r="H15" s="28">
        <v>9465</v>
      </c>
      <c r="I15" s="28">
        <v>3385</v>
      </c>
      <c r="J15" s="28">
        <f t="shared" ref="J15:J22" si="1">SUM(G15-H15-I15)</f>
        <v>20106</v>
      </c>
      <c r="K15" s="28">
        <v>277</v>
      </c>
      <c r="L15" s="28">
        <v>0</v>
      </c>
      <c r="M15" s="28">
        <v>4059</v>
      </c>
      <c r="N15" s="28">
        <v>1026</v>
      </c>
      <c r="O15" s="28">
        <v>1026</v>
      </c>
    </row>
    <row r="16" spans="1:15" ht="12.75" customHeight="1">
      <c r="A16" s="4" t="s">
        <v>29</v>
      </c>
      <c r="B16" s="5" t="s">
        <v>30</v>
      </c>
      <c r="C16" s="28">
        <v>4205</v>
      </c>
      <c r="D16" s="28">
        <v>1794</v>
      </c>
      <c r="E16" s="28">
        <v>130</v>
      </c>
      <c r="F16" s="28">
        <f t="shared" si="0"/>
        <v>2281</v>
      </c>
      <c r="G16" s="28">
        <v>23462</v>
      </c>
      <c r="H16" s="28">
        <v>4078</v>
      </c>
      <c r="I16" s="28">
        <v>563</v>
      </c>
      <c r="J16" s="28">
        <f t="shared" si="1"/>
        <v>18821</v>
      </c>
      <c r="K16" s="28">
        <v>127</v>
      </c>
      <c r="L16" s="28">
        <v>0</v>
      </c>
      <c r="M16" s="28">
        <v>2526</v>
      </c>
      <c r="N16" s="28">
        <v>28</v>
      </c>
      <c r="O16" s="28">
        <v>28</v>
      </c>
    </row>
    <row r="17" spans="1:15" ht="12.75" customHeight="1">
      <c r="A17" s="4" t="s">
        <v>31</v>
      </c>
      <c r="B17" s="5" t="s">
        <v>32</v>
      </c>
      <c r="C17" s="28">
        <v>1792</v>
      </c>
      <c r="D17" s="28">
        <v>1669</v>
      </c>
      <c r="E17" s="28">
        <v>0</v>
      </c>
      <c r="F17" s="28">
        <f t="shared" si="0"/>
        <v>123</v>
      </c>
      <c r="G17" s="28">
        <v>3429</v>
      </c>
      <c r="H17" s="28">
        <v>2918</v>
      </c>
      <c r="I17" s="28">
        <v>0</v>
      </c>
      <c r="J17" s="28">
        <f t="shared" si="1"/>
        <v>511</v>
      </c>
      <c r="K17" s="28">
        <v>88</v>
      </c>
      <c r="L17" s="28">
        <v>0</v>
      </c>
      <c r="M17" s="28">
        <v>90</v>
      </c>
      <c r="N17" s="28">
        <v>27</v>
      </c>
      <c r="O17" s="28">
        <v>27</v>
      </c>
    </row>
    <row r="18" spans="1:15" ht="12.75" customHeight="1">
      <c r="A18" s="4" t="s">
        <v>33</v>
      </c>
      <c r="B18" s="5" t="s">
        <v>34</v>
      </c>
      <c r="C18" s="28">
        <v>6032</v>
      </c>
      <c r="D18" s="28">
        <v>4560</v>
      </c>
      <c r="E18" s="28">
        <v>179</v>
      </c>
      <c r="F18" s="28">
        <f t="shared" si="0"/>
        <v>1293</v>
      </c>
      <c r="G18" s="28">
        <v>13391</v>
      </c>
      <c r="H18" s="28">
        <v>10529</v>
      </c>
      <c r="I18" s="28">
        <v>549</v>
      </c>
      <c r="J18" s="28">
        <f t="shared" si="1"/>
        <v>2313</v>
      </c>
      <c r="K18" s="28">
        <v>299</v>
      </c>
      <c r="L18" s="28">
        <v>0</v>
      </c>
      <c r="M18" s="28">
        <v>1376</v>
      </c>
      <c r="N18" s="28">
        <v>132</v>
      </c>
      <c r="O18" s="28">
        <v>132</v>
      </c>
    </row>
    <row r="19" spans="1:15" ht="12.75" customHeight="1">
      <c r="A19" s="4" t="s">
        <v>35</v>
      </c>
      <c r="B19" s="5" t="s">
        <v>36</v>
      </c>
      <c r="C19" s="28">
        <v>4099</v>
      </c>
      <c r="D19" s="28">
        <v>3687</v>
      </c>
      <c r="E19" s="28">
        <v>215</v>
      </c>
      <c r="F19" s="28">
        <f t="shared" si="0"/>
        <v>197</v>
      </c>
      <c r="G19" s="28">
        <v>9989</v>
      </c>
      <c r="H19" s="28">
        <v>8057</v>
      </c>
      <c r="I19" s="28">
        <v>838</v>
      </c>
      <c r="J19" s="28">
        <f t="shared" si="1"/>
        <v>1094</v>
      </c>
      <c r="K19" s="28">
        <v>26</v>
      </c>
      <c r="L19" s="28">
        <v>0</v>
      </c>
      <c r="M19" s="28">
        <v>14</v>
      </c>
      <c r="N19" s="28">
        <v>192</v>
      </c>
      <c r="O19" s="28">
        <v>192</v>
      </c>
    </row>
    <row r="20" spans="1:15" ht="12.75" customHeight="1">
      <c r="A20" s="4" t="s">
        <v>37</v>
      </c>
      <c r="B20" s="5" t="s">
        <v>38</v>
      </c>
      <c r="C20" s="28">
        <v>21139</v>
      </c>
      <c r="D20" s="28">
        <v>19453</v>
      </c>
      <c r="E20" s="28">
        <v>790</v>
      </c>
      <c r="F20" s="28">
        <f t="shared" si="0"/>
        <v>896</v>
      </c>
      <c r="G20" s="28">
        <v>49527</v>
      </c>
      <c r="H20" s="28">
        <v>39590</v>
      </c>
      <c r="I20" s="28">
        <v>3421</v>
      </c>
      <c r="J20" s="28">
        <f t="shared" si="1"/>
        <v>6516</v>
      </c>
      <c r="K20" s="28">
        <v>663</v>
      </c>
      <c r="L20" s="28">
        <v>0</v>
      </c>
      <c r="M20" s="28">
        <v>1234</v>
      </c>
      <c r="N20" s="28">
        <v>1265</v>
      </c>
      <c r="O20" s="28">
        <v>1265</v>
      </c>
    </row>
    <row r="21" spans="1:15" ht="12.75" customHeight="1">
      <c r="A21" s="4" t="s">
        <v>39</v>
      </c>
      <c r="B21" s="5" t="s">
        <v>40</v>
      </c>
      <c r="C21" s="28">
        <v>1972</v>
      </c>
      <c r="D21" s="28">
        <v>1972</v>
      </c>
      <c r="E21" s="28">
        <v>0</v>
      </c>
      <c r="F21" s="28">
        <f t="shared" si="0"/>
        <v>0</v>
      </c>
      <c r="G21" s="28">
        <v>3050</v>
      </c>
      <c r="H21" s="28">
        <v>3049</v>
      </c>
      <c r="I21" s="28">
        <v>0</v>
      </c>
      <c r="J21" s="28">
        <f t="shared" si="1"/>
        <v>1</v>
      </c>
      <c r="K21" s="28">
        <v>0</v>
      </c>
      <c r="L21" s="28">
        <v>0</v>
      </c>
      <c r="M21" s="28">
        <v>0</v>
      </c>
      <c r="N21" s="28">
        <v>15</v>
      </c>
      <c r="O21" s="28">
        <v>15</v>
      </c>
    </row>
    <row r="22" spans="1:15" ht="12.75" customHeight="1">
      <c r="A22" s="4" t="s">
        <v>41</v>
      </c>
      <c r="B22" s="5" t="s">
        <v>42</v>
      </c>
      <c r="C22" s="28">
        <v>1727</v>
      </c>
      <c r="D22" s="28">
        <v>1410</v>
      </c>
      <c r="E22" s="28">
        <v>279</v>
      </c>
      <c r="F22" s="28">
        <f t="shared" si="0"/>
        <v>38</v>
      </c>
      <c r="G22" s="28">
        <v>4256</v>
      </c>
      <c r="H22" s="28">
        <v>2893</v>
      </c>
      <c r="I22" s="28">
        <v>857</v>
      </c>
      <c r="J22" s="28">
        <f t="shared" si="1"/>
        <v>506</v>
      </c>
      <c r="K22" s="28">
        <v>151</v>
      </c>
      <c r="L22" s="28">
        <v>0</v>
      </c>
      <c r="M22" s="28">
        <v>514</v>
      </c>
      <c r="N22" s="28">
        <v>28</v>
      </c>
      <c r="O22" s="28">
        <v>28</v>
      </c>
    </row>
    <row r="23" spans="1:15" ht="12.75" customHeight="1">
      <c r="A23" s="8"/>
      <c r="B23" s="9" t="s">
        <v>43</v>
      </c>
      <c r="C23" s="29">
        <f t="shared" ref="C23:O23" si="2">SUM(C15:C22)</f>
        <v>51526</v>
      </c>
      <c r="D23" s="29">
        <f t="shared" si="2"/>
        <v>38260</v>
      </c>
      <c r="E23" s="29">
        <f t="shared" si="2"/>
        <v>2551</v>
      </c>
      <c r="F23" s="29">
        <f t="shared" si="2"/>
        <v>10715</v>
      </c>
      <c r="G23" s="29">
        <f t="shared" si="2"/>
        <v>140060</v>
      </c>
      <c r="H23" s="29">
        <f t="shared" si="2"/>
        <v>80579</v>
      </c>
      <c r="I23" s="29">
        <f t="shared" si="2"/>
        <v>9613</v>
      </c>
      <c r="J23" s="29">
        <f t="shared" si="2"/>
        <v>49868</v>
      </c>
      <c r="K23" s="29">
        <f t="shared" si="2"/>
        <v>1631</v>
      </c>
      <c r="L23" s="29">
        <f t="shared" si="2"/>
        <v>0</v>
      </c>
      <c r="M23" s="29">
        <f t="shared" si="2"/>
        <v>9813</v>
      </c>
      <c r="N23" s="29">
        <f t="shared" si="2"/>
        <v>2713</v>
      </c>
      <c r="O23" s="29">
        <f t="shared" si="2"/>
        <v>2713</v>
      </c>
    </row>
    <row r="24" spans="1:15" ht="14.25" customHeight="1">
      <c r="A24" s="4" t="s">
        <v>44</v>
      </c>
      <c r="B24" s="5" t="s">
        <v>45</v>
      </c>
      <c r="C24" s="28">
        <v>1898</v>
      </c>
      <c r="D24" s="28">
        <v>1490</v>
      </c>
      <c r="E24" s="28">
        <v>240</v>
      </c>
      <c r="F24" s="28">
        <f>SUM(C24-D24-E24)</f>
        <v>168</v>
      </c>
      <c r="G24" s="28">
        <v>3742</v>
      </c>
      <c r="H24" s="28">
        <v>2471</v>
      </c>
      <c r="I24" s="28">
        <v>634</v>
      </c>
      <c r="J24" s="28">
        <f>SUM(G24-H24-I24)</f>
        <v>637</v>
      </c>
      <c r="K24" s="28">
        <v>279</v>
      </c>
      <c r="L24" s="28">
        <v>0</v>
      </c>
      <c r="M24" s="28">
        <v>153</v>
      </c>
      <c r="N24" s="28">
        <v>212</v>
      </c>
      <c r="O24" s="28">
        <v>212</v>
      </c>
    </row>
    <row r="25" spans="1:15" ht="14.25" customHeight="1">
      <c r="A25" s="10"/>
      <c r="B25" s="9" t="s">
        <v>46</v>
      </c>
      <c r="C25" s="29">
        <f t="shared" ref="C25:O25" si="3">SUM(C24)</f>
        <v>1898</v>
      </c>
      <c r="D25" s="29">
        <f t="shared" si="3"/>
        <v>1490</v>
      </c>
      <c r="E25" s="29">
        <f t="shared" si="3"/>
        <v>240</v>
      </c>
      <c r="F25" s="29">
        <f t="shared" si="3"/>
        <v>168</v>
      </c>
      <c r="G25" s="29">
        <f t="shared" si="3"/>
        <v>3742</v>
      </c>
      <c r="H25" s="29">
        <f t="shared" si="3"/>
        <v>2471</v>
      </c>
      <c r="I25" s="29">
        <f t="shared" si="3"/>
        <v>634</v>
      </c>
      <c r="J25" s="29">
        <f t="shared" si="3"/>
        <v>637</v>
      </c>
      <c r="K25" s="29">
        <f t="shared" si="3"/>
        <v>279</v>
      </c>
      <c r="L25" s="29">
        <f t="shared" si="3"/>
        <v>0</v>
      </c>
      <c r="M25" s="29">
        <f t="shared" si="3"/>
        <v>153</v>
      </c>
      <c r="N25" s="29">
        <f t="shared" si="3"/>
        <v>212</v>
      </c>
      <c r="O25" s="29">
        <f t="shared" si="3"/>
        <v>212</v>
      </c>
    </row>
    <row r="26" spans="1:15" ht="12.75" customHeight="1">
      <c r="A26" s="4" t="s">
        <v>47</v>
      </c>
      <c r="B26" s="5" t="s">
        <v>48</v>
      </c>
      <c r="C26" s="28">
        <v>15945</v>
      </c>
      <c r="D26" s="28">
        <v>7455</v>
      </c>
      <c r="E26" s="28">
        <v>729</v>
      </c>
      <c r="F26" s="28">
        <f>SUM(C26-D26-E26)</f>
        <v>7761</v>
      </c>
      <c r="G26" s="28">
        <v>34035</v>
      </c>
      <c r="H26" s="28">
        <v>11895</v>
      </c>
      <c r="I26" s="28">
        <v>1974</v>
      </c>
      <c r="J26" s="28">
        <f>SUM(G26-H26-I26)</f>
        <v>20166</v>
      </c>
      <c r="K26" s="28">
        <v>1645</v>
      </c>
      <c r="L26" s="28">
        <v>0</v>
      </c>
      <c r="M26" s="28">
        <v>1928</v>
      </c>
      <c r="N26" s="28">
        <v>136</v>
      </c>
      <c r="O26" s="28">
        <v>136</v>
      </c>
    </row>
    <row r="27" spans="1:15" ht="12.75" customHeight="1">
      <c r="A27" s="4" t="s">
        <v>49</v>
      </c>
      <c r="B27" s="5" t="s">
        <v>50</v>
      </c>
      <c r="C27" s="28">
        <v>2877</v>
      </c>
      <c r="D27" s="28">
        <v>2525</v>
      </c>
      <c r="E27" s="28">
        <v>267</v>
      </c>
      <c r="F27" s="28">
        <f>SUM(C27-D27-E27)</f>
        <v>85</v>
      </c>
      <c r="G27" s="28">
        <v>5387</v>
      </c>
      <c r="H27" s="28">
        <v>3454</v>
      </c>
      <c r="I27" s="28">
        <v>758</v>
      </c>
      <c r="J27" s="28">
        <f>SUM(G27-H27-I27)</f>
        <v>1175</v>
      </c>
      <c r="K27" s="28">
        <v>104</v>
      </c>
      <c r="L27" s="28">
        <v>0</v>
      </c>
      <c r="M27" s="28">
        <v>91</v>
      </c>
      <c r="N27" s="28">
        <v>26</v>
      </c>
      <c r="O27" s="28">
        <v>26</v>
      </c>
    </row>
    <row r="28" spans="1:15" ht="12.75" customHeight="1">
      <c r="A28" s="4" t="s">
        <v>51</v>
      </c>
      <c r="B28" s="5" t="s">
        <v>52</v>
      </c>
      <c r="C28" s="28">
        <v>3257</v>
      </c>
      <c r="D28" s="28">
        <v>2115</v>
      </c>
      <c r="E28" s="28">
        <v>393</v>
      </c>
      <c r="F28" s="28">
        <f>SUM(C28-D28-E28)</f>
        <v>749</v>
      </c>
      <c r="G28" s="28">
        <v>7857</v>
      </c>
      <c r="H28" s="28">
        <v>3828</v>
      </c>
      <c r="I28" s="28">
        <v>1492</v>
      </c>
      <c r="J28" s="28">
        <f>SUM(G28-H28-I28)</f>
        <v>2537</v>
      </c>
      <c r="K28" s="28">
        <v>22</v>
      </c>
      <c r="L28" s="28">
        <v>0</v>
      </c>
      <c r="M28" s="28">
        <v>215</v>
      </c>
      <c r="N28" s="28">
        <v>27</v>
      </c>
      <c r="O28" s="28">
        <v>27</v>
      </c>
    </row>
    <row r="29" spans="1:15" ht="12.75" customHeight="1">
      <c r="A29" s="4" t="s">
        <v>53</v>
      </c>
      <c r="B29" s="5" t="s">
        <v>54</v>
      </c>
      <c r="C29" s="28">
        <v>3873</v>
      </c>
      <c r="D29" s="28">
        <v>3207</v>
      </c>
      <c r="E29" s="28">
        <v>590</v>
      </c>
      <c r="F29" s="28">
        <f>SUM(C29-D29-E29)</f>
        <v>76</v>
      </c>
      <c r="G29" s="28">
        <v>7407</v>
      </c>
      <c r="H29" s="28">
        <v>5654</v>
      </c>
      <c r="I29" s="28">
        <v>1617</v>
      </c>
      <c r="J29" s="28">
        <f>SUM(G29-H29-I29)</f>
        <v>136</v>
      </c>
      <c r="K29" s="28">
        <v>0</v>
      </c>
      <c r="L29" s="28">
        <v>0</v>
      </c>
      <c r="M29" s="28">
        <v>0</v>
      </c>
      <c r="N29" s="28">
        <v>26</v>
      </c>
      <c r="O29" s="28">
        <v>26</v>
      </c>
    </row>
    <row r="30" spans="1:15" ht="12.75" customHeight="1">
      <c r="A30" s="8"/>
      <c r="B30" s="9" t="s">
        <v>55</v>
      </c>
      <c r="C30" s="29">
        <f t="shared" ref="C30:O30" si="4">SUM(C26:C29)</f>
        <v>25952</v>
      </c>
      <c r="D30" s="29">
        <f t="shared" si="4"/>
        <v>15302</v>
      </c>
      <c r="E30" s="29">
        <f t="shared" si="4"/>
        <v>1979</v>
      </c>
      <c r="F30" s="29">
        <f t="shared" si="4"/>
        <v>8671</v>
      </c>
      <c r="G30" s="29">
        <f t="shared" si="4"/>
        <v>54686</v>
      </c>
      <c r="H30" s="29">
        <f t="shared" si="4"/>
        <v>24831</v>
      </c>
      <c r="I30" s="29">
        <f t="shared" si="4"/>
        <v>5841</v>
      </c>
      <c r="J30" s="29">
        <f t="shared" si="4"/>
        <v>24014</v>
      </c>
      <c r="K30" s="29">
        <f t="shared" si="4"/>
        <v>1771</v>
      </c>
      <c r="L30" s="29">
        <f t="shared" si="4"/>
        <v>0</v>
      </c>
      <c r="M30" s="29">
        <f t="shared" si="4"/>
        <v>2234</v>
      </c>
      <c r="N30" s="29">
        <f t="shared" si="4"/>
        <v>215</v>
      </c>
      <c r="O30" s="29">
        <f t="shared" si="4"/>
        <v>215</v>
      </c>
    </row>
    <row r="31" spans="1:15" ht="12.75" customHeight="1">
      <c r="A31" s="4" t="s">
        <v>56</v>
      </c>
      <c r="B31" s="5" t="s">
        <v>57</v>
      </c>
      <c r="C31" s="28">
        <v>9609</v>
      </c>
      <c r="D31" s="28">
        <v>9048</v>
      </c>
      <c r="E31" s="28">
        <v>272</v>
      </c>
      <c r="F31" s="28">
        <f t="shared" ref="F31:F42" si="5">SUM(C31-D31-E31)</f>
        <v>289</v>
      </c>
      <c r="G31" s="28">
        <v>24998</v>
      </c>
      <c r="H31" s="28">
        <v>17338</v>
      </c>
      <c r="I31" s="28">
        <v>932</v>
      </c>
      <c r="J31" s="28">
        <f t="shared" ref="J31:J42" si="6">SUM(G31-H31-I31)</f>
        <v>6728</v>
      </c>
      <c r="K31" s="28">
        <v>108</v>
      </c>
      <c r="L31" s="28">
        <v>0</v>
      </c>
      <c r="M31" s="28">
        <v>432</v>
      </c>
      <c r="N31" s="28">
        <v>85</v>
      </c>
      <c r="O31" s="28">
        <v>85</v>
      </c>
    </row>
    <row r="32" spans="1:15" ht="12.75" customHeight="1">
      <c r="A32" s="4" t="s">
        <v>58</v>
      </c>
      <c r="B32" s="5" t="s">
        <v>59</v>
      </c>
      <c r="C32" s="28">
        <v>13305</v>
      </c>
      <c r="D32" s="28">
        <v>11511</v>
      </c>
      <c r="E32" s="28">
        <v>789</v>
      </c>
      <c r="F32" s="28">
        <f t="shared" si="5"/>
        <v>1005</v>
      </c>
      <c r="G32" s="28">
        <v>47223</v>
      </c>
      <c r="H32" s="28">
        <v>26493</v>
      </c>
      <c r="I32" s="28">
        <v>2982</v>
      </c>
      <c r="J32" s="28">
        <f t="shared" si="6"/>
        <v>17748</v>
      </c>
      <c r="K32" s="28">
        <v>787</v>
      </c>
      <c r="L32" s="28">
        <v>0</v>
      </c>
      <c r="M32" s="28">
        <v>9362</v>
      </c>
      <c r="N32" s="28">
        <v>432</v>
      </c>
      <c r="O32" s="28">
        <v>432</v>
      </c>
    </row>
    <row r="33" spans="1:256" ht="12.75" customHeight="1">
      <c r="A33" s="4" t="s">
        <v>60</v>
      </c>
      <c r="B33" s="5" t="s">
        <v>61</v>
      </c>
      <c r="C33" s="28">
        <v>7433</v>
      </c>
      <c r="D33" s="28">
        <v>5924</v>
      </c>
      <c r="E33" s="28">
        <v>365</v>
      </c>
      <c r="F33" s="28">
        <f t="shared" si="5"/>
        <v>1144</v>
      </c>
      <c r="G33" s="28">
        <v>26251</v>
      </c>
      <c r="H33" s="28">
        <v>7548</v>
      </c>
      <c r="I33" s="28">
        <v>827</v>
      </c>
      <c r="J33" s="28">
        <f t="shared" si="6"/>
        <v>17876</v>
      </c>
      <c r="K33" s="28">
        <v>557</v>
      </c>
      <c r="L33" s="28">
        <v>30</v>
      </c>
      <c r="M33" s="28">
        <v>4365</v>
      </c>
      <c r="N33" s="28">
        <v>232</v>
      </c>
      <c r="O33" s="28">
        <v>232</v>
      </c>
    </row>
    <row r="34" spans="1:256" ht="12.75" customHeight="1">
      <c r="A34" s="4" t="s">
        <v>62</v>
      </c>
      <c r="B34" s="5" t="s">
        <v>63</v>
      </c>
      <c r="C34" s="28">
        <v>10539</v>
      </c>
      <c r="D34" s="28">
        <v>2521</v>
      </c>
      <c r="E34" s="28">
        <v>73</v>
      </c>
      <c r="F34" s="28">
        <f t="shared" si="5"/>
        <v>7945</v>
      </c>
      <c r="G34" s="28">
        <v>24568</v>
      </c>
      <c r="H34" s="28">
        <v>6258</v>
      </c>
      <c r="I34" s="28">
        <v>248</v>
      </c>
      <c r="J34" s="28">
        <f t="shared" si="6"/>
        <v>18062</v>
      </c>
      <c r="K34" s="28">
        <v>85</v>
      </c>
      <c r="L34" s="28">
        <v>0</v>
      </c>
      <c r="M34" s="28">
        <v>5497</v>
      </c>
      <c r="N34" s="28">
        <v>13</v>
      </c>
      <c r="O34" s="28">
        <v>13</v>
      </c>
    </row>
    <row r="35" spans="1:256" ht="12.75" customHeight="1">
      <c r="A35" s="4" t="s">
        <v>64</v>
      </c>
      <c r="B35" s="5" t="s">
        <v>65</v>
      </c>
      <c r="C35" s="28">
        <v>3508</v>
      </c>
      <c r="D35" s="28">
        <v>3508</v>
      </c>
      <c r="E35" s="28">
        <v>0</v>
      </c>
      <c r="F35" s="28">
        <f t="shared" si="5"/>
        <v>0</v>
      </c>
      <c r="G35" s="28">
        <v>5969</v>
      </c>
      <c r="H35" s="28">
        <v>5708</v>
      </c>
      <c r="I35" s="28">
        <v>0</v>
      </c>
      <c r="J35" s="28">
        <f t="shared" si="6"/>
        <v>261</v>
      </c>
      <c r="K35" s="28">
        <v>5</v>
      </c>
      <c r="L35" s="28">
        <v>0</v>
      </c>
      <c r="M35" s="28">
        <v>31</v>
      </c>
      <c r="N35" s="28">
        <v>169</v>
      </c>
      <c r="O35" s="28">
        <v>169</v>
      </c>
    </row>
    <row r="36" spans="1:256" ht="12.75" customHeight="1">
      <c r="A36" s="4" t="s">
        <v>66</v>
      </c>
      <c r="B36" s="5" t="s">
        <v>67</v>
      </c>
      <c r="C36" s="28">
        <v>2050</v>
      </c>
      <c r="D36" s="28">
        <v>1667</v>
      </c>
      <c r="E36" s="28">
        <v>332</v>
      </c>
      <c r="F36" s="28">
        <f t="shared" si="5"/>
        <v>51</v>
      </c>
      <c r="G36" s="28">
        <v>5936</v>
      </c>
      <c r="H36" s="28">
        <v>4216</v>
      </c>
      <c r="I36" s="28">
        <v>1261</v>
      </c>
      <c r="J36" s="28">
        <f t="shared" si="6"/>
        <v>459</v>
      </c>
      <c r="K36" s="28">
        <v>2</v>
      </c>
      <c r="L36" s="28">
        <v>0</v>
      </c>
      <c r="M36" s="28">
        <v>378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3560</v>
      </c>
      <c r="D37" s="28">
        <v>2959</v>
      </c>
      <c r="E37" s="28">
        <v>129</v>
      </c>
      <c r="F37" s="28">
        <f t="shared" si="5"/>
        <v>472</v>
      </c>
      <c r="G37" s="28">
        <v>13749</v>
      </c>
      <c r="H37" s="28">
        <v>7398</v>
      </c>
      <c r="I37" s="28">
        <v>315</v>
      </c>
      <c r="J37" s="28">
        <f t="shared" si="6"/>
        <v>6036</v>
      </c>
      <c r="K37" s="28">
        <v>154</v>
      </c>
      <c r="L37" s="28">
        <v>0</v>
      </c>
      <c r="M37" s="28">
        <v>3851</v>
      </c>
      <c r="N37" s="28">
        <v>688</v>
      </c>
      <c r="O37" s="28">
        <v>688</v>
      </c>
    </row>
    <row r="38" spans="1:256" ht="12.75" customHeight="1">
      <c r="A38" s="4" t="s">
        <v>70</v>
      </c>
      <c r="B38" s="5" t="s">
        <v>71</v>
      </c>
      <c r="C38" s="28">
        <v>50584</v>
      </c>
      <c r="D38" s="28">
        <v>37289</v>
      </c>
      <c r="E38" s="28">
        <v>1946</v>
      </c>
      <c r="F38" s="28">
        <f t="shared" si="5"/>
        <v>11349</v>
      </c>
      <c r="G38" s="28">
        <v>142273</v>
      </c>
      <c r="H38" s="28">
        <v>63273</v>
      </c>
      <c r="I38" s="28">
        <v>6748</v>
      </c>
      <c r="J38" s="28">
        <f t="shared" si="6"/>
        <v>72252</v>
      </c>
      <c r="K38" s="28">
        <v>3154</v>
      </c>
      <c r="L38" s="28">
        <v>0</v>
      </c>
      <c r="M38" s="28">
        <v>12226</v>
      </c>
      <c r="N38" s="28">
        <v>7128</v>
      </c>
      <c r="O38" s="28">
        <v>7128</v>
      </c>
    </row>
    <row r="39" spans="1:256" ht="12.75" customHeight="1">
      <c r="A39" s="4" t="s">
        <v>72</v>
      </c>
      <c r="B39" s="5" t="s">
        <v>73</v>
      </c>
      <c r="C39" s="28">
        <v>7081</v>
      </c>
      <c r="D39" s="28">
        <v>6609</v>
      </c>
      <c r="E39" s="28">
        <v>273</v>
      </c>
      <c r="F39" s="28">
        <f t="shared" si="5"/>
        <v>199</v>
      </c>
      <c r="G39" s="28">
        <v>12953</v>
      </c>
      <c r="H39" s="28">
        <v>11131</v>
      </c>
      <c r="I39" s="28">
        <v>1335</v>
      </c>
      <c r="J39" s="28">
        <f t="shared" si="6"/>
        <v>487</v>
      </c>
      <c r="K39" s="28">
        <v>14</v>
      </c>
      <c r="L39" s="28">
        <v>0</v>
      </c>
      <c r="M39" s="28">
        <v>8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5124</v>
      </c>
      <c r="D40" s="28">
        <v>4621</v>
      </c>
      <c r="E40" s="28">
        <v>322</v>
      </c>
      <c r="F40" s="28">
        <f t="shared" si="5"/>
        <v>181</v>
      </c>
      <c r="G40" s="28">
        <v>13826</v>
      </c>
      <c r="H40" s="28">
        <v>9306</v>
      </c>
      <c r="I40" s="28">
        <v>1166</v>
      </c>
      <c r="J40" s="28">
        <f t="shared" si="6"/>
        <v>3354</v>
      </c>
      <c r="K40" s="28">
        <v>114</v>
      </c>
      <c r="L40" s="28">
        <v>0</v>
      </c>
      <c r="M40" s="28">
        <v>2439</v>
      </c>
      <c r="N40" s="28">
        <v>38</v>
      </c>
      <c r="O40" s="28">
        <v>38</v>
      </c>
    </row>
    <row r="41" spans="1:256" ht="12.75" customHeight="1">
      <c r="A41" s="4" t="s">
        <v>76</v>
      </c>
      <c r="B41" s="5" t="s">
        <v>77</v>
      </c>
      <c r="C41" s="28">
        <v>2196</v>
      </c>
      <c r="D41" s="28">
        <v>1694</v>
      </c>
      <c r="E41" s="28">
        <v>0</v>
      </c>
      <c r="F41" s="28">
        <f t="shared" si="5"/>
        <v>502</v>
      </c>
      <c r="G41" s="28">
        <v>5117</v>
      </c>
      <c r="H41" s="28">
        <v>3882</v>
      </c>
      <c r="I41" s="28">
        <v>0</v>
      </c>
      <c r="J41" s="28">
        <f t="shared" si="6"/>
        <v>1235</v>
      </c>
      <c r="K41" s="28">
        <v>241</v>
      </c>
      <c r="L41" s="28">
        <v>0</v>
      </c>
      <c r="M41" s="28">
        <v>63</v>
      </c>
      <c r="N41" s="28">
        <v>502</v>
      </c>
      <c r="O41" s="28">
        <v>502</v>
      </c>
    </row>
    <row r="42" spans="1:256" ht="12.75" customHeight="1">
      <c r="A42" s="4" t="s">
        <v>78</v>
      </c>
      <c r="B42" s="5" t="s">
        <v>79</v>
      </c>
      <c r="C42" s="28">
        <v>11919</v>
      </c>
      <c r="D42" s="28">
        <v>9813</v>
      </c>
      <c r="E42" s="28">
        <v>352</v>
      </c>
      <c r="F42" s="28">
        <f t="shared" si="5"/>
        <v>1754</v>
      </c>
      <c r="G42" s="28">
        <v>19392</v>
      </c>
      <c r="H42" s="28">
        <v>15517</v>
      </c>
      <c r="I42" s="28">
        <v>750</v>
      </c>
      <c r="J42" s="28">
        <f t="shared" si="6"/>
        <v>3125</v>
      </c>
      <c r="K42" s="28">
        <v>247</v>
      </c>
      <c r="L42" s="28">
        <v>0</v>
      </c>
      <c r="M42" s="28">
        <v>5</v>
      </c>
      <c r="N42" s="28">
        <v>58</v>
      </c>
      <c r="O42" s="28">
        <v>58</v>
      </c>
    </row>
    <row r="43" spans="1:256" ht="12.75" customHeight="1">
      <c r="A43" s="8"/>
      <c r="B43" s="9" t="s">
        <v>80</v>
      </c>
      <c r="C43" s="29">
        <f t="shared" ref="C43:O43" si="7">SUM(C31:C42)</f>
        <v>126908</v>
      </c>
      <c r="D43" s="29">
        <f t="shared" si="7"/>
        <v>97164</v>
      </c>
      <c r="E43" s="29">
        <f t="shared" si="7"/>
        <v>4853</v>
      </c>
      <c r="F43" s="29">
        <f t="shared" si="7"/>
        <v>24891</v>
      </c>
      <c r="G43" s="29">
        <f t="shared" si="7"/>
        <v>342255</v>
      </c>
      <c r="H43" s="29">
        <f t="shared" si="7"/>
        <v>178068</v>
      </c>
      <c r="I43" s="29">
        <f t="shared" si="7"/>
        <v>16564</v>
      </c>
      <c r="J43" s="29">
        <f t="shared" si="7"/>
        <v>147623</v>
      </c>
      <c r="K43" s="29">
        <f t="shared" si="7"/>
        <v>5468</v>
      </c>
      <c r="L43" s="29">
        <f t="shared" si="7"/>
        <v>30</v>
      </c>
      <c r="M43" s="29">
        <f t="shared" si="7"/>
        <v>38657</v>
      </c>
      <c r="N43" s="29">
        <f t="shared" si="7"/>
        <v>9345</v>
      </c>
      <c r="O43" s="29">
        <f t="shared" si="7"/>
        <v>9345</v>
      </c>
    </row>
    <row r="44" spans="1:256" ht="12.75" customHeight="1">
      <c r="A44" s="4" t="s">
        <v>81</v>
      </c>
      <c r="B44" s="5" t="s">
        <v>82</v>
      </c>
      <c r="C44" s="28">
        <v>6648</v>
      </c>
      <c r="D44" s="28">
        <v>5695</v>
      </c>
      <c r="E44" s="28">
        <v>276</v>
      </c>
      <c r="F44" s="28">
        <f>SUM(C44-D44-E44)</f>
        <v>677</v>
      </c>
      <c r="G44" s="28">
        <v>18720</v>
      </c>
      <c r="H44" s="28">
        <v>12141</v>
      </c>
      <c r="I44" s="28">
        <v>646</v>
      </c>
      <c r="J44" s="28">
        <f>SUM(G44-H44-I44)</f>
        <v>5933</v>
      </c>
      <c r="K44" s="28">
        <v>588</v>
      </c>
      <c r="L44" s="28">
        <v>804</v>
      </c>
      <c r="M44" s="28">
        <v>497</v>
      </c>
      <c r="N44" s="28">
        <v>172</v>
      </c>
      <c r="O44" s="28">
        <v>172</v>
      </c>
    </row>
    <row r="45" spans="1:256" ht="12.75" customHeight="1">
      <c r="A45" s="4" t="s">
        <v>83</v>
      </c>
      <c r="B45" s="5" t="s">
        <v>84</v>
      </c>
      <c r="C45" s="28">
        <v>8173</v>
      </c>
      <c r="D45" s="28">
        <v>6476</v>
      </c>
      <c r="E45" s="28">
        <v>383</v>
      </c>
      <c r="F45" s="28">
        <f>SUM(C45-D45-E45)</f>
        <v>1314</v>
      </c>
      <c r="G45" s="28">
        <v>24579</v>
      </c>
      <c r="H45" s="28">
        <v>13408</v>
      </c>
      <c r="I45" s="28">
        <v>1051</v>
      </c>
      <c r="J45" s="28">
        <f>SUM(G45-H45-I45)</f>
        <v>10120</v>
      </c>
      <c r="K45" s="28">
        <v>2248</v>
      </c>
      <c r="L45" s="28">
        <v>0</v>
      </c>
      <c r="M45" s="28">
        <v>1814</v>
      </c>
      <c r="N45" s="28">
        <v>81</v>
      </c>
      <c r="O45" s="28">
        <v>81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14821</v>
      </c>
      <c r="D46" s="29">
        <f t="shared" si="8"/>
        <v>12171</v>
      </c>
      <c r="E46" s="29">
        <f t="shared" si="8"/>
        <v>659</v>
      </c>
      <c r="F46" s="29">
        <f t="shared" si="8"/>
        <v>1991</v>
      </c>
      <c r="G46" s="29">
        <f t="shared" si="8"/>
        <v>43299</v>
      </c>
      <c r="H46" s="29">
        <f t="shared" si="8"/>
        <v>25549</v>
      </c>
      <c r="I46" s="29">
        <f t="shared" si="8"/>
        <v>1697</v>
      </c>
      <c r="J46" s="29">
        <f t="shared" si="8"/>
        <v>16053</v>
      </c>
      <c r="K46" s="29">
        <f t="shared" si="8"/>
        <v>2836</v>
      </c>
      <c r="L46" s="29">
        <f t="shared" si="8"/>
        <v>804</v>
      </c>
      <c r="M46" s="29">
        <f t="shared" si="8"/>
        <v>2311</v>
      </c>
      <c r="N46" s="29">
        <f t="shared" si="8"/>
        <v>253</v>
      </c>
      <c r="O46" s="29">
        <f t="shared" si="8"/>
        <v>253</v>
      </c>
    </row>
    <row r="47" spans="1:256" ht="12.75" customHeight="1">
      <c r="A47" s="4" t="s">
        <v>86</v>
      </c>
      <c r="B47" s="5" t="s">
        <v>87</v>
      </c>
      <c r="C47" s="28">
        <v>1388</v>
      </c>
      <c r="D47" s="28">
        <v>1293</v>
      </c>
      <c r="E47" s="28">
        <v>0</v>
      </c>
      <c r="F47" s="28">
        <f>SUM(C47-D47-E47)</f>
        <v>95</v>
      </c>
      <c r="G47" s="28">
        <v>1198</v>
      </c>
      <c r="H47" s="28">
        <v>980</v>
      </c>
      <c r="I47" s="28">
        <v>0</v>
      </c>
      <c r="J47" s="28">
        <f>SUM(G47-H47-I47)</f>
        <v>218</v>
      </c>
      <c r="K47" s="28">
        <v>0</v>
      </c>
      <c r="L47" s="28">
        <v>0</v>
      </c>
      <c r="M47" s="28">
        <v>31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2994</v>
      </c>
      <c r="D48" s="28">
        <v>2962</v>
      </c>
      <c r="E48" s="28">
        <v>32</v>
      </c>
      <c r="F48" s="28">
        <f>SUM(C48-D48-E48)</f>
        <v>0</v>
      </c>
      <c r="G48" s="28">
        <v>5397</v>
      </c>
      <c r="H48" s="28">
        <v>5196</v>
      </c>
      <c r="I48" s="28">
        <v>85</v>
      </c>
      <c r="J48" s="28">
        <f>SUM(G48-H48-I48)</f>
        <v>116</v>
      </c>
      <c r="K48" s="28">
        <v>0</v>
      </c>
      <c r="L48" s="28">
        <v>0</v>
      </c>
      <c r="M48" s="28">
        <v>153</v>
      </c>
      <c r="N48" s="28">
        <v>28</v>
      </c>
      <c r="O48" s="28">
        <v>28</v>
      </c>
    </row>
    <row r="49" spans="1:15" ht="12.75" customHeight="1">
      <c r="A49" s="4" t="s">
        <v>90</v>
      </c>
      <c r="B49" s="5" t="s">
        <v>91</v>
      </c>
      <c r="C49" s="28">
        <v>1831</v>
      </c>
      <c r="D49" s="28">
        <v>1671</v>
      </c>
      <c r="E49" s="28">
        <v>128</v>
      </c>
      <c r="F49" s="28">
        <f>SUM(C49-D49-E49)</f>
        <v>32</v>
      </c>
      <c r="G49" s="28">
        <v>2455</v>
      </c>
      <c r="H49" s="28">
        <v>1347</v>
      </c>
      <c r="I49" s="28">
        <v>301</v>
      </c>
      <c r="J49" s="28">
        <f>SUM(G49-H49-I49)</f>
        <v>807</v>
      </c>
      <c r="K49" s="28">
        <v>1381</v>
      </c>
      <c r="L49" s="28">
        <v>0</v>
      </c>
      <c r="M49" s="28">
        <v>0</v>
      </c>
      <c r="N49" s="28">
        <v>229</v>
      </c>
      <c r="O49" s="28">
        <v>229</v>
      </c>
    </row>
    <row r="50" spans="1:15" ht="12.75" customHeight="1">
      <c r="A50" s="4" t="s">
        <v>92</v>
      </c>
      <c r="B50" s="5" t="s">
        <v>93</v>
      </c>
      <c r="C50" s="28">
        <v>9405</v>
      </c>
      <c r="D50" s="28">
        <v>8871</v>
      </c>
      <c r="E50" s="28">
        <v>329</v>
      </c>
      <c r="F50" s="28">
        <f>SUM(C50-D50-E50)</f>
        <v>205</v>
      </c>
      <c r="G50" s="28">
        <v>18514</v>
      </c>
      <c r="H50" s="28">
        <v>14060</v>
      </c>
      <c r="I50" s="28">
        <v>904</v>
      </c>
      <c r="J50" s="28">
        <f>SUM(G50-H50-I50)</f>
        <v>3550</v>
      </c>
      <c r="K50" s="28">
        <v>723</v>
      </c>
      <c r="L50" s="28">
        <v>0</v>
      </c>
      <c r="M50" s="28">
        <v>1946</v>
      </c>
      <c r="N50" s="28">
        <v>311</v>
      </c>
      <c r="O50" s="28">
        <v>311</v>
      </c>
    </row>
    <row r="51" spans="1:15" ht="12.75" customHeight="1">
      <c r="A51" s="8"/>
      <c r="B51" s="9" t="s">
        <v>94</v>
      </c>
      <c r="C51" s="29">
        <f t="shared" ref="C51:O51" si="9">SUM(C47:C50)</f>
        <v>15618</v>
      </c>
      <c r="D51" s="29">
        <f t="shared" si="9"/>
        <v>14797</v>
      </c>
      <c r="E51" s="29">
        <f t="shared" si="9"/>
        <v>489</v>
      </c>
      <c r="F51" s="29">
        <f t="shared" si="9"/>
        <v>332</v>
      </c>
      <c r="G51" s="29">
        <f t="shared" si="9"/>
        <v>27564</v>
      </c>
      <c r="H51" s="29">
        <f t="shared" si="9"/>
        <v>21583</v>
      </c>
      <c r="I51" s="29">
        <f t="shared" si="9"/>
        <v>1290</v>
      </c>
      <c r="J51" s="29">
        <f t="shared" si="9"/>
        <v>4691</v>
      </c>
      <c r="K51" s="29">
        <f t="shared" si="9"/>
        <v>2104</v>
      </c>
      <c r="L51" s="29">
        <f t="shared" si="9"/>
        <v>0</v>
      </c>
      <c r="M51" s="29">
        <f t="shared" si="9"/>
        <v>2130</v>
      </c>
      <c r="N51" s="29">
        <f t="shared" si="9"/>
        <v>568</v>
      </c>
      <c r="O51" s="29">
        <f t="shared" si="9"/>
        <v>568</v>
      </c>
    </row>
    <row r="52" spans="1:15" ht="12.75" customHeight="1">
      <c r="A52" s="4" t="s">
        <v>95</v>
      </c>
      <c r="B52" s="5" t="s">
        <v>96</v>
      </c>
      <c r="C52" s="28">
        <v>1764</v>
      </c>
      <c r="D52" s="28">
        <v>1685</v>
      </c>
      <c r="E52" s="28">
        <v>15</v>
      </c>
      <c r="F52" s="28">
        <f t="shared" ref="F52:F58" si="10">SUM(C52-D52-E52)</f>
        <v>64</v>
      </c>
      <c r="G52" s="28">
        <v>4826</v>
      </c>
      <c r="H52" s="28">
        <v>3467</v>
      </c>
      <c r="I52" s="28">
        <v>26</v>
      </c>
      <c r="J52" s="28">
        <f t="shared" ref="J52:J58" si="11">SUM(G52-H52-I52)</f>
        <v>1333</v>
      </c>
      <c r="K52" s="28">
        <v>1029</v>
      </c>
      <c r="L52" s="28">
        <v>0</v>
      </c>
      <c r="M52" s="28">
        <v>71</v>
      </c>
      <c r="N52" s="28">
        <v>44</v>
      </c>
      <c r="O52" s="28">
        <v>44</v>
      </c>
    </row>
    <row r="53" spans="1:15" ht="12.75" customHeight="1">
      <c r="A53" s="4" t="s">
        <v>97</v>
      </c>
      <c r="B53" s="5" t="s">
        <v>98</v>
      </c>
      <c r="C53" s="28">
        <v>9113</v>
      </c>
      <c r="D53" s="28">
        <v>6945</v>
      </c>
      <c r="E53" s="28">
        <v>181</v>
      </c>
      <c r="F53" s="28">
        <f t="shared" si="10"/>
        <v>1987</v>
      </c>
      <c r="G53" s="28">
        <v>26927</v>
      </c>
      <c r="H53" s="28">
        <v>17875</v>
      </c>
      <c r="I53" s="28">
        <v>881</v>
      </c>
      <c r="J53" s="28">
        <f t="shared" si="11"/>
        <v>8171</v>
      </c>
      <c r="K53" s="28">
        <v>256</v>
      </c>
      <c r="L53" s="28">
        <v>0</v>
      </c>
      <c r="M53" s="28">
        <v>2205</v>
      </c>
      <c r="N53" s="28">
        <v>242</v>
      </c>
      <c r="O53" s="28">
        <v>242</v>
      </c>
    </row>
    <row r="54" spans="1:15" ht="12.75" customHeight="1">
      <c r="A54" s="4" t="s">
        <v>99</v>
      </c>
      <c r="B54" s="5" t="s">
        <v>100</v>
      </c>
      <c r="C54" s="28">
        <v>1391</v>
      </c>
      <c r="D54" s="28">
        <v>1000</v>
      </c>
      <c r="E54" s="28">
        <v>70</v>
      </c>
      <c r="F54" s="28">
        <f t="shared" si="10"/>
        <v>321</v>
      </c>
      <c r="G54" s="28">
        <v>5599</v>
      </c>
      <c r="H54" s="28">
        <v>3009</v>
      </c>
      <c r="I54" s="28">
        <v>416</v>
      </c>
      <c r="J54" s="28">
        <f t="shared" si="11"/>
        <v>2174</v>
      </c>
      <c r="K54" s="28">
        <v>0</v>
      </c>
      <c r="L54" s="28">
        <v>0</v>
      </c>
      <c r="M54" s="28">
        <v>295</v>
      </c>
      <c r="N54" s="28">
        <v>25</v>
      </c>
      <c r="O54" s="28">
        <v>25</v>
      </c>
    </row>
    <row r="55" spans="1:15" ht="12.75" customHeight="1">
      <c r="A55" s="4" t="s">
        <v>101</v>
      </c>
      <c r="B55" s="5" t="s">
        <v>102</v>
      </c>
      <c r="C55" s="28">
        <v>6448</v>
      </c>
      <c r="D55" s="28">
        <v>5127</v>
      </c>
      <c r="E55" s="28">
        <v>249</v>
      </c>
      <c r="F55" s="28">
        <f t="shared" si="10"/>
        <v>1072</v>
      </c>
      <c r="G55" s="28">
        <v>21156</v>
      </c>
      <c r="H55" s="28">
        <v>12177</v>
      </c>
      <c r="I55" s="28">
        <v>720</v>
      </c>
      <c r="J55" s="28">
        <f t="shared" si="11"/>
        <v>8259</v>
      </c>
      <c r="K55" s="28">
        <v>866</v>
      </c>
      <c r="L55" s="28">
        <v>0</v>
      </c>
      <c r="M55" s="28">
        <v>1201</v>
      </c>
      <c r="N55" s="28">
        <v>1523</v>
      </c>
      <c r="O55" s="28">
        <v>1523</v>
      </c>
    </row>
    <row r="56" spans="1:15" ht="12.75" customHeight="1">
      <c r="A56" s="4" t="s">
        <v>103</v>
      </c>
      <c r="B56" s="5" t="s">
        <v>104</v>
      </c>
      <c r="C56" s="28">
        <v>12699</v>
      </c>
      <c r="D56" s="28">
        <v>5526</v>
      </c>
      <c r="E56" s="28">
        <v>716</v>
      </c>
      <c r="F56" s="28">
        <f t="shared" si="10"/>
        <v>6457</v>
      </c>
      <c r="G56" s="28">
        <v>37303</v>
      </c>
      <c r="H56" s="28">
        <v>11803</v>
      </c>
      <c r="I56" s="28">
        <v>2760</v>
      </c>
      <c r="J56" s="28">
        <f t="shared" si="11"/>
        <v>22740</v>
      </c>
      <c r="K56" s="28">
        <v>725</v>
      </c>
      <c r="L56" s="28">
        <v>136</v>
      </c>
      <c r="M56" s="28">
        <v>6163</v>
      </c>
      <c r="N56" s="28">
        <v>1281</v>
      </c>
      <c r="O56" s="28">
        <v>1281</v>
      </c>
    </row>
    <row r="57" spans="1:15" ht="12.75" customHeight="1">
      <c r="A57" s="4" t="s">
        <v>105</v>
      </c>
      <c r="B57" s="5" t="s">
        <v>106</v>
      </c>
      <c r="C57" s="28">
        <v>9891</v>
      </c>
      <c r="D57" s="28">
        <v>5770</v>
      </c>
      <c r="E57" s="28">
        <v>884</v>
      </c>
      <c r="F57" s="28">
        <f t="shared" si="10"/>
        <v>3237</v>
      </c>
      <c r="G57" s="28">
        <v>32505</v>
      </c>
      <c r="H57" s="28">
        <v>16317</v>
      </c>
      <c r="I57" s="28">
        <v>2852</v>
      </c>
      <c r="J57" s="28">
        <f t="shared" si="11"/>
        <v>13336</v>
      </c>
      <c r="K57" s="28">
        <v>204</v>
      </c>
      <c r="L57" s="28">
        <v>0</v>
      </c>
      <c r="M57" s="28">
        <v>3222</v>
      </c>
      <c r="N57" s="28">
        <v>11</v>
      </c>
      <c r="O57" s="28">
        <v>11</v>
      </c>
    </row>
    <row r="58" spans="1:15" ht="12.75" customHeight="1">
      <c r="A58" s="4" t="s">
        <v>107</v>
      </c>
      <c r="B58" s="5" t="s">
        <v>108</v>
      </c>
      <c r="C58" s="28">
        <v>8558</v>
      </c>
      <c r="D58" s="28">
        <v>5480</v>
      </c>
      <c r="E58" s="28">
        <v>210</v>
      </c>
      <c r="F58" s="28">
        <f t="shared" si="10"/>
        <v>2868</v>
      </c>
      <c r="G58" s="28">
        <v>24277</v>
      </c>
      <c r="H58" s="28">
        <v>12762</v>
      </c>
      <c r="I58" s="28">
        <v>779</v>
      </c>
      <c r="J58" s="28">
        <f t="shared" si="11"/>
        <v>10736</v>
      </c>
      <c r="K58" s="28">
        <v>259</v>
      </c>
      <c r="L58" s="28">
        <v>22</v>
      </c>
      <c r="M58" s="28">
        <v>1430</v>
      </c>
      <c r="N58" s="28">
        <v>2790</v>
      </c>
      <c r="O58" s="28">
        <v>2790</v>
      </c>
    </row>
    <row r="59" spans="1:15" ht="12.75" customHeight="1">
      <c r="A59" s="8"/>
      <c r="B59" s="9" t="s">
        <v>109</v>
      </c>
      <c r="C59" s="29">
        <f t="shared" ref="C59:O59" si="12">SUM(C52:C58)</f>
        <v>49864</v>
      </c>
      <c r="D59" s="29">
        <f t="shared" si="12"/>
        <v>31533</v>
      </c>
      <c r="E59" s="29">
        <f t="shared" si="12"/>
        <v>2325</v>
      </c>
      <c r="F59" s="29">
        <f t="shared" si="12"/>
        <v>16006</v>
      </c>
      <c r="G59" s="29">
        <f t="shared" si="12"/>
        <v>152593</v>
      </c>
      <c r="H59" s="29">
        <f t="shared" si="12"/>
        <v>77410</v>
      </c>
      <c r="I59" s="29">
        <f t="shared" si="12"/>
        <v>8434</v>
      </c>
      <c r="J59" s="29">
        <f t="shared" si="12"/>
        <v>66749</v>
      </c>
      <c r="K59" s="29">
        <f t="shared" si="12"/>
        <v>3339</v>
      </c>
      <c r="L59" s="29">
        <f t="shared" si="12"/>
        <v>158</v>
      </c>
      <c r="M59" s="29">
        <f t="shared" si="12"/>
        <v>14587</v>
      </c>
      <c r="N59" s="29">
        <f t="shared" si="12"/>
        <v>5916</v>
      </c>
      <c r="O59" s="29">
        <f t="shared" si="12"/>
        <v>5916</v>
      </c>
    </row>
    <row r="60" spans="1:15" ht="12.75" customHeight="1">
      <c r="A60" s="4" t="s">
        <v>110</v>
      </c>
      <c r="B60" s="5" t="s">
        <v>111</v>
      </c>
      <c r="C60" s="28">
        <v>10300</v>
      </c>
      <c r="D60" s="28">
        <v>7474</v>
      </c>
      <c r="E60" s="28">
        <v>1315</v>
      </c>
      <c r="F60" s="28">
        <f t="shared" ref="F60:F68" si="13">SUM(C60-D60-E60)</f>
        <v>1511</v>
      </c>
      <c r="G60" s="28">
        <v>29858</v>
      </c>
      <c r="H60" s="28">
        <v>17986</v>
      </c>
      <c r="I60" s="28">
        <v>4819</v>
      </c>
      <c r="J60" s="28">
        <f t="shared" ref="J60:J68" si="14">SUM(G60-H60-I60)</f>
        <v>7053</v>
      </c>
      <c r="K60" s="28">
        <v>15</v>
      </c>
      <c r="L60" s="28">
        <v>0</v>
      </c>
      <c r="M60" s="28">
        <v>2926</v>
      </c>
      <c r="N60" s="28">
        <v>175</v>
      </c>
      <c r="O60" s="28">
        <v>175</v>
      </c>
    </row>
    <row r="61" spans="1:15" ht="12.75" customHeight="1">
      <c r="A61" s="4" t="s">
        <v>112</v>
      </c>
      <c r="B61" s="5" t="s">
        <v>113</v>
      </c>
      <c r="C61" s="28">
        <v>2783</v>
      </c>
      <c r="D61" s="28">
        <v>2348</v>
      </c>
      <c r="E61" s="28">
        <v>52</v>
      </c>
      <c r="F61" s="28">
        <f t="shared" si="13"/>
        <v>383</v>
      </c>
      <c r="G61" s="28">
        <v>6649</v>
      </c>
      <c r="H61" s="28">
        <v>5551</v>
      </c>
      <c r="I61" s="28">
        <v>200</v>
      </c>
      <c r="J61" s="28">
        <f t="shared" si="14"/>
        <v>898</v>
      </c>
      <c r="K61" s="28">
        <v>0</v>
      </c>
      <c r="L61" s="28">
        <v>0</v>
      </c>
      <c r="M61" s="28">
        <v>1097</v>
      </c>
      <c r="N61" s="28">
        <v>0</v>
      </c>
      <c r="O61" s="28">
        <v>0</v>
      </c>
    </row>
    <row r="62" spans="1:15" ht="12.75" customHeight="1">
      <c r="A62" s="4" t="s">
        <v>114</v>
      </c>
      <c r="B62" s="5" t="s">
        <v>115</v>
      </c>
      <c r="C62" s="28">
        <v>5301</v>
      </c>
      <c r="D62" s="28">
        <v>2694</v>
      </c>
      <c r="E62" s="28">
        <v>465</v>
      </c>
      <c r="F62" s="28">
        <f t="shared" si="13"/>
        <v>2142</v>
      </c>
      <c r="G62" s="28">
        <v>19103</v>
      </c>
      <c r="H62" s="28">
        <v>6744</v>
      </c>
      <c r="I62" s="28">
        <v>1629</v>
      </c>
      <c r="J62" s="28">
        <f t="shared" si="14"/>
        <v>10730</v>
      </c>
      <c r="K62" s="28">
        <v>212</v>
      </c>
      <c r="L62" s="28">
        <v>248</v>
      </c>
      <c r="M62" s="28">
        <v>1973</v>
      </c>
      <c r="N62" s="28">
        <v>546</v>
      </c>
      <c r="O62" s="28">
        <v>546</v>
      </c>
    </row>
    <row r="63" spans="1:15" ht="12.75" customHeight="1">
      <c r="A63" s="4" t="s">
        <v>116</v>
      </c>
      <c r="B63" s="5" t="s">
        <v>117</v>
      </c>
      <c r="C63" s="28">
        <v>7777</v>
      </c>
      <c r="D63" s="28">
        <v>4255</v>
      </c>
      <c r="E63" s="28">
        <v>532</v>
      </c>
      <c r="F63" s="28">
        <f t="shared" si="13"/>
        <v>2990</v>
      </c>
      <c r="G63" s="28">
        <v>24861</v>
      </c>
      <c r="H63" s="28">
        <v>12369</v>
      </c>
      <c r="I63" s="28">
        <v>2362</v>
      </c>
      <c r="J63" s="28">
        <f t="shared" si="14"/>
        <v>10130</v>
      </c>
      <c r="K63" s="28">
        <v>31</v>
      </c>
      <c r="L63" s="28">
        <v>0</v>
      </c>
      <c r="M63" s="28">
        <v>2262</v>
      </c>
      <c r="N63" s="28">
        <v>86</v>
      </c>
      <c r="O63" s="28">
        <v>86</v>
      </c>
    </row>
    <row r="64" spans="1:15" ht="12.75" customHeight="1">
      <c r="A64" s="4" t="s">
        <v>118</v>
      </c>
      <c r="B64" s="5" t="s">
        <v>119</v>
      </c>
      <c r="C64" s="28">
        <v>6386</v>
      </c>
      <c r="D64" s="28">
        <v>3176</v>
      </c>
      <c r="E64" s="28">
        <v>777</v>
      </c>
      <c r="F64" s="28">
        <f t="shared" si="13"/>
        <v>2433</v>
      </c>
      <c r="G64" s="28">
        <v>21905</v>
      </c>
      <c r="H64" s="28">
        <v>8835</v>
      </c>
      <c r="I64" s="28">
        <v>2621</v>
      </c>
      <c r="J64" s="28">
        <f t="shared" si="14"/>
        <v>10449</v>
      </c>
      <c r="K64" s="28">
        <v>32</v>
      </c>
      <c r="L64" s="28">
        <v>0</v>
      </c>
      <c r="M64" s="28">
        <v>1118</v>
      </c>
      <c r="N64" s="28">
        <v>55</v>
      </c>
      <c r="O64" s="28">
        <v>55</v>
      </c>
    </row>
    <row r="65" spans="1:15" ht="12.75" customHeight="1">
      <c r="A65" s="4" t="s">
        <v>120</v>
      </c>
      <c r="B65" s="5" t="s">
        <v>121</v>
      </c>
      <c r="C65" s="28">
        <v>3015</v>
      </c>
      <c r="D65" s="28">
        <v>2192</v>
      </c>
      <c r="E65" s="28">
        <v>472</v>
      </c>
      <c r="F65" s="28">
        <f t="shared" si="13"/>
        <v>351</v>
      </c>
      <c r="G65" s="28">
        <v>12893</v>
      </c>
      <c r="H65" s="28">
        <v>6107</v>
      </c>
      <c r="I65" s="28">
        <v>1778</v>
      </c>
      <c r="J65" s="28">
        <f t="shared" si="14"/>
        <v>5008</v>
      </c>
      <c r="K65" s="28">
        <v>813</v>
      </c>
      <c r="L65" s="28">
        <v>0</v>
      </c>
      <c r="M65" s="28">
        <v>1901</v>
      </c>
      <c r="N65" s="28">
        <v>603</v>
      </c>
      <c r="O65" s="28">
        <v>603</v>
      </c>
    </row>
    <row r="66" spans="1:15" ht="12.75" customHeight="1">
      <c r="A66" s="4" t="s">
        <v>122</v>
      </c>
      <c r="B66" s="5" t="s">
        <v>123</v>
      </c>
      <c r="C66" s="28">
        <v>5759</v>
      </c>
      <c r="D66" s="28">
        <v>2616</v>
      </c>
      <c r="E66" s="28">
        <v>265</v>
      </c>
      <c r="F66" s="28">
        <f t="shared" si="13"/>
        <v>2878</v>
      </c>
      <c r="G66" s="28">
        <v>28872</v>
      </c>
      <c r="H66" s="28">
        <v>6931</v>
      </c>
      <c r="I66" s="28">
        <v>831</v>
      </c>
      <c r="J66" s="28">
        <f t="shared" si="14"/>
        <v>21110</v>
      </c>
      <c r="K66" s="28">
        <v>1133</v>
      </c>
      <c r="L66" s="28">
        <v>0</v>
      </c>
      <c r="M66" s="28">
        <v>8982</v>
      </c>
      <c r="N66" s="28">
        <v>0</v>
      </c>
      <c r="O66" s="28">
        <v>0</v>
      </c>
    </row>
    <row r="67" spans="1:15" ht="12.75" customHeight="1">
      <c r="A67" s="4" t="s">
        <v>124</v>
      </c>
      <c r="B67" s="5" t="s">
        <v>125</v>
      </c>
      <c r="C67" s="28">
        <v>12330</v>
      </c>
      <c r="D67" s="28">
        <v>2527</v>
      </c>
      <c r="E67" s="28">
        <v>0</v>
      </c>
      <c r="F67" s="28">
        <f t="shared" si="13"/>
        <v>9803</v>
      </c>
      <c r="G67" s="28">
        <v>48567</v>
      </c>
      <c r="H67" s="28">
        <v>6508</v>
      </c>
      <c r="I67" s="28">
        <v>0</v>
      </c>
      <c r="J67" s="28">
        <f t="shared" si="14"/>
        <v>42059</v>
      </c>
      <c r="K67" s="28">
        <v>780</v>
      </c>
      <c r="L67" s="28">
        <v>0</v>
      </c>
      <c r="M67" s="28">
        <v>17117</v>
      </c>
      <c r="N67" s="28">
        <v>134</v>
      </c>
      <c r="O67" s="28">
        <v>134</v>
      </c>
    </row>
    <row r="68" spans="1:15" ht="12.75" customHeight="1">
      <c r="A68" s="4" t="s">
        <v>126</v>
      </c>
      <c r="B68" s="5" t="s">
        <v>127</v>
      </c>
      <c r="C68" s="28">
        <v>5263</v>
      </c>
      <c r="D68" s="28">
        <v>3822</v>
      </c>
      <c r="E68" s="28">
        <v>193</v>
      </c>
      <c r="F68" s="28">
        <f t="shared" si="13"/>
        <v>1248</v>
      </c>
      <c r="G68" s="28">
        <v>16220</v>
      </c>
      <c r="H68" s="28">
        <v>7692</v>
      </c>
      <c r="I68" s="28">
        <v>742</v>
      </c>
      <c r="J68" s="28">
        <f t="shared" si="14"/>
        <v>7786</v>
      </c>
      <c r="K68" s="28">
        <v>14</v>
      </c>
      <c r="L68" s="28">
        <v>8</v>
      </c>
      <c r="M68" s="28">
        <v>854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58914</v>
      </c>
      <c r="D69" s="29">
        <f t="shared" si="15"/>
        <v>31104</v>
      </c>
      <c r="E69" s="29">
        <f t="shared" si="15"/>
        <v>4071</v>
      </c>
      <c r="F69" s="29">
        <f t="shared" si="15"/>
        <v>23739</v>
      </c>
      <c r="G69" s="29">
        <f t="shared" si="15"/>
        <v>208928</v>
      </c>
      <c r="H69" s="29">
        <f t="shared" si="15"/>
        <v>78723</v>
      </c>
      <c r="I69" s="29">
        <f t="shared" si="15"/>
        <v>14982</v>
      </c>
      <c r="J69" s="29">
        <f t="shared" si="15"/>
        <v>115223</v>
      </c>
      <c r="K69" s="29">
        <f t="shared" si="15"/>
        <v>3030</v>
      </c>
      <c r="L69" s="29">
        <f t="shared" si="15"/>
        <v>256</v>
      </c>
      <c r="M69" s="29">
        <f t="shared" si="15"/>
        <v>38230</v>
      </c>
      <c r="N69" s="29">
        <f t="shared" si="15"/>
        <v>1599</v>
      </c>
      <c r="O69" s="29">
        <f t="shared" si="15"/>
        <v>1599</v>
      </c>
    </row>
    <row r="70" spans="1:15" ht="12.75" customHeight="1">
      <c r="A70" s="4" t="s">
        <v>129</v>
      </c>
      <c r="B70" s="5" t="s">
        <v>130</v>
      </c>
      <c r="C70" s="28">
        <v>3426</v>
      </c>
      <c r="D70" s="28">
        <v>2864</v>
      </c>
      <c r="E70" s="28">
        <v>356</v>
      </c>
      <c r="F70" s="28">
        <f t="shared" ref="F70:F79" si="16">SUM(C70-D70-E70)</f>
        <v>206</v>
      </c>
      <c r="G70" s="28">
        <v>10698</v>
      </c>
      <c r="H70" s="28">
        <v>7011</v>
      </c>
      <c r="I70" s="28">
        <v>1808</v>
      </c>
      <c r="J70" s="28">
        <f t="shared" ref="J70:J79" si="17">SUM(G70-H70-I70)</f>
        <v>1879</v>
      </c>
      <c r="K70" s="28">
        <v>88</v>
      </c>
      <c r="L70" s="28">
        <v>0</v>
      </c>
      <c r="M70" s="28">
        <v>333</v>
      </c>
      <c r="N70" s="28">
        <v>54</v>
      </c>
      <c r="O70" s="28">
        <v>54</v>
      </c>
    </row>
    <row r="71" spans="1:15" ht="12.75" customHeight="1">
      <c r="A71" s="4" t="s">
        <v>131</v>
      </c>
      <c r="B71" s="5" t="s">
        <v>132</v>
      </c>
      <c r="C71" s="28">
        <v>15536</v>
      </c>
      <c r="D71" s="28">
        <v>9058</v>
      </c>
      <c r="E71" s="28">
        <v>695</v>
      </c>
      <c r="F71" s="28">
        <f t="shared" si="16"/>
        <v>5783</v>
      </c>
      <c r="G71" s="28">
        <v>35873</v>
      </c>
      <c r="H71" s="28">
        <v>16516</v>
      </c>
      <c r="I71" s="28">
        <v>2774</v>
      </c>
      <c r="J71" s="28">
        <f t="shared" si="17"/>
        <v>16583</v>
      </c>
      <c r="K71" s="28">
        <v>285</v>
      </c>
      <c r="L71" s="28">
        <v>0</v>
      </c>
      <c r="M71" s="28">
        <v>1368</v>
      </c>
      <c r="N71" s="28">
        <v>3691</v>
      </c>
      <c r="O71" s="28">
        <v>3691</v>
      </c>
    </row>
    <row r="72" spans="1:15" ht="12.75" customHeight="1">
      <c r="A72" s="4" t="s">
        <v>133</v>
      </c>
      <c r="B72" s="5" t="s">
        <v>134</v>
      </c>
      <c r="C72" s="28">
        <v>3402</v>
      </c>
      <c r="D72" s="28">
        <v>3016</v>
      </c>
      <c r="E72" s="28">
        <v>0</v>
      </c>
      <c r="F72" s="28">
        <f t="shared" si="16"/>
        <v>386</v>
      </c>
      <c r="G72" s="28">
        <v>8805</v>
      </c>
      <c r="H72" s="28">
        <v>7022</v>
      </c>
      <c r="I72" s="28">
        <v>0</v>
      </c>
      <c r="J72" s="28">
        <f t="shared" si="17"/>
        <v>1783</v>
      </c>
      <c r="K72" s="28">
        <v>79</v>
      </c>
      <c r="L72" s="28">
        <v>145</v>
      </c>
      <c r="M72" s="28">
        <v>2004</v>
      </c>
      <c r="N72" s="28">
        <v>0</v>
      </c>
      <c r="O72" s="28">
        <v>0</v>
      </c>
    </row>
    <row r="73" spans="1:15" ht="12.75" customHeight="1">
      <c r="A73" s="4" t="s">
        <v>135</v>
      </c>
      <c r="B73" s="5" t="s">
        <v>136</v>
      </c>
      <c r="C73" s="28">
        <v>7841</v>
      </c>
      <c r="D73" s="28">
        <v>5785</v>
      </c>
      <c r="E73" s="28">
        <v>120</v>
      </c>
      <c r="F73" s="28">
        <f t="shared" si="16"/>
        <v>1936</v>
      </c>
      <c r="G73" s="28">
        <v>19310</v>
      </c>
      <c r="H73" s="28">
        <v>11880</v>
      </c>
      <c r="I73" s="28">
        <v>274</v>
      </c>
      <c r="J73" s="28">
        <f t="shared" si="17"/>
        <v>7156</v>
      </c>
      <c r="K73" s="28">
        <v>241</v>
      </c>
      <c r="L73" s="28">
        <v>89</v>
      </c>
      <c r="M73" s="28">
        <v>649</v>
      </c>
      <c r="N73" s="28">
        <v>10239</v>
      </c>
      <c r="O73" s="28">
        <v>10239</v>
      </c>
    </row>
    <row r="74" spans="1:15" ht="12.75" customHeight="1">
      <c r="A74" s="4" t="s">
        <v>137</v>
      </c>
      <c r="B74" s="5" t="s">
        <v>138</v>
      </c>
      <c r="C74" s="28">
        <v>5142</v>
      </c>
      <c r="D74" s="28">
        <v>4343</v>
      </c>
      <c r="E74" s="28">
        <v>306</v>
      </c>
      <c r="F74" s="28">
        <f t="shared" si="16"/>
        <v>493</v>
      </c>
      <c r="G74" s="28">
        <v>10891</v>
      </c>
      <c r="H74" s="28">
        <v>7340</v>
      </c>
      <c r="I74" s="28">
        <v>894</v>
      </c>
      <c r="J74" s="28">
        <f t="shared" si="17"/>
        <v>2657</v>
      </c>
      <c r="K74" s="28">
        <v>98</v>
      </c>
      <c r="L74" s="28">
        <v>0</v>
      </c>
      <c r="M74" s="28">
        <v>256</v>
      </c>
      <c r="N74" s="28">
        <v>387</v>
      </c>
      <c r="O74" s="28">
        <v>387</v>
      </c>
    </row>
    <row r="75" spans="1:15" ht="12.75" customHeight="1">
      <c r="A75" s="4" t="s">
        <v>139</v>
      </c>
      <c r="B75" s="5" t="s">
        <v>140</v>
      </c>
      <c r="C75" s="28">
        <v>2864</v>
      </c>
      <c r="D75" s="28">
        <v>2585</v>
      </c>
      <c r="E75" s="28">
        <v>113</v>
      </c>
      <c r="F75" s="28">
        <f t="shared" si="16"/>
        <v>166</v>
      </c>
      <c r="G75" s="28">
        <v>5442</v>
      </c>
      <c r="H75" s="28">
        <v>4095</v>
      </c>
      <c r="I75" s="28">
        <v>525</v>
      </c>
      <c r="J75" s="28">
        <f t="shared" si="17"/>
        <v>822</v>
      </c>
      <c r="K75" s="28">
        <v>2</v>
      </c>
      <c r="L75" s="28">
        <v>0</v>
      </c>
      <c r="M75" s="28">
        <v>4</v>
      </c>
      <c r="N75" s="28">
        <v>19</v>
      </c>
      <c r="O75" s="28">
        <v>19</v>
      </c>
    </row>
    <row r="76" spans="1:15" ht="12.75" customHeight="1">
      <c r="A76" s="4" t="s">
        <v>141</v>
      </c>
      <c r="B76" s="5" t="s">
        <v>142</v>
      </c>
      <c r="C76" s="28">
        <v>5432</v>
      </c>
      <c r="D76" s="28">
        <v>4161</v>
      </c>
      <c r="E76" s="28">
        <v>207</v>
      </c>
      <c r="F76" s="28">
        <f t="shared" si="16"/>
        <v>1064</v>
      </c>
      <c r="G76" s="28">
        <v>14681</v>
      </c>
      <c r="H76" s="28">
        <v>9001</v>
      </c>
      <c r="I76" s="28">
        <v>613</v>
      </c>
      <c r="J76" s="28">
        <f t="shared" si="17"/>
        <v>5067</v>
      </c>
      <c r="K76" s="28">
        <v>89</v>
      </c>
      <c r="L76" s="28">
        <v>10</v>
      </c>
      <c r="M76" s="28">
        <v>1045</v>
      </c>
      <c r="N76" s="28">
        <v>121</v>
      </c>
      <c r="O76" s="28">
        <v>121</v>
      </c>
    </row>
    <row r="77" spans="1:15" ht="12.75" customHeight="1">
      <c r="A77" s="4" t="s">
        <v>143</v>
      </c>
      <c r="B77" s="5" t="s">
        <v>144</v>
      </c>
      <c r="C77" s="28">
        <v>6318</v>
      </c>
      <c r="D77" s="28">
        <v>2671</v>
      </c>
      <c r="E77" s="28">
        <v>110</v>
      </c>
      <c r="F77" s="28">
        <f t="shared" si="16"/>
        <v>3537</v>
      </c>
      <c r="G77" s="28">
        <v>14403</v>
      </c>
      <c r="H77" s="28">
        <v>5099</v>
      </c>
      <c r="I77" s="28">
        <v>344</v>
      </c>
      <c r="J77" s="28">
        <f t="shared" si="17"/>
        <v>8960</v>
      </c>
      <c r="K77" s="28">
        <v>249</v>
      </c>
      <c r="L77" s="28">
        <v>0</v>
      </c>
      <c r="M77" s="28">
        <v>461</v>
      </c>
      <c r="N77" s="28">
        <v>61</v>
      </c>
      <c r="O77" s="28">
        <v>61</v>
      </c>
    </row>
    <row r="78" spans="1:15" ht="12.75" customHeight="1">
      <c r="A78" s="4" t="s">
        <v>145</v>
      </c>
      <c r="B78" s="5" t="s">
        <v>146</v>
      </c>
      <c r="C78" s="28">
        <v>2137</v>
      </c>
      <c r="D78" s="28">
        <v>2109</v>
      </c>
      <c r="E78" s="28">
        <v>0</v>
      </c>
      <c r="F78" s="28">
        <f t="shared" si="16"/>
        <v>28</v>
      </c>
      <c r="G78" s="28">
        <v>4633</v>
      </c>
      <c r="H78" s="28">
        <v>4067</v>
      </c>
      <c r="I78" s="28">
        <v>0</v>
      </c>
      <c r="J78" s="28">
        <f t="shared" si="17"/>
        <v>566</v>
      </c>
      <c r="K78" s="28">
        <v>37</v>
      </c>
      <c r="L78" s="28">
        <v>0</v>
      </c>
      <c r="M78" s="28">
        <v>0</v>
      </c>
      <c r="N78" s="28">
        <v>36</v>
      </c>
      <c r="O78" s="28">
        <v>36</v>
      </c>
    </row>
    <row r="79" spans="1:15" ht="12.75" customHeight="1">
      <c r="A79" s="4" t="s">
        <v>147</v>
      </c>
      <c r="B79" s="5" t="s">
        <v>148</v>
      </c>
      <c r="C79" s="28">
        <v>3074</v>
      </c>
      <c r="D79" s="28">
        <v>2575</v>
      </c>
      <c r="E79" s="28">
        <v>136</v>
      </c>
      <c r="F79" s="28">
        <f t="shared" si="16"/>
        <v>363</v>
      </c>
      <c r="G79" s="28">
        <v>9574</v>
      </c>
      <c r="H79" s="28">
        <v>5996</v>
      </c>
      <c r="I79" s="28">
        <v>554</v>
      </c>
      <c r="J79" s="28">
        <f t="shared" si="17"/>
        <v>3024</v>
      </c>
      <c r="K79" s="28">
        <v>77</v>
      </c>
      <c r="L79" s="28">
        <v>186</v>
      </c>
      <c r="M79" s="28">
        <v>2601</v>
      </c>
      <c r="N79" s="28">
        <v>57</v>
      </c>
      <c r="O79" s="28">
        <v>57</v>
      </c>
    </row>
    <row r="80" spans="1:15" ht="12.75" customHeight="1">
      <c r="A80" s="8"/>
      <c r="B80" s="9" t="s">
        <v>149</v>
      </c>
      <c r="C80" s="29">
        <f t="shared" ref="C80:O80" si="18">SUM(C70:C79)</f>
        <v>55172</v>
      </c>
      <c r="D80" s="29">
        <f t="shared" si="18"/>
        <v>39167</v>
      </c>
      <c r="E80" s="29">
        <f t="shared" si="18"/>
        <v>2043</v>
      </c>
      <c r="F80" s="29">
        <f t="shared" si="18"/>
        <v>13962</v>
      </c>
      <c r="G80" s="29">
        <f t="shared" si="18"/>
        <v>134310</v>
      </c>
      <c r="H80" s="29">
        <f t="shared" si="18"/>
        <v>78027</v>
      </c>
      <c r="I80" s="29">
        <f t="shared" si="18"/>
        <v>7786</v>
      </c>
      <c r="J80" s="29">
        <f t="shared" si="18"/>
        <v>48497</v>
      </c>
      <c r="K80" s="29">
        <f t="shared" si="18"/>
        <v>1245</v>
      </c>
      <c r="L80" s="29">
        <f t="shared" si="18"/>
        <v>430</v>
      </c>
      <c r="M80" s="29">
        <f t="shared" si="18"/>
        <v>8721</v>
      </c>
      <c r="N80" s="29">
        <f t="shared" si="18"/>
        <v>14665</v>
      </c>
      <c r="O80" s="29">
        <f t="shared" si="18"/>
        <v>14665</v>
      </c>
    </row>
    <row r="81" spans="1:15" ht="12.75" customHeight="1">
      <c r="A81" s="4" t="s">
        <v>150</v>
      </c>
      <c r="B81" s="5" t="s">
        <v>151</v>
      </c>
      <c r="C81" s="28">
        <v>5495</v>
      </c>
      <c r="D81" s="28">
        <v>3530</v>
      </c>
      <c r="E81" s="28">
        <v>337</v>
      </c>
      <c r="F81" s="28">
        <f>SUM(C81-D81-E81)</f>
        <v>1628</v>
      </c>
      <c r="G81" s="28">
        <v>25468</v>
      </c>
      <c r="H81" s="28">
        <v>10163</v>
      </c>
      <c r="I81" s="28">
        <v>1553</v>
      </c>
      <c r="J81" s="28">
        <f>SUM(G81-H81-I81)</f>
        <v>13752</v>
      </c>
      <c r="K81" s="28">
        <v>122</v>
      </c>
      <c r="L81" s="28">
        <v>0</v>
      </c>
      <c r="M81" s="28">
        <v>1444</v>
      </c>
      <c r="N81" s="28">
        <v>273</v>
      </c>
      <c r="O81" s="28">
        <v>273</v>
      </c>
    </row>
    <row r="82" spans="1:15" ht="12.75" customHeight="1">
      <c r="A82" s="4" t="s">
        <v>152</v>
      </c>
      <c r="B82" s="5" t="s">
        <v>153</v>
      </c>
      <c r="C82" s="28">
        <v>2741</v>
      </c>
      <c r="D82" s="28">
        <v>1851</v>
      </c>
      <c r="E82" s="28">
        <v>62</v>
      </c>
      <c r="F82" s="28">
        <f>SUM(C82-D82-E82)</f>
        <v>828</v>
      </c>
      <c r="G82" s="28">
        <v>10789</v>
      </c>
      <c r="H82" s="28">
        <v>5456</v>
      </c>
      <c r="I82" s="28">
        <v>319</v>
      </c>
      <c r="J82" s="28">
        <f>SUM(G82-H82-I82)</f>
        <v>5014</v>
      </c>
      <c r="K82" s="28">
        <v>34</v>
      </c>
      <c r="L82" s="28">
        <v>4</v>
      </c>
      <c r="M82" s="28">
        <v>1153</v>
      </c>
      <c r="N82" s="28">
        <v>117</v>
      </c>
      <c r="O82" s="28">
        <v>117</v>
      </c>
    </row>
    <row r="83" spans="1:15" ht="12.75" customHeight="1">
      <c r="A83" s="4" t="s">
        <v>154</v>
      </c>
      <c r="B83" s="5" t="s">
        <v>155</v>
      </c>
      <c r="C83" s="28">
        <v>980</v>
      </c>
      <c r="D83" s="28">
        <v>806</v>
      </c>
      <c r="E83" s="28">
        <v>175</v>
      </c>
      <c r="F83" s="28">
        <f>SUM(C83-D83-E83)</f>
        <v>-1</v>
      </c>
      <c r="G83" s="28">
        <v>2894</v>
      </c>
      <c r="H83" s="28">
        <v>2256</v>
      </c>
      <c r="I83" s="28">
        <v>600</v>
      </c>
      <c r="J83" s="28">
        <f>SUM(G83-H83-I83)</f>
        <v>38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2500</v>
      </c>
      <c r="D84" s="28">
        <v>2256</v>
      </c>
      <c r="E84" s="28">
        <v>75</v>
      </c>
      <c r="F84" s="28">
        <f>SUM(C84-D84-E84)</f>
        <v>169</v>
      </c>
      <c r="G84" s="28">
        <v>9585</v>
      </c>
      <c r="H84" s="28">
        <v>6541</v>
      </c>
      <c r="I84" s="28">
        <v>382</v>
      </c>
      <c r="J84" s="28">
        <f>SUM(G84-H84-I84)</f>
        <v>2662</v>
      </c>
      <c r="K84" s="28">
        <v>30</v>
      </c>
      <c r="L84" s="28">
        <v>0</v>
      </c>
      <c r="M84" s="28">
        <v>825</v>
      </c>
      <c r="N84" s="28">
        <v>12</v>
      </c>
      <c r="O84" s="28">
        <v>12</v>
      </c>
    </row>
    <row r="85" spans="1:15" ht="12.75" customHeight="1">
      <c r="A85" s="4" t="s">
        <v>158</v>
      </c>
      <c r="B85" s="5" t="s">
        <v>159</v>
      </c>
      <c r="C85" s="28">
        <v>3759</v>
      </c>
      <c r="D85" s="28">
        <v>3023</v>
      </c>
      <c r="E85" s="28">
        <v>321</v>
      </c>
      <c r="F85" s="28">
        <f>SUM(C85-D85-E85)</f>
        <v>415</v>
      </c>
      <c r="G85" s="28">
        <v>9916</v>
      </c>
      <c r="H85" s="28">
        <v>7004</v>
      </c>
      <c r="I85" s="28">
        <v>1031</v>
      </c>
      <c r="J85" s="28">
        <f>SUM(G85-H85-I85)</f>
        <v>1881</v>
      </c>
      <c r="K85" s="28">
        <v>40</v>
      </c>
      <c r="L85" s="28">
        <v>77</v>
      </c>
      <c r="M85" s="28">
        <v>725</v>
      </c>
      <c r="N85" s="28">
        <v>533</v>
      </c>
      <c r="O85" s="28">
        <v>533</v>
      </c>
    </row>
    <row r="86" spans="1:15" ht="12.75" customHeight="1">
      <c r="A86" s="8"/>
      <c r="B86" s="9" t="s">
        <v>160</v>
      </c>
      <c r="C86" s="29">
        <f t="shared" ref="C86:O86" si="19">SUM(C81:C85)</f>
        <v>15475</v>
      </c>
      <c r="D86" s="29">
        <f t="shared" si="19"/>
        <v>11466</v>
      </c>
      <c r="E86" s="29">
        <f t="shared" si="19"/>
        <v>970</v>
      </c>
      <c r="F86" s="29">
        <f t="shared" si="19"/>
        <v>3039</v>
      </c>
      <c r="G86" s="29">
        <f t="shared" si="19"/>
        <v>58652</v>
      </c>
      <c r="H86" s="29">
        <f t="shared" si="19"/>
        <v>31420</v>
      </c>
      <c r="I86" s="29">
        <f t="shared" si="19"/>
        <v>3885</v>
      </c>
      <c r="J86" s="29">
        <f t="shared" si="19"/>
        <v>23347</v>
      </c>
      <c r="K86" s="29">
        <f t="shared" si="19"/>
        <v>226</v>
      </c>
      <c r="L86" s="29">
        <f t="shared" si="19"/>
        <v>81</v>
      </c>
      <c r="M86" s="29">
        <f t="shared" si="19"/>
        <v>4147</v>
      </c>
      <c r="N86" s="29">
        <f t="shared" si="19"/>
        <v>935</v>
      </c>
      <c r="O86" s="29">
        <f t="shared" si="19"/>
        <v>935</v>
      </c>
    </row>
    <row r="87" spans="1:15" ht="12.75" customHeight="1">
      <c r="A87" s="4" t="s">
        <v>161</v>
      </c>
      <c r="B87" s="5" t="s">
        <v>162</v>
      </c>
      <c r="C87" s="28">
        <v>6260</v>
      </c>
      <c r="D87" s="28">
        <v>4398</v>
      </c>
      <c r="E87" s="28">
        <v>0</v>
      </c>
      <c r="F87" s="28">
        <f>SUM(C87-D87-E87)</f>
        <v>1862</v>
      </c>
      <c r="G87" s="28">
        <v>25075</v>
      </c>
      <c r="H87" s="28">
        <v>12568</v>
      </c>
      <c r="I87" s="28">
        <v>0</v>
      </c>
      <c r="J87" s="28">
        <f>SUM(G87-H87-I87)</f>
        <v>12507</v>
      </c>
      <c r="K87" s="28">
        <v>71</v>
      </c>
      <c r="L87" s="28">
        <v>0</v>
      </c>
      <c r="M87" s="28">
        <v>2036</v>
      </c>
      <c r="N87" s="28">
        <v>87</v>
      </c>
      <c r="O87" s="28">
        <v>87</v>
      </c>
    </row>
    <row r="88" spans="1:15" ht="12.75" customHeight="1">
      <c r="A88" s="4" t="s">
        <v>163</v>
      </c>
      <c r="B88" s="5" t="s">
        <v>164</v>
      </c>
      <c r="C88" s="28">
        <v>3650</v>
      </c>
      <c r="D88" s="28">
        <v>2148</v>
      </c>
      <c r="E88" s="28">
        <v>268</v>
      </c>
      <c r="F88" s="28">
        <f>SUM(C88-D88-E88)</f>
        <v>1234</v>
      </c>
      <c r="G88" s="28">
        <v>10638</v>
      </c>
      <c r="H88" s="28">
        <v>5112</v>
      </c>
      <c r="I88" s="28">
        <v>1405</v>
      </c>
      <c r="J88" s="28">
        <f>SUM(G88-H88-I88)</f>
        <v>4121</v>
      </c>
      <c r="K88" s="28">
        <v>1</v>
      </c>
      <c r="L88" s="28">
        <v>17</v>
      </c>
      <c r="M88" s="28">
        <v>811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9910</v>
      </c>
      <c r="D89" s="29">
        <f t="shared" si="20"/>
        <v>6546</v>
      </c>
      <c r="E89" s="29">
        <f t="shared" si="20"/>
        <v>268</v>
      </c>
      <c r="F89" s="29">
        <f t="shared" si="20"/>
        <v>3096</v>
      </c>
      <c r="G89" s="29">
        <f t="shared" si="20"/>
        <v>35713</v>
      </c>
      <c r="H89" s="29">
        <f t="shared" si="20"/>
        <v>17680</v>
      </c>
      <c r="I89" s="29">
        <f t="shared" si="20"/>
        <v>1405</v>
      </c>
      <c r="J89" s="29">
        <f t="shared" si="20"/>
        <v>16628</v>
      </c>
      <c r="K89" s="29">
        <f t="shared" si="20"/>
        <v>72</v>
      </c>
      <c r="L89" s="29">
        <f t="shared" si="20"/>
        <v>17</v>
      </c>
      <c r="M89" s="29">
        <f t="shared" si="20"/>
        <v>2847</v>
      </c>
      <c r="N89" s="29">
        <f t="shared" si="20"/>
        <v>87</v>
      </c>
      <c r="O89" s="29">
        <f t="shared" si="20"/>
        <v>87</v>
      </c>
    </row>
    <row r="90" spans="1:15" ht="12.75" customHeight="1">
      <c r="A90" s="4" t="s">
        <v>166</v>
      </c>
      <c r="B90" s="5" t="s">
        <v>167</v>
      </c>
      <c r="C90" s="28">
        <v>5539</v>
      </c>
      <c r="D90" s="28">
        <v>3016</v>
      </c>
      <c r="E90" s="28">
        <v>559</v>
      </c>
      <c r="F90" s="28">
        <f>SUM(C90-D90-E90)</f>
        <v>1964</v>
      </c>
      <c r="G90" s="28">
        <v>22517</v>
      </c>
      <c r="H90" s="28">
        <v>9327</v>
      </c>
      <c r="I90" s="28">
        <v>2883</v>
      </c>
      <c r="J90" s="28">
        <f>SUM(G90-H90-I90)</f>
        <v>10307</v>
      </c>
      <c r="K90" s="28">
        <v>34</v>
      </c>
      <c r="L90" s="28">
        <v>0</v>
      </c>
      <c r="M90" s="28">
        <v>2008</v>
      </c>
      <c r="N90" s="28">
        <v>30</v>
      </c>
      <c r="O90" s="28">
        <v>30</v>
      </c>
    </row>
    <row r="91" spans="1:15" ht="12.75" customHeight="1">
      <c r="A91" s="4" t="s">
        <v>168</v>
      </c>
      <c r="B91" s="5" t="s">
        <v>169</v>
      </c>
      <c r="C91" s="28">
        <v>7047</v>
      </c>
      <c r="D91" s="28">
        <v>5336</v>
      </c>
      <c r="E91" s="28">
        <v>0</v>
      </c>
      <c r="F91" s="28">
        <f>SUM(C91-D91-E91)</f>
        <v>1711</v>
      </c>
      <c r="G91" s="28">
        <v>25746</v>
      </c>
      <c r="H91" s="28">
        <v>12124</v>
      </c>
      <c r="I91" s="28">
        <v>0</v>
      </c>
      <c r="J91" s="28">
        <f>SUM(G91-H91-I91)</f>
        <v>13622</v>
      </c>
      <c r="K91" s="28">
        <v>8</v>
      </c>
      <c r="L91" s="28">
        <v>12</v>
      </c>
      <c r="M91" s="28">
        <v>3294</v>
      </c>
      <c r="N91" s="28">
        <v>25</v>
      </c>
      <c r="O91" s="28">
        <v>25</v>
      </c>
    </row>
    <row r="92" spans="1:15" ht="12.75" customHeight="1">
      <c r="A92" s="4" t="s">
        <v>170</v>
      </c>
      <c r="B92" s="5" t="s">
        <v>171</v>
      </c>
      <c r="C92" s="28">
        <v>1619</v>
      </c>
      <c r="D92" s="28">
        <v>876</v>
      </c>
      <c r="E92" s="28">
        <v>206</v>
      </c>
      <c r="F92" s="28">
        <f>SUM(C92-D92-E92)</f>
        <v>537</v>
      </c>
      <c r="G92" s="28">
        <v>5114</v>
      </c>
      <c r="H92" s="28">
        <v>2070</v>
      </c>
      <c r="I92" s="28">
        <v>1353</v>
      </c>
      <c r="J92" s="28">
        <f>SUM(G92-H92-I92)</f>
        <v>1691</v>
      </c>
      <c r="K92" s="28">
        <v>17</v>
      </c>
      <c r="L92" s="28">
        <v>0</v>
      </c>
      <c r="M92" s="28">
        <v>205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60376</v>
      </c>
      <c r="D93" s="28">
        <v>39262</v>
      </c>
      <c r="E93" s="28">
        <v>3005</v>
      </c>
      <c r="F93" s="28">
        <f>SUM(C93-D93-E93)</f>
        <v>18109</v>
      </c>
      <c r="G93" s="28">
        <v>195260</v>
      </c>
      <c r="H93" s="28">
        <v>68560</v>
      </c>
      <c r="I93" s="28">
        <v>9594</v>
      </c>
      <c r="J93" s="28">
        <f>SUM(G93-H93-I93)</f>
        <v>117106</v>
      </c>
      <c r="K93" s="28">
        <v>4879</v>
      </c>
      <c r="L93" s="28">
        <v>65</v>
      </c>
      <c r="M93" s="28">
        <v>25028</v>
      </c>
      <c r="N93" s="28">
        <v>3893</v>
      </c>
      <c r="O93" s="28">
        <v>3867</v>
      </c>
    </row>
    <row r="94" spans="1:15" ht="12.75" customHeight="1">
      <c r="A94" s="4" t="s">
        <v>174</v>
      </c>
      <c r="B94" s="5" t="s">
        <v>175</v>
      </c>
      <c r="C94" s="28">
        <v>4194</v>
      </c>
      <c r="D94" s="28">
        <v>1405</v>
      </c>
      <c r="E94" s="28">
        <v>132</v>
      </c>
      <c r="F94" s="28">
        <f>SUM(C94-D94-E94)</f>
        <v>2657</v>
      </c>
      <c r="G94" s="28">
        <v>12101</v>
      </c>
      <c r="H94" s="28">
        <v>4167</v>
      </c>
      <c r="I94" s="28">
        <v>693</v>
      </c>
      <c r="J94" s="28">
        <f>SUM(G94-H94-I94)</f>
        <v>7241</v>
      </c>
      <c r="K94" s="28">
        <v>31</v>
      </c>
      <c r="L94" s="28">
        <v>306</v>
      </c>
      <c r="M94" s="28">
        <v>2677</v>
      </c>
      <c r="N94" s="28">
        <v>13</v>
      </c>
      <c r="O94" s="28">
        <v>13</v>
      </c>
    </row>
    <row r="95" spans="1:15" ht="12.75" customHeight="1">
      <c r="A95" s="8"/>
      <c r="B95" s="9" t="s">
        <v>176</v>
      </c>
      <c r="C95" s="29">
        <f t="shared" ref="C95:O95" si="21">SUM(C90:C94)</f>
        <v>78775</v>
      </c>
      <c r="D95" s="29">
        <f t="shared" si="21"/>
        <v>49895</v>
      </c>
      <c r="E95" s="29">
        <f t="shared" si="21"/>
        <v>3902</v>
      </c>
      <c r="F95" s="29">
        <f t="shared" si="21"/>
        <v>24978</v>
      </c>
      <c r="G95" s="29">
        <f t="shared" si="21"/>
        <v>260738</v>
      </c>
      <c r="H95" s="29">
        <f t="shared" si="21"/>
        <v>96248</v>
      </c>
      <c r="I95" s="29">
        <f t="shared" si="21"/>
        <v>14523</v>
      </c>
      <c r="J95" s="29">
        <f t="shared" si="21"/>
        <v>149967</v>
      </c>
      <c r="K95" s="29">
        <f t="shared" si="21"/>
        <v>4969</v>
      </c>
      <c r="L95" s="29">
        <f t="shared" si="21"/>
        <v>383</v>
      </c>
      <c r="M95" s="29">
        <f t="shared" si="21"/>
        <v>33212</v>
      </c>
      <c r="N95" s="29">
        <f t="shared" si="21"/>
        <v>3961</v>
      </c>
      <c r="O95" s="29">
        <f t="shared" si="21"/>
        <v>3935</v>
      </c>
    </row>
    <row r="96" spans="1:15" ht="12.75" customHeight="1">
      <c r="A96" s="4" t="s">
        <v>177</v>
      </c>
      <c r="B96" s="5" t="s">
        <v>178</v>
      </c>
      <c r="C96" s="28">
        <v>1226</v>
      </c>
      <c r="D96" s="28">
        <v>1011</v>
      </c>
      <c r="E96" s="28">
        <v>110</v>
      </c>
      <c r="F96" s="28">
        <f>SUM(C96-D96-E96)</f>
        <v>105</v>
      </c>
      <c r="G96" s="28">
        <v>6388</v>
      </c>
      <c r="H96" s="28">
        <v>3676</v>
      </c>
      <c r="I96" s="28">
        <v>561</v>
      </c>
      <c r="J96" s="28">
        <f>SUM(G96-H96-I96)</f>
        <v>2151</v>
      </c>
      <c r="K96" s="28">
        <v>0</v>
      </c>
      <c r="L96" s="28">
        <v>0</v>
      </c>
      <c r="M96" s="28">
        <v>1847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426</v>
      </c>
      <c r="D97" s="28">
        <v>405</v>
      </c>
      <c r="E97" s="28">
        <v>0</v>
      </c>
      <c r="F97" s="28">
        <f>SUM(C97-D97-E97)</f>
        <v>21</v>
      </c>
      <c r="G97" s="28">
        <v>1399</v>
      </c>
      <c r="H97" s="28">
        <v>1299</v>
      </c>
      <c r="I97" s="28">
        <v>0</v>
      </c>
      <c r="J97" s="28">
        <f>SUM(G97-H97-I97)</f>
        <v>100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1652</v>
      </c>
      <c r="D98" s="29">
        <f t="shared" si="22"/>
        <v>1416</v>
      </c>
      <c r="E98" s="29">
        <f t="shared" si="22"/>
        <v>110</v>
      </c>
      <c r="F98" s="29">
        <f t="shared" si="22"/>
        <v>126</v>
      </c>
      <c r="G98" s="29">
        <f t="shared" si="22"/>
        <v>7787</v>
      </c>
      <c r="H98" s="29">
        <f t="shared" si="22"/>
        <v>4975</v>
      </c>
      <c r="I98" s="29">
        <f t="shared" si="22"/>
        <v>561</v>
      </c>
      <c r="J98" s="29">
        <f t="shared" si="22"/>
        <v>2251</v>
      </c>
      <c r="K98" s="29">
        <f t="shared" si="22"/>
        <v>0</v>
      </c>
      <c r="L98" s="29">
        <f t="shared" si="22"/>
        <v>0</v>
      </c>
      <c r="M98" s="29">
        <f t="shared" si="22"/>
        <v>1847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3578</v>
      </c>
      <c r="D99" s="28">
        <v>2965</v>
      </c>
      <c r="E99" s="28">
        <v>239</v>
      </c>
      <c r="F99" s="28">
        <f>SUM(C99-D99-E99)</f>
        <v>374</v>
      </c>
      <c r="G99" s="28">
        <v>12506</v>
      </c>
      <c r="H99" s="28">
        <v>8491</v>
      </c>
      <c r="I99" s="28">
        <v>1107</v>
      </c>
      <c r="J99" s="28">
        <f>SUM(G99-H99-I99)</f>
        <v>2908</v>
      </c>
      <c r="K99" s="28">
        <v>10</v>
      </c>
      <c r="L99" s="28">
        <v>0</v>
      </c>
      <c r="M99" s="28">
        <v>923</v>
      </c>
      <c r="N99" s="28">
        <v>38</v>
      </c>
      <c r="O99" s="28">
        <v>38</v>
      </c>
    </row>
    <row r="100" spans="1:15" ht="12.75" customHeight="1">
      <c r="A100" s="4" t="s">
        <v>184</v>
      </c>
      <c r="B100" s="5" t="s">
        <v>185</v>
      </c>
      <c r="C100" s="28">
        <v>3053</v>
      </c>
      <c r="D100" s="28">
        <v>1599</v>
      </c>
      <c r="E100" s="28">
        <v>254</v>
      </c>
      <c r="F100" s="28">
        <f>SUM(C100-D100-E100)</f>
        <v>1200</v>
      </c>
      <c r="G100" s="28">
        <v>12485</v>
      </c>
      <c r="H100" s="28">
        <v>4377</v>
      </c>
      <c r="I100" s="28">
        <v>963</v>
      </c>
      <c r="J100" s="28">
        <f>SUM(G100-H100-I100)</f>
        <v>7145</v>
      </c>
      <c r="K100" s="28">
        <v>73</v>
      </c>
      <c r="L100" s="28">
        <v>0</v>
      </c>
      <c r="M100" s="28">
        <v>820</v>
      </c>
      <c r="N100" s="28">
        <v>151</v>
      </c>
      <c r="O100" s="28">
        <v>151</v>
      </c>
    </row>
    <row r="101" spans="1:15" ht="12.75" customHeight="1">
      <c r="A101" s="4" t="s">
        <v>186</v>
      </c>
      <c r="B101" s="5" t="s">
        <v>187</v>
      </c>
      <c r="C101" s="28">
        <v>1712</v>
      </c>
      <c r="D101" s="28">
        <v>1500</v>
      </c>
      <c r="E101" s="28">
        <v>0</v>
      </c>
      <c r="F101" s="28">
        <f>SUM(C101-D101-E101)</f>
        <v>212</v>
      </c>
      <c r="G101" s="28">
        <v>5742</v>
      </c>
      <c r="H101" s="28">
        <v>3990</v>
      </c>
      <c r="I101" s="28">
        <v>0</v>
      </c>
      <c r="J101" s="28">
        <f>SUM(G101-H101-I101)</f>
        <v>1752</v>
      </c>
      <c r="K101" s="28">
        <v>0</v>
      </c>
      <c r="L101" s="28">
        <v>0</v>
      </c>
      <c r="M101" s="28">
        <v>273</v>
      </c>
      <c r="N101" s="28">
        <v>30</v>
      </c>
      <c r="O101" s="28">
        <v>30</v>
      </c>
    </row>
    <row r="102" spans="1:15" ht="12.75" customHeight="1">
      <c r="A102" s="4" t="s">
        <v>188</v>
      </c>
      <c r="B102" s="5" t="s">
        <v>189</v>
      </c>
      <c r="C102" s="28">
        <v>3144</v>
      </c>
      <c r="D102" s="28">
        <v>2627</v>
      </c>
      <c r="E102" s="28">
        <v>356</v>
      </c>
      <c r="F102" s="28">
        <f>SUM(C102-D102-E102)</f>
        <v>161</v>
      </c>
      <c r="G102" s="28">
        <v>9520</v>
      </c>
      <c r="H102" s="28">
        <v>5986</v>
      </c>
      <c r="I102" s="28">
        <v>1794</v>
      </c>
      <c r="J102" s="28">
        <f>SUM(G102-H102-I102)</f>
        <v>1740</v>
      </c>
      <c r="K102" s="28">
        <v>123</v>
      </c>
      <c r="L102" s="28">
        <v>0</v>
      </c>
      <c r="M102" s="28">
        <v>385</v>
      </c>
      <c r="N102" s="28">
        <v>7</v>
      </c>
      <c r="O102" s="28">
        <v>7</v>
      </c>
    </row>
    <row r="103" spans="1:15" ht="12.75" customHeight="1">
      <c r="A103" s="8"/>
      <c r="B103" s="9" t="s">
        <v>190</v>
      </c>
      <c r="C103" s="29">
        <f t="shared" ref="C103:O103" si="23">SUM(C99:C102)</f>
        <v>11487</v>
      </c>
      <c r="D103" s="29">
        <f t="shared" si="23"/>
        <v>8691</v>
      </c>
      <c r="E103" s="29">
        <f t="shared" si="23"/>
        <v>849</v>
      </c>
      <c r="F103" s="29">
        <f t="shared" si="23"/>
        <v>1947</v>
      </c>
      <c r="G103" s="29">
        <f t="shared" si="23"/>
        <v>40253</v>
      </c>
      <c r="H103" s="29">
        <f t="shared" si="23"/>
        <v>22844</v>
      </c>
      <c r="I103" s="29">
        <f t="shared" si="23"/>
        <v>3864</v>
      </c>
      <c r="J103" s="29">
        <f t="shared" si="23"/>
        <v>13545</v>
      </c>
      <c r="K103" s="29">
        <f t="shared" si="23"/>
        <v>206</v>
      </c>
      <c r="L103" s="29">
        <f t="shared" si="23"/>
        <v>0</v>
      </c>
      <c r="M103" s="29">
        <f t="shared" si="23"/>
        <v>2401</v>
      </c>
      <c r="N103" s="29">
        <f t="shared" si="23"/>
        <v>226</v>
      </c>
      <c r="O103" s="29">
        <f t="shared" si="23"/>
        <v>226</v>
      </c>
    </row>
    <row r="104" spans="1:15" ht="12.75" customHeight="1">
      <c r="A104" s="4" t="s">
        <v>191</v>
      </c>
      <c r="B104" s="5" t="s">
        <v>192</v>
      </c>
      <c r="C104" s="28">
        <v>1988</v>
      </c>
      <c r="D104" s="28">
        <v>1521</v>
      </c>
      <c r="E104" s="28">
        <v>90</v>
      </c>
      <c r="F104" s="28">
        <f>SUM(C104-D104-E104)</f>
        <v>377</v>
      </c>
      <c r="G104" s="28">
        <v>7790</v>
      </c>
      <c r="H104" s="28">
        <v>4872</v>
      </c>
      <c r="I104" s="28">
        <v>558</v>
      </c>
      <c r="J104" s="28">
        <f>SUM(G104-H104-I104)</f>
        <v>2360</v>
      </c>
      <c r="K104" s="28">
        <v>28</v>
      </c>
      <c r="L104" s="28">
        <v>0</v>
      </c>
      <c r="M104" s="28">
        <v>456</v>
      </c>
      <c r="N104" s="28">
        <v>44</v>
      </c>
      <c r="O104" s="28">
        <v>44</v>
      </c>
    </row>
    <row r="105" spans="1:15" ht="12.75" customHeight="1">
      <c r="A105" s="4" t="s">
        <v>193</v>
      </c>
      <c r="B105" s="5" t="s">
        <v>194</v>
      </c>
      <c r="C105" s="28">
        <v>1276</v>
      </c>
      <c r="D105" s="28">
        <v>932</v>
      </c>
      <c r="E105" s="28">
        <v>0</v>
      </c>
      <c r="F105" s="28">
        <f>SUM(C105-D105-E105)</f>
        <v>344</v>
      </c>
      <c r="G105" s="28">
        <v>4713</v>
      </c>
      <c r="H105" s="28">
        <v>2948</v>
      </c>
      <c r="I105" s="28">
        <v>0</v>
      </c>
      <c r="J105" s="28">
        <f>SUM(G105-H105-I105)</f>
        <v>1765</v>
      </c>
      <c r="K105" s="28">
        <v>11</v>
      </c>
      <c r="L105" s="28">
        <v>0</v>
      </c>
      <c r="M105" s="28">
        <v>775</v>
      </c>
      <c r="N105" s="28">
        <v>24</v>
      </c>
      <c r="O105" s="28">
        <v>24</v>
      </c>
    </row>
    <row r="106" spans="1:15" ht="12.75" customHeight="1">
      <c r="A106" s="4" t="s">
        <v>195</v>
      </c>
      <c r="B106" s="5" t="s">
        <v>196</v>
      </c>
      <c r="C106" s="28">
        <v>7410</v>
      </c>
      <c r="D106" s="28">
        <v>4795</v>
      </c>
      <c r="E106" s="28">
        <v>335</v>
      </c>
      <c r="F106" s="28">
        <f>SUM(C106-D106-E106)</f>
        <v>2280</v>
      </c>
      <c r="G106" s="28">
        <v>29340</v>
      </c>
      <c r="H106" s="28">
        <v>13651</v>
      </c>
      <c r="I106" s="28">
        <v>1598</v>
      </c>
      <c r="J106" s="28">
        <f>SUM(G106-H106-I106)</f>
        <v>14091</v>
      </c>
      <c r="K106" s="28">
        <v>0</v>
      </c>
      <c r="L106" s="28">
        <v>0</v>
      </c>
      <c r="M106" s="28">
        <v>7278</v>
      </c>
      <c r="N106" s="28">
        <v>108</v>
      </c>
      <c r="O106" s="28">
        <v>108</v>
      </c>
    </row>
    <row r="107" spans="1:15" ht="12.75" customHeight="1">
      <c r="A107" s="4" t="s">
        <v>197</v>
      </c>
      <c r="B107" s="5" t="s">
        <v>198</v>
      </c>
      <c r="C107" s="28">
        <v>25085</v>
      </c>
      <c r="D107" s="28">
        <v>17300</v>
      </c>
      <c r="E107" s="28">
        <v>857</v>
      </c>
      <c r="F107" s="28">
        <f>SUM(C107-D107-E107)</f>
        <v>6928</v>
      </c>
      <c r="G107" s="28">
        <v>66223</v>
      </c>
      <c r="H107" s="28">
        <v>32049</v>
      </c>
      <c r="I107" s="28">
        <v>2128</v>
      </c>
      <c r="J107" s="28">
        <f>SUM(G107-H107-I107)</f>
        <v>32046</v>
      </c>
      <c r="K107" s="28">
        <v>2424</v>
      </c>
      <c r="L107" s="28">
        <v>0</v>
      </c>
      <c r="M107" s="28">
        <v>1546</v>
      </c>
      <c r="N107" s="28">
        <v>2009</v>
      </c>
      <c r="O107" s="28">
        <v>2009</v>
      </c>
    </row>
    <row r="108" spans="1:15" ht="12.75" customHeight="1">
      <c r="A108" s="4" t="s">
        <v>199</v>
      </c>
      <c r="B108" s="5" t="s">
        <v>200</v>
      </c>
      <c r="C108" s="28">
        <v>7557</v>
      </c>
      <c r="D108" s="28">
        <v>5126</v>
      </c>
      <c r="E108" s="28">
        <v>450</v>
      </c>
      <c r="F108" s="28">
        <f>SUM(C108-D108-E108)</f>
        <v>1981</v>
      </c>
      <c r="G108" s="28">
        <v>35367</v>
      </c>
      <c r="H108" s="28">
        <v>14349</v>
      </c>
      <c r="I108" s="28">
        <v>2142</v>
      </c>
      <c r="J108" s="28">
        <f>SUM(G108-H108-I108)</f>
        <v>18876</v>
      </c>
      <c r="K108" s="28">
        <v>71</v>
      </c>
      <c r="L108" s="28">
        <v>0</v>
      </c>
      <c r="M108" s="28">
        <v>1786</v>
      </c>
      <c r="N108" s="28">
        <v>986</v>
      </c>
      <c r="O108" s="28">
        <v>986</v>
      </c>
    </row>
    <row r="109" spans="1:15" ht="12.75" customHeight="1">
      <c r="A109" s="8"/>
      <c r="B109" s="9" t="s">
        <v>201</v>
      </c>
      <c r="C109" s="29">
        <f t="shared" ref="C109:O109" si="24">SUM(C104:C108)</f>
        <v>43316</v>
      </c>
      <c r="D109" s="29">
        <f t="shared" si="24"/>
        <v>29674</v>
      </c>
      <c r="E109" s="29">
        <f t="shared" si="24"/>
        <v>1732</v>
      </c>
      <c r="F109" s="29">
        <f t="shared" si="24"/>
        <v>11910</v>
      </c>
      <c r="G109" s="29">
        <f t="shared" si="24"/>
        <v>143433</v>
      </c>
      <c r="H109" s="29">
        <f t="shared" si="24"/>
        <v>67869</v>
      </c>
      <c r="I109" s="29">
        <f t="shared" si="24"/>
        <v>6426</v>
      </c>
      <c r="J109" s="29">
        <f t="shared" si="24"/>
        <v>69138</v>
      </c>
      <c r="K109" s="29">
        <f t="shared" si="24"/>
        <v>2534</v>
      </c>
      <c r="L109" s="29">
        <f t="shared" si="24"/>
        <v>0</v>
      </c>
      <c r="M109" s="29">
        <f t="shared" si="24"/>
        <v>11841</v>
      </c>
      <c r="N109" s="29">
        <f t="shared" si="24"/>
        <v>3171</v>
      </c>
      <c r="O109" s="29">
        <f t="shared" si="24"/>
        <v>3171</v>
      </c>
    </row>
    <row r="110" spans="1:15" ht="12.75" customHeight="1">
      <c r="A110" s="4" t="s">
        <v>202</v>
      </c>
      <c r="B110" s="5" t="s">
        <v>203</v>
      </c>
      <c r="C110" s="28">
        <v>11314</v>
      </c>
      <c r="D110" s="28">
        <v>8833</v>
      </c>
      <c r="E110" s="28">
        <v>231</v>
      </c>
      <c r="F110" s="28">
        <f t="shared" ref="F110:F115" si="25">SUM(C110-D110-E110)</f>
        <v>2250</v>
      </c>
      <c r="G110" s="28">
        <v>46594</v>
      </c>
      <c r="H110" s="28">
        <v>27737</v>
      </c>
      <c r="I110" s="28">
        <v>1289</v>
      </c>
      <c r="J110" s="28">
        <f t="shared" ref="J110:J115" si="26">SUM(G110-H110-I110)</f>
        <v>17568</v>
      </c>
      <c r="K110" s="28">
        <v>280</v>
      </c>
      <c r="L110" s="28">
        <v>0</v>
      </c>
      <c r="M110" s="28">
        <v>4592</v>
      </c>
      <c r="N110" s="28">
        <v>146</v>
      </c>
      <c r="O110" s="28">
        <v>146</v>
      </c>
    </row>
    <row r="111" spans="1:15" ht="12.75" customHeight="1">
      <c r="A111" s="4" t="s">
        <v>204</v>
      </c>
      <c r="B111" s="5" t="s">
        <v>205</v>
      </c>
      <c r="C111" s="28">
        <v>1522</v>
      </c>
      <c r="D111" s="28">
        <v>1433</v>
      </c>
      <c r="E111" s="28">
        <v>58</v>
      </c>
      <c r="F111" s="28">
        <f t="shared" si="25"/>
        <v>31</v>
      </c>
      <c r="G111" s="28">
        <v>4608</v>
      </c>
      <c r="H111" s="28">
        <v>3839</v>
      </c>
      <c r="I111" s="28">
        <v>302</v>
      </c>
      <c r="J111" s="28">
        <f t="shared" si="26"/>
        <v>467</v>
      </c>
      <c r="K111" s="28">
        <v>0</v>
      </c>
      <c r="L111" s="28">
        <v>0</v>
      </c>
      <c r="M111" s="28">
        <v>474</v>
      </c>
      <c r="N111" s="28">
        <v>25</v>
      </c>
      <c r="O111" s="28">
        <v>25</v>
      </c>
    </row>
    <row r="112" spans="1:15" ht="12.75" customHeight="1">
      <c r="A112" s="4" t="s">
        <v>206</v>
      </c>
      <c r="B112" s="5" t="s">
        <v>207</v>
      </c>
      <c r="C112" s="28">
        <v>3624</v>
      </c>
      <c r="D112" s="28">
        <v>3085</v>
      </c>
      <c r="E112" s="28">
        <v>0</v>
      </c>
      <c r="F112" s="28">
        <f t="shared" si="25"/>
        <v>539</v>
      </c>
      <c r="G112" s="28">
        <v>11428</v>
      </c>
      <c r="H112" s="28">
        <v>8912</v>
      </c>
      <c r="I112" s="28">
        <v>0</v>
      </c>
      <c r="J112" s="28">
        <f t="shared" si="26"/>
        <v>2516</v>
      </c>
      <c r="K112" s="28">
        <v>42</v>
      </c>
      <c r="L112" s="28">
        <v>0</v>
      </c>
      <c r="M112" s="28">
        <v>619</v>
      </c>
      <c r="N112" s="28">
        <v>0</v>
      </c>
      <c r="O112" s="28">
        <v>0</v>
      </c>
    </row>
    <row r="113" spans="1:15" ht="12.75" customHeight="1">
      <c r="A113" s="4" t="s">
        <v>208</v>
      </c>
      <c r="B113" s="5" t="s">
        <v>209</v>
      </c>
      <c r="C113" s="28">
        <v>3662</v>
      </c>
      <c r="D113" s="28">
        <v>2484</v>
      </c>
      <c r="E113" s="28">
        <v>342</v>
      </c>
      <c r="F113" s="28">
        <f t="shared" si="25"/>
        <v>836</v>
      </c>
      <c r="G113" s="28">
        <v>13495</v>
      </c>
      <c r="H113" s="28">
        <v>7578</v>
      </c>
      <c r="I113" s="28">
        <v>1381</v>
      </c>
      <c r="J113" s="28">
        <f t="shared" si="26"/>
        <v>4536</v>
      </c>
      <c r="K113" s="28">
        <v>89</v>
      </c>
      <c r="L113" s="28">
        <v>0</v>
      </c>
      <c r="M113" s="28">
        <v>5155</v>
      </c>
      <c r="N113" s="28">
        <v>97</v>
      </c>
      <c r="O113" s="28">
        <v>97</v>
      </c>
    </row>
    <row r="114" spans="1:15" ht="12.75" customHeight="1">
      <c r="A114" s="4" t="s">
        <v>210</v>
      </c>
      <c r="B114" s="5" t="s">
        <v>211</v>
      </c>
      <c r="C114" s="28">
        <v>8542</v>
      </c>
      <c r="D114" s="28">
        <v>6974</v>
      </c>
      <c r="E114" s="28">
        <v>0</v>
      </c>
      <c r="F114" s="28">
        <f t="shared" si="25"/>
        <v>1568</v>
      </c>
      <c r="G114" s="28">
        <v>22247</v>
      </c>
      <c r="H114" s="28">
        <v>16460</v>
      </c>
      <c r="I114" s="28">
        <v>0</v>
      </c>
      <c r="J114" s="28">
        <f t="shared" si="26"/>
        <v>5787</v>
      </c>
      <c r="K114" s="28">
        <v>857</v>
      </c>
      <c r="L114" s="28">
        <v>0</v>
      </c>
      <c r="M114" s="28">
        <v>1769</v>
      </c>
      <c r="N114" s="28">
        <v>278</v>
      </c>
      <c r="O114" s="28">
        <v>278</v>
      </c>
    </row>
    <row r="115" spans="1:15" ht="12.75" customHeight="1">
      <c r="A115" s="4" t="s">
        <v>212</v>
      </c>
      <c r="B115" s="5" t="s">
        <v>213</v>
      </c>
      <c r="C115" s="28">
        <v>5562</v>
      </c>
      <c r="D115" s="28">
        <v>4415</v>
      </c>
      <c r="E115" s="28">
        <v>0</v>
      </c>
      <c r="F115" s="28">
        <f t="shared" si="25"/>
        <v>1147</v>
      </c>
      <c r="G115" s="28">
        <v>18780</v>
      </c>
      <c r="H115" s="28">
        <v>12748</v>
      </c>
      <c r="I115" s="28">
        <v>0</v>
      </c>
      <c r="J115" s="28">
        <f t="shared" si="26"/>
        <v>6032</v>
      </c>
      <c r="K115" s="28">
        <v>6152</v>
      </c>
      <c r="L115" s="28">
        <v>0</v>
      </c>
      <c r="M115" s="28">
        <v>1474</v>
      </c>
      <c r="N115" s="28">
        <v>228</v>
      </c>
      <c r="O115" s="28">
        <v>228</v>
      </c>
    </row>
    <row r="116" spans="1:15" ht="12.75" customHeight="1">
      <c r="A116" s="8"/>
      <c r="B116" s="9" t="s">
        <v>214</v>
      </c>
      <c r="C116" s="29">
        <f t="shared" ref="C116:O116" si="27">SUM(C110:C115)</f>
        <v>34226</v>
      </c>
      <c r="D116" s="29">
        <f t="shared" si="27"/>
        <v>27224</v>
      </c>
      <c r="E116" s="29">
        <f t="shared" si="27"/>
        <v>631</v>
      </c>
      <c r="F116" s="29">
        <f t="shared" si="27"/>
        <v>6371</v>
      </c>
      <c r="G116" s="29">
        <f t="shared" si="27"/>
        <v>117152</v>
      </c>
      <c r="H116" s="29">
        <f t="shared" si="27"/>
        <v>77274</v>
      </c>
      <c r="I116" s="29">
        <f t="shared" si="27"/>
        <v>2972</v>
      </c>
      <c r="J116" s="29">
        <f t="shared" si="27"/>
        <v>36906</v>
      </c>
      <c r="K116" s="29">
        <f t="shared" si="27"/>
        <v>7420</v>
      </c>
      <c r="L116" s="29">
        <f t="shared" si="27"/>
        <v>0</v>
      </c>
      <c r="M116" s="29">
        <f t="shared" si="27"/>
        <v>14083</v>
      </c>
      <c r="N116" s="29">
        <f t="shared" si="27"/>
        <v>774</v>
      </c>
      <c r="O116" s="29">
        <f t="shared" si="27"/>
        <v>774</v>
      </c>
    </row>
    <row r="117" spans="1:15" ht="12.75" customHeight="1">
      <c r="A117" s="4" t="s">
        <v>215</v>
      </c>
      <c r="B117" s="5" t="s">
        <v>216</v>
      </c>
      <c r="C117" s="28">
        <v>1128</v>
      </c>
      <c r="D117" s="28">
        <v>1017</v>
      </c>
      <c r="E117" s="28">
        <v>0</v>
      </c>
      <c r="F117" s="28">
        <f>SUM(C117-D117-E117)</f>
        <v>111</v>
      </c>
      <c r="G117" s="28">
        <v>4435</v>
      </c>
      <c r="H117" s="28">
        <v>3562</v>
      </c>
      <c r="I117" s="28">
        <v>0</v>
      </c>
      <c r="J117" s="28">
        <f>SUM(G117-H117-I117)</f>
        <v>873</v>
      </c>
      <c r="K117" s="28">
        <v>0</v>
      </c>
      <c r="L117" s="28">
        <v>0</v>
      </c>
      <c r="M117" s="28">
        <v>1135</v>
      </c>
      <c r="N117" s="28">
        <v>10</v>
      </c>
      <c r="O117" s="28">
        <v>10</v>
      </c>
    </row>
    <row r="118" spans="1:15" ht="12.75" customHeight="1">
      <c r="A118" s="4" t="s">
        <v>217</v>
      </c>
      <c r="B118" s="5" t="s">
        <v>218</v>
      </c>
      <c r="C118" s="28">
        <v>2726</v>
      </c>
      <c r="D118" s="28">
        <v>2255</v>
      </c>
      <c r="E118" s="28">
        <v>93</v>
      </c>
      <c r="F118" s="28">
        <f>SUM(C118-D118-E118)</f>
        <v>378</v>
      </c>
      <c r="G118" s="28">
        <v>10213</v>
      </c>
      <c r="H118" s="28">
        <v>6710</v>
      </c>
      <c r="I118" s="28">
        <v>481</v>
      </c>
      <c r="J118" s="28">
        <f>SUM(G118-H118-I118)</f>
        <v>3022</v>
      </c>
      <c r="K118" s="28">
        <v>28</v>
      </c>
      <c r="L118" s="28">
        <v>0</v>
      </c>
      <c r="M118" s="28">
        <v>1604</v>
      </c>
      <c r="N118" s="28">
        <v>243</v>
      </c>
      <c r="O118" s="28">
        <v>243</v>
      </c>
    </row>
    <row r="119" spans="1:15" ht="12.75" customHeight="1">
      <c r="A119" s="8"/>
      <c r="B119" s="9" t="s">
        <v>219</v>
      </c>
      <c r="C119" s="29">
        <f t="shared" ref="C119:O119" si="28">SUM(C117:C118)</f>
        <v>3854</v>
      </c>
      <c r="D119" s="29">
        <f t="shared" si="28"/>
        <v>3272</v>
      </c>
      <c r="E119" s="29">
        <f t="shared" si="28"/>
        <v>93</v>
      </c>
      <c r="F119" s="29">
        <f t="shared" si="28"/>
        <v>489</v>
      </c>
      <c r="G119" s="29">
        <f t="shared" si="28"/>
        <v>14648</v>
      </c>
      <c r="H119" s="29">
        <f t="shared" si="28"/>
        <v>10272</v>
      </c>
      <c r="I119" s="29">
        <f t="shared" si="28"/>
        <v>481</v>
      </c>
      <c r="J119" s="29">
        <f t="shared" si="28"/>
        <v>3895</v>
      </c>
      <c r="K119" s="29">
        <f t="shared" si="28"/>
        <v>28</v>
      </c>
      <c r="L119" s="29">
        <f t="shared" si="28"/>
        <v>0</v>
      </c>
      <c r="M119" s="29">
        <f t="shared" si="28"/>
        <v>2739</v>
      </c>
      <c r="N119" s="29">
        <f t="shared" si="28"/>
        <v>253</v>
      </c>
      <c r="O119" s="29">
        <f t="shared" si="28"/>
        <v>253</v>
      </c>
    </row>
    <row r="120" spans="1:15" ht="12.75" customHeight="1">
      <c r="A120" s="4" t="s">
        <v>220</v>
      </c>
      <c r="B120" s="5" t="s">
        <v>221</v>
      </c>
      <c r="C120" s="28">
        <v>3703</v>
      </c>
      <c r="D120" s="28">
        <v>3380</v>
      </c>
      <c r="E120" s="28">
        <v>93</v>
      </c>
      <c r="F120" s="28">
        <f>SUM(C120-D120-E120)</f>
        <v>230</v>
      </c>
      <c r="G120" s="28">
        <v>10973</v>
      </c>
      <c r="H120" s="28">
        <v>8858</v>
      </c>
      <c r="I120" s="28">
        <v>596</v>
      </c>
      <c r="J120" s="28">
        <f>SUM(G120-H120-I120)</f>
        <v>1519</v>
      </c>
      <c r="K120" s="28">
        <v>129</v>
      </c>
      <c r="L120" s="28">
        <v>0</v>
      </c>
      <c r="M120" s="28">
        <v>465</v>
      </c>
      <c r="N120" s="28">
        <v>459</v>
      </c>
      <c r="O120" s="28">
        <v>459</v>
      </c>
    </row>
    <row r="121" spans="1:15" ht="12.75" customHeight="1">
      <c r="A121" s="4" t="s">
        <v>222</v>
      </c>
      <c r="B121" s="5" t="s">
        <v>223</v>
      </c>
      <c r="C121" s="28">
        <v>5798</v>
      </c>
      <c r="D121" s="28">
        <v>5283</v>
      </c>
      <c r="E121" s="28">
        <v>268</v>
      </c>
      <c r="F121" s="28">
        <f>SUM(C121-D121-E121)</f>
        <v>247</v>
      </c>
      <c r="G121" s="28">
        <v>18843</v>
      </c>
      <c r="H121" s="28">
        <v>14551</v>
      </c>
      <c r="I121" s="28">
        <v>1285</v>
      </c>
      <c r="J121" s="28">
        <f>SUM(G121-H121-I121)</f>
        <v>3007</v>
      </c>
      <c r="K121" s="28">
        <v>14</v>
      </c>
      <c r="L121" s="28">
        <v>0</v>
      </c>
      <c r="M121" s="28">
        <v>843</v>
      </c>
      <c r="N121" s="28">
        <v>92</v>
      </c>
      <c r="O121" s="28">
        <v>92</v>
      </c>
    </row>
    <row r="122" spans="1:15" ht="12.75" customHeight="1">
      <c r="A122" s="4" t="s">
        <v>224</v>
      </c>
      <c r="B122" s="5" t="s">
        <v>225</v>
      </c>
      <c r="C122" s="28">
        <v>1154</v>
      </c>
      <c r="D122" s="28">
        <v>981</v>
      </c>
      <c r="E122" s="28">
        <v>0</v>
      </c>
      <c r="F122" s="28">
        <f>SUM(C122-D122-E122)</f>
        <v>173</v>
      </c>
      <c r="G122" s="28">
        <v>3789</v>
      </c>
      <c r="H122" s="28">
        <v>2598</v>
      </c>
      <c r="I122" s="28">
        <v>0</v>
      </c>
      <c r="J122" s="28">
        <f>SUM(G122-H122-I122)</f>
        <v>1191</v>
      </c>
      <c r="K122" s="28">
        <v>15</v>
      </c>
      <c r="L122" s="28">
        <v>0</v>
      </c>
      <c r="M122" s="28">
        <v>1242</v>
      </c>
      <c r="N122" s="28">
        <v>18</v>
      </c>
      <c r="O122" s="28">
        <v>18</v>
      </c>
    </row>
    <row r="123" spans="1:15" ht="12.75" customHeight="1">
      <c r="A123" s="4" t="s">
        <v>226</v>
      </c>
      <c r="B123" s="5" t="s">
        <v>227</v>
      </c>
      <c r="C123" s="28">
        <v>5329</v>
      </c>
      <c r="D123" s="28">
        <v>4483</v>
      </c>
      <c r="E123" s="28">
        <v>126</v>
      </c>
      <c r="F123" s="28">
        <f>SUM(C123-D123-E123)</f>
        <v>720</v>
      </c>
      <c r="G123" s="28">
        <v>13789</v>
      </c>
      <c r="H123" s="28">
        <v>10740</v>
      </c>
      <c r="I123" s="28">
        <v>634</v>
      </c>
      <c r="J123" s="28">
        <f>SUM(G123-H123-I123)</f>
        <v>2415</v>
      </c>
      <c r="K123" s="28">
        <v>97</v>
      </c>
      <c r="L123" s="28">
        <v>0</v>
      </c>
      <c r="M123" s="28">
        <v>286</v>
      </c>
      <c r="N123" s="28">
        <v>27</v>
      </c>
      <c r="O123" s="28">
        <v>27</v>
      </c>
    </row>
    <row r="124" spans="1:15" ht="12.75" customHeight="1">
      <c r="A124" s="4" t="s">
        <v>228</v>
      </c>
      <c r="B124" s="5" t="s">
        <v>229</v>
      </c>
      <c r="C124" s="28">
        <v>1786</v>
      </c>
      <c r="D124" s="28">
        <v>1666</v>
      </c>
      <c r="E124" s="28">
        <v>32</v>
      </c>
      <c r="F124" s="28">
        <f>SUM(C124-D124-E124)</f>
        <v>88</v>
      </c>
      <c r="G124" s="28">
        <v>4899</v>
      </c>
      <c r="H124" s="28">
        <v>4049</v>
      </c>
      <c r="I124" s="28">
        <v>272</v>
      </c>
      <c r="J124" s="28">
        <f>SUM(G124-H124-I124)</f>
        <v>578</v>
      </c>
      <c r="K124" s="28">
        <v>23</v>
      </c>
      <c r="L124" s="28">
        <v>0</v>
      </c>
      <c r="M124" s="28">
        <v>7</v>
      </c>
      <c r="N124" s="28">
        <v>13</v>
      </c>
      <c r="O124" s="28">
        <v>13</v>
      </c>
    </row>
    <row r="125" spans="1:15" ht="12.75" customHeight="1">
      <c r="A125" s="8"/>
      <c r="B125" s="9" t="s">
        <v>230</v>
      </c>
      <c r="C125" s="29">
        <f t="shared" ref="C125:O125" si="29">SUM(C120:C124)</f>
        <v>17770</v>
      </c>
      <c r="D125" s="29">
        <f t="shared" si="29"/>
        <v>15793</v>
      </c>
      <c r="E125" s="29">
        <f t="shared" si="29"/>
        <v>519</v>
      </c>
      <c r="F125" s="29">
        <f t="shared" si="29"/>
        <v>1458</v>
      </c>
      <c r="G125" s="29">
        <f t="shared" si="29"/>
        <v>52293</v>
      </c>
      <c r="H125" s="29">
        <f t="shared" si="29"/>
        <v>40796</v>
      </c>
      <c r="I125" s="29">
        <f t="shared" si="29"/>
        <v>2787</v>
      </c>
      <c r="J125" s="29">
        <f t="shared" si="29"/>
        <v>8710</v>
      </c>
      <c r="K125" s="29">
        <f t="shared" si="29"/>
        <v>278</v>
      </c>
      <c r="L125" s="29">
        <f t="shared" si="29"/>
        <v>0</v>
      </c>
      <c r="M125" s="29">
        <f t="shared" si="29"/>
        <v>2843</v>
      </c>
      <c r="N125" s="29">
        <f t="shared" si="29"/>
        <v>609</v>
      </c>
      <c r="O125" s="29">
        <f t="shared" si="29"/>
        <v>609</v>
      </c>
    </row>
    <row r="126" spans="1:15" ht="12.75" customHeight="1">
      <c r="A126" s="4" t="s">
        <v>231</v>
      </c>
      <c r="B126" s="5" t="s">
        <v>232</v>
      </c>
      <c r="C126" s="28">
        <v>4047</v>
      </c>
      <c r="D126" s="28">
        <v>2977</v>
      </c>
      <c r="E126" s="28">
        <v>0</v>
      </c>
      <c r="F126" s="28">
        <f t="shared" ref="F126:F134" si="30">SUM(C126-D126-E126)</f>
        <v>1070</v>
      </c>
      <c r="G126" s="28">
        <v>9833</v>
      </c>
      <c r="H126" s="28">
        <v>5971</v>
      </c>
      <c r="I126" s="28">
        <v>0</v>
      </c>
      <c r="J126" s="28">
        <f t="shared" ref="J126:J134" si="31">SUM(G126-H126-I126)</f>
        <v>3862</v>
      </c>
      <c r="K126" s="28">
        <v>33</v>
      </c>
      <c r="L126" s="28">
        <v>0</v>
      </c>
      <c r="M126" s="28">
        <v>1314</v>
      </c>
      <c r="N126" s="28">
        <v>0</v>
      </c>
      <c r="O126" s="28">
        <v>0</v>
      </c>
    </row>
    <row r="127" spans="1:15" ht="12.75" customHeight="1">
      <c r="A127" s="4" t="s">
        <v>233</v>
      </c>
      <c r="B127" s="5" t="s">
        <v>234</v>
      </c>
      <c r="C127" s="28">
        <v>1785</v>
      </c>
      <c r="D127" s="28">
        <v>1424</v>
      </c>
      <c r="E127" s="28">
        <v>0</v>
      </c>
      <c r="F127" s="28">
        <f t="shared" si="30"/>
        <v>361</v>
      </c>
      <c r="G127" s="28">
        <v>5152</v>
      </c>
      <c r="H127" s="28">
        <v>4224</v>
      </c>
      <c r="I127" s="28">
        <v>0</v>
      </c>
      <c r="J127" s="28">
        <f t="shared" si="31"/>
        <v>928</v>
      </c>
      <c r="K127" s="28">
        <v>0</v>
      </c>
      <c r="L127" s="28">
        <v>0</v>
      </c>
      <c r="M127" s="28">
        <v>208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10951</v>
      </c>
      <c r="D128" s="28">
        <v>8741</v>
      </c>
      <c r="E128" s="28">
        <v>293</v>
      </c>
      <c r="F128" s="28">
        <f t="shared" si="30"/>
        <v>1917</v>
      </c>
      <c r="G128" s="28">
        <v>23495</v>
      </c>
      <c r="H128" s="28">
        <v>17570</v>
      </c>
      <c r="I128" s="28">
        <v>1079</v>
      </c>
      <c r="J128" s="28">
        <f t="shared" si="31"/>
        <v>4846</v>
      </c>
      <c r="K128" s="28">
        <v>193</v>
      </c>
      <c r="L128" s="28">
        <v>0</v>
      </c>
      <c r="M128" s="28">
        <v>2141</v>
      </c>
      <c r="N128" s="28">
        <v>210</v>
      </c>
      <c r="O128" s="28">
        <v>210</v>
      </c>
    </row>
    <row r="129" spans="1:15" ht="12.75" customHeight="1">
      <c r="A129" s="4" t="s">
        <v>237</v>
      </c>
      <c r="B129" s="5" t="s">
        <v>238</v>
      </c>
      <c r="C129" s="28">
        <v>1143</v>
      </c>
      <c r="D129" s="28">
        <v>866</v>
      </c>
      <c r="E129" s="28">
        <v>77</v>
      </c>
      <c r="F129" s="28">
        <f t="shared" si="30"/>
        <v>200</v>
      </c>
      <c r="G129" s="28">
        <v>4103</v>
      </c>
      <c r="H129" s="28">
        <v>2078</v>
      </c>
      <c r="I129" s="28">
        <v>531</v>
      </c>
      <c r="J129" s="28">
        <f t="shared" si="31"/>
        <v>1494</v>
      </c>
      <c r="K129" s="28">
        <v>0</v>
      </c>
      <c r="L129" s="28">
        <v>0</v>
      </c>
      <c r="M129" s="28">
        <v>1661</v>
      </c>
      <c r="N129" s="28">
        <v>81</v>
      </c>
      <c r="O129" s="28">
        <v>81</v>
      </c>
    </row>
    <row r="130" spans="1:15" ht="12.75" customHeight="1">
      <c r="A130" s="4" t="s">
        <v>239</v>
      </c>
      <c r="B130" s="5" t="s">
        <v>240</v>
      </c>
      <c r="C130" s="28">
        <v>7592</v>
      </c>
      <c r="D130" s="28">
        <v>6203</v>
      </c>
      <c r="E130" s="28">
        <v>462</v>
      </c>
      <c r="F130" s="28">
        <f t="shared" si="30"/>
        <v>927</v>
      </c>
      <c r="G130" s="28">
        <v>18823</v>
      </c>
      <c r="H130" s="28">
        <v>9443</v>
      </c>
      <c r="I130" s="28">
        <v>1720</v>
      </c>
      <c r="J130" s="28">
        <f t="shared" si="31"/>
        <v>7660</v>
      </c>
      <c r="K130" s="28">
        <v>32</v>
      </c>
      <c r="L130" s="28">
        <v>0</v>
      </c>
      <c r="M130" s="28">
        <v>69</v>
      </c>
      <c r="N130" s="28">
        <v>464</v>
      </c>
      <c r="O130" s="28">
        <v>464</v>
      </c>
    </row>
    <row r="131" spans="1:15" ht="12.75" customHeight="1">
      <c r="A131" s="4" t="s">
        <v>241</v>
      </c>
      <c r="B131" s="5" t="s">
        <v>242</v>
      </c>
      <c r="C131" s="28">
        <v>13344</v>
      </c>
      <c r="D131" s="28">
        <v>11372</v>
      </c>
      <c r="E131" s="28">
        <v>148</v>
      </c>
      <c r="F131" s="28">
        <f t="shared" si="30"/>
        <v>1824</v>
      </c>
      <c r="G131" s="28">
        <v>31318</v>
      </c>
      <c r="H131" s="28">
        <v>17633</v>
      </c>
      <c r="I131" s="28">
        <v>635</v>
      </c>
      <c r="J131" s="28">
        <f t="shared" si="31"/>
        <v>13050</v>
      </c>
      <c r="K131" s="28">
        <v>110</v>
      </c>
      <c r="L131" s="28">
        <v>0</v>
      </c>
      <c r="M131" s="28">
        <v>586</v>
      </c>
      <c r="N131" s="28">
        <v>304</v>
      </c>
      <c r="O131" s="28">
        <v>304</v>
      </c>
    </row>
    <row r="132" spans="1:15" ht="12.75" customHeight="1">
      <c r="A132" s="4" t="s">
        <v>243</v>
      </c>
      <c r="B132" s="5" t="s">
        <v>244</v>
      </c>
      <c r="C132" s="28">
        <v>6389</v>
      </c>
      <c r="D132" s="28">
        <v>5388</v>
      </c>
      <c r="E132" s="28">
        <v>0</v>
      </c>
      <c r="F132" s="28">
        <f t="shared" si="30"/>
        <v>1001</v>
      </c>
      <c r="G132" s="28">
        <v>17051</v>
      </c>
      <c r="H132" s="28">
        <v>11085</v>
      </c>
      <c r="I132" s="28">
        <v>0</v>
      </c>
      <c r="J132" s="28">
        <f t="shared" si="31"/>
        <v>5966</v>
      </c>
      <c r="K132" s="28">
        <v>361</v>
      </c>
      <c r="L132" s="28">
        <v>0</v>
      </c>
      <c r="M132" s="28">
        <v>703</v>
      </c>
      <c r="N132" s="28">
        <v>19</v>
      </c>
      <c r="O132" s="28">
        <v>19</v>
      </c>
    </row>
    <row r="133" spans="1:15" ht="12.75" customHeight="1">
      <c r="A133" s="4" t="s">
        <v>245</v>
      </c>
      <c r="B133" s="5" t="s">
        <v>246</v>
      </c>
      <c r="C133" s="28">
        <v>5325</v>
      </c>
      <c r="D133" s="28">
        <v>4713</v>
      </c>
      <c r="E133" s="28">
        <v>0</v>
      </c>
      <c r="F133" s="28">
        <f t="shared" si="30"/>
        <v>612</v>
      </c>
      <c r="G133" s="28">
        <v>13387</v>
      </c>
      <c r="H133" s="28">
        <v>9013</v>
      </c>
      <c r="I133" s="28">
        <v>0</v>
      </c>
      <c r="J133" s="28">
        <f t="shared" si="31"/>
        <v>4374</v>
      </c>
      <c r="K133" s="28">
        <v>71</v>
      </c>
      <c r="L133" s="28">
        <v>0</v>
      </c>
      <c r="M133" s="28">
        <v>718</v>
      </c>
      <c r="N133" s="28">
        <v>106</v>
      </c>
      <c r="O133" s="28">
        <v>106</v>
      </c>
    </row>
    <row r="134" spans="1:15" ht="12.75" customHeight="1">
      <c r="A134" s="4" t="s">
        <v>247</v>
      </c>
      <c r="B134" s="5" t="s">
        <v>248</v>
      </c>
      <c r="C134" s="28">
        <v>4294</v>
      </c>
      <c r="D134" s="28">
        <v>2992</v>
      </c>
      <c r="E134" s="28">
        <v>0</v>
      </c>
      <c r="F134" s="28">
        <f t="shared" si="30"/>
        <v>1302</v>
      </c>
      <c r="G134" s="28">
        <v>21816</v>
      </c>
      <c r="H134" s="28">
        <v>5596</v>
      </c>
      <c r="I134" s="28">
        <v>0</v>
      </c>
      <c r="J134" s="28">
        <f t="shared" si="31"/>
        <v>16220</v>
      </c>
      <c r="K134" s="28">
        <v>157</v>
      </c>
      <c r="L134" s="28">
        <v>0</v>
      </c>
      <c r="M134" s="28">
        <v>1130</v>
      </c>
      <c r="N134" s="28">
        <v>0</v>
      </c>
      <c r="O134" s="28">
        <v>0</v>
      </c>
    </row>
    <row r="135" spans="1:15" ht="12.75" customHeight="1">
      <c r="A135" s="10"/>
      <c r="B135" s="9" t="s">
        <v>249</v>
      </c>
      <c r="C135" s="29">
        <f t="shared" ref="C135:O135" si="32">SUM(C126:C134)</f>
        <v>54870</v>
      </c>
      <c r="D135" s="29">
        <f t="shared" si="32"/>
        <v>44676</v>
      </c>
      <c r="E135" s="29">
        <f t="shared" si="32"/>
        <v>980</v>
      </c>
      <c r="F135" s="29">
        <f t="shared" si="32"/>
        <v>9214</v>
      </c>
      <c r="G135" s="29">
        <f t="shared" si="32"/>
        <v>144978</v>
      </c>
      <c r="H135" s="29">
        <f t="shared" si="32"/>
        <v>82613</v>
      </c>
      <c r="I135" s="29">
        <f t="shared" si="32"/>
        <v>3965</v>
      </c>
      <c r="J135" s="29">
        <f t="shared" si="32"/>
        <v>58400</v>
      </c>
      <c r="K135" s="29">
        <f t="shared" si="32"/>
        <v>957</v>
      </c>
      <c r="L135" s="29">
        <f t="shared" si="32"/>
        <v>0</v>
      </c>
      <c r="M135" s="29">
        <f t="shared" si="32"/>
        <v>8530</v>
      </c>
      <c r="N135" s="29">
        <f t="shared" si="32"/>
        <v>1184</v>
      </c>
      <c r="O135" s="29">
        <f t="shared" si="32"/>
        <v>1184</v>
      </c>
    </row>
    <row r="136" spans="1:15" ht="12.75" customHeight="1">
      <c r="A136" s="4" t="s">
        <v>250</v>
      </c>
      <c r="B136" s="5" t="s">
        <v>251</v>
      </c>
      <c r="C136" s="28">
        <v>7804</v>
      </c>
      <c r="D136" s="28">
        <v>7376</v>
      </c>
      <c r="E136" s="28">
        <v>0</v>
      </c>
      <c r="F136" s="28">
        <f t="shared" ref="F136:F143" si="33">SUM(C136-D136-E136)</f>
        <v>428</v>
      </c>
      <c r="G136" s="28">
        <v>18131</v>
      </c>
      <c r="H136" s="28">
        <v>14594</v>
      </c>
      <c r="I136" s="28">
        <v>0</v>
      </c>
      <c r="J136" s="28">
        <f t="shared" ref="J136:J143" si="34">SUM(G136-H136-I136)</f>
        <v>3537</v>
      </c>
      <c r="K136" s="28">
        <v>438</v>
      </c>
      <c r="L136" s="28">
        <v>1004</v>
      </c>
      <c r="M136" s="28">
        <v>1226</v>
      </c>
      <c r="N136" s="28">
        <v>2034</v>
      </c>
      <c r="O136" s="28">
        <v>2034</v>
      </c>
    </row>
    <row r="137" spans="1:15" ht="12.75" customHeight="1">
      <c r="A137" s="4" t="s">
        <v>252</v>
      </c>
      <c r="B137" s="5" t="s">
        <v>253</v>
      </c>
      <c r="C137" s="28">
        <v>1423</v>
      </c>
      <c r="D137" s="28">
        <v>1159</v>
      </c>
      <c r="E137" s="28">
        <v>0</v>
      </c>
      <c r="F137" s="28">
        <f t="shared" si="33"/>
        <v>264</v>
      </c>
      <c r="G137" s="28">
        <v>2876</v>
      </c>
      <c r="H137" s="28">
        <v>2398</v>
      </c>
      <c r="I137" s="28">
        <v>0</v>
      </c>
      <c r="J137" s="28">
        <f t="shared" si="34"/>
        <v>478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</row>
    <row r="138" spans="1:15" ht="12.75" customHeight="1">
      <c r="A138" s="4" t="s">
        <v>254</v>
      </c>
      <c r="B138" s="5" t="s">
        <v>255</v>
      </c>
      <c r="C138" s="28">
        <v>636</v>
      </c>
      <c r="D138" s="28">
        <v>636</v>
      </c>
      <c r="E138" s="28">
        <v>0</v>
      </c>
      <c r="F138" s="28">
        <f t="shared" si="33"/>
        <v>0</v>
      </c>
      <c r="G138" s="28">
        <v>1914</v>
      </c>
      <c r="H138" s="28">
        <v>1914</v>
      </c>
      <c r="I138" s="28">
        <v>0</v>
      </c>
      <c r="J138" s="28">
        <f t="shared" si="34"/>
        <v>0</v>
      </c>
      <c r="K138" s="28">
        <v>0</v>
      </c>
      <c r="L138" s="28">
        <v>0</v>
      </c>
      <c r="M138" s="28">
        <v>118</v>
      </c>
      <c r="N138" s="28">
        <v>0</v>
      </c>
      <c r="O138" s="28">
        <v>0</v>
      </c>
    </row>
    <row r="139" spans="1:15" ht="12.75" customHeight="1">
      <c r="A139" s="4" t="s">
        <v>256</v>
      </c>
      <c r="B139" s="5" t="s">
        <v>257</v>
      </c>
      <c r="C139" s="28">
        <v>2170</v>
      </c>
      <c r="D139" s="28">
        <v>2035</v>
      </c>
      <c r="E139" s="28">
        <v>0</v>
      </c>
      <c r="F139" s="28">
        <f t="shared" si="33"/>
        <v>135</v>
      </c>
      <c r="G139" s="28">
        <v>5912</v>
      </c>
      <c r="H139" s="28">
        <v>5108</v>
      </c>
      <c r="I139" s="28">
        <v>0</v>
      </c>
      <c r="J139" s="28">
        <f t="shared" si="34"/>
        <v>804</v>
      </c>
      <c r="K139" s="28">
        <v>368</v>
      </c>
      <c r="L139" s="28">
        <v>545</v>
      </c>
      <c r="M139" s="28">
        <v>653</v>
      </c>
      <c r="N139" s="28">
        <v>137</v>
      </c>
      <c r="O139" s="28">
        <v>137</v>
      </c>
    </row>
    <row r="140" spans="1:15" ht="12.75" customHeight="1">
      <c r="A140" s="4" t="s">
        <v>258</v>
      </c>
      <c r="B140" s="5" t="s">
        <v>259</v>
      </c>
      <c r="C140" s="28">
        <v>303</v>
      </c>
      <c r="D140" s="28">
        <v>303</v>
      </c>
      <c r="E140" s="28">
        <v>0</v>
      </c>
      <c r="F140" s="28">
        <f t="shared" si="33"/>
        <v>0</v>
      </c>
      <c r="G140" s="28">
        <v>640</v>
      </c>
      <c r="H140" s="28">
        <v>640</v>
      </c>
      <c r="I140" s="28">
        <v>0</v>
      </c>
      <c r="J140" s="28">
        <f t="shared" si="34"/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3441</v>
      </c>
      <c r="D141" s="28">
        <v>3337</v>
      </c>
      <c r="E141" s="28">
        <v>0</v>
      </c>
      <c r="F141" s="28">
        <f t="shared" si="33"/>
        <v>104</v>
      </c>
      <c r="G141" s="28">
        <v>6841</v>
      </c>
      <c r="H141" s="28">
        <v>5876</v>
      </c>
      <c r="I141" s="28">
        <v>0</v>
      </c>
      <c r="J141" s="28">
        <f t="shared" si="34"/>
        <v>965</v>
      </c>
      <c r="K141" s="28">
        <v>197</v>
      </c>
      <c r="L141" s="28">
        <v>0</v>
      </c>
      <c r="M141" s="28">
        <v>173</v>
      </c>
      <c r="N141" s="28">
        <v>210</v>
      </c>
      <c r="O141" s="28">
        <v>210</v>
      </c>
    </row>
    <row r="142" spans="1:15" ht="12.75" customHeight="1">
      <c r="A142" s="4" t="s">
        <v>262</v>
      </c>
      <c r="B142" s="5" t="s">
        <v>263</v>
      </c>
      <c r="C142" s="28">
        <v>1893</v>
      </c>
      <c r="D142" s="28">
        <v>1470</v>
      </c>
      <c r="E142" s="28">
        <v>0</v>
      </c>
      <c r="F142" s="28">
        <f t="shared" si="33"/>
        <v>423</v>
      </c>
      <c r="G142" s="28">
        <v>5718</v>
      </c>
      <c r="H142" s="28">
        <v>4551</v>
      </c>
      <c r="I142" s="28">
        <v>0</v>
      </c>
      <c r="J142" s="28">
        <f t="shared" si="34"/>
        <v>1167</v>
      </c>
      <c r="K142" s="28">
        <v>169</v>
      </c>
      <c r="L142" s="28">
        <v>0</v>
      </c>
      <c r="M142" s="28">
        <v>1022</v>
      </c>
      <c r="N142" s="28">
        <v>630</v>
      </c>
      <c r="O142" s="28">
        <v>630</v>
      </c>
    </row>
    <row r="143" spans="1:15" ht="12.75" customHeight="1">
      <c r="A143" s="4" t="s">
        <v>264</v>
      </c>
      <c r="B143" s="5" t="s">
        <v>265</v>
      </c>
      <c r="C143" s="28">
        <v>5633</v>
      </c>
      <c r="D143" s="28">
        <v>4452</v>
      </c>
      <c r="E143" s="28">
        <v>0</v>
      </c>
      <c r="F143" s="28">
        <f t="shared" si="33"/>
        <v>1181</v>
      </c>
      <c r="G143" s="28">
        <v>16695</v>
      </c>
      <c r="H143" s="28">
        <v>7343</v>
      </c>
      <c r="I143" s="28">
        <v>0</v>
      </c>
      <c r="J143" s="28">
        <f t="shared" si="34"/>
        <v>9352</v>
      </c>
      <c r="K143" s="28">
        <v>941</v>
      </c>
      <c r="L143" s="28">
        <v>0</v>
      </c>
      <c r="M143" s="28">
        <v>1251</v>
      </c>
      <c r="N143" s="28">
        <v>1081</v>
      </c>
      <c r="O143" s="28">
        <v>1081</v>
      </c>
    </row>
    <row r="144" spans="1:15" ht="12.75" customHeight="1">
      <c r="A144" s="10"/>
      <c r="B144" s="9" t="s">
        <v>266</v>
      </c>
      <c r="C144" s="30">
        <f t="shared" ref="C144:O144" si="35">SUM(C136:C143)</f>
        <v>23303</v>
      </c>
      <c r="D144" s="30">
        <f t="shared" si="35"/>
        <v>20768</v>
      </c>
      <c r="E144" s="30">
        <f t="shared" si="35"/>
        <v>0</v>
      </c>
      <c r="F144" s="30">
        <f t="shared" si="35"/>
        <v>2535</v>
      </c>
      <c r="G144" s="30">
        <f t="shared" si="35"/>
        <v>58727</v>
      </c>
      <c r="H144" s="30">
        <f t="shared" si="35"/>
        <v>42424</v>
      </c>
      <c r="I144" s="30">
        <f t="shared" si="35"/>
        <v>0</v>
      </c>
      <c r="J144" s="30">
        <f t="shared" si="35"/>
        <v>16303</v>
      </c>
      <c r="K144" s="30">
        <f t="shared" si="35"/>
        <v>2113</v>
      </c>
      <c r="L144" s="30">
        <f t="shared" si="35"/>
        <v>1549</v>
      </c>
      <c r="M144" s="30">
        <f t="shared" si="35"/>
        <v>4443</v>
      </c>
      <c r="N144" s="30">
        <f t="shared" si="35"/>
        <v>4092</v>
      </c>
      <c r="O144" s="30">
        <f t="shared" si="35"/>
        <v>4092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695311</v>
      </c>
      <c r="D145" s="31">
        <f t="shared" si="36"/>
        <v>500409</v>
      </c>
      <c r="E145" s="31">
        <f t="shared" si="36"/>
        <v>29264</v>
      </c>
      <c r="F145" s="31">
        <f t="shared" si="36"/>
        <v>165638</v>
      </c>
      <c r="G145" s="31">
        <f t="shared" si="36"/>
        <v>2041811</v>
      </c>
      <c r="H145" s="31">
        <f t="shared" si="36"/>
        <v>1061656</v>
      </c>
      <c r="I145" s="31">
        <f t="shared" si="36"/>
        <v>107710</v>
      </c>
      <c r="J145" s="31">
        <f t="shared" si="36"/>
        <v>872445</v>
      </c>
      <c r="K145" s="31">
        <f t="shared" si="36"/>
        <v>40506</v>
      </c>
      <c r="L145" s="31">
        <f t="shared" si="36"/>
        <v>3708</v>
      </c>
      <c r="M145" s="31">
        <f t="shared" si="36"/>
        <v>205769</v>
      </c>
      <c r="N145" s="31">
        <f t="shared" si="36"/>
        <v>50778</v>
      </c>
      <c r="O145" s="31">
        <f t="shared" si="36"/>
        <v>50752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60872</v>
      </c>
      <c r="D15" s="28">
        <v>25455</v>
      </c>
      <c r="E15" s="28">
        <v>3846</v>
      </c>
      <c r="F15" s="28">
        <f t="shared" ref="F15:F22" si="0">SUM(C15-D15-E15)</f>
        <v>31571</v>
      </c>
      <c r="G15" s="28">
        <v>211871</v>
      </c>
      <c r="H15" s="28">
        <v>66945</v>
      </c>
      <c r="I15" s="28">
        <v>19485</v>
      </c>
      <c r="J15" s="28">
        <f t="shared" ref="J15:J22" si="1">SUM(G15-H15-I15)</f>
        <v>125441</v>
      </c>
      <c r="K15" s="28">
        <v>6552</v>
      </c>
      <c r="L15" s="28">
        <v>0</v>
      </c>
      <c r="M15" s="28">
        <v>18081</v>
      </c>
      <c r="N15" s="28">
        <v>4766</v>
      </c>
      <c r="O15" s="28">
        <v>4766</v>
      </c>
    </row>
    <row r="16" spans="1:15" ht="12.75" customHeight="1">
      <c r="A16" s="4" t="s">
        <v>29</v>
      </c>
      <c r="B16" s="5" t="s">
        <v>30</v>
      </c>
      <c r="C16" s="28">
        <v>26689</v>
      </c>
      <c r="D16" s="28">
        <v>12097</v>
      </c>
      <c r="E16" s="28">
        <v>586</v>
      </c>
      <c r="F16" s="28">
        <f t="shared" si="0"/>
        <v>14006</v>
      </c>
      <c r="G16" s="28">
        <v>162742</v>
      </c>
      <c r="H16" s="28">
        <v>28147</v>
      </c>
      <c r="I16" s="28">
        <v>3615</v>
      </c>
      <c r="J16" s="28">
        <f t="shared" si="1"/>
        <v>130980</v>
      </c>
      <c r="K16" s="28">
        <v>3118</v>
      </c>
      <c r="L16" s="28">
        <v>0</v>
      </c>
      <c r="M16" s="28">
        <v>15627</v>
      </c>
      <c r="N16" s="28">
        <v>213</v>
      </c>
      <c r="O16" s="28">
        <v>213</v>
      </c>
    </row>
    <row r="17" spans="1:15" ht="12.75" customHeight="1">
      <c r="A17" s="4" t="s">
        <v>31</v>
      </c>
      <c r="B17" s="5" t="s">
        <v>32</v>
      </c>
      <c r="C17" s="28">
        <v>12018</v>
      </c>
      <c r="D17" s="28">
        <v>11265</v>
      </c>
      <c r="E17" s="28">
        <v>0</v>
      </c>
      <c r="F17" s="28">
        <f t="shared" si="0"/>
        <v>753</v>
      </c>
      <c r="G17" s="28">
        <v>23723</v>
      </c>
      <c r="H17" s="28">
        <v>20043</v>
      </c>
      <c r="I17" s="28">
        <v>0</v>
      </c>
      <c r="J17" s="28">
        <f t="shared" si="1"/>
        <v>3680</v>
      </c>
      <c r="K17" s="28">
        <v>1486</v>
      </c>
      <c r="L17" s="28">
        <v>0</v>
      </c>
      <c r="M17" s="28">
        <v>738</v>
      </c>
      <c r="N17" s="28">
        <v>958</v>
      </c>
      <c r="O17" s="28">
        <v>958</v>
      </c>
    </row>
    <row r="18" spans="1:15" ht="12.75" customHeight="1">
      <c r="A18" s="4" t="s">
        <v>33</v>
      </c>
      <c r="B18" s="5" t="s">
        <v>34</v>
      </c>
      <c r="C18" s="28">
        <v>38762</v>
      </c>
      <c r="D18" s="28">
        <v>29584</v>
      </c>
      <c r="E18" s="28">
        <v>663</v>
      </c>
      <c r="F18" s="28">
        <f t="shared" si="0"/>
        <v>8515</v>
      </c>
      <c r="G18" s="28">
        <v>93105</v>
      </c>
      <c r="H18" s="28">
        <v>70854</v>
      </c>
      <c r="I18" s="28">
        <v>2787</v>
      </c>
      <c r="J18" s="28">
        <f t="shared" si="1"/>
        <v>19464</v>
      </c>
      <c r="K18" s="28">
        <v>4591</v>
      </c>
      <c r="L18" s="28">
        <v>0</v>
      </c>
      <c r="M18" s="28">
        <v>6351</v>
      </c>
      <c r="N18" s="28">
        <v>970</v>
      </c>
      <c r="O18" s="28">
        <v>970</v>
      </c>
    </row>
    <row r="19" spans="1:15" ht="12.75" customHeight="1">
      <c r="A19" s="4" t="s">
        <v>35</v>
      </c>
      <c r="B19" s="5" t="s">
        <v>36</v>
      </c>
      <c r="C19" s="28">
        <v>26588</v>
      </c>
      <c r="D19" s="28">
        <v>24696</v>
      </c>
      <c r="E19" s="28">
        <v>1096</v>
      </c>
      <c r="F19" s="28">
        <f t="shared" si="0"/>
        <v>796</v>
      </c>
      <c r="G19" s="28">
        <v>66974</v>
      </c>
      <c r="H19" s="28">
        <v>55028</v>
      </c>
      <c r="I19" s="28">
        <v>5709</v>
      </c>
      <c r="J19" s="28">
        <f t="shared" si="1"/>
        <v>6237</v>
      </c>
      <c r="K19" s="28">
        <v>585</v>
      </c>
      <c r="L19" s="28">
        <v>0</v>
      </c>
      <c r="M19" s="28">
        <v>48</v>
      </c>
      <c r="N19" s="28">
        <v>791</v>
      </c>
      <c r="O19" s="28">
        <v>791</v>
      </c>
    </row>
    <row r="20" spans="1:15" ht="12.75" customHeight="1">
      <c r="A20" s="4" t="s">
        <v>37</v>
      </c>
      <c r="B20" s="5" t="s">
        <v>38</v>
      </c>
      <c r="C20" s="28">
        <v>144083</v>
      </c>
      <c r="D20" s="28">
        <v>134468</v>
      </c>
      <c r="E20" s="28">
        <v>4094</v>
      </c>
      <c r="F20" s="28">
        <f t="shared" si="0"/>
        <v>5521</v>
      </c>
      <c r="G20" s="28">
        <v>334010</v>
      </c>
      <c r="H20" s="28">
        <v>268698</v>
      </c>
      <c r="I20" s="28">
        <v>21406</v>
      </c>
      <c r="J20" s="28">
        <f t="shared" si="1"/>
        <v>43906</v>
      </c>
      <c r="K20" s="28">
        <v>9401</v>
      </c>
      <c r="L20" s="28">
        <v>0</v>
      </c>
      <c r="M20" s="28">
        <v>8086</v>
      </c>
      <c r="N20" s="28">
        <v>9678</v>
      </c>
      <c r="O20" s="28">
        <v>8732</v>
      </c>
    </row>
    <row r="21" spans="1:15" ht="12.75" customHeight="1">
      <c r="A21" s="4" t="s">
        <v>39</v>
      </c>
      <c r="B21" s="5" t="s">
        <v>40</v>
      </c>
      <c r="C21" s="28">
        <v>11764</v>
      </c>
      <c r="D21" s="28">
        <v>11748</v>
      </c>
      <c r="E21" s="28">
        <v>0</v>
      </c>
      <c r="F21" s="28">
        <f t="shared" si="0"/>
        <v>16</v>
      </c>
      <c r="G21" s="28">
        <v>19861</v>
      </c>
      <c r="H21" s="28">
        <v>19756</v>
      </c>
      <c r="I21" s="28">
        <v>0</v>
      </c>
      <c r="J21" s="28">
        <f t="shared" si="1"/>
        <v>105</v>
      </c>
      <c r="K21" s="28">
        <v>30</v>
      </c>
      <c r="L21" s="28">
        <v>0</v>
      </c>
      <c r="M21" s="28">
        <v>0</v>
      </c>
      <c r="N21" s="28">
        <v>111</v>
      </c>
      <c r="O21" s="28">
        <v>111</v>
      </c>
    </row>
    <row r="22" spans="1:15" ht="12.75" customHeight="1">
      <c r="A22" s="4" t="s">
        <v>41</v>
      </c>
      <c r="B22" s="5" t="s">
        <v>42</v>
      </c>
      <c r="C22" s="28">
        <v>11294</v>
      </c>
      <c r="D22" s="28">
        <v>9758</v>
      </c>
      <c r="E22" s="28">
        <v>1318</v>
      </c>
      <c r="F22" s="28">
        <f t="shared" si="0"/>
        <v>218</v>
      </c>
      <c r="G22" s="28">
        <v>28694</v>
      </c>
      <c r="H22" s="28">
        <v>19577</v>
      </c>
      <c r="I22" s="28">
        <v>5325</v>
      </c>
      <c r="J22" s="28">
        <f t="shared" si="1"/>
        <v>3792</v>
      </c>
      <c r="K22" s="28">
        <v>1255</v>
      </c>
      <c r="L22" s="28">
        <v>0</v>
      </c>
      <c r="M22" s="28">
        <v>4101</v>
      </c>
      <c r="N22" s="28">
        <v>924</v>
      </c>
      <c r="O22" s="28">
        <v>924</v>
      </c>
    </row>
    <row r="23" spans="1:15" ht="12.75" customHeight="1">
      <c r="A23" s="8"/>
      <c r="B23" s="9" t="s">
        <v>43</v>
      </c>
      <c r="C23" s="29">
        <f t="shared" ref="C23:O23" si="2">SUM(C15:C22)</f>
        <v>332070</v>
      </c>
      <c r="D23" s="29">
        <f t="shared" si="2"/>
        <v>259071</v>
      </c>
      <c r="E23" s="29">
        <f t="shared" si="2"/>
        <v>11603</v>
      </c>
      <c r="F23" s="29">
        <f t="shared" si="2"/>
        <v>61396</v>
      </c>
      <c r="G23" s="29">
        <f t="shared" si="2"/>
        <v>940980</v>
      </c>
      <c r="H23" s="29">
        <f t="shared" si="2"/>
        <v>549048</v>
      </c>
      <c r="I23" s="29">
        <f t="shared" si="2"/>
        <v>58327</v>
      </c>
      <c r="J23" s="29">
        <f t="shared" si="2"/>
        <v>333605</v>
      </c>
      <c r="K23" s="29">
        <f t="shared" si="2"/>
        <v>27018</v>
      </c>
      <c r="L23" s="29">
        <f t="shared" si="2"/>
        <v>0</v>
      </c>
      <c r="M23" s="29">
        <f t="shared" si="2"/>
        <v>53032</v>
      </c>
      <c r="N23" s="29">
        <f t="shared" si="2"/>
        <v>18411</v>
      </c>
      <c r="O23" s="29">
        <f t="shared" si="2"/>
        <v>17465</v>
      </c>
    </row>
    <row r="24" spans="1:15" ht="14.25" customHeight="1">
      <c r="A24" s="4" t="s">
        <v>44</v>
      </c>
      <c r="B24" s="5" t="s">
        <v>45</v>
      </c>
      <c r="C24" s="28">
        <v>12664</v>
      </c>
      <c r="D24" s="28">
        <v>10894</v>
      </c>
      <c r="E24" s="28">
        <v>862</v>
      </c>
      <c r="F24" s="28">
        <f>SUM(C24-D24-E24)</f>
        <v>908</v>
      </c>
      <c r="G24" s="28">
        <v>26685</v>
      </c>
      <c r="H24" s="28">
        <v>17265</v>
      </c>
      <c r="I24" s="28">
        <v>3120</v>
      </c>
      <c r="J24" s="28">
        <f>SUM(G24-H24-I24)</f>
        <v>6300</v>
      </c>
      <c r="K24" s="28">
        <v>5596</v>
      </c>
      <c r="L24" s="28">
        <v>0</v>
      </c>
      <c r="M24" s="28">
        <v>1264</v>
      </c>
      <c r="N24" s="28">
        <v>1507</v>
      </c>
      <c r="O24" s="28">
        <v>1507</v>
      </c>
    </row>
    <row r="25" spans="1:15" ht="14.25" customHeight="1">
      <c r="A25" s="10"/>
      <c r="B25" s="9" t="s">
        <v>46</v>
      </c>
      <c r="C25" s="29">
        <f t="shared" ref="C25:O25" si="3">SUM(C24)</f>
        <v>12664</v>
      </c>
      <c r="D25" s="29">
        <f t="shared" si="3"/>
        <v>10894</v>
      </c>
      <c r="E25" s="29">
        <f t="shared" si="3"/>
        <v>862</v>
      </c>
      <c r="F25" s="29">
        <f t="shared" si="3"/>
        <v>908</v>
      </c>
      <c r="G25" s="29">
        <f t="shared" si="3"/>
        <v>26685</v>
      </c>
      <c r="H25" s="29">
        <f t="shared" si="3"/>
        <v>17265</v>
      </c>
      <c r="I25" s="29">
        <f t="shared" si="3"/>
        <v>3120</v>
      </c>
      <c r="J25" s="29">
        <f t="shared" si="3"/>
        <v>6300</v>
      </c>
      <c r="K25" s="29">
        <f t="shared" si="3"/>
        <v>5596</v>
      </c>
      <c r="L25" s="29">
        <f t="shared" si="3"/>
        <v>0</v>
      </c>
      <c r="M25" s="29">
        <f t="shared" si="3"/>
        <v>1264</v>
      </c>
      <c r="N25" s="29">
        <f t="shared" si="3"/>
        <v>1507</v>
      </c>
      <c r="O25" s="29">
        <f t="shared" si="3"/>
        <v>1507</v>
      </c>
    </row>
    <row r="26" spans="1:15" ht="12.75" customHeight="1">
      <c r="A26" s="4" t="s">
        <v>47</v>
      </c>
      <c r="B26" s="5" t="s">
        <v>48</v>
      </c>
      <c r="C26" s="28">
        <v>100990</v>
      </c>
      <c r="D26" s="28">
        <v>48184</v>
      </c>
      <c r="E26" s="28">
        <v>3127</v>
      </c>
      <c r="F26" s="28">
        <f>SUM(C26-D26-E26)</f>
        <v>49679</v>
      </c>
      <c r="G26" s="28">
        <v>225681</v>
      </c>
      <c r="H26" s="28">
        <v>79418</v>
      </c>
      <c r="I26" s="28">
        <v>10869</v>
      </c>
      <c r="J26" s="28">
        <f>SUM(G26-H26-I26)</f>
        <v>135394</v>
      </c>
      <c r="K26" s="28">
        <v>15820</v>
      </c>
      <c r="L26" s="28">
        <v>17</v>
      </c>
      <c r="M26" s="28">
        <v>9213</v>
      </c>
      <c r="N26" s="28">
        <v>3792</v>
      </c>
      <c r="O26" s="28">
        <v>3792</v>
      </c>
    </row>
    <row r="27" spans="1:15" ht="12.75" customHeight="1">
      <c r="A27" s="4" t="s">
        <v>49</v>
      </c>
      <c r="B27" s="5" t="s">
        <v>50</v>
      </c>
      <c r="C27" s="28">
        <v>17048</v>
      </c>
      <c r="D27" s="28">
        <v>15530</v>
      </c>
      <c r="E27" s="28">
        <v>1110</v>
      </c>
      <c r="F27" s="28">
        <f>SUM(C27-D27-E27)</f>
        <v>408</v>
      </c>
      <c r="G27" s="28">
        <v>33386</v>
      </c>
      <c r="H27" s="28">
        <v>22201</v>
      </c>
      <c r="I27" s="28">
        <v>3923</v>
      </c>
      <c r="J27" s="28">
        <f>SUM(G27-H27-I27)</f>
        <v>7262</v>
      </c>
      <c r="K27" s="28">
        <v>2541</v>
      </c>
      <c r="L27" s="28">
        <v>0</v>
      </c>
      <c r="M27" s="28">
        <v>777</v>
      </c>
      <c r="N27" s="28">
        <v>937</v>
      </c>
      <c r="O27" s="28">
        <v>937</v>
      </c>
    </row>
    <row r="28" spans="1:15" ht="12.75" customHeight="1">
      <c r="A28" s="4" t="s">
        <v>51</v>
      </c>
      <c r="B28" s="5" t="s">
        <v>52</v>
      </c>
      <c r="C28" s="28">
        <v>17088</v>
      </c>
      <c r="D28" s="28">
        <v>11800</v>
      </c>
      <c r="E28" s="28">
        <v>1505</v>
      </c>
      <c r="F28" s="28">
        <f>SUM(C28-D28-E28)</f>
        <v>3783</v>
      </c>
      <c r="G28" s="28">
        <v>45300</v>
      </c>
      <c r="H28" s="28">
        <v>24265</v>
      </c>
      <c r="I28" s="28">
        <v>8096</v>
      </c>
      <c r="J28" s="28">
        <f>SUM(G28-H28-I28)</f>
        <v>12939</v>
      </c>
      <c r="K28" s="28">
        <v>14643</v>
      </c>
      <c r="L28" s="28">
        <v>152</v>
      </c>
      <c r="M28" s="28">
        <v>869</v>
      </c>
      <c r="N28" s="28">
        <v>691</v>
      </c>
      <c r="O28" s="28">
        <v>691</v>
      </c>
    </row>
    <row r="29" spans="1:15" ht="12.75" customHeight="1">
      <c r="A29" s="4" t="s">
        <v>53</v>
      </c>
      <c r="B29" s="5" t="s">
        <v>54</v>
      </c>
      <c r="C29" s="28">
        <v>24753</v>
      </c>
      <c r="D29" s="28">
        <v>19390</v>
      </c>
      <c r="E29" s="28">
        <v>2558</v>
      </c>
      <c r="F29" s="28">
        <f>SUM(C29-D29-E29)</f>
        <v>2805</v>
      </c>
      <c r="G29" s="28">
        <v>51043</v>
      </c>
      <c r="H29" s="28">
        <v>37313</v>
      </c>
      <c r="I29" s="28">
        <v>9206</v>
      </c>
      <c r="J29" s="28">
        <f>SUM(G29-H29-I29)</f>
        <v>4524</v>
      </c>
      <c r="K29" s="28">
        <v>41</v>
      </c>
      <c r="L29" s="28">
        <v>0</v>
      </c>
      <c r="M29" s="28">
        <v>0</v>
      </c>
      <c r="N29" s="28">
        <v>209</v>
      </c>
      <c r="O29" s="28">
        <v>209</v>
      </c>
    </row>
    <row r="30" spans="1:15" ht="12.75" customHeight="1">
      <c r="A30" s="8"/>
      <c r="B30" s="9" t="s">
        <v>55</v>
      </c>
      <c r="C30" s="29">
        <f t="shared" ref="C30:O30" si="4">SUM(C26:C29)</f>
        <v>159879</v>
      </c>
      <c r="D30" s="29">
        <f t="shared" si="4"/>
        <v>94904</v>
      </c>
      <c r="E30" s="29">
        <f t="shared" si="4"/>
        <v>8300</v>
      </c>
      <c r="F30" s="29">
        <f t="shared" si="4"/>
        <v>56675</v>
      </c>
      <c r="G30" s="29">
        <f t="shared" si="4"/>
        <v>355410</v>
      </c>
      <c r="H30" s="29">
        <f t="shared" si="4"/>
        <v>163197</v>
      </c>
      <c r="I30" s="29">
        <f t="shared" si="4"/>
        <v>32094</v>
      </c>
      <c r="J30" s="29">
        <f t="shared" si="4"/>
        <v>160119</v>
      </c>
      <c r="K30" s="29">
        <f t="shared" si="4"/>
        <v>33045</v>
      </c>
      <c r="L30" s="29">
        <f t="shared" si="4"/>
        <v>169</v>
      </c>
      <c r="M30" s="29">
        <f t="shared" si="4"/>
        <v>10859</v>
      </c>
      <c r="N30" s="29">
        <f t="shared" si="4"/>
        <v>5629</v>
      </c>
      <c r="O30" s="29">
        <f t="shared" si="4"/>
        <v>5629</v>
      </c>
    </row>
    <row r="31" spans="1:15" ht="12.75" customHeight="1">
      <c r="A31" s="4" t="s">
        <v>56</v>
      </c>
      <c r="B31" s="5" t="s">
        <v>57</v>
      </c>
      <c r="C31" s="28">
        <v>65497</v>
      </c>
      <c r="D31" s="28">
        <v>62344</v>
      </c>
      <c r="E31" s="28">
        <v>1331</v>
      </c>
      <c r="F31" s="28">
        <f t="shared" ref="F31:F42" si="5">SUM(C31-D31-E31)</f>
        <v>1822</v>
      </c>
      <c r="G31" s="28">
        <v>173973</v>
      </c>
      <c r="H31" s="28">
        <v>121719</v>
      </c>
      <c r="I31" s="28">
        <v>5784</v>
      </c>
      <c r="J31" s="28">
        <f t="shared" ref="J31:J42" si="6">SUM(G31-H31-I31)</f>
        <v>46470</v>
      </c>
      <c r="K31" s="28">
        <v>2567</v>
      </c>
      <c r="L31" s="28">
        <v>0</v>
      </c>
      <c r="M31" s="28">
        <v>2612</v>
      </c>
      <c r="N31" s="28">
        <v>824</v>
      </c>
      <c r="O31" s="28">
        <v>824</v>
      </c>
    </row>
    <row r="32" spans="1:15" ht="12.75" customHeight="1">
      <c r="A32" s="4" t="s">
        <v>58</v>
      </c>
      <c r="B32" s="5" t="s">
        <v>59</v>
      </c>
      <c r="C32" s="28">
        <v>87196</v>
      </c>
      <c r="D32" s="28">
        <v>77651</v>
      </c>
      <c r="E32" s="28">
        <v>3529</v>
      </c>
      <c r="F32" s="28">
        <f t="shared" si="5"/>
        <v>6016</v>
      </c>
      <c r="G32" s="28">
        <v>323083</v>
      </c>
      <c r="H32" s="28">
        <v>183227</v>
      </c>
      <c r="I32" s="28">
        <v>18557</v>
      </c>
      <c r="J32" s="28">
        <f t="shared" si="6"/>
        <v>121299</v>
      </c>
      <c r="K32" s="28">
        <v>9022</v>
      </c>
      <c r="L32" s="28">
        <v>0</v>
      </c>
      <c r="M32" s="28">
        <v>43090</v>
      </c>
      <c r="N32" s="28">
        <v>2565</v>
      </c>
      <c r="O32" s="28">
        <v>2565</v>
      </c>
    </row>
    <row r="33" spans="1:256" ht="12.75" customHeight="1">
      <c r="A33" s="4" t="s">
        <v>60</v>
      </c>
      <c r="B33" s="5" t="s">
        <v>61</v>
      </c>
      <c r="C33" s="28">
        <v>46220</v>
      </c>
      <c r="D33" s="28">
        <v>38552</v>
      </c>
      <c r="E33" s="28">
        <v>1413</v>
      </c>
      <c r="F33" s="28">
        <f t="shared" si="5"/>
        <v>6255</v>
      </c>
      <c r="G33" s="28">
        <v>174098</v>
      </c>
      <c r="H33" s="28">
        <v>50371</v>
      </c>
      <c r="I33" s="28">
        <v>3885</v>
      </c>
      <c r="J33" s="28">
        <f t="shared" si="6"/>
        <v>119842</v>
      </c>
      <c r="K33" s="28">
        <v>13130</v>
      </c>
      <c r="L33" s="28">
        <v>178</v>
      </c>
      <c r="M33" s="28">
        <v>19936</v>
      </c>
      <c r="N33" s="28">
        <v>2440</v>
      </c>
      <c r="O33" s="28">
        <v>2440</v>
      </c>
    </row>
    <row r="34" spans="1:256" ht="12.75" customHeight="1">
      <c r="A34" s="4" t="s">
        <v>62</v>
      </c>
      <c r="B34" s="5" t="s">
        <v>63</v>
      </c>
      <c r="C34" s="28">
        <v>56634</v>
      </c>
      <c r="D34" s="28">
        <v>17289</v>
      </c>
      <c r="E34" s="28">
        <v>301</v>
      </c>
      <c r="F34" s="28">
        <f t="shared" si="5"/>
        <v>39044</v>
      </c>
      <c r="G34" s="28">
        <v>151731</v>
      </c>
      <c r="H34" s="28">
        <v>42997</v>
      </c>
      <c r="I34" s="28">
        <v>1358</v>
      </c>
      <c r="J34" s="28">
        <f t="shared" si="6"/>
        <v>107376</v>
      </c>
      <c r="K34" s="28">
        <v>2293</v>
      </c>
      <c r="L34" s="28">
        <v>0</v>
      </c>
      <c r="M34" s="28">
        <v>20554</v>
      </c>
      <c r="N34" s="28">
        <v>16</v>
      </c>
      <c r="O34" s="28">
        <v>16</v>
      </c>
    </row>
    <row r="35" spans="1:256" ht="12.75" customHeight="1">
      <c r="A35" s="4" t="s">
        <v>64</v>
      </c>
      <c r="B35" s="5" t="s">
        <v>65</v>
      </c>
      <c r="C35" s="28">
        <v>22139</v>
      </c>
      <c r="D35" s="28">
        <v>22046</v>
      </c>
      <c r="E35" s="28">
        <v>0</v>
      </c>
      <c r="F35" s="28">
        <f t="shared" si="5"/>
        <v>93</v>
      </c>
      <c r="G35" s="28">
        <v>38571</v>
      </c>
      <c r="H35" s="28">
        <v>36269</v>
      </c>
      <c r="I35" s="28">
        <v>0</v>
      </c>
      <c r="J35" s="28">
        <f t="shared" si="6"/>
        <v>2302</v>
      </c>
      <c r="K35" s="28">
        <v>202</v>
      </c>
      <c r="L35" s="28">
        <v>0</v>
      </c>
      <c r="M35" s="28">
        <v>137</v>
      </c>
      <c r="N35" s="28">
        <v>1758</v>
      </c>
      <c r="O35" s="28">
        <v>1758</v>
      </c>
    </row>
    <row r="36" spans="1:256" ht="12.75" customHeight="1">
      <c r="A36" s="4" t="s">
        <v>66</v>
      </c>
      <c r="B36" s="5" t="s">
        <v>67</v>
      </c>
      <c r="C36" s="28">
        <v>13473</v>
      </c>
      <c r="D36" s="28">
        <v>11799</v>
      </c>
      <c r="E36" s="28">
        <v>1247</v>
      </c>
      <c r="F36" s="28">
        <f t="shared" si="5"/>
        <v>427</v>
      </c>
      <c r="G36" s="28">
        <v>39220</v>
      </c>
      <c r="H36" s="28">
        <v>28949</v>
      </c>
      <c r="I36" s="28">
        <v>7373</v>
      </c>
      <c r="J36" s="28">
        <f t="shared" si="6"/>
        <v>2898</v>
      </c>
      <c r="K36" s="28">
        <v>167</v>
      </c>
      <c r="L36" s="28">
        <v>0</v>
      </c>
      <c r="M36" s="28">
        <v>1975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24076</v>
      </c>
      <c r="D37" s="28">
        <v>21260</v>
      </c>
      <c r="E37" s="28">
        <v>486</v>
      </c>
      <c r="F37" s="28">
        <f t="shared" si="5"/>
        <v>2330</v>
      </c>
      <c r="G37" s="28">
        <v>107980</v>
      </c>
      <c r="H37" s="28">
        <v>52754</v>
      </c>
      <c r="I37" s="28">
        <v>1798</v>
      </c>
      <c r="J37" s="28">
        <f t="shared" si="6"/>
        <v>53428</v>
      </c>
      <c r="K37" s="28">
        <v>4220</v>
      </c>
      <c r="L37" s="28">
        <v>0</v>
      </c>
      <c r="M37" s="28">
        <v>16616</v>
      </c>
      <c r="N37" s="28">
        <v>2791</v>
      </c>
      <c r="O37" s="28">
        <v>2791</v>
      </c>
    </row>
    <row r="38" spans="1:256" ht="12.75" customHeight="1">
      <c r="A38" s="4" t="s">
        <v>70</v>
      </c>
      <c r="B38" s="5" t="s">
        <v>71</v>
      </c>
      <c r="C38" s="28">
        <v>345321</v>
      </c>
      <c r="D38" s="28">
        <v>256028</v>
      </c>
      <c r="E38" s="28">
        <v>10342</v>
      </c>
      <c r="F38" s="28">
        <f t="shared" si="5"/>
        <v>78951</v>
      </c>
      <c r="G38" s="28">
        <v>962373</v>
      </c>
      <c r="H38" s="28">
        <v>426207</v>
      </c>
      <c r="I38" s="28">
        <v>42143</v>
      </c>
      <c r="J38" s="28">
        <f t="shared" si="6"/>
        <v>494023</v>
      </c>
      <c r="K38" s="28">
        <v>61935</v>
      </c>
      <c r="L38" s="28">
        <v>0</v>
      </c>
      <c r="M38" s="28">
        <v>63891</v>
      </c>
      <c r="N38" s="28">
        <v>185353</v>
      </c>
      <c r="O38" s="28">
        <v>56462</v>
      </c>
    </row>
    <row r="39" spans="1:256" ht="12.75" customHeight="1">
      <c r="A39" s="4" t="s">
        <v>72</v>
      </c>
      <c r="B39" s="5" t="s">
        <v>73</v>
      </c>
      <c r="C39" s="28">
        <v>46094</v>
      </c>
      <c r="D39" s="28">
        <v>42502</v>
      </c>
      <c r="E39" s="28">
        <v>1563</v>
      </c>
      <c r="F39" s="28">
        <f t="shared" si="5"/>
        <v>2029</v>
      </c>
      <c r="G39" s="28">
        <v>84341</v>
      </c>
      <c r="H39" s="28">
        <v>70049</v>
      </c>
      <c r="I39" s="28">
        <v>9034</v>
      </c>
      <c r="J39" s="28">
        <f t="shared" si="6"/>
        <v>5258</v>
      </c>
      <c r="K39" s="28">
        <v>748</v>
      </c>
      <c r="L39" s="28">
        <v>0</v>
      </c>
      <c r="M39" s="28">
        <v>184</v>
      </c>
      <c r="N39" s="28">
        <v>23</v>
      </c>
      <c r="O39" s="28">
        <v>23</v>
      </c>
    </row>
    <row r="40" spans="1:256" ht="12.75" customHeight="1">
      <c r="A40" s="4" t="s">
        <v>74</v>
      </c>
      <c r="B40" s="5" t="s">
        <v>75</v>
      </c>
      <c r="C40" s="28">
        <v>35210</v>
      </c>
      <c r="D40" s="28">
        <v>32183</v>
      </c>
      <c r="E40" s="28">
        <v>1523</v>
      </c>
      <c r="F40" s="28">
        <f t="shared" si="5"/>
        <v>1504</v>
      </c>
      <c r="G40" s="28">
        <v>96180</v>
      </c>
      <c r="H40" s="28">
        <v>65180</v>
      </c>
      <c r="I40" s="28">
        <v>6772</v>
      </c>
      <c r="J40" s="28">
        <f t="shared" si="6"/>
        <v>24228</v>
      </c>
      <c r="K40" s="28">
        <v>1994</v>
      </c>
      <c r="L40" s="28">
        <v>0</v>
      </c>
      <c r="M40" s="28">
        <v>17949</v>
      </c>
      <c r="N40" s="28">
        <v>400</v>
      </c>
      <c r="O40" s="28">
        <v>400</v>
      </c>
    </row>
    <row r="41" spans="1:256" ht="12.75" customHeight="1">
      <c r="A41" s="4" t="s">
        <v>76</v>
      </c>
      <c r="B41" s="5" t="s">
        <v>77</v>
      </c>
      <c r="C41" s="28">
        <v>10734</v>
      </c>
      <c r="D41" s="28">
        <v>9475</v>
      </c>
      <c r="E41" s="28">
        <v>0</v>
      </c>
      <c r="F41" s="28">
        <f t="shared" si="5"/>
        <v>1259</v>
      </c>
      <c r="G41" s="28">
        <v>36428</v>
      </c>
      <c r="H41" s="28">
        <v>25925</v>
      </c>
      <c r="I41" s="28">
        <v>0</v>
      </c>
      <c r="J41" s="28">
        <f t="shared" si="6"/>
        <v>10503</v>
      </c>
      <c r="K41" s="28">
        <v>3396</v>
      </c>
      <c r="L41" s="28">
        <v>0</v>
      </c>
      <c r="M41" s="28">
        <v>752</v>
      </c>
      <c r="N41" s="28">
        <v>3542</v>
      </c>
      <c r="O41" s="28">
        <v>3542</v>
      </c>
    </row>
    <row r="42" spans="1:256" ht="12.75" customHeight="1">
      <c r="A42" s="4" t="s">
        <v>78</v>
      </c>
      <c r="B42" s="5" t="s">
        <v>79</v>
      </c>
      <c r="C42" s="28">
        <v>79455</v>
      </c>
      <c r="D42" s="28">
        <v>64401</v>
      </c>
      <c r="E42" s="28">
        <v>1804</v>
      </c>
      <c r="F42" s="28">
        <f t="shared" si="5"/>
        <v>13250</v>
      </c>
      <c r="G42" s="28">
        <v>130902</v>
      </c>
      <c r="H42" s="28">
        <v>101373</v>
      </c>
      <c r="I42" s="28">
        <v>4269</v>
      </c>
      <c r="J42" s="28">
        <f t="shared" si="6"/>
        <v>25260</v>
      </c>
      <c r="K42" s="28">
        <v>2043</v>
      </c>
      <c r="L42" s="28">
        <v>0</v>
      </c>
      <c r="M42" s="28">
        <v>68</v>
      </c>
      <c r="N42" s="28">
        <v>468</v>
      </c>
      <c r="O42" s="28">
        <v>468</v>
      </c>
    </row>
    <row r="43" spans="1:256" ht="12.75" customHeight="1">
      <c r="A43" s="8"/>
      <c r="B43" s="9" t="s">
        <v>80</v>
      </c>
      <c r="C43" s="29">
        <f t="shared" ref="C43:O43" si="7">SUM(C31:C42)</f>
        <v>832049</v>
      </c>
      <c r="D43" s="29">
        <f t="shared" si="7"/>
        <v>655530</v>
      </c>
      <c r="E43" s="29">
        <f t="shared" si="7"/>
        <v>23539</v>
      </c>
      <c r="F43" s="29">
        <f t="shared" si="7"/>
        <v>152980</v>
      </c>
      <c r="G43" s="29">
        <f t="shared" si="7"/>
        <v>2318880</v>
      </c>
      <c r="H43" s="29">
        <f t="shared" si="7"/>
        <v>1205020</v>
      </c>
      <c r="I43" s="29">
        <f t="shared" si="7"/>
        <v>100973</v>
      </c>
      <c r="J43" s="29">
        <f t="shared" si="7"/>
        <v>1012887</v>
      </c>
      <c r="K43" s="29">
        <f t="shared" si="7"/>
        <v>101717</v>
      </c>
      <c r="L43" s="29">
        <f t="shared" si="7"/>
        <v>178</v>
      </c>
      <c r="M43" s="29">
        <f t="shared" si="7"/>
        <v>187764</v>
      </c>
      <c r="N43" s="29">
        <f t="shared" si="7"/>
        <v>200180</v>
      </c>
      <c r="O43" s="29">
        <f t="shared" si="7"/>
        <v>71289</v>
      </c>
    </row>
    <row r="44" spans="1:256" ht="12.75" customHeight="1">
      <c r="A44" s="4" t="s">
        <v>81</v>
      </c>
      <c r="B44" s="5" t="s">
        <v>82</v>
      </c>
      <c r="C44" s="28">
        <v>35660</v>
      </c>
      <c r="D44" s="28">
        <v>31306</v>
      </c>
      <c r="E44" s="28">
        <v>946</v>
      </c>
      <c r="F44" s="28">
        <f>SUM(C44-D44-E44)</f>
        <v>3408</v>
      </c>
      <c r="G44" s="28">
        <v>117680</v>
      </c>
      <c r="H44" s="28">
        <v>77034</v>
      </c>
      <c r="I44" s="28">
        <v>3358</v>
      </c>
      <c r="J44" s="28">
        <f>SUM(G44-H44-I44)</f>
        <v>37288</v>
      </c>
      <c r="K44" s="28">
        <v>9580</v>
      </c>
      <c r="L44" s="28">
        <v>804</v>
      </c>
      <c r="M44" s="28">
        <v>3384</v>
      </c>
      <c r="N44" s="28">
        <v>1079</v>
      </c>
      <c r="O44" s="28">
        <v>1079</v>
      </c>
    </row>
    <row r="45" spans="1:256" ht="12.75" customHeight="1">
      <c r="A45" s="4" t="s">
        <v>83</v>
      </c>
      <c r="B45" s="5" t="s">
        <v>84</v>
      </c>
      <c r="C45" s="28">
        <v>47298</v>
      </c>
      <c r="D45" s="28">
        <v>37081</v>
      </c>
      <c r="E45" s="28">
        <v>1341</v>
      </c>
      <c r="F45" s="28">
        <f>SUM(C45-D45-E45)</f>
        <v>8876</v>
      </c>
      <c r="G45" s="28">
        <v>161149</v>
      </c>
      <c r="H45" s="28">
        <v>85082</v>
      </c>
      <c r="I45" s="28">
        <v>5512</v>
      </c>
      <c r="J45" s="28">
        <f>SUM(G45-H45-I45)</f>
        <v>70555</v>
      </c>
      <c r="K45" s="28">
        <v>30523</v>
      </c>
      <c r="L45" s="28">
        <v>0</v>
      </c>
      <c r="M45" s="28">
        <v>13092</v>
      </c>
      <c r="N45" s="28">
        <v>504</v>
      </c>
      <c r="O45" s="28">
        <v>504</v>
      </c>
    </row>
    <row r="46" spans="1:256" ht="12.75" customHeight="1">
      <c r="A46" s="8"/>
      <c r="B46" s="9" t="s">
        <v>85</v>
      </c>
      <c r="C46" s="29">
        <f t="shared" ref="C46:O46" si="8">SUM(C44:C45)</f>
        <v>82958</v>
      </c>
      <c r="D46" s="29">
        <f t="shared" si="8"/>
        <v>68387</v>
      </c>
      <c r="E46" s="29">
        <f t="shared" si="8"/>
        <v>2287</v>
      </c>
      <c r="F46" s="29">
        <f t="shared" si="8"/>
        <v>12284</v>
      </c>
      <c r="G46" s="29">
        <f t="shared" si="8"/>
        <v>278829</v>
      </c>
      <c r="H46" s="29">
        <f t="shared" si="8"/>
        <v>162116</v>
      </c>
      <c r="I46" s="29">
        <f t="shared" si="8"/>
        <v>8870</v>
      </c>
      <c r="J46" s="29">
        <f t="shared" si="8"/>
        <v>107843</v>
      </c>
      <c r="K46" s="29">
        <f t="shared" si="8"/>
        <v>40103</v>
      </c>
      <c r="L46" s="29">
        <f t="shared" si="8"/>
        <v>804</v>
      </c>
      <c r="M46" s="29">
        <f t="shared" si="8"/>
        <v>16476</v>
      </c>
      <c r="N46" s="29">
        <f t="shared" si="8"/>
        <v>1583</v>
      </c>
      <c r="O46" s="29">
        <f t="shared" si="8"/>
        <v>1583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9148</v>
      </c>
      <c r="D47" s="28">
        <v>8471</v>
      </c>
      <c r="E47" s="28">
        <v>0</v>
      </c>
      <c r="F47" s="28">
        <f>SUM(C47-D47-E47)</f>
        <v>677</v>
      </c>
      <c r="G47" s="28">
        <v>7630</v>
      </c>
      <c r="H47" s="28">
        <v>6061</v>
      </c>
      <c r="I47" s="28">
        <v>0</v>
      </c>
      <c r="J47" s="28">
        <f>SUM(G47-H47-I47)</f>
        <v>1569</v>
      </c>
      <c r="K47" s="28">
        <v>250</v>
      </c>
      <c r="L47" s="28">
        <v>0</v>
      </c>
      <c r="M47" s="28">
        <v>153</v>
      </c>
      <c r="N47" s="28">
        <v>30</v>
      </c>
      <c r="O47" s="28">
        <v>30</v>
      </c>
    </row>
    <row r="48" spans="1:256" ht="12.75" customHeight="1">
      <c r="A48" s="4" t="s">
        <v>88</v>
      </c>
      <c r="B48" s="5" t="s">
        <v>89</v>
      </c>
      <c r="C48" s="28">
        <v>20390</v>
      </c>
      <c r="D48" s="28">
        <v>20084</v>
      </c>
      <c r="E48" s="28">
        <v>171</v>
      </c>
      <c r="F48" s="28">
        <f>SUM(C48-D48-E48)</f>
        <v>135</v>
      </c>
      <c r="G48" s="28">
        <v>36152</v>
      </c>
      <c r="H48" s="28">
        <v>34972</v>
      </c>
      <c r="I48" s="28">
        <v>525</v>
      </c>
      <c r="J48" s="28">
        <f>SUM(G48-H48-I48)</f>
        <v>655</v>
      </c>
      <c r="K48" s="28">
        <v>689</v>
      </c>
      <c r="L48" s="28">
        <v>0</v>
      </c>
      <c r="M48" s="28">
        <v>714</v>
      </c>
      <c r="N48" s="28">
        <v>1174</v>
      </c>
      <c r="O48" s="28">
        <v>1174</v>
      </c>
    </row>
    <row r="49" spans="1:15" ht="12.75" customHeight="1">
      <c r="A49" s="4" t="s">
        <v>90</v>
      </c>
      <c r="B49" s="5" t="s">
        <v>91</v>
      </c>
      <c r="C49" s="28">
        <v>11415</v>
      </c>
      <c r="D49" s="28">
        <v>10679</v>
      </c>
      <c r="E49" s="28">
        <v>516</v>
      </c>
      <c r="F49" s="28">
        <f>SUM(C49-D49-E49)</f>
        <v>220</v>
      </c>
      <c r="G49" s="28">
        <v>13067</v>
      </c>
      <c r="H49" s="28">
        <v>8399</v>
      </c>
      <c r="I49" s="28">
        <v>1304</v>
      </c>
      <c r="J49" s="28">
        <f>SUM(G49-H49-I49)</f>
        <v>3364</v>
      </c>
      <c r="K49" s="28">
        <v>14133</v>
      </c>
      <c r="L49" s="28">
        <v>0</v>
      </c>
      <c r="M49" s="28">
        <v>0</v>
      </c>
      <c r="N49" s="28">
        <v>1412</v>
      </c>
      <c r="O49" s="28">
        <v>1412</v>
      </c>
    </row>
    <row r="50" spans="1:15" ht="12.75" customHeight="1">
      <c r="A50" s="4" t="s">
        <v>92</v>
      </c>
      <c r="B50" s="5" t="s">
        <v>93</v>
      </c>
      <c r="C50" s="28">
        <v>58837</v>
      </c>
      <c r="D50" s="28">
        <v>56398</v>
      </c>
      <c r="E50" s="28">
        <v>1090</v>
      </c>
      <c r="F50" s="28">
        <f>SUM(C50-D50-E50)</f>
        <v>1349</v>
      </c>
      <c r="G50" s="28">
        <v>123581</v>
      </c>
      <c r="H50" s="28">
        <v>90948</v>
      </c>
      <c r="I50" s="28">
        <v>4092</v>
      </c>
      <c r="J50" s="28">
        <f>SUM(G50-H50-I50)</f>
        <v>28541</v>
      </c>
      <c r="K50" s="28">
        <v>10748</v>
      </c>
      <c r="L50" s="28">
        <v>155</v>
      </c>
      <c r="M50" s="28">
        <v>10114</v>
      </c>
      <c r="N50" s="28">
        <v>2788</v>
      </c>
      <c r="O50" s="28">
        <v>2788</v>
      </c>
    </row>
    <row r="51" spans="1:15" ht="12.75" customHeight="1">
      <c r="A51" s="8"/>
      <c r="B51" s="9" t="s">
        <v>94</v>
      </c>
      <c r="C51" s="29">
        <f t="shared" ref="C51:O51" si="9">SUM(C47:C50)</f>
        <v>99790</v>
      </c>
      <c r="D51" s="29">
        <f t="shared" si="9"/>
        <v>95632</v>
      </c>
      <c r="E51" s="29">
        <f t="shared" si="9"/>
        <v>1777</v>
      </c>
      <c r="F51" s="29">
        <f t="shared" si="9"/>
        <v>2381</v>
      </c>
      <c r="G51" s="29">
        <f t="shared" si="9"/>
        <v>180430</v>
      </c>
      <c r="H51" s="29">
        <f t="shared" si="9"/>
        <v>140380</v>
      </c>
      <c r="I51" s="29">
        <f t="shared" si="9"/>
        <v>5921</v>
      </c>
      <c r="J51" s="29">
        <f t="shared" si="9"/>
        <v>34129</v>
      </c>
      <c r="K51" s="29">
        <f t="shared" si="9"/>
        <v>25820</v>
      </c>
      <c r="L51" s="29">
        <f t="shared" si="9"/>
        <v>155</v>
      </c>
      <c r="M51" s="29">
        <f t="shared" si="9"/>
        <v>10981</v>
      </c>
      <c r="N51" s="29">
        <f t="shared" si="9"/>
        <v>5404</v>
      </c>
      <c r="O51" s="29">
        <f t="shared" si="9"/>
        <v>5404</v>
      </c>
    </row>
    <row r="52" spans="1:15" ht="12.75" customHeight="1">
      <c r="A52" s="4" t="s">
        <v>95</v>
      </c>
      <c r="B52" s="5" t="s">
        <v>96</v>
      </c>
      <c r="C52" s="28">
        <v>10159</v>
      </c>
      <c r="D52" s="28">
        <v>9489</v>
      </c>
      <c r="E52" s="28">
        <v>96</v>
      </c>
      <c r="F52" s="28">
        <f t="shared" ref="F52:F58" si="10">SUM(C52-D52-E52)</f>
        <v>574</v>
      </c>
      <c r="G52" s="28">
        <v>31969</v>
      </c>
      <c r="H52" s="28">
        <v>22314</v>
      </c>
      <c r="I52" s="28">
        <v>278</v>
      </c>
      <c r="J52" s="28">
        <f t="shared" ref="J52:J58" si="11">SUM(G52-H52-I52)</f>
        <v>9377</v>
      </c>
      <c r="K52" s="28">
        <v>10981</v>
      </c>
      <c r="L52" s="28">
        <v>0</v>
      </c>
      <c r="M52" s="28">
        <v>467</v>
      </c>
      <c r="N52" s="28">
        <v>569</v>
      </c>
      <c r="O52" s="28">
        <v>569</v>
      </c>
    </row>
    <row r="53" spans="1:15" ht="12.75" customHeight="1">
      <c r="A53" s="4" t="s">
        <v>97</v>
      </c>
      <c r="B53" s="5" t="s">
        <v>98</v>
      </c>
      <c r="C53" s="28">
        <v>66479</v>
      </c>
      <c r="D53" s="28">
        <v>47606</v>
      </c>
      <c r="E53" s="28">
        <v>834</v>
      </c>
      <c r="F53" s="28">
        <f t="shared" si="10"/>
        <v>18039</v>
      </c>
      <c r="G53" s="28">
        <v>197751</v>
      </c>
      <c r="H53" s="28">
        <v>120035</v>
      </c>
      <c r="I53" s="28">
        <v>5381</v>
      </c>
      <c r="J53" s="28">
        <f t="shared" si="11"/>
        <v>72335</v>
      </c>
      <c r="K53" s="28">
        <v>5311</v>
      </c>
      <c r="L53" s="28">
        <v>0</v>
      </c>
      <c r="M53" s="28">
        <v>8347</v>
      </c>
      <c r="N53" s="28">
        <v>2905</v>
      </c>
      <c r="O53" s="28">
        <v>2905</v>
      </c>
    </row>
    <row r="54" spans="1:15" ht="12.75" customHeight="1">
      <c r="A54" s="4" t="s">
        <v>99</v>
      </c>
      <c r="B54" s="5" t="s">
        <v>100</v>
      </c>
      <c r="C54" s="28">
        <v>10392</v>
      </c>
      <c r="D54" s="28">
        <v>6585</v>
      </c>
      <c r="E54" s="28">
        <v>313</v>
      </c>
      <c r="F54" s="28">
        <f t="shared" si="10"/>
        <v>3494</v>
      </c>
      <c r="G54" s="28">
        <v>36195</v>
      </c>
      <c r="H54" s="28">
        <v>20173</v>
      </c>
      <c r="I54" s="28">
        <v>2468</v>
      </c>
      <c r="J54" s="28">
        <f t="shared" si="11"/>
        <v>13554</v>
      </c>
      <c r="K54" s="28">
        <v>430</v>
      </c>
      <c r="L54" s="28">
        <v>15</v>
      </c>
      <c r="M54" s="28">
        <v>1773</v>
      </c>
      <c r="N54" s="28">
        <v>27</v>
      </c>
      <c r="O54" s="28">
        <v>27</v>
      </c>
    </row>
    <row r="55" spans="1:15" ht="12.75" customHeight="1">
      <c r="A55" s="4" t="s">
        <v>101</v>
      </c>
      <c r="B55" s="5" t="s">
        <v>102</v>
      </c>
      <c r="C55" s="28">
        <v>44088</v>
      </c>
      <c r="D55" s="28">
        <v>33663</v>
      </c>
      <c r="E55" s="28">
        <v>858</v>
      </c>
      <c r="F55" s="28">
        <f t="shared" si="10"/>
        <v>9567</v>
      </c>
      <c r="G55" s="28">
        <v>147097</v>
      </c>
      <c r="H55" s="28">
        <v>80605</v>
      </c>
      <c r="I55" s="28">
        <v>3424</v>
      </c>
      <c r="J55" s="28">
        <f t="shared" si="11"/>
        <v>63068</v>
      </c>
      <c r="K55" s="28">
        <v>16095</v>
      </c>
      <c r="L55" s="28">
        <v>0</v>
      </c>
      <c r="M55" s="28">
        <v>8441</v>
      </c>
      <c r="N55" s="28">
        <v>12278</v>
      </c>
      <c r="O55" s="28">
        <v>12278</v>
      </c>
    </row>
    <row r="56" spans="1:15" ht="12.75" customHeight="1">
      <c r="A56" s="4" t="s">
        <v>103</v>
      </c>
      <c r="B56" s="5" t="s">
        <v>104</v>
      </c>
      <c r="C56" s="28">
        <v>78665</v>
      </c>
      <c r="D56" s="28">
        <v>30592</v>
      </c>
      <c r="E56" s="28">
        <v>3112</v>
      </c>
      <c r="F56" s="28">
        <f t="shared" si="10"/>
        <v>44961</v>
      </c>
      <c r="G56" s="28">
        <v>228759</v>
      </c>
      <c r="H56" s="28">
        <v>67946</v>
      </c>
      <c r="I56" s="28">
        <v>15758</v>
      </c>
      <c r="J56" s="28">
        <f t="shared" si="11"/>
        <v>145055</v>
      </c>
      <c r="K56" s="28">
        <v>15159</v>
      </c>
      <c r="L56" s="28">
        <v>780</v>
      </c>
      <c r="M56" s="28">
        <v>26695</v>
      </c>
      <c r="N56" s="28">
        <v>5573</v>
      </c>
      <c r="O56" s="28">
        <v>5573</v>
      </c>
    </row>
    <row r="57" spans="1:15" ht="12.75" customHeight="1">
      <c r="A57" s="4" t="s">
        <v>105</v>
      </c>
      <c r="B57" s="5" t="s">
        <v>106</v>
      </c>
      <c r="C57" s="28">
        <v>57961</v>
      </c>
      <c r="D57" s="28">
        <v>34250</v>
      </c>
      <c r="E57" s="28">
        <v>3566</v>
      </c>
      <c r="F57" s="28">
        <f t="shared" si="10"/>
        <v>20145</v>
      </c>
      <c r="G57" s="28">
        <v>217694</v>
      </c>
      <c r="H57" s="28">
        <v>102720</v>
      </c>
      <c r="I57" s="28">
        <v>16474</v>
      </c>
      <c r="J57" s="28">
        <f t="shared" si="11"/>
        <v>98500</v>
      </c>
      <c r="K57" s="28">
        <v>2775</v>
      </c>
      <c r="L57" s="28">
        <v>0</v>
      </c>
      <c r="M57" s="28">
        <v>17159</v>
      </c>
      <c r="N57" s="28">
        <v>237</v>
      </c>
      <c r="O57" s="28">
        <v>237</v>
      </c>
    </row>
    <row r="58" spans="1:15" ht="12.75" customHeight="1">
      <c r="A58" s="4" t="s">
        <v>107</v>
      </c>
      <c r="B58" s="5" t="s">
        <v>108</v>
      </c>
      <c r="C58" s="28">
        <v>57375</v>
      </c>
      <c r="D58" s="28">
        <v>35878</v>
      </c>
      <c r="E58" s="28">
        <v>1055</v>
      </c>
      <c r="F58" s="28">
        <f t="shared" si="10"/>
        <v>20442</v>
      </c>
      <c r="G58" s="28">
        <v>177369</v>
      </c>
      <c r="H58" s="28">
        <v>84096</v>
      </c>
      <c r="I58" s="28">
        <v>5090</v>
      </c>
      <c r="J58" s="28">
        <f t="shared" si="11"/>
        <v>88183</v>
      </c>
      <c r="K58" s="28">
        <v>5283</v>
      </c>
      <c r="L58" s="28">
        <v>120</v>
      </c>
      <c r="M58" s="28">
        <v>9001</v>
      </c>
      <c r="N58" s="28">
        <v>24437</v>
      </c>
      <c r="O58" s="28">
        <v>24437</v>
      </c>
    </row>
    <row r="59" spans="1:15" ht="12.75" customHeight="1">
      <c r="A59" s="8"/>
      <c r="B59" s="9" t="s">
        <v>109</v>
      </c>
      <c r="C59" s="29">
        <f t="shared" ref="C59:O59" si="12">SUM(C52:C58)</f>
        <v>325119</v>
      </c>
      <c r="D59" s="29">
        <f t="shared" si="12"/>
        <v>198063</v>
      </c>
      <c r="E59" s="29">
        <f t="shared" si="12"/>
        <v>9834</v>
      </c>
      <c r="F59" s="29">
        <f t="shared" si="12"/>
        <v>117222</v>
      </c>
      <c r="G59" s="29">
        <f t="shared" si="12"/>
        <v>1036834</v>
      </c>
      <c r="H59" s="29">
        <f t="shared" si="12"/>
        <v>497889</v>
      </c>
      <c r="I59" s="29">
        <f t="shared" si="12"/>
        <v>48873</v>
      </c>
      <c r="J59" s="29">
        <f t="shared" si="12"/>
        <v>490072</v>
      </c>
      <c r="K59" s="29">
        <f t="shared" si="12"/>
        <v>56034</v>
      </c>
      <c r="L59" s="29">
        <f t="shared" si="12"/>
        <v>915</v>
      </c>
      <c r="M59" s="29">
        <f t="shared" si="12"/>
        <v>71883</v>
      </c>
      <c r="N59" s="29">
        <f t="shared" si="12"/>
        <v>46026</v>
      </c>
      <c r="O59" s="29">
        <f t="shared" si="12"/>
        <v>46026</v>
      </c>
    </row>
    <row r="60" spans="1:15" ht="12.75" customHeight="1">
      <c r="A60" s="4" t="s">
        <v>110</v>
      </c>
      <c r="B60" s="5" t="s">
        <v>111</v>
      </c>
      <c r="C60" s="28">
        <v>66586</v>
      </c>
      <c r="D60" s="28">
        <v>51089</v>
      </c>
      <c r="E60" s="28">
        <v>5106</v>
      </c>
      <c r="F60" s="28">
        <f t="shared" ref="F60:F68" si="13">SUM(C60-D60-E60)</f>
        <v>10391</v>
      </c>
      <c r="G60" s="28">
        <v>200117</v>
      </c>
      <c r="H60" s="28">
        <v>121705</v>
      </c>
      <c r="I60" s="28">
        <v>28647</v>
      </c>
      <c r="J60" s="28">
        <f t="shared" ref="J60:J68" si="14">SUM(G60-H60-I60)</f>
        <v>49765</v>
      </c>
      <c r="K60" s="28">
        <v>1591</v>
      </c>
      <c r="L60" s="28">
        <v>0</v>
      </c>
      <c r="M60" s="28">
        <v>8879</v>
      </c>
      <c r="N60" s="28">
        <v>1188</v>
      </c>
      <c r="O60" s="28">
        <v>1188</v>
      </c>
    </row>
    <row r="61" spans="1:15" ht="12.75" customHeight="1">
      <c r="A61" s="4" t="s">
        <v>112</v>
      </c>
      <c r="B61" s="5" t="s">
        <v>113</v>
      </c>
      <c r="C61" s="28">
        <v>17076</v>
      </c>
      <c r="D61" s="28">
        <v>14342</v>
      </c>
      <c r="E61" s="28">
        <v>239</v>
      </c>
      <c r="F61" s="28">
        <f t="shared" si="13"/>
        <v>2495</v>
      </c>
      <c r="G61" s="28">
        <v>42330</v>
      </c>
      <c r="H61" s="28">
        <v>34491</v>
      </c>
      <c r="I61" s="28">
        <v>1218</v>
      </c>
      <c r="J61" s="28">
        <f t="shared" si="14"/>
        <v>6621</v>
      </c>
      <c r="K61" s="28">
        <v>97</v>
      </c>
      <c r="L61" s="28">
        <v>297</v>
      </c>
      <c r="M61" s="28">
        <v>4791</v>
      </c>
      <c r="N61" s="28">
        <v>13</v>
      </c>
      <c r="O61" s="28">
        <v>13</v>
      </c>
    </row>
    <row r="62" spans="1:15" ht="12.75" customHeight="1">
      <c r="A62" s="4" t="s">
        <v>114</v>
      </c>
      <c r="B62" s="5" t="s">
        <v>115</v>
      </c>
      <c r="C62" s="28">
        <v>33872</v>
      </c>
      <c r="D62" s="28">
        <v>17121</v>
      </c>
      <c r="E62" s="28">
        <v>1504</v>
      </c>
      <c r="F62" s="28">
        <f t="shared" si="13"/>
        <v>15247</v>
      </c>
      <c r="G62" s="28">
        <v>125035</v>
      </c>
      <c r="H62" s="28">
        <v>43935</v>
      </c>
      <c r="I62" s="28">
        <v>8801</v>
      </c>
      <c r="J62" s="28">
        <f t="shared" si="14"/>
        <v>72299</v>
      </c>
      <c r="K62" s="28">
        <v>7783</v>
      </c>
      <c r="L62" s="28">
        <v>1022</v>
      </c>
      <c r="M62" s="28">
        <v>9321</v>
      </c>
      <c r="N62" s="28">
        <v>7212</v>
      </c>
      <c r="O62" s="28">
        <v>7212</v>
      </c>
    </row>
    <row r="63" spans="1:15" ht="12.75" customHeight="1">
      <c r="A63" s="4" t="s">
        <v>116</v>
      </c>
      <c r="B63" s="5" t="s">
        <v>117</v>
      </c>
      <c r="C63" s="28">
        <v>50286</v>
      </c>
      <c r="D63" s="28">
        <v>28733</v>
      </c>
      <c r="E63" s="28">
        <v>2170</v>
      </c>
      <c r="F63" s="28">
        <f t="shared" si="13"/>
        <v>19383</v>
      </c>
      <c r="G63" s="28">
        <v>156190</v>
      </c>
      <c r="H63" s="28">
        <v>84268</v>
      </c>
      <c r="I63" s="28">
        <v>15191</v>
      </c>
      <c r="J63" s="28">
        <f t="shared" si="14"/>
        <v>56731</v>
      </c>
      <c r="K63" s="28">
        <v>1021</v>
      </c>
      <c r="L63" s="28">
        <v>0</v>
      </c>
      <c r="M63" s="28">
        <v>7846</v>
      </c>
      <c r="N63" s="28">
        <v>415</v>
      </c>
      <c r="O63" s="28">
        <v>415</v>
      </c>
    </row>
    <row r="64" spans="1:15" ht="12.75" customHeight="1">
      <c r="A64" s="4" t="s">
        <v>118</v>
      </c>
      <c r="B64" s="5" t="s">
        <v>119</v>
      </c>
      <c r="C64" s="28">
        <v>40980</v>
      </c>
      <c r="D64" s="28">
        <v>21441</v>
      </c>
      <c r="E64" s="28">
        <v>2692</v>
      </c>
      <c r="F64" s="28">
        <f t="shared" si="13"/>
        <v>16847</v>
      </c>
      <c r="G64" s="28">
        <v>152143</v>
      </c>
      <c r="H64" s="28">
        <v>60909</v>
      </c>
      <c r="I64" s="28">
        <v>14109</v>
      </c>
      <c r="J64" s="28">
        <f t="shared" si="14"/>
        <v>77125</v>
      </c>
      <c r="K64" s="28">
        <v>473</v>
      </c>
      <c r="L64" s="28">
        <v>47</v>
      </c>
      <c r="M64" s="28">
        <v>3778</v>
      </c>
      <c r="N64" s="28">
        <v>505</v>
      </c>
      <c r="O64" s="28">
        <v>505</v>
      </c>
    </row>
    <row r="65" spans="1:15" ht="12.75" customHeight="1">
      <c r="A65" s="4" t="s">
        <v>120</v>
      </c>
      <c r="B65" s="5" t="s">
        <v>121</v>
      </c>
      <c r="C65" s="28">
        <v>19716</v>
      </c>
      <c r="D65" s="28">
        <v>15469</v>
      </c>
      <c r="E65" s="28">
        <v>1846</v>
      </c>
      <c r="F65" s="28">
        <f t="shared" si="13"/>
        <v>2401</v>
      </c>
      <c r="G65" s="28">
        <v>87185</v>
      </c>
      <c r="H65" s="28">
        <v>41570</v>
      </c>
      <c r="I65" s="28">
        <v>10582</v>
      </c>
      <c r="J65" s="28">
        <f t="shared" si="14"/>
        <v>35033</v>
      </c>
      <c r="K65" s="28">
        <v>5150</v>
      </c>
      <c r="L65" s="28">
        <v>0</v>
      </c>
      <c r="M65" s="28">
        <v>7138</v>
      </c>
      <c r="N65" s="28">
        <v>1522</v>
      </c>
      <c r="O65" s="28">
        <v>1522</v>
      </c>
    </row>
    <row r="66" spans="1:15" ht="12.75" customHeight="1">
      <c r="A66" s="4" t="s">
        <v>122</v>
      </c>
      <c r="B66" s="5" t="s">
        <v>123</v>
      </c>
      <c r="C66" s="28">
        <v>36169</v>
      </c>
      <c r="D66" s="28">
        <v>15234</v>
      </c>
      <c r="E66" s="28">
        <v>819</v>
      </c>
      <c r="F66" s="28">
        <f t="shared" si="13"/>
        <v>20116</v>
      </c>
      <c r="G66" s="28">
        <v>197529</v>
      </c>
      <c r="H66" s="28">
        <v>42421</v>
      </c>
      <c r="I66" s="28">
        <v>4462</v>
      </c>
      <c r="J66" s="28">
        <f t="shared" si="14"/>
        <v>150646</v>
      </c>
      <c r="K66" s="28">
        <v>14684</v>
      </c>
      <c r="L66" s="28">
        <v>0</v>
      </c>
      <c r="M66" s="28">
        <v>37517</v>
      </c>
      <c r="N66" s="28">
        <v>355</v>
      </c>
      <c r="O66" s="28">
        <v>355</v>
      </c>
    </row>
    <row r="67" spans="1:15" ht="12.75" customHeight="1">
      <c r="A67" s="4" t="s">
        <v>124</v>
      </c>
      <c r="B67" s="5" t="s">
        <v>125</v>
      </c>
      <c r="C67" s="28">
        <v>82723</v>
      </c>
      <c r="D67" s="28">
        <v>17841</v>
      </c>
      <c r="E67" s="28">
        <v>0</v>
      </c>
      <c r="F67" s="28">
        <f t="shared" si="13"/>
        <v>64882</v>
      </c>
      <c r="G67" s="28">
        <v>323520</v>
      </c>
      <c r="H67" s="28">
        <v>45024</v>
      </c>
      <c r="I67" s="28">
        <v>0</v>
      </c>
      <c r="J67" s="28">
        <f t="shared" si="14"/>
        <v>278496</v>
      </c>
      <c r="K67" s="28">
        <v>15331</v>
      </c>
      <c r="L67" s="28">
        <v>0</v>
      </c>
      <c r="M67" s="28">
        <v>66165</v>
      </c>
      <c r="N67" s="28">
        <v>1285</v>
      </c>
      <c r="O67" s="28">
        <v>1285</v>
      </c>
    </row>
    <row r="68" spans="1:15" ht="12.75" customHeight="1">
      <c r="A68" s="4" t="s">
        <v>126</v>
      </c>
      <c r="B68" s="5" t="s">
        <v>127</v>
      </c>
      <c r="C68" s="28">
        <v>30567</v>
      </c>
      <c r="D68" s="28">
        <v>21441</v>
      </c>
      <c r="E68" s="28">
        <v>574</v>
      </c>
      <c r="F68" s="28">
        <f t="shared" si="13"/>
        <v>8552</v>
      </c>
      <c r="G68" s="28">
        <v>109153</v>
      </c>
      <c r="H68" s="28">
        <v>48573</v>
      </c>
      <c r="I68" s="28">
        <v>3720</v>
      </c>
      <c r="J68" s="28">
        <f t="shared" si="14"/>
        <v>56860</v>
      </c>
      <c r="K68" s="28">
        <v>208</v>
      </c>
      <c r="L68" s="28">
        <v>61</v>
      </c>
      <c r="M68" s="28">
        <v>3760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377975</v>
      </c>
      <c r="D69" s="29">
        <f t="shared" si="15"/>
        <v>202711</v>
      </c>
      <c r="E69" s="29">
        <f t="shared" si="15"/>
        <v>14950</v>
      </c>
      <c r="F69" s="29">
        <f t="shared" si="15"/>
        <v>160314</v>
      </c>
      <c r="G69" s="29">
        <f t="shared" si="15"/>
        <v>1393202</v>
      </c>
      <c r="H69" s="29">
        <f t="shared" si="15"/>
        <v>522896</v>
      </c>
      <c r="I69" s="29">
        <f t="shared" si="15"/>
        <v>86730</v>
      </c>
      <c r="J69" s="29">
        <f t="shared" si="15"/>
        <v>783576</v>
      </c>
      <c r="K69" s="29">
        <f t="shared" si="15"/>
        <v>46338</v>
      </c>
      <c r="L69" s="29">
        <f t="shared" si="15"/>
        <v>1427</v>
      </c>
      <c r="M69" s="29">
        <f t="shared" si="15"/>
        <v>149195</v>
      </c>
      <c r="N69" s="29">
        <f t="shared" si="15"/>
        <v>12495</v>
      </c>
      <c r="O69" s="29">
        <f t="shared" si="15"/>
        <v>12495</v>
      </c>
    </row>
    <row r="70" spans="1:15" ht="12.75" customHeight="1">
      <c r="A70" s="4" t="s">
        <v>129</v>
      </c>
      <c r="B70" s="5" t="s">
        <v>130</v>
      </c>
      <c r="C70" s="28">
        <v>21904</v>
      </c>
      <c r="D70" s="28">
        <v>18896</v>
      </c>
      <c r="E70" s="28">
        <v>1523</v>
      </c>
      <c r="F70" s="28">
        <f t="shared" ref="F70:F79" si="16">SUM(C70-D70-E70)</f>
        <v>1485</v>
      </c>
      <c r="G70" s="28">
        <v>71511</v>
      </c>
      <c r="H70" s="28">
        <v>45715</v>
      </c>
      <c r="I70" s="28">
        <v>10945</v>
      </c>
      <c r="J70" s="28">
        <f t="shared" ref="J70:J79" si="17">SUM(G70-H70-I70)</f>
        <v>14851</v>
      </c>
      <c r="K70" s="28">
        <v>1484</v>
      </c>
      <c r="L70" s="28">
        <v>4</v>
      </c>
      <c r="M70" s="28">
        <v>2255</v>
      </c>
      <c r="N70" s="28">
        <v>311</v>
      </c>
      <c r="O70" s="28">
        <v>311</v>
      </c>
    </row>
    <row r="71" spans="1:15" ht="12.75" customHeight="1">
      <c r="A71" s="4" t="s">
        <v>131</v>
      </c>
      <c r="B71" s="5" t="s">
        <v>132</v>
      </c>
      <c r="C71" s="28">
        <v>103576</v>
      </c>
      <c r="D71" s="28">
        <v>60587</v>
      </c>
      <c r="E71" s="28">
        <v>3233</v>
      </c>
      <c r="F71" s="28">
        <f t="shared" si="16"/>
        <v>39756</v>
      </c>
      <c r="G71" s="28">
        <v>245570</v>
      </c>
      <c r="H71" s="28">
        <v>107416</v>
      </c>
      <c r="I71" s="28">
        <v>16806</v>
      </c>
      <c r="J71" s="28">
        <f t="shared" si="17"/>
        <v>121348</v>
      </c>
      <c r="K71" s="28">
        <v>6686</v>
      </c>
      <c r="L71" s="28">
        <v>0</v>
      </c>
      <c r="M71" s="28">
        <v>6998</v>
      </c>
      <c r="N71" s="28">
        <v>28567</v>
      </c>
      <c r="O71" s="28">
        <v>28567</v>
      </c>
    </row>
    <row r="72" spans="1:15" ht="12.75" customHeight="1">
      <c r="A72" s="4" t="s">
        <v>133</v>
      </c>
      <c r="B72" s="5" t="s">
        <v>134</v>
      </c>
      <c r="C72" s="28">
        <v>16525</v>
      </c>
      <c r="D72" s="28">
        <v>14489</v>
      </c>
      <c r="E72" s="28">
        <v>0</v>
      </c>
      <c r="F72" s="28">
        <f t="shared" si="16"/>
        <v>2036</v>
      </c>
      <c r="G72" s="28">
        <v>47071</v>
      </c>
      <c r="H72" s="28">
        <v>36169</v>
      </c>
      <c r="I72" s="28">
        <v>0</v>
      </c>
      <c r="J72" s="28">
        <f t="shared" si="17"/>
        <v>10902</v>
      </c>
      <c r="K72" s="28">
        <v>2393</v>
      </c>
      <c r="L72" s="28">
        <v>679</v>
      </c>
      <c r="M72" s="28">
        <v>9257</v>
      </c>
      <c r="N72" s="28">
        <v>106</v>
      </c>
      <c r="O72" s="28">
        <v>106</v>
      </c>
    </row>
    <row r="73" spans="1:15" ht="12.75" customHeight="1">
      <c r="A73" s="4" t="s">
        <v>135</v>
      </c>
      <c r="B73" s="5" t="s">
        <v>136</v>
      </c>
      <c r="C73" s="28">
        <v>41902</v>
      </c>
      <c r="D73" s="28">
        <v>30859</v>
      </c>
      <c r="E73" s="28">
        <v>363</v>
      </c>
      <c r="F73" s="28">
        <f t="shared" si="16"/>
        <v>10680</v>
      </c>
      <c r="G73" s="28">
        <v>117152</v>
      </c>
      <c r="H73" s="28">
        <v>69606</v>
      </c>
      <c r="I73" s="28">
        <v>1160</v>
      </c>
      <c r="J73" s="28">
        <f t="shared" si="17"/>
        <v>46386</v>
      </c>
      <c r="K73" s="28">
        <v>4039</v>
      </c>
      <c r="L73" s="28">
        <v>826</v>
      </c>
      <c r="M73" s="28">
        <v>4851</v>
      </c>
      <c r="N73" s="28">
        <v>50092</v>
      </c>
      <c r="O73" s="28">
        <v>50092</v>
      </c>
    </row>
    <row r="74" spans="1:15" ht="12.75" customHeight="1">
      <c r="A74" s="4" t="s">
        <v>137</v>
      </c>
      <c r="B74" s="5" t="s">
        <v>138</v>
      </c>
      <c r="C74" s="28">
        <v>30428</v>
      </c>
      <c r="D74" s="28">
        <v>26152</v>
      </c>
      <c r="E74" s="28">
        <v>1127</v>
      </c>
      <c r="F74" s="28">
        <f t="shared" si="16"/>
        <v>3149</v>
      </c>
      <c r="G74" s="28">
        <v>69102</v>
      </c>
      <c r="H74" s="28">
        <v>46266</v>
      </c>
      <c r="I74" s="28">
        <v>4621</v>
      </c>
      <c r="J74" s="28">
        <f t="shared" si="17"/>
        <v>18215</v>
      </c>
      <c r="K74" s="28">
        <v>2108</v>
      </c>
      <c r="L74" s="28">
        <v>0</v>
      </c>
      <c r="M74" s="28">
        <v>1635</v>
      </c>
      <c r="N74" s="28">
        <v>1020</v>
      </c>
      <c r="O74" s="28">
        <v>1020</v>
      </c>
    </row>
    <row r="75" spans="1:15" ht="12.75" customHeight="1">
      <c r="A75" s="4" t="s">
        <v>139</v>
      </c>
      <c r="B75" s="5" t="s">
        <v>140</v>
      </c>
      <c r="C75" s="28">
        <v>16629</v>
      </c>
      <c r="D75" s="28">
        <v>15468</v>
      </c>
      <c r="E75" s="28">
        <v>371</v>
      </c>
      <c r="F75" s="28">
        <f t="shared" si="16"/>
        <v>790</v>
      </c>
      <c r="G75" s="28">
        <v>34077</v>
      </c>
      <c r="H75" s="28">
        <v>26108</v>
      </c>
      <c r="I75" s="28">
        <v>2864</v>
      </c>
      <c r="J75" s="28">
        <f t="shared" si="17"/>
        <v>5105</v>
      </c>
      <c r="K75" s="28">
        <v>104</v>
      </c>
      <c r="L75" s="28">
        <v>0</v>
      </c>
      <c r="M75" s="28">
        <v>35</v>
      </c>
      <c r="N75" s="28">
        <v>48</v>
      </c>
      <c r="O75" s="28">
        <v>48</v>
      </c>
    </row>
    <row r="76" spans="1:15" ht="12.75" customHeight="1">
      <c r="A76" s="4" t="s">
        <v>141</v>
      </c>
      <c r="B76" s="5" t="s">
        <v>142</v>
      </c>
      <c r="C76" s="28">
        <v>34792</v>
      </c>
      <c r="D76" s="28">
        <v>26244</v>
      </c>
      <c r="E76" s="28">
        <v>700</v>
      </c>
      <c r="F76" s="28">
        <f t="shared" si="16"/>
        <v>7848</v>
      </c>
      <c r="G76" s="28">
        <v>95834</v>
      </c>
      <c r="H76" s="28">
        <v>58255</v>
      </c>
      <c r="I76" s="28">
        <v>2675</v>
      </c>
      <c r="J76" s="28">
        <f t="shared" si="17"/>
        <v>34904</v>
      </c>
      <c r="K76" s="28">
        <v>1664</v>
      </c>
      <c r="L76" s="28">
        <v>282</v>
      </c>
      <c r="M76" s="28">
        <v>4506</v>
      </c>
      <c r="N76" s="28">
        <v>1110</v>
      </c>
      <c r="O76" s="28">
        <v>1110</v>
      </c>
    </row>
    <row r="77" spans="1:15" ht="12.75" customHeight="1">
      <c r="A77" s="4" t="s">
        <v>143</v>
      </c>
      <c r="B77" s="5" t="s">
        <v>144</v>
      </c>
      <c r="C77" s="28">
        <v>40602</v>
      </c>
      <c r="D77" s="28">
        <v>16860</v>
      </c>
      <c r="E77" s="28">
        <v>427</v>
      </c>
      <c r="F77" s="28">
        <f t="shared" si="16"/>
        <v>23315</v>
      </c>
      <c r="G77" s="28">
        <v>98239</v>
      </c>
      <c r="H77" s="28">
        <v>34424</v>
      </c>
      <c r="I77" s="28">
        <v>1775</v>
      </c>
      <c r="J77" s="28">
        <f t="shared" si="17"/>
        <v>62040</v>
      </c>
      <c r="K77" s="28">
        <v>3203</v>
      </c>
      <c r="L77" s="28">
        <v>0</v>
      </c>
      <c r="M77" s="28">
        <v>2827</v>
      </c>
      <c r="N77" s="28">
        <v>614</v>
      </c>
      <c r="O77" s="28">
        <v>614</v>
      </c>
    </row>
    <row r="78" spans="1:15" ht="12.75" customHeight="1">
      <c r="A78" s="4" t="s">
        <v>145</v>
      </c>
      <c r="B78" s="5" t="s">
        <v>146</v>
      </c>
      <c r="C78" s="28">
        <v>15126</v>
      </c>
      <c r="D78" s="28">
        <v>14229</v>
      </c>
      <c r="E78" s="28">
        <v>0</v>
      </c>
      <c r="F78" s="28">
        <f t="shared" si="16"/>
        <v>897</v>
      </c>
      <c r="G78" s="28">
        <v>32481</v>
      </c>
      <c r="H78" s="28">
        <v>26883</v>
      </c>
      <c r="I78" s="28">
        <v>0</v>
      </c>
      <c r="J78" s="28">
        <f t="shared" si="17"/>
        <v>5598</v>
      </c>
      <c r="K78" s="28">
        <v>388</v>
      </c>
      <c r="L78" s="28">
        <v>0</v>
      </c>
      <c r="M78" s="28">
        <v>0</v>
      </c>
      <c r="N78" s="28">
        <v>236</v>
      </c>
      <c r="O78" s="28">
        <v>236</v>
      </c>
    </row>
    <row r="79" spans="1:15" ht="12.75" customHeight="1">
      <c r="A79" s="4" t="s">
        <v>147</v>
      </c>
      <c r="B79" s="5" t="s">
        <v>148</v>
      </c>
      <c r="C79" s="28">
        <v>19027</v>
      </c>
      <c r="D79" s="28">
        <v>15918</v>
      </c>
      <c r="E79" s="28">
        <v>462</v>
      </c>
      <c r="F79" s="28">
        <f t="shared" si="16"/>
        <v>2647</v>
      </c>
      <c r="G79" s="28">
        <v>61281</v>
      </c>
      <c r="H79" s="28">
        <v>38027</v>
      </c>
      <c r="I79" s="28">
        <v>2774</v>
      </c>
      <c r="J79" s="28">
        <f t="shared" si="17"/>
        <v>20480</v>
      </c>
      <c r="K79" s="28">
        <v>2010</v>
      </c>
      <c r="L79" s="28">
        <v>646</v>
      </c>
      <c r="M79" s="28">
        <v>11306</v>
      </c>
      <c r="N79" s="28">
        <v>409</v>
      </c>
      <c r="O79" s="28">
        <v>409</v>
      </c>
    </row>
    <row r="80" spans="1:15" ht="12.75" customHeight="1">
      <c r="A80" s="8"/>
      <c r="B80" s="9" t="s">
        <v>149</v>
      </c>
      <c r="C80" s="29">
        <f t="shared" ref="C80:O80" si="18">SUM(C70:C79)</f>
        <v>340511</v>
      </c>
      <c r="D80" s="29">
        <f t="shared" si="18"/>
        <v>239702</v>
      </c>
      <c r="E80" s="29">
        <f t="shared" si="18"/>
        <v>8206</v>
      </c>
      <c r="F80" s="29">
        <f t="shared" si="18"/>
        <v>92603</v>
      </c>
      <c r="G80" s="29">
        <f t="shared" si="18"/>
        <v>872318</v>
      </c>
      <c r="H80" s="29">
        <f t="shared" si="18"/>
        <v>488869</v>
      </c>
      <c r="I80" s="29">
        <f t="shared" si="18"/>
        <v>43620</v>
      </c>
      <c r="J80" s="29">
        <f t="shared" si="18"/>
        <v>339829</v>
      </c>
      <c r="K80" s="29">
        <f t="shared" si="18"/>
        <v>24079</v>
      </c>
      <c r="L80" s="29">
        <f t="shared" si="18"/>
        <v>2437</v>
      </c>
      <c r="M80" s="29">
        <f t="shared" si="18"/>
        <v>43670</v>
      </c>
      <c r="N80" s="29">
        <f t="shared" si="18"/>
        <v>82513</v>
      </c>
      <c r="O80" s="29">
        <f t="shared" si="18"/>
        <v>82513</v>
      </c>
    </row>
    <row r="81" spans="1:15" ht="12.75" customHeight="1">
      <c r="A81" s="4" t="s">
        <v>150</v>
      </c>
      <c r="B81" s="5" t="s">
        <v>151</v>
      </c>
      <c r="C81" s="28">
        <v>33281</v>
      </c>
      <c r="D81" s="28">
        <v>19942</v>
      </c>
      <c r="E81" s="28">
        <v>969</v>
      </c>
      <c r="F81" s="28">
        <f>SUM(C81-D81-E81)</f>
        <v>12370</v>
      </c>
      <c r="G81" s="28">
        <v>136473</v>
      </c>
      <c r="H81" s="28">
        <v>63725</v>
      </c>
      <c r="I81" s="28">
        <v>7970</v>
      </c>
      <c r="J81" s="28">
        <f>SUM(G81-H81-I81)</f>
        <v>64778</v>
      </c>
      <c r="K81" s="28">
        <v>1280</v>
      </c>
      <c r="L81" s="28">
        <v>0</v>
      </c>
      <c r="M81" s="28">
        <v>7731</v>
      </c>
      <c r="N81" s="28">
        <v>2189</v>
      </c>
      <c r="O81" s="28">
        <v>2189</v>
      </c>
    </row>
    <row r="82" spans="1:15" ht="12.75" customHeight="1">
      <c r="A82" s="4" t="s">
        <v>152</v>
      </c>
      <c r="B82" s="5" t="s">
        <v>153</v>
      </c>
      <c r="C82" s="28">
        <v>16555</v>
      </c>
      <c r="D82" s="28">
        <v>11271</v>
      </c>
      <c r="E82" s="28">
        <v>190</v>
      </c>
      <c r="F82" s="28">
        <f>SUM(C82-D82-E82)</f>
        <v>5094</v>
      </c>
      <c r="G82" s="28">
        <v>72369</v>
      </c>
      <c r="H82" s="28">
        <v>34887</v>
      </c>
      <c r="I82" s="28">
        <v>1536</v>
      </c>
      <c r="J82" s="28">
        <f>SUM(G82-H82-I82)</f>
        <v>35946</v>
      </c>
      <c r="K82" s="28">
        <v>477</v>
      </c>
      <c r="L82" s="28">
        <v>21</v>
      </c>
      <c r="M82" s="28">
        <v>7424</v>
      </c>
      <c r="N82" s="28">
        <v>619</v>
      </c>
      <c r="O82" s="28">
        <v>619</v>
      </c>
    </row>
    <row r="83" spans="1:15" ht="12.75" customHeight="1">
      <c r="A83" s="4" t="s">
        <v>154</v>
      </c>
      <c r="B83" s="5" t="s">
        <v>155</v>
      </c>
      <c r="C83" s="28">
        <v>4764</v>
      </c>
      <c r="D83" s="28">
        <v>4330</v>
      </c>
      <c r="E83" s="28">
        <v>412</v>
      </c>
      <c r="F83" s="28">
        <f>SUM(C83-D83-E83)</f>
        <v>22</v>
      </c>
      <c r="G83" s="28">
        <v>16251</v>
      </c>
      <c r="H83" s="28">
        <v>13534</v>
      </c>
      <c r="I83" s="28">
        <v>2466</v>
      </c>
      <c r="J83" s="28">
        <f>SUM(G83-H83-I83)</f>
        <v>251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14635</v>
      </c>
      <c r="D84" s="28">
        <v>13372</v>
      </c>
      <c r="E84" s="28">
        <v>243</v>
      </c>
      <c r="F84" s="28">
        <f>SUM(C84-D84-E84)</f>
        <v>1020</v>
      </c>
      <c r="G84" s="28">
        <v>60719</v>
      </c>
      <c r="H84" s="28">
        <v>42313</v>
      </c>
      <c r="I84" s="28">
        <v>1883</v>
      </c>
      <c r="J84" s="28">
        <f>SUM(G84-H84-I84)</f>
        <v>16523</v>
      </c>
      <c r="K84" s="28">
        <v>590</v>
      </c>
      <c r="L84" s="28">
        <v>0</v>
      </c>
      <c r="M84" s="28">
        <v>5098</v>
      </c>
      <c r="N84" s="28">
        <v>206</v>
      </c>
      <c r="O84" s="28">
        <v>206</v>
      </c>
    </row>
    <row r="85" spans="1:15" ht="12.75" customHeight="1">
      <c r="A85" s="4" t="s">
        <v>158</v>
      </c>
      <c r="B85" s="5" t="s">
        <v>159</v>
      </c>
      <c r="C85" s="28">
        <v>22346</v>
      </c>
      <c r="D85" s="28">
        <v>19174</v>
      </c>
      <c r="E85" s="28">
        <v>871</v>
      </c>
      <c r="F85" s="28">
        <f>SUM(C85-D85-E85)</f>
        <v>2301</v>
      </c>
      <c r="G85" s="28">
        <v>64631</v>
      </c>
      <c r="H85" s="28">
        <v>47919</v>
      </c>
      <c r="I85" s="28">
        <v>4299</v>
      </c>
      <c r="J85" s="28">
        <f>SUM(G85-H85-I85)</f>
        <v>12413</v>
      </c>
      <c r="K85" s="28">
        <v>1066</v>
      </c>
      <c r="L85" s="28">
        <v>587</v>
      </c>
      <c r="M85" s="28">
        <v>3672</v>
      </c>
      <c r="N85" s="28">
        <v>12680</v>
      </c>
      <c r="O85" s="28">
        <v>12680</v>
      </c>
    </row>
    <row r="86" spans="1:15" ht="12.75" customHeight="1">
      <c r="A86" s="8"/>
      <c r="B86" s="9" t="s">
        <v>160</v>
      </c>
      <c r="C86" s="29">
        <f t="shared" ref="C86:O86" si="19">SUM(C81:C85)</f>
        <v>91581</v>
      </c>
      <c r="D86" s="29">
        <f t="shared" si="19"/>
        <v>68089</v>
      </c>
      <c r="E86" s="29">
        <f t="shared" si="19"/>
        <v>2685</v>
      </c>
      <c r="F86" s="29">
        <f t="shared" si="19"/>
        <v>20807</v>
      </c>
      <c r="G86" s="29">
        <f t="shared" si="19"/>
        <v>350443</v>
      </c>
      <c r="H86" s="29">
        <f t="shared" si="19"/>
        <v>202378</v>
      </c>
      <c r="I86" s="29">
        <f t="shared" si="19"/>
        <v>18154</v>
      </c>
      <c r="J86" s="29">
        <f t="shared" si="19"/>
        <v>129911</v>
      </c>
      <c r="K86" s="29">
        <f t="shared" si="19"/>
        <v>3413</v>
      </c>
      <c r="L86" s="29">
        <f t="shared" si="19"/>
        <v>608</v>
      </c>
      <c r="M86" s="29">
        <f t="shared" si="19"/>
        <v>23925</v>
      </c>
      <c r="N86" s="29">
        <f t="shared" si="19"/>
        <v>15694</v>
      </c>
      <c r="O86" s="29">
        <f t="shared" si="19"/>
        <v>15694</v>
      </c>
    </row>
    <row r="87" spans="1:15" ht="12.75" customHeight="1">
      <c r="A87" s="4" t="s">
        <v>161</v>
      </c>
      <c r="B87" s="5" t="s">
        <v>162</v>
      </c>
      <c r="C87" s="28">
        <v>40941</v>
      </c>
      <c r="D87" s="28">
        <v>29003</v>
      </c>
      <c r="E87" s="28">
        <v>0</v>
      </c>
      <c r="F87" s="28">
        <f>SUM(C87-D87-E87)</f>
        <v>11938</v>
      </c>
      <c r="G87" s="28">
        <v>165252</v>
      </c>
      <c r="H87" s="28">
        <v>84448</v>
      </c>
      <c r="I87" s="28">
        <v>0</v>
      </c>
      <c r="J87" s="28">
        <f>SUM(G87-H87-I87)</f>
        <v>80804</v>
      </c>
      <c r="K87" s="28">
        <v>1528</v>
      </c>
      <c r="L87" s="28">
        <v>76</v>
      </c>
      <c r="M87" s="28">
        <v>9147</v>
      </c>
      <c r="N87" s="28">
        <v>596</v>
      </c>
      <c r="O87" s="28">
        <v>596</v>
      </c>
    </row>
    <row r="88" spans="1:15" ht="12.75" customHeight="1">
      <c r="A88" s="4" t="s">
        <v>163</v>
      </c>
      <c r="B88" s="5" t="s">
        <v>164</v>
      </c>
      <c r="C88" s="28">
        <v>24885</v>
      </c>
      <c r="D88" s="28">
        <v>14730</v>
      </c>
      <c r="E88" s="28">
        <v>1101</v>
      </c>
      <c r="F88" s="28">
        <f>SUM(C88-D88-E88)</f>
        <v>9054</v>
      </c>
      <c r="G88" s="28">
        <v>73076</v>
      </c>
      <c r="H88" s="28">
        <v>35320</v>
      </c>
      <c r="I88" s="28">
        <v>8331</v>
      </c>
      <c r="J88" s="28">
        <f>SUM(G88-H88-I88)</f>
        <v>29425</v>
      </c>
      <c r="K88" s="28">
        <v>539</v>
      </c>
      <c r="L88" s="28">
        <v>100</v>
      </c>
      <c r="M88" s="28">
        <v>3324</v>
      </c>
      <c r="N88" s="28">
        <v>23</v>
      </c>
      <c r="O88" s="28">
        <v>23</v>
      </c>
    </row>
    <row r="89" spans="1:15" ht="12.75" customHeight="1">
      <c r="A89" s="8"/>
      <c r="B89" s="9" t="s">
        <v>165</v>
      </c>
      <c r="C89" s="29">
        <f t="shared" ref="C89:O89" si="20">SUM(C87:C88)</f>
        <v>65826</v>
      </c>
      <c r="D89" s="29">
        <f t="shared" si="20"/>
        <v>43733</v>
      </c>
      <c r="E89" s="29">
        <f t="shared" si="20"/>
        <v>1101</v>
      </c>
      <c r="F89" s="29">
        <f t="shared" si="20"/>
        <v>20992</v>
      </c>
      <c r="G89" s="29">
        <f t="shared" si="20"/>
        <v>238328</v>
      </c>
      <c r="H89" s="29">
        <f t="shared" si="20"/>
        <v>119768</v>
      </c>
      <c r="I89" s="29">
        <f t="shared" si="20"/>
        <v>8331</v>
      </c>
      <c r="J89" s="29">
        <f t="shared" si="20"/>
        <v>110229</v>
      </c>
      <c r="K89" s="29">
        <f t="shared" si="20"/>
        <v>2067</v>
      </c>
      <c r="L89" s="29">
        <f t="shared" si="20"/>
        <v>176</v>
      </c>
      <c r="M89" s="29">
        <f t="shared" si="20"/>
        <v>12471</v>
      </c>
      <c r="N89" s="29">
        <f t="shared" si="20"/>
        <v>619</v>
      </c>
      <c r="O89" s="29">
        <f t="shared" si="20"/>
        <v>619</v>
      </c>
    </row>
    <row r="90" spans="1:15" ht="12.75" customHeight="1">
      <c r="A90" s="4" t="s">
        <v>166</v>
      </c>
      <c r="B90" s="5" t="s">
        <v>167</v>
      </c>
      <c r="C90" s="28">
        <v>34839</v>
      </c>
      <c r="D90" s="28">
        <v>20582</v>
      </c>
      <c r="E90" s="28">
        <v>2140</v>
      </c>
      <c r="F90" s="28">
        <f>SUM(C90-D90-E90)</f>
        <v>12117</v>
      </c>
      <c r="G90" s="28">
        <v>156533</v>
      </c>
      <c r="H90" s="28">
        <v>62744</v>
      </c>
      <c r="I90" s="28">
        <v>15278</v>
      </c>
      <c r="J90" s="28">
        <f>SUM(G90-H90-I90)</f>
        <v>78511</v>
      </c>
      <c r="K90" s="28">
        <v>1083</v>
      </c>
      <c r="L90" s="28">
        <v>0</v>
      </c>
      <c r="M90" s="28">
        <v>9509</v>
      </c>
      <c r="N90" s="28">
        <v>144</v>
      </c>
      <c r="O90" s="28">
        <v>144</v>
      </c>
    </row>
    <row r="91" spans="1:15" ht="12.75" customHeight="1">
      <c r="A91" s="4" t="s">
        <v>168</v>
      </c>
      <c r="B91" s="5" t="s">
        <v>169</v>
      </c>
      <c r="C91" s="28">
        <v>42233</v>
      </c>
      <c r="D91" s="28">
        <v>31521</v>
      </c>
      <c r="E91" s="28">
        <v>0</v>
      </c>
      <c r="F91" s="28">
        <f>SUM(C91-D91-E91)</f>
        <v>10712</v>
      </c>
      <c r="G91" s="28">
        <v>172692</v>
      </c>
      <c r="H91" s="28">
        <v>77451</v>
      </c>
      <c r="I91" s="28">
        <v>0</v>
      </c>
      <c r="J91" s="28">
        <f>SUM(G91-H91-I91)</f>
        <v>95241</v>
      </c>
      <c r="K91" s="28">
        <v>916</v>
      </c>
      <c r="L91" s="28">
        <v>146</v>
      </c>
      <c r="M91" s="28">
        <v>21011</v>
      </c>
      <c r="N91" s="28">
        <v>287</v>
      </c>
      <c r="O91" s="28">
        <v>287</v>
      </c>
    </row>
    <row r="92" spans="1:15" ht="12.75" customHeight="1">
      <c r="A92" s="4" t="s">
        <v>170</v>
      </c>
      <c r="B92" s="5" t="s">
        <v>171</v>
      </c>
      <c r="C92" s="28">
        <v>9314</v>
      </c>
      <c r="D92" s="28">
        <v>5666</v>
      </c>
      <c r="E92" s="28">
        <v>911</v>
      </c>
      <c r="F92" s="28">
        <f>SUM(C92-D92-E92)</f>
        <v>2737</v>
      </c>
      <c r="G92" s="28">
        <v>30655</v>
      </c>
      <c r="H92" s="28">
        <v>14170</v>
      </c>
      <c r="I92" s="28">
        <v>8296</v>
      </c>
      <c r="J92" s="28">
        <f>SUM(G92-H92-I92)</f>
        <v>8189</v>
      </c>
      <c r="K92" s="28">
        <v>489</v>
      </c>
      <c r="L92" s="28">
        <v>0</v>
      </c>
      <c r="M92" s="28">
        <v>1353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411955</v>
      </c>
      <c r="D93" s="28">
        <v>265471</v>
      </c>
      <c r="E93" s="28">
        <v>16838</v>
      </c>
      <c r="F93" s="28">
        <f>SUM(C93-D93-E93)</f>
        <v>129646</v>
      </c>
      <c r="G93" s="28">
        <v>1271593</v>
      </c>
      <c r="H93" s="28">
        <v>455392</v>
      </c>
      <c r="I93" s="28">
        <v>59672</v>
      </c>
      <c r="J93" s="28">
        <f>SUM(G93-H93-I93)</f>
        <v>756529</v>
      </c>
      <c r="K93" s="28">
        <v>90208</v>
      </c>
      <c r="L93" s="28">
        <v>243</v>
      </c>
      <c r="M93" s="28">
        <v>123259</v>
      </c>
      <c r="N93" s="28">
        <v>22824</v>
      </c>
      <c r="O93" s="28">
        <v>22798</v>
      </c>
    </row>
    <row r="94" spans="1:15" ht="12.75" customHeight="1">
      <c r="A94" s="4" t="s">
        <v>174</v>
      </c>
      <c r="B94" s="5" t="s">
        <v>175</v>
      </c>
      <c r="C94" s="28">
        <v>27133</v>
      </c>
      <c r="D94" s="28">
        <v>8622</v>
      </c>
      <c r="E94" s="28">
        <v>548</v>
      </c>
      <c r="F94" s="28">
        <f>SUM(C94-D94-E94)</f>
        <v>17963</v>
      </c>
      <c r="G94" s="28">
        <v>83196</v>
      </c>
      <c r="H94" s="28">
        <v>26667</v>
      </c>
      <c r="I94" s="28">
        <v>4108</v>
      </c>
      <c r="J94" s="28">
        <f>SUM(G94-H94-I94)</f>
        <v>52421</v>
      </c>
      <c r="K94" s="28">
        <v>2028</v>
      </c>
      <c r="L94" s="28">
        <v>1182</v>
      </c>
      <c r="M94" s="28">
        <v>10254</v>
      </c>
      <c r="N94" s="28">
        <v>215</v>
      </c>
      <c r="O94" s="28">
        <v>215</v>
      </c>
    </row>
    <row r="95" spans="1:15" ht="12.75" customHeight="1">
      <c r="A95" s="8"/>
      <c r="B95" s="9" t="s">
        <v>176</v>
      </c>
      <c r="C95" s="29">
        <f t="shared" ref="C95:O95" si="21">SUM(C90:C94)</f>
        <v>525474</v>
      </c>
      <c r="D95" s="29">
        <f t="shared" si="21"/>
        <v>331862</v>
      </c>
      <c r="E95" s="29">
        <f t="shared" si="21"/>
        <v>20437</v>
      </c>
      <c r="F95" s="29">
        <f t="shared" si="21"/>
        <v>173175</v>
      </c>
      <c r="G95" s="29">
        <f t="shared" si="21"/>
        <v>1714669</v>
      </c>
      <c r="H95" s="29">
        <f t="shared" si="21"/>
        <v>636424</v>
      </c>
      <c r="I95" s="29">
        <f t="shared" si="21"/>
        <v>87354</v>
      </c>
      <c r="J95" s="29">
        <f t="shared" si="21"/>
        <v>990891</v>
      </c>
      <c r="K95" s="29">
        <f t="shared" si="21"/>
        <v>94724</v>
      </c>
      <c r="L95" s="29">
        <f t="shared" si="21"/>
        <v>1571</v>
      </c>
      <c r="M95" s="29">
        <f t="shared" si="21"/>
        <v>165386</v>
      </c>
      <c r="N95" s="29">
        <f t="shared" si="21"/>
        <v>23470</v>
      </c>
      <c r="O95" s="29">
        <f t="shared" si="21"/>
        <v>23444</v>
      </c>
    </row>
    <row r="96" spans="1:15" ht="12.75" customHeight="1">
      <c r="A96" s="4" t="s">
        <v>177</v>
      </c>
      <c r="B96" s="5" t="s">
        <v>178</v>
      </c>
      <c r="C96" s="28">
        <v>7435</v>
      </c>
      <c r="D96" s="28">
        <v>6414</v>
      </c>
      <c r="E96" s="28">
        <v>311</v>
      </c>
      <c r="F96" s="28">
        <f>SUM(C96-D96-E96)</f>
        <v>710</v>
      </c>
      <c r="G96" s="28">
        <v>41930</v>
      </c>
      <c r="H96" s="28">
        <v>24127</v>
      </c>
      <c r="I96" s="28">
        <v>2218</v>
      </c>
      <c r="J96" s="28">
        <f>SUM(G96-H96-I96)</f>
        <v>15585</v>
      </c>
      <c r="K96" s="28">
        <v>18</v>
      </c>
      <c r="L96" s="28">
        <v>0</v>
      </c>
      <c r="M96" s="28">
        <v>8814</v>
      </c>
      <c r="N96" s="28">
        <v>67</v>
      </c>
      <c r="O96" s="28">
        <v>67</v>
      </c>
    </row>
    <row r="97" spans="1:15" ht="12.75" customHeight="1">
      <c r="A97" s="4" t="s">
        <v>179</v>
      </c>
      <c r="B97" s="5" t="s">
        <v>180</v>
      </c>
      <c r="C97" s="28">
        <v>2694</v>
      </c>
      <c r="D97" s="28">
        <v>2605</v>
      </c>
      <c r="E97" s="28">
        <v>0</v>
      </c>
      <c r="F97" s="28">
        <f>SUM(C97-D97-E97)</f>
        <v>89</v>
      </c>
      <c r="G97" s="28">
        <v>9179</v>
      </c>
      <c r="H97" s="28">
        <v>8635</v>
      </c>
      <c r="I97" s="28">
        <v>0</v>
      </c>
      <c r="J97" s="28">
        <f>SUM(G97-H97-I97)</f>
        <v>544</v>
      </c>
      <c r="K97" s="28">
        <v>17</v>
      </c>
      <c r="L97" s="28">
        <v>0</v>
      </c>
      <c r="M97" s="28">
        <v>5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10129</v>
      </c>
      <c r="D98" s="29">
        <f t="shared" si="22"/>
        <v>9019</v>
      </c>
      <c r="E98" s="29">
        <f t="shared" si="22"/>
        <v>311</v>
      </c>
      <c r="F98" s="29">
        <f t="shared" si="22"/>
        <v>799</v>
      </c>
      <c r="G98" s="29">
        <f t="shared" si="22"/>
        <v>51109</v>
      </c>
      <c r="H98" s="29">
        <f t="shared" si="22"/>
        <v>32762</v>
      </c>
      <c r="I98" s="29">
        <f t="shared" si="22"/>
        <v>2218</v>
      </c>
      <c r="J98" s="29">
        <f t="shared" si="22"/>
        <v>16129</v>
      </c>
      <c r="K98" s="29">
        <f t="shared" si="22"/>
        <v>35</v>
      </c>
      <c r="L98" s="29">
        <f t="shared" si="22"/>
        <v>0</v>
      </c>
      <c r="M98" s="29">
        <f t="shared" si="22"/>
        <v>8819</v>
      </c>
      <c r="N98" s="29">
        <f t="shared" si="22"/>
        <v>67</v>
      </c>
      <c r="O98" s="29">
        <f t="shared" si="22"/>
        <v>67</v>
      </c>
    </row>
    <row r="99" spans="1:15" ht="12.75" customHeight="1">
      <c r="A99" s="4" t="s">
        <v>182</v>
      </c>
      <c r="B99" s="5" t="s">
        <v>183</v>
      </c>
      <c r="C99" s="28">
        <v>24228</v>
      </c>
      <c r="D99" s="28">
        <v>17838</v>
      </c>
      <c r="E99" s="28">
        <v>659</v>
      </c>
      <c r="F99" s="28">
        <f>SUM(C99-D99-E99)</f>
        <v>5731</v>
      </c>
      <c r="G99" s="28">
        <v>85467</v>
      </c>
      <c r="H99" s="28">
        <v>54783</v>
      </c>
      <c r="I99" s="28">
        <v>4243</v>
      </c>
      <c r="J99" s="28">
        <f>SUM(G99-H99-I99)</f>
        <v>26441</v>
      </c>
      <c r="K99" s="28">
        <v>129</v>
      </c>
      <c r="L99" s="28">
        <v>0</v>
      </c>
      <c r="M99" s="28">
        <v>5553</v>
      </c>
      <c r="N99" s="28">
        <v>135</v>
      </c>
      <c r="O99" s="28">
        <v>135</v>
      </c>
    </row>
    <row r="100" spans="1:15" ht="12.75" customHeight="1">
      <c r="A100" s="4" t="s">
        <v>184</v>
      </c>
      <c r="B100" s="5" t="s">
        <v>185</v>
      </c>
      <c r="C100" s="28">
        <v>18375</v>
      </c>
      <c r="D100" s="28">
        <v>10706</v>
      </c>
      <c r="E100" s="28">
        <v>1001</v>
      </c>
      <c r="F100" s="28">
        <f>SUM(C100-D100-E100)</f>
        <v>6668</v>
      </c>
      <c r="G100" s="28">
        <v>76477</v>
      </c>
      <c r="H100" s="28">
        <v>30198</v>
      </c>
      <c r="I100" s="28">
        <v>4961</v>
      </c>
      <c r="J100" s="28">
        <f>SUM(G100-H100-I100)</f>
        <v>41318</v>
      </c>
      <c r="K100" s="28">
        <v>2233</v>
      </c>
      <c r="L100" s="28">
        <v>0</v>
      </c>
      <c r="M100" s="28">
        <v>4431</v>
      </c>
      <c r="N100" s="28">
        <v>1169</v>
      </c>
      <c r="O100" s="28">
        <v>1169</v>
      </c>
    </row>
    <row r="101" spans="1:15" ht="12.75" customHeight="1">
      <c r="A101" s="4" t="s">
        <v>186</v>
      </c>
      <c r="B101" s="5" t="s">
        <v>187</v>
      </c>
      <c r="C101" s="28">
        <v>10651</v>
      </c>
      <c r="D101" s="28">
        <v>9289</v>
      </c>
      <c r="E101" s="28">
        <v>0</v>
      </c>
      <c r="F101" s="28">
        <f>SUM(C101-D101-E101)</f>
        <v>1362</v>
      </c>
      <c r="G101" s="28">
        <v>35067</v>
      </c>
      <c r="H101" s="28">
        <v>25672</v>
      </c>
      <c r="I101" s="28">
        <v>0</v>
      </c>
      <c r="J101" s="28">
        <f>SUM(G101-H101-I101)</f>
        <v>9395</v>
      </c>
      <c r="K101" s="28">
        <v>73</v>
      </c>
      <c r="L101" s="28">
        <v>0</v>
      </c>
      <c r="M101" s="28">
        <v>1660</v>
      </c>
      <c r="N101" s="28">
        <v>127</v>
      </c>
      <c r="O101" s="28">
        <v>127</v>
      </c>
    </row>
    <row r="102" spans="1:15" ht="12.75" customHeight="1">
      <c r="A102" s="4" t="s">
        <v>188</v>
      </c>
      <c r="B102" s="5" t="s">
        <v>189</v>
      </c>
      <c r="C102" s="28">
        <v>17727</v>
      </c>
      <c r="D102" s="28">
        <v>15152</v>
      </c>
      <c r="E102" s="28">
        <v>1040</v>
      </c>
      <c r="F102" s="28">
        <f>SUM(C102-D102-E102)</f>
        <v>1535</v>
      </c>
      <c r="G102" s="28">
        <v>59977</v>
      </c>
      <c r="H102" s="28">
        <v>38372</v>
      </c>
      <c r="I102" s="28">
        <v>8457</v>
      </c>
      <c r="J102" s="28">
        <f>SUM(G102-H102-I102)</f>
        <v>13148</v>
      </c>
      <c r="K102" s="28">
        <v>1175</v>
      </c>
      <c r="L102" s="28">
        <v>0</v>
      </c>
      <c r="M102" s="28">
        <v>2736</v>
      </c>
      <c r="N102" s="28">
        <v>28</v>
      </c>
      <c r="O102" s="28">
        <v>28</v>
      </c>
    </row>
    <row r="103" spans="1:15" ht="12.75" customHeight="1">
      <c r="A103" s="8"/>
      <c r="B103" s="9" t="s">
        <v>190</v>
      </c>
      <c r="C103" s="29">
        <f t="shared" ref="C103:O103" si="23">SUM(C99:C102)</f>
        <v>70981</v>
      </c>
      <c r="D103" s="29">
        <f t="shared" si="23"/>
        <v>52985</v>
      </c>
      <c r="E103" s="29">
        <f t="shared" si="23"/>
        <v>2700</v>
      </c>
      <c r="F103" s="29">
        <f t="shared" si="23"/>
        <v>15296</v>
      </c>
      <c r="G103" s="29">
        <f t="shared" si="23"/>
        <v>256988</v>
      </c>
      <c r="H103" s="29">
        <f t="shared" si="23"/>
        <v>149025</v>
      </c>
      <c r="I103" s="29">
        <f t="shared" si="23"/>
        <v>17661</v>
      </c>
      <c r="J103" s="29">
        <f t="shared" si="23"/>
        <v>90302</v>
      </c>
      <c r="K103" s="29">
        <f t="shared" si="23"/>
        <v>3610</v>
      </c>
      <c r="L103" s="29">
        <f t="shared" si="23"/>
        <v>0</v>
      </c>
      <c r="M103" s="29">
        <f t="shared" si="23"/>
        <v>14380</v>
      </c>
      <c r="N103" s="29">
        <f t="shared" si="23"/>
        <v>1459</v>
      </c>
      <c r="O103" s="29">
        <f t="shared" si="23"/>
        <v>1459</v>
      </c>
    </row>
    <row r="104" spans="1:15" ht="12.75" customHeight="1">
      <c r="A104" s="4" t="s">
        <v>191</v>
      </c>
      <c r="B104" s="5" t="s">
        <v>192</v>
      </c>
      <c r="C104" s="28">
        <v>13277</v>
      </c>
      <c r="D104" s="28">
        <v>10543</v>
      </c>
      <c r="E104" s="28">
        <v>389</v>
      </c>
      <c r="F104" s="28">
        <f>SUM(C104-D104-E104)</f>
        <v>2345</v>
      </c>
      <c r="G104" s="28">
        <v>54492</v>
      </c>
      <c r="H104" s="28">
        <v>34420</v>
      </c>
      <c r="I104" s="28">
        <v>3247</v>
      </c>
      <c r="J104" s="28">
        <f>SUM(G104-H104-I104)</f>
        <v>16825</v>
      </c>
      <c r="K104" s="28">
        <v>317</v>
      </c>
      <c r="L104" s="28">
        <v>0</v>
      </c>
      <c r="M104" s="28">
        <v>1662</v>
      </c>
      <c r="N104" s="28">
        <v>304</v>
      </c>
      <c r="O104" s="28">
        <v>304</v>
      </c>
    </row>
    <row r="105" spans="1:15" ht="12.75" customHeight="1">
      <c r="A105" s="4" t="s">
        <v>193</v>
      </c>
      <c r="B105" s="5" t="s">
        <v>194</v>
      </c>
      <c r="C105" s="28">
        <v>9125</v>
      </c>
      <c r="D105" s="28">
        <v>6656</v>
      </c>
      <c r="E105" s="28">
        <v>0</v>
      </c>
      <c r="F105" s="28">
        <f>SUM(C105-D105-E105)</f>
        <v>2469</v>
      </c>
      <c r="G105" s="28">
        <v>50259</v>
      </c>
      <c r="H105" s="28">
        <v>21448</v>
      </c>
      <c r="I105" s="28">
        <v>0</v>
      </c>
      <c r="J105" s="28">
        <f>SUM(G105-H105-I105)</f>
        <v>28811</v>
      </c>
      <c r="K105" s="28">
        <v>154</v>
      </c>
      <c r="L105" s="28">
        <v>0</v>
      </c>
      <c r="M105" s="28">
        <v>4152</v>
      </c>
      <c r="N105" s="28">
        <v>106</v>
      </c>
      <c r="O105" s="28">
        <v>106</v>
      </c>
    </row>
    <row r="106" spans="1:15" ht="12.75" customHeight="1">
      <c r="A106" s="4" t="s">
        <v>195</v>
      </c>
      <c r="B106" s="5" t="s">
        <v>196</v>
      </c>
      <c r="C106" s="28">
        <v>49879</v>
      </c>
      <c r="D106" s="28">
        <v>32400</v>
      </c>
      <c r="E106" s="28">
        <v>1314</v>
      </c>
      <c r="F106" s="28">
        <f>SUM(C106-D106-E106)</f>
        <v>16165</v>
      </c>
      <c r="G106" s="28">
        <v>220070</v>
      </c>
      <c r="H106" s="28">
        <v>97654</v>
      </c>
      <c r="I106" s="28">
        <v>8255</v>
      </c>
      <c r="J106" s="28">
        <f>SUM(G106-H106-I106)</f>
        <v>114161</v>
      </c>
      <c r="K106" s="28">
        <v>540</v>
      </c>
      <c r="L106" s="28">
        <v>0</v>
      </c>
      <c r="M106" s="28">
        <v>32539</v>
      </c>
      <c r="N106" s="28">
        <v>839</v>
      </c>
      <c r="O106" s="28">
        <v>839</v>
      </c>
    </row>
    <row r="107" spans="1:15" ht="12.75" customHeight="1">
      <c r="A107" s="4" t="s">
        <v>197</v>
      </c>
      <c r="B107" s="5" t="s">
        <v>198</v>
      </c>
      <c r="C107" s="28">
        <v>155144</v>
      </c>
      <c r="D107" s="28">
        <v>106675</v>
      </c>
      <c r="E107" s="28">
        <v>4572</v>
      </c>
      <c r="F107" s="28">
        <f>SUM(C107-D107-E107)</f>
        <v>43897</v>
      </c>
      <c r="G107" s="28">
        <v>426133</v>
      </c>
      <c r="H107" s="28">
        <v>204375</v>
      </c>
      <c r="I107" s="28">
        <v>12350</v>
      </c>
      <c r="J107" s="28">
        <f>SUM(G107-H107-I107)</f>
        <v>209408</v>
      </c>
      <c r="K107" s="28">
        <v>13426</v>
      </c>
      <c r="L107" s="28">
        <v>0</v>
      </c>
      <c r="M107" s="28">
        <v>7649</v>
      </c>
      <c r="N107" s="28">
        <v>11370</v>
      </c>
      <c r="O107" s="28">
        <v>11370</v>
      </c>
    </row>
    <row r="108" spans="1:15" ht="12.75" customHeight="1">
      <c r="A108" s="4" t="s">
        <v>199</v>
      </c>
      <c r="B108" s="5" t="s">
        <v>200</v>
      </c>
      <c r="C108" s="28">
        <v>42925</v>
      </c>
      <c r="D108" s="28">
        <v>29854</v>
      </c>
      <c r="E108" s="28">
        <v>1450</v>
      </c>
      <c r="F108" s="28">
        <f>SUM(C108-D108-E108)</f>
        <v>11621</v>
      </c>
      <c r="G108" s="28">
        <v>220298</v>
      </c>
      <c r="H108" s="28">
        <v>90344</v>
      </c>
      <c r="I108" s="28">
        <v>9845</v>
      </c>
      <c r="J108" s="28">
        <f>SUM(G108-H108-I108)</f>
        <v>120109</v>
      </c>
      <c r="K108" s="28">
        <v>1059</v>
      </c>
      <c r="L108" s="28">
        <v>0</v>
      </c>
      <c r="M108" s="28">
        <v>10140</v>
      </c>
      <c r="N108" s="28">
        <v>4666</v>
      </c>
      <c r="O108" s="28">
        <v>4666</v>
      </c>
    </row>
    <row r="109" spans="1:15" ht="12.75" customHeight="1">
      <c r="A109" s="8"/>
      <c r="B109" s="9" t="s">
        <v>201</v>
      </c>
      <c r="C109" s="29">
        <f t="shared" ref="C109:O109" si="24">SUM(C104:C108)</f>
        <v>270350</v>
      </c>
      <c r="D109" s="29">
        <f t="shared" si="24"/>
        <v>186128</v>
      </c>
      <c r="E109" s="29">
        <f t="shared" si="24"/>
        <v>7725</v>
      </c>
      <c r="F109" s="29">
        <f t="shared" si="24"/>
        <v>76497</v>
      </c>
      <c r="G109" s="29">
        <f t="shared" si="24"/>
        <v>971252</v>
      </c>
      <c r="H109" s="29">
        <f t="shared" si="24"/>
        <v>448241</v>
      </c>
      <c r="I109" s="29">
        <f t="shared" si="24"/>
        <v>33697</v>
      </c>
      <c r="J109" s="29">
        <f t="shared" si="24"/>
        <v>489314</v>
      </c>
      <c r="K109" s="29">
        <f t="shared" si="24"/>
        <v>15496</v>
      </c>
      <c r="L109" s="29">
        <f t="shared" si="24"/>
        <v>0</v>
      </c>
      <c r="M109" s="29">
        <f t="shared" si="24"/>
        <v>56142</v>
      </c>
      <c r="N109" s="29">
        <f t="shared" si="24"/>
        <v>17285</v>
      </c>
      <c r="O109" s="29">
        <f t="shared" si="24"/>
        <v>17285</v>
      </c>
    </row>
    <row r="110" spans="1:15" ht="12.75" customHeight="1">
      <c r="A110" s="4" t="s">
        <v>202</v>
      </c>
      <c r="B110" s="5" t="s">
        <v>203</v>
      </c>
      <c r="C110" s="28">
        <v>70647</v>
      </c>
      <c r="D110" s="28">
        <v>56380</v>
      </c>
      <c r="E110" s="28">
        <v>669</v>
      </c>
      <c r="F110" s="28">
        <f t="shared" ref="F110:F115" si="25">SUM(C110-D110-E110)</f>
        <v>13598</v>
      </c>
      <c r="G110" s="28">
        <v>299934</v>
      </c>
      <c r="H110" s="28">
        <v>178401</v>
      </c>
      <c r="I110" s="28">
        <v>5767</v>
      </c>
      <c r="J110" s="28">
        <f t="shared" ref="J110:J115" si="26">SUM(G110-H110-I110)</f>
        <v>115766</v>
      </c>
      <c r="K110" s="28">
        <v>3165</v>
      </c>
      <c r="L110" s="28">
        <v>0</v>
      </c>
      <c r="M110" s="28">
        <v>25932</v>
      </c>
      <c r="N110" s="28">
        <v>989</v>
      </c>
      <c r="O110" s="28">
        <v>989</v>
      </c>
    </row>
    <row r="111" spans="1:15" ht="12.75" customHeight="1">
      <c r="A111" s="4" t="s">
        <v>204</v>
      </c>
      <c r="B111" s="5" t="s">
        <v>205</v>
      </c>
      <c r="C111" s="28">
        <v>8403</v>
      </c>
      <c r="D111" s="28">
        <v>7811</v>
      </c>
      <c r="E111" s="28">
        <v>161</v>
      </c>
      <c r="F111" s="28">
        <f t="shared" si="25"/>
        <v>431</v>
      </c>
      <c r="G111" s="28">
        <v>26173</v>
      </c>
      <c r="H111" s="28">
        <v>21520</v>
      </c>
      <c r="I111" s="28">
        <v>1236</v>
      </c>
      <c r="J111" s="28">
        <f t="shared" si="26"/>
        <v>3417</v>
      </c>
      <c r="K111" s="28">
        <v>107</v>
      </c>
      <c r="L111" s="28">
        <v>0</v>
      </c>
      <c r="M111" s="28">
        <v>3160</v>
      </c>
      <c r="N111" s="28">
        <v>129</v>
      </c>
      <c r="O111" s="28">
        <v>129</v>
      </c>
    </row>
    <row r="112" spans="1:15" ht="12.75" customHeight="1">
      <c r="A112" s="4" t="s">
        <v>206</v>
      </c>
      <c r="B112" s="5" t="s">
        <v>207</v>
      </c>
      <c r="C112" s="28">
        <v>21443</v>
      </c>
      <c r="D112" s="28">
        <v>18177</v>
      </c>
      <c r="E112" s="28">
        <v>0</v>
      </c>
      <c r="F112" s="28">
        <f t="shared" si="25"/>
        <v>3266</v>
      </c>
      <c r="G112" s="28">
        <v>70766</v>
      </c>
      <c r="H112" s="28">
        <v>53266</v>
      </c>
      <c r="I112" s="28">
        <v>0</v>
      </c>
      <c r="J112" s="28">
        <f t="shared" si="26"/>
        <v>17500</v>
      </c>
      <c r="K112" s="28">
        <v>893</v>
      </c>
      <c r="L112" s="28">
        <v>0</v>
      </c>
      <c r="M112" s="28">
        <v>4107</v>
      </c>
      <c r="N112" s="28">
        <v>136</v>
      </c>
      <c r="O112" s="28">
        <v>136</v>
      </c>
    </row>
    <row r="113" spans="1:15" ht="12.75" customHeight="1">
      <c r="A113" s="4" t="s">
        <v>208</v>
      </c>
      <c r="B113" s="5" t="s">
        <v>209</v>
      </c>
      <c r="C113" s="28">
        <v>21468</v>
      </c>
      <c r="D113" s="28">
        <v>15051</v>
      </c>
      <c r="E113" s="28">
        <v>868</v>
      </c>
      <c r="F113" s="28">
        <f t="shared" si="25"/>
        <v>5549</v>
      </c>
      <c r="G113" s="28">
        <v>82803</v>
      </c>
      <c r="H113" s="28">
        <v>45984</v>
      </c>
      <c r="I113" s="28">
        <v>4898</v>
      </c>
      <c r="J113" s="28">
        <f t="shared" si="26"/>
        <v>31921</v>
      </c>
      <c r="K113" s="28">
        <v>1525</v>
      </c>
      <c r="L113" s="28">
        <v>0</v>
      </c>
      <c r="M113" s="28">
        <v>22839</v>
      </c>
      <c r="N113" s="28">
        <v>357</v>
      </c>
      <c r="O113" s="28">
        <v>357</v>
      </c>
    </row>
    <row r="114" spans="1:15" ht="12.75" customHeight="1">
      <c r="A114" s="4" t="s">
        <v>210</v>
      </c>
      <c r="B114" s="5" t="s">
        <v>211</v>
      </c>
      <c r="C114" s="28">
        <v>50550</v>
      </c>
      <c r="D114" s="28">
        <v>40950</v>
      </c>
      <c r="E114" s="28">
        <v>0</v>
      </c>
      <c r="F114" s="28">
        <f t="shared" si="25"/>
        <v>9600</v>
      </c>
      <c r="G114" s="28">
        <v>137806</v>
      </c>
      <c r="H114" s="28">
        <v>95440</v>
      </c>
      <c r="I114" s="28">
        <v>0</v>
      </c>
      <c r="J114" s="28">
        <f t="shared" si="26"/>
        <v>42366</v>
      </c>
      <c r="K114" s="28">
        <v>5020</v>
      </c>
      <c r="L114" s="28">
        <v>0</v>
      </c>
      <c r="M114" s="28">
        <v>13628</v>
      </c>
      <c r="N114" s="28">
        <v>3185</v>
      </c>
      <c r="O114" s="28">
        <v>3185</v>
      </c>
    </row>
    <row r="115" spans="1:15" ht="12.75" customHeight="1">
      <c r="A115" s="4" t="s">
        <v>212</v>
      </c>
      <c r="B115" s="5" t="s">
        <v>213</v>
      </c>
      <c r="C115" s="28">
        <v>34271</v>
      </c>
      <c r="D115" s="28">
        <v>25836</v>
      </c>
      <c r="E115" s="28">
        <v>0</v>
      </c>
      <c r="F115" s="28">
        <f t="shared" si="25"/>
        <v>8435</v>
      </c>
      <c r="G115" s="28">
        <v>119862</v>
      </c>
      <c r="H115" s="28">
        <v>76047</v>
      </c>
      <c r="I115" s="28">
        <v>0</v>
      </c>
      <c r="J115" s="28">
        <f t="shared" si="26"/>
        <v>43815</v>
      </c>
      <c r="K115" s="28">
        <v>29350</v>
      </c>
      <c r="L115" s="28">
        <v>0</v>
      </c>
      <c r="M115" s="28">
        <v>8551</v>
      </c>
      <c r="N115" s="28">
        <v>1607</v>
      </c>
      <c r="O115" s="28">
        <v>1607</v>
      </c>
    </row>
    <row r="116" spans="1:15" ht="12.75" customHeight="1">
      <c r="A116" s="8"/>
      <c r="B116" s="9" t="s">
        <v>214</v>
      </c>
      <c r="C116" s="29">
        <f t="shared" ref="C116:O116" si="27">SUM(C110:C115)</f>
        <v>206782</v>
      </c>
      <c r="D116" s="29">
        <f t="shared" si="27"/>
        <v>164205</v>
      </c>
      <c r="E116" s="29">
        <f t="shared" si="27"/>
        <v>1698</v>
      </c>
      <c r="F116" s="29">
        <f t="shared" si="27"/>
        <v>40879</v>
      </c>
      <c r="G116" s="29">
        <f t="shared" si="27"/>
        <v>737344</v>
      </c>
      <c r="H116" s="29">
        <f t="shared" si="27"/>
        <v>470658</v>
      </c>
      <c r="I116" s="29">
        <f t="shared" si="27"/>
        <v>11901</v>
      </c>
      <c r="J116" s="29">
        <f t="shared" si="27"/>
        <v>254785</v>
      </c>
      <c r="K116" s="29">
        <f t="shared" si="27"/>
        <v>40060</v>
      </c>
      <c r="L116" s="29">
        <f t="shared" si="27"/>
        <v>0</v>
      </c>
      <c r="M116" s="29">
        <f t="shared" si="27"/>
        <v>78217</v>
      </c>
      <c r="N116" s="29">
        <f t="shared" si="27"/>
        <v>6403</v>
      </c>
      <c r="O116" s="29">
        <f t="shared" si="27"/>
        <v>6403</v>
      </c>
    </row>
    <row r="117" spans="1:15" ht="12.75" customHeight="1">
      <c r="A117" s="4" t="s">
        <v>215</v>
      </c>
      <c r="B117" s="5" t="s">
        <v>216</v>
      </c>
      <c r="C117" s="28">
        <v>7351</v>
      </c>
      <c r="D117" s="28">
        <v>6229</v>
      </c>
      <c r="E117" s="28">
        <v>0</v>
      </c>
      <c r="F117" s="28">
        <f>SUM(C117-D117-E117)</f>
        <v>1122</v>
      </c>
      <c r="G117" s="28">
        <v>29490</v>
      </c>
      <c r="H117" s="28">
        <v>21479</v>
      </c>
      <c r="I117" s="28">
        <v>0</v>
      </c>
      <c r="J117" s="28">
        <f>SUM(G117-H117-I117)</f>
        <v>8011</v>
      </c>
      <c r="K117" s="28">
        <v>21</v>
      </c>
      <c r="L117" s="28">
        <v>0</v>
      </c>
      <c r="M117" s="28">
        <v>6376</v>
      </c>
      <c r="N117" s="28">
        <v>93</v>
      </c>
      <c r="O117" s="28">
        <v>93</v>
      </c>
    </row>
    <row r="118" spans="1:15" ht="12.75" customHeight="1">
      <c r="A118" s="4" t="s">
        <v>217</v>
      </c>
      <c r="B118" s="5" t="s">
        <v>218</v>
      </c>
      <c r="C118" s="28">
        <v>17803</v>
      </c>
      <c r="D118" s="28">
        <v>15322</v>
      </c>
      <c r="E118" s="28">
        <v>352</v>
      </c>
      <c r="F118" s="28">
        <f>SUM(C118-D118-E118)</f>
        <v>2129</v>
      </c>
      <c r="G118" s="28">
        <v>68415</v>
      </c>
      <c r="H118" s="28">
        <v>44526</v>
      </c>
      <c r="I118" s="28">
        <v>2647</v>
      </c>
      <c r="J118" s="28">
        <f>SUM(G118-H118-I118)</f>
        <v>21242</v>
      </c>
      <c r="K118" s="28">
        <v>165</v>
      </c>
      <c r="L118" s="28">
        <v>0</v>
      </c>
      <c r="M118" s="28">
        <v>6677</v>
      </c>
      <c r="N118" s="28">
        <v>2078</v>
      </c>
      <c r="O118" s="28">
        <v>2078</v>
      </c>
    </row>
    <row r="119" spans="1:15" ht="12.75" customHeight="1">
      <c r="A119" s="8"/>
      <c r="B119" s="9" t="s">
        <v>219</v>
      </c>
      <c r="C119" s="29">
        <f t="shared" ref="C119:O119" si="28">SUM(C117:C118)</f>
        <v>25154</v>
      </c>
      <c r="D119" s="29">
        <f t="shared" si="28"/>
        <v>21551</v>
      </c>
      <c r="E119" s="29">
        <f t="shared" si="28"/>
        <v>352</v>
      </c>
      <c r="F119" s="29">
        <f t="shared" si="28"/>
        <v>3251</v>
      </c>
      <c r="G119" s="29">
        <f t="shared" si="28"/>
        <v>97905</v>
      </c>
      <c r="H119" s="29">
        <f t="shared" si="28"/>
        <v>66005</v>
      </c>
      <c r="I119" s="29">
        <f t="shared" si="28"/>
        <v>2647</v>
      </c>
      <c r="J119" s="29">
        <f t="shared" si="28"/>
        <v>29253</v>
      </c>
      <c r="K119" s="29">
        <f t="shared" si="28"/>
        <v>186</v>
      </c>
      <c r="L119" s="29">
        <f t="shared" si="28"/>
        <v>0</v>
      </c>
      <c r="M119" s="29">
        <f t="shared" si="28"/>
        <v>13053</v>
      </c>
      <c r="N119" s="29">
        <f t="shared" si="28"/>
        <v>2171</v>
      </c>
      <c r="O119" s="29">
        <f t="shared" si="28"/>
        <v>2171</v>
      </c>
    </row>
    <row r="120" spans="1:15" ht="12.75" customHeight="1">
      <c r="A120" s="4" t="s">
        <v>220</v>
      </c>
      <c r="B120" s="5" t="s">
        <v>221</v>
      </c>
      <c r="C120" s="28">
        <v>21814</v>
      </c>
      <c r="D120" s="28">
        <v>20128</v>
      </c>
      <c r="E120" s="28">
        <v>374</v>
      </c>
      <c r="F120" s="28">
        <f>SUM(C120-D120-E120)</f>
        <v>1312</v>
      </c>
      <c r="G120" s="28">
        <v>67983</v>
      </c>
      <c r="H120" s="28">
        <v>55031</v>
      </c>
      <c r="I120" s="28">
        <v>3379</v>
      </c>
      <c r="J120" s="28">
        <f>SUM(G120-H120-I120)</f>
        <v>9573</v>
      </c>
      <c r="K120" s="28">
        <v>2466</v>
      </c>
      <c r="L120" s="28">
        <v>0</v>
      </c>
      <c r="M120" s="28">
        <v>2274</v>
      </c>
      <c r="N120" s="28">
        <v>3441</v>
      </c>
      <c r="O120" s="28">
        <v>3441</v>
      </c>
    </row>
    <row r="121" spans="1:15" ht="12.75" customHeight="1">
      <c r="A121" s="4" t="s">
        <v>222</v>
      </c>
      <c r="B121" s="5" t="s">
        <v>223</v>
      </c>
      <c r="C121" s="28">
        <v>34251</v>
      </c>
      <c r="D121" s="28">
        <v>31118</v>
      </c>
      <c r="E121" s="28">
        <v>877</v>
      </c>
      <c r="F121" s="28">
        <f>SUM(C121-D121-E121)</f>
        <v>2256</v>
      </c>
      <c r="G121" s="28">
        <v>116802</v>
      </c>
      <c r="H121" s="28">
        <v>88940</v>
      </c>
      <c r="I121" s="28">
        <v>5874</v>
      </c>
      <c r="J121" s="28">
        <f>SUM(G121-H121-I121)</f>
        <v>21988</v>
      </c>
      <c r="K121" s="28">
        <v>330</v>
      </c>
      <c r="L121" s="28">
        <v>0</v>
      </c>
      <c r="M121" s="28">
        <v>5284</v>
      </c>
      <c r="N121" s="28">
        <v>234</v>
      </c>
      <c r="O121" s="28">
        <v>234</v>
      </c>
    </row>
    <row r="122" spans="1:15" ht="12.75" customHeight="1">
      <c r="A122" s="4" t="s">
        <v>224</v>
      </c>
      <c r="B122" s="5" t="s">
        <v>225</v>
      </c>
      <c r="C122" s="28">
        <v>6695</v>
      </c>
      <c r="D122" s="28">
        <v>5667</v>
      </c>
      <c r="E122" s="28">
        <v>0</v>
      </c>
      <c r="F122" s="28">
        <f>SUM(C122-D122-E122)</f>
        <v>1028</v>
      </c>
      <c r="G122" s="28">
        <v>22421</v>
      </c>
      <c r="H122" s="28">
        <v>15297</v>
      </c>
      <c r="I122" s="28">
        <v>0</v>
      </c>
      <c r="J122" s="28">
        <f>SUM(G122-H122-I122)</f>
        <v>7124</v>
      </c>
      <c r="K122" s="28">
        <v>156</v>
      </c>
      <c r="L122" s="28">
        <v>0</v>
      </c>
      <c r="M122" s="28">
        <v>6572</v>
      </c>
      <c r="N122" s="28">
        <v>45</v>
      </c>
      <c r="O122" s="28">
        <v>45</v>
      </c>
    </row>
    <row r="123" spans="1:15" ht="12.75" customHeight="1">
      <c r="A123" s="4" t="s">
        <v>226</v>
      </c>
      <c r="B123" s="5" t="s">
        <v>227</v>
      </c>
      <c r="C123" s="28">
        <v>30720</v>
      </c>
      <c r="D123" s="28">
        <v>27312</v>
      </c>
      <c r="E123" s="28">
        <v>451</v>
      </c>
      <c r="F123" s="28">
        <f>SUM(C123-D123-E123)</f>
        <v>2957</v>
      </c>
      <c r="G123" s="28">
        <v>87665</v>
      </c>
      <c r="H123" s="28">
        <v>68207</v>
      </c>
      <c r="I123" s="28">
        <v>3059</v>
      </c>
      <c r="J123" s="28">
        <f>SUM(G123-H123-I123)</f>
        <v>16399</v>
      </c>
      <c r="K123" s="28">
        <v>1328</v>
      </c>
      <c r="L123" s="28">
        <v>0</v>
      </c>
      <c r="M123" s="28">
        <v>3609</v>
      </c>
      <c r="N123" s="28">
        <v>566</v>
      </c>
      <c r="O123" s="28">
        <v>566</v>
      </c>
    </row>
    <row r="124" spans="1:15" ht="12.75" customHeight="1">
      <c r="A124" s="4" t="s">
        <v>228</v>
      </c>
      <c r="B124" s="5" t="s">
        <v>229</v>
      </c>
      <c r="C124" s="28">
        <v>9909</v>
      </c>
      <c r="D124" s="28">
        <v>9203</v>
      </c>
      <c r="E124" s="28">
        <v>160</v>
      </c>
      <c r="F124" s="28">
        <f>SUM(C124-D124-E124)</f>
        <v>546</v>
      </c>
      <c r="G124" s="28">
        <v>27782</v>
      </c>
      <c r="H124" s="28">
        <v>22971</v>
      </c>
      <c r="I124" s="28">
        <v>1474</v>
      </c>
      <c r="J124" s="28">
        <f>SUM(G124-H124-I124)</f>
        <v>3337</v>
      </c>
      <c r="K124" s="28">
        <v>300</v>
      </c>
      <c r="L124" s="28">
        <v>0</v>
      </c>
      <c r="M124" s="28">
        <v>77</v>
      </c>
      <c r="N124" s="28">
        <v>204</v>
      </c>
      <c r="O124" s="28">
        <v>204</v>
      </c>
    </row>
    <row r="125" spans="1:15" ht="12.75" customHeight="1">
      <c r="A125" s="8"/>
      <c r="B125" s="9" t="s">
        <v>230</v>
      </c>
      <c r="C125" s="29">
        <f t="shared" ref="C125:O125" si="29">SUM(C120:C124)</f>
        <v>103389</v>
      </c>
      <c r="D125" s="29">
        <f t="shared" si="29"/>
        <v>93428</v>
      </c>
      <c r="E125" s="29">
        <f t="shared" si="29"/>
        <v>1862</v>
      </c>
      <c r="F125" s="29">
        <f t="shared" si="29"/>
        <v>8099</v>
      </c>
      <c r="G125" s="29">
        <f t="shared" si="29"/>
        <v>322653</v>
      </c>
      <c r="H125" s="29">
        <f t="shared" si="29"/>
        <v>250446</v>
      </c>
      <c r="I125" s="29">
        <f t="shared" si="29"/>
        <v>13786</v>
      </c>
      <c r="J125" s="29">
        <f t="shared" si="29"/>
        <v>58421</v>
      </c>
      <c r="K125" s="29">
        <f t="shared" si="29"/>
        <v>4580</v>
      </c>
      <c r="L125" s="29">
        <f t="shared" si="29"/>
        <v>0</v>
      </c>
      <c r="M125" s="29">
        <f t="shared" si="29"/>
        <v>17816</v>
      </c>
      <c r="N125" s="29">
        <f t="shared" si="29"/>
        <v>4490</v>
      </c>
      <c r="O125" s="29">
        <f t="shared" si="29"/>
        <v>4490</v>
      </c>
    </row>
    <row r="126" spans="1:15" ht="12.75" customHeight="1">
      <c r="A126" s="4" t="s">
        <v>231</v>
      </c>
      <c r="B126" s="5" t="s">
        <v>232</v>
      </c>
      <c r="C126" s="28">
        <v>23032</v>
      </c>
      <c r="D126" s="28">
        <v>17787</v>
      </c>
      <c r="E126" s="28">
        <v>0</v>
      </c>
      <c r="F126" s="28">
        <f t="shared" ref="F126:F134" si="30">SUM(C126-D126-E126)</f>
        <v>5245</v>
      </c>
      <c r="G126" s="28">
        <v>61478</v>
      </c>
      <c r="H126" s="28">
        <v>38379</v>
      </c>
      <c r="I126" s="28">
        <v>0</v>
      </c>
      <c r="J126" s="28">
        <f t="shared" ref="J126:J134" si="31">SUM(G126-H126-I126)</f>
        <v>23099</v>
      </c>
      <c r="K126" s="28">
        <v>267</v>
      </c>
      <c r="L126" s="28">
        <v>0</v>
      </c>
      <c r="M126" s="28">
        <v>6907</v>
      </c>
      <c r="N126" s="28">
        <v>519</v>
      </c>
      <c r="O126" s="28">
        <v>519</v>
      </c>
    </row>
    <row r="127" spans="1:15" ht="12.75" customHeight="1">
      <c r="A127" s="4" t="s">
        <v>233</v>
      </c>
      <c r="B127" s="5" t="s">
        <v>234</v>
      </c>
      <c r="C127" s="28">
        <v>11699</v>
      </c>
      <c r="D127" s="28">
        <v>9434</v>
      </c>
      <c r="E127" s="28">
        <v>0</v>
      </c>
      <c r="F127" s="28">
        <f t="shared" si="30"/>
        <v>2265</v>
      </c>
      <c r="G127" s="28">
        <v>35132</v>
      </c>
      <c r="H127" s="28">
        <v>27818</v>
      </c>
      <c r="I127" s="28">
        <v>0</v>
      </c>
      <c r="J127" s="28">
        <f t="shared" si="31"/>
        <v>7314</v>
      </c>
      <c r="K127" s="28">
        <v>115</v>
      </c>
      <c r="L127" s="28">
        <v>0</v>
      </c>
      <c r="M127" s="28">
        <v>1251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74024</v>
      </c>
      <c r="D128" s="28">
        <v>58553</v>
      </c>
      <c r="E128" s="28">
        <v>1412</v>
      </c>
      <c r="F128" s="28">
        <f t="shared" si="30"/>
        <v>14059</v>
      </c>
      <c r="G128" s="28">
        <v>170681</v>
      </c>
      <c r="H128" s="28">
        <v>123340</v>
      </c>
      <c r="I128" s="28">
        <v>6294</v>
      </c>
      <c r="J128" s="28">
        <f t="shared" si="31"/>
        <v>41047</v>
      </c>
      <c r="K128" s="28">
        <v>2584</v>
      </c>
      <c r="L128" s="28">
        <v>0</v>
      </c>
      <c r="M128" s="28">
        <v>15488</v>
      </c>
      <c r="N128" s="28">
        <v>1129</v>
      </c>
      <c r="O128" s="28">
        <v>1129</v>
      </c>
    </row>
    <row r="129" spans="1:15" ht="12.75" customHeight="1">
      <c r="A129" s="4" t="s">
        <v>237</v>
      </c>
      <c r="B129" s="5" t="s">
        <v>238</v>
      </c>
      <c r="C129" s="28">
        <v>7484</v>
      </c>
      <c r="D129" s="28">
        <v>5768</v>
      </c>
      <c r="E129" s="28">
        <v>371</v>
      </c>
      <c r="F129" s="28">
        <f t="shared" si="30"/>
        <v>1345</v>
      </c>
      <c r="G129" s="28">
        <v>28715</v>
      </c>
      <c r="H129" s="28">
        <v>14190</v>
      </c>
      <c r="I129" s="28">
        <v>3137</v>
      </c>
      <c r="J129" s="28">
        <f t="shared" si="31"/>
        <v>11388</v>
      </c>
      <c r="K129" s="28">
        <v>197</v>
      </c>
      <c r="L129" s="28">
        <v>0</v>
      </c>
      <c r="M129" s="28">
        <v>7790</v>
      </c>
      <c r="N129" s="28">
        <v>319</v>
      </c>
      <c r="O129" s="28">
        <v>319</v>
      </c>
    </row>
    <row r="130" spans="1:15" ht="12.75" customHeight="1">
      <c r="A130" s="4" t="s">
        <v>239</v>
      </c>
      <c r="B130" s="5" t="s">
        <v>240</v>
      </c>
      <c r="C130" s="28">
        <v>44555</v>
      </c>
      <c r="D130" s="28">
        <v>37560</v>
      </c>
      <c r="E130" s="28">
        <v>2378</v>
      </c>
      <c r="F130" s="28">
        <f t="shared" si="30"/>
        <v>4617</v>
      </c>
      <c r="G130" s="28">
        <v>112673</v>
      </c>
      <c r="H130" s="28">
        <v>60648</v>
      </c>
      <c r="I130" s="28">
        <v>10586</v>
      </c>
      <c r="J130" s="28">
        <f t="shared" si="31"/>
        <v>41439</v>
      </c>
      <c r="K130" s="28">
        <v>1162</v>
      </c>
      <c r="L130" s="28">
        <v>0</v>
      </c>
      <c r="M130" s="28">
        <v>614</v>
      </c>
      <c r="N130" s="28">
        <v>133180</v>
      </c>
      <c r="O130" s="28">
        <v>5072</v>
      </c>
    </row>
    <row r="131" spans="1:15" ht="12.75" customHeight="1">
      <c r="A131" s="4" t="s">
        <v>241</v>
      </c>
      <c r="B131" s="5" t="s">
        <v>242</v>
      </c>
      <c r="C131" s="28">
        <v>82938</v>
      </c>
      <c r="D131" s="28">
        <v>69794</v>
      </c>
      <c r="E131" s="28">
        <v>631</v>
      </c>
      <c r="F131" s="28">
        <f t="shared" si="30"/>
        <v>12513</v>
      </c>
      <c r="G131" s="28">
        <v>200321</v>
      </c>
      <c r="H131" s="28">
        <v>108805</v>
      </c>
      <c r="I131" s="28">
        <v>3524</v>
      </c>
      <c r="J131" s="28">
        <f t="shared" si="31"/>
        <v>87992</v>
      </c>
      <c r="K131" s="28">
        <v>2553</v>
      </c>
      <c r="L131" s="28">
        <v>0</v>
      </c>
      <c r="M131" s="28">
        <v>3210</v>
      </c>
      <c r="N131" s="28">
        <v>1880</v>
      </c>
      <c r="O131" s="28">
        <v>1880</v>
      </c>
    </row>
    <row r="132" spans="1:15" ht="12.75" customHeight="1">
      <c r="A132" s="4" t="s">
        <v>243</v>
      </c>
      <c r="B132" s="5" t="s">
        <v>244</v>
      </c>
      <c r="C132" s="28">
        <v>34566</v>
      </c>
      <c r="D132" s="28">
        <v>29235</v>
      </c>
      <c r="E132" s="28">
        <v>0</v>
      </c>
      <c r="F132" s="28">
        <f t="shared" si="30"/>
        <v>5331</v>
      </c>
      <c r="G132" s="28">
        <v>101550</v>
      </c>
      <c r="H132" s="28">
        <v>61109</v>
      </c>
      <c r="I132" s="28">
        <v>0</v>
      </c>
      <c r="J132" s="28">
        <f t="shared" si="31"/>
        <v>40441</v>
      </c>
      <c r="K132" s="28">
        <v>4262</v>
      </c>
      <c r="L132" s="28">
        <v>0</v>
      </c>
      <c r="M132" s="28">
        <v>7750</v>
      </c>
      <c r="N132" s="28">
        <v>124</v>
      </c>
      <c r="O132" s="28">
        <v>124</v>
      </c>
    </row>
    <row r="133" spans="1:15" ht="12.75" customHeight="1">
      <c r="A133" s="4" t="s">
        <v>245</v>
      </c>
      <c r="B133" s="5" t="s">
        <v>246</v>
      </c>
      <c r="C133" s="28">
        <v>33824</v>
      </c>
      <c r="D133" s="28">
        <v>29725</v>
      </c>
      <c r="E133" s="28">
        <v>0</v>
      </c>
      <c r="F133" s="28">
        <f t="shared" si="30"/>
        <v>4099</v>
      </c>
      <c r="G133" s="28">
        <v>90358</v>
      </c>
      <c r="H133" s="28">
        <v>66228</v>
      </c>
      <c r="I133" s="28">
        <v>0</v>
      </c>
      <c r="J133" s="28">
        <f t="shared" si="31"/>
        <v>24130</v>
      </c>
      <c r="K133" s="28">
        <v>16349</v>
      </c>
      <c r="L133" s="28">
        <v>0</v>
      </c>
      <c r="M133" s="28">
        <v>5495</v>
      </c>
      <c r="N133" s="28">
        <v>133</v>
      </c>
      <c r="O133" s="28">
        <v>133</v>
      </c>
    </row>
    <row r="134" spans="1:15" ht="12.75" customHeight="1">
      <c r="A134" s="4" t="s">
        <v>247</v>
      </c>
      <c r="B134" s="5" t="s">
        <v>248</v>
      </c>
      <c r="C134" s="28">
        <v>23618</v>
      </c>
      <c r="D134" s="28">
        <v>16872</v>
      </c>
      <c r="E134" s="28">
        <v>0</v>
      </c>
      <c r="F134" s="28">
        <f t="shared" si="30"/>
        <v>6746</v>
      </c>
      <c r="G134" s="28">
        <v>112291</v>
      </c>
      <c r="H134" s="28">
        <v>33742</v>
      </c>
      <c r="I134" s="28">
        <v>0</v>
      </c>
      <c r="J134" s="28">
        <f t="shared" si="31"/>
        <v>78549</v>
      </c>
      <c r="K134" s="28">
        <v>2741</v>
      </c>
      <c r="L134" s="28">
        <v>0</v>
      </c>
      <c r="M134" s="28">
        <v>6938</v>
      </c>
      <c r="N134" s="28">
        <v>56</v>
      </c>
      <c r="O134" s="28">
        <v>56</v>
      </c>
    </row>
    <row r="135" spans="1:15" ht="12.75" customHeight="1">
      <c r="A135" s="10"/>
      <c r="B135" s="9" t="s">
        <v>249</v>
      </c>
      <c r="C135" s="29">
        <f t="shared" ref="C135:O135" si="32">SUM(C126:C134)</f>
        <v>335740</v>
      </c>
      <c r="D135" s="29">
        <f t="shared" si="32"/>
        <v>274728</v>
      </c>
      <c r="E135" s="29">
        <f t="shared" si="32"/>
        <v>4792</v>
      </c>
      <c r="F135" s="29">
        <f t="shared" si="32"/>
        <v>56220</v>
      </c>
      <c r="G135" s="29">
        <f t="shared" si="32"/>
        <v>913199</v>
      </c>
      <c r="H135" s="29">
        <f t="shared" si="32"/>
        <v>534259</v>
      </c>
      <c r="I135" s="29">
        <f t="shared" si="32"/>
        <v>23541</v>
      </c>
      <c r="J135" s="29">
        <f t="shared" si="32"/>
        <v>355399</v>
      </c>
      <c r="K135" s="29">
        <f t="shared" si="32"/>
        <v>30230</v>
      </c>
      <c r="L135" s="29">
        <f t="shared" si="32"/>
        <v>0</v>
      </c>
      <c r="M135" s="29">
        <f t="shared" si="32"/>
        <v>55443</v>
      </c>
      <c r="N135" s="29">
        <f t="shared" si="32"/>
        <v>137340</v>
      </c>
      <c r="O135" s="29">
        <f t="shared" si="32"/>
        <v>9232</v>
      </c>
    </row>
    <row r="136" spans="1:15" ht="12.75" customHeight="1">
      <c r="A136" s="4" t="s">
        <v>250</v>
      </c>
      <c r="B136" s="5" t="s">
        <v>251</v>
      </c>
      <c r="C136" s="28">
        <v>49629</v>
      </c>
      <c r="D136" s="28">
        <v>47023</v>
      </c>
      <c r="E136" s="28">
        <v>0</v>
      </c>
      <c r="F136" s="28">
        <f t="shared" ref="F136:F143" si="33">SUM(C136-D136-E136)</f>
        <v>2606</v>
      </c>
      <c r="G136" s="28">
        <v>118709</v>
      </c>
      <c r="H136" s="28">
        <v>94194</v>
      </c>
      <c r="I136" s="28">
        <v>0</v>
      </c>
      <c r="J136" s="28">
        <f t="shared" ref="J136:J143" si="34">SUM(G136-H136-I136)</f>
        <v>24515</v>
      </c>
      <c r="K136" s="28">
        <v>11408</v>
      </c>
      <c r="L136" s="28">
        <v>8931</v>
      </c>
      <c r="M136" s="28">
        <v>7611</v>
      </c>
      <c r="N136" s="28">
        <v>15304</v>
      </c>
      <c r="O136" s="28">
        <v>14662</v>
      </c>
    </row>
    <row r="137" spans="1:15" ht="12.75" customHeight="1">
      <c r="A137" s="4" t="s">
        <v>252</v>
      </c>
      <c r="B137" s="5" t="s">
        <v>253</v>
      </c>
      <c r="C137" s="28">
        <v>7749</v>
      </c>
      <c r="D137" s="28">
        <v>6058</v>
      </c>
      <c r="E137" s="28">
        <v>0</v>
      </c>
      <c r="F137" s="28">
        <f t="shared" si="33"/>
        <v>1691</v>
      </c>
      <c r="G137" s="28">
        <v>16289</v>
      </c>
      <c r="H137" s="28">
        <v>13065</v>
      </c>
      <c r="I137" s="28">
        <v>0</v>
      </c>
      <c r="J137" s="28">
        <f t="shared" si="34"/>
        <v>3224</v>
      </c>
      <c r="K137" s="28">
        <v>77</v>
      </c>
      <c r="L137" s="28">
        <v>0</v>
      </c>
      <c r="M137" s="28">
        <v>0</v>
      </c>
      <c r="N137" s="28">
        <v>24</v>
      </c>
      <c r="O137" s="28">
        <v>24</v>
      </c>
    </row>
    <row r="138" spans="1:15" ht="12.75" customHeight="1">
      <c r="A138" s="4" t="s">
        <v>254</v>
      </c>
      <c r="B138" s="5" t="s">
        <v>255</v>
      </c>
      <c r="C138" s="28">
        <v>3542</v>
      </c>
      <c r="D138" s="28">
        <v>3249</v>
      </c>
      <c r="E138" s="28">
        <v>0</v>
      </c>
      <c r="F138" s="28">
        <f t="shared" si="33"/>
        <v>293</v>
      </c>
      <c r="G138" s="28">
        <v>9936</v>
      </c>
      <c r="H138" s="28">
        <v>9163</v>
      </c>
      <c r="I138" s="28">
        <v>0</v>
      </c>
      <c r="J138" s="28">
        <f t="shared" si="34"/>
        <v>773</v>
      </c>
      <c r="K138" s="28">
        <v>3</v>
      </c>
      <c r="L138" s="28">
        <v>0</v>
      </c>
      <c r="M138" s="28">
        <v>590</v>
      </c>
      <c r="N138" s="28">
        <v>404</v>
      </c>
      <c r="O138" s="28">
        <v>152</v>
      </c>
    </row>
    <row r="139" spans="1:15" ht="12.75" customHeight="1">
      <c r="A139" s="4" t="s">
        <v>256</v>
      </c>
      <c r="B139" s="5" t="s">
        <v>257</v>
      </c>
      <c r="C139" s="28">
        <v>12409</v>
      </c>
      <c r="D139" s="28">
        <v>11922</v>
      </c>
      <c r="E139" s="28">
        <v>0</v>
      </c>
      <c r="F139" s="28">
        <f t="shared" si="33"/>
        <v>487</v>
      </c>
      <c r="G139" s="28">
        <v>34400</v>
      </c>
      <c r="H139" s="28">
        <v>29973</v>
      </c>
      <c r="I139" s="28">
        <v>0</v>
      </c>
      <c r="J139" s="28">
        <f t="shared" si="34"/>
        <v>4427</v>
      </c>
      <c r="K139" s="28">
        <v>7253</v>
      </c>
      <c r="L139" s="28">
        <v>834</v>
      </c>
      <c r="M139" s="28">
        <v>5275</v>
      </c>
      <c r="N139" s="28">
        <v>945</v>
      </c>
      <c r="O139" s="28">
        <v>927</v>
      </c>
    </row>
    <row r="140" spans="1:15" ht="12.75" customHeight="1">
      <c r="A140" s="4" t="s">
        <v>258</v>
      </c>
      <c r="B140" s="5" t="s">
        <v>259</v>
      </c>
      <c r="C140" s="28">
        <v>1972</v>
      </c>
      <c r="D140" s="28">
        <v>1848</v>
      </c>
      <c r="E140" s="28">
        <v>0</v>
      </c>
      <c r="F140" s="28">
        <f t="shared" si="33"/>
        <v>124</v>
      </c>
      <c r="G140" s="28">
        <v>4180</v>
      </c>
      <c r="H140" s="28">
        <v>3763</v>
      </c>
      <c r="I140" s="28">
        <v>0</v>
      </c>
      <c r="J140" s="28">
        <f t="shared" si="34"/>
        <v>417</v>
      </c>
      <c r="K140" s="28">
        <v>0</v>
      </c>
      <c r="L140" s="28">
        <v>0</v>
      </c>
      <c r="M140" s="28">
        <v>0</v>
      </c>
      <c r="N140" s="28">
        <v>9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11664</v>
      </c>
      <c r="D141" s="28">
        <v>11369</v>
      </c>
      <c r="E141" s="28">
        <v>0</v>
      </c>
      <c r="F141" s="28">
        <f t="shared" si="33"/>
        <v>295</v>
      </c>
      <c r="G141" s="28">
        <v>25814</v>
      </c>
      <c r="H141" s="28">
        <v>21306</v>
      </c>
      <c r="I141" s="28">
        <v>0</v>
      </c>
      <c r="J141" s="28">
        <f t="shared" si="34"/>
        <v>4508</v>
      </c>
      <c r="K141" s="28">
        <v>2968</v>
      </c>
      <c r="L141" s="28">
        <v>0</v>
      </c>
      <c r="M141" s="28">
        <v>1091</v>
      </c>
      <c r="N141" s="28">
        <v>1270</v>
      </c>
      <c r="O141" s="28">
        <v>1270</v>
      </c>
    </row>
    <row r="142" spans="1:15" ht="12.75" customHeight="1">
      <c r="A142" s="4" t="s">
        <v>262</v>
      </c>
      <c r="B142" s="5" t="s">
        <v>263</v>
      </c>
      <c r="C142" s="28">
        <v>11373</v>
      </c>
      <c r="D142" s="28">
        <v>8830</v>
      </c>
      <c r="E142" s="28">
        <v>0</v>
      </c>
      <c r="F142" s="28">
        <f t="shared" si="33"/>
        <v>2543</v>
      </c>
      <c r="G142" s="28">
        <v>35378</v>
      </c>
      <c r="H142" s="28">
        <v>27877</v>
      </c>
      <c r="I142" s="28">
        <v>0</v>
      </c>
      <c r="J142" s="28">
        <f t="shared" si="34"/>
        <v>7501</v>
      </c>
      <c r="K142" s="28">
        <v>4159</v>
      </c>
      <c r="L142" s="28">
        <v>22</v>
      </c>
      <c r="M142" s="28">
        <v>6779</v>
      </c>
      <c r="N142" s="28">
        <v>4308</v>
      </c>
      <c r="O142" s="28">
        <v>4217</v>
      </c>
    </row>
    <row r="143" spans="1:15" ht="12.75" customHeight="1">
      <c r="A143" s="4" t="s">
        <v>264</v>
      </c>
      <c r="B143" s="5" t="s">
        <v>265</v>
      </c>
      <c r="C143" s="28">
        <v>34704</v>
      </c>
      <c r="D143" s="28">
        <v>28846</v>
      </c>
      <c r="E143" s="28">
        <v>0</v>
      </c>
      <c r="F143" s="28">
        <f t="shared" si="33"/>
        <v>5858</v>
      </c>
      <c r="G143" s="28">
        <v>104842</v>
      </c>
      <c r="H143" s="28">
        <v>49785</v>
      </c>
      <c r="I143" s="28">
        <v>0</v>
      </c>
      <c r="J143" s="28">
        <f t="shared" si="34"/>
        <v>55057</v>
      </c>
      <c r="K143" s="28">
        <v>23596</v>
      </c>
      <c r="L143" s="28">
        <v>46</v>
      </c>
      <c r="M143" s="28">
        <v>8362</v>
      </c>
      <c r="N143" s="28">
        <v>8299</v>
      </c>
      <c r="O143" s="28">
        <v>8129</v>
      </c>
    </row>
    <row r="144" spans="1:15" ht="12.75" customHeight="1">
      <c r="A144" s="10"/>
      <c r="B144" s="9" t="s">
        <v>266</v>
      </c>
      <c r="C144" s="30">
        <f t="shared" ref="C144:O144" si="35">SUM(C136:C143)</f>
        <v>133042</v>
      </c>
      <c r="D144" s="30">
        <f t="shared" si="35"/>
        <v>119145</v>
      </c>
      <c r="E144" s="30">
        <f t="shared" si="35"/>
        <v>0</v>
      </c>
      <c r="F144" s="30">
        <f t="shared" si="35"/>
        <v>13897</v>
      </c>
      <c r="G144" s="30">
        <f t="shared" si="35"/>
        <v>349548</v>
      </c>
      <c r="H144" s="30">
        <f t="shared" si="35"/>
        <v>249126</v>
      </c>
      <c r="I144" s="30">
        <f t="shared" si="35"/>
        <v>0</v>
      </c>
      <c r="J144" s="30">
        <f t="shared" si="35"/>
        <v>100422</v>
      </c>
      <c r="K144" s="30">
        <f t="shared" si="35"/>
        <v>49464</v>
      </c>
      <c r="L144" s="30">
        <f t="shared" si="35"/>
        <v>9833</v>
      </c>
      <c r="M144" s="30">
        <f t="shared" si="35"/>
        <v>29708</v>
      </c>
      <c r="N144" s="30">
        <f t="shared" si="35"/>
        <v>30563</v>
      </c>
      <c r="O144" s="30">
        <f t="shared" si="35"/>
        <v>29381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4401463</v>
      </c>
      <c r="D145" s="31">
        <f t="shared" si="36"/>
        <v>3189767</v>
      </c>
      <c r="E145" s="31">
        <f t="shared" si="36"/>
        <v>125021</v>
      </c>
      <c r="F145" s="31">
        <f t="shared" si="36"/>
        <v>1086675</v>
      </c>
      <c r="G145" s="31">
        <f t="shared" si="36"/>
        <v>13407006</v>
      </c>
      <c r="H145" s="31">
        <f t="shared" si="36"/>
        <v>6905772</v>
      </c>
      <c r="I145" s="31">
        <f t="shared" si="36"/>
        <v>607818</v>
      </c>
      <c r="J145" s="31">
        <f t="shared" si="36"/>
        <v>5893416</v>
      </c>
      <c r="K145" s="31">
        <f t="shared" si="36"/>
        <v>603615</v>
      </c>
      <c r="L145" s="31">
        <f t="shared" si="36"/>
        <v>18273</v>
      </c>
      <c r="M145" s="31">
        <f t="shared" si="36"/>
        <v>1020484</v>
      </c>
      <c r="N145" s="31">
        <f t="shared" si="36"/>
        <v>613309</v>
      </c>
      <c r="O145" s="31">
        <f t="shared" si="36"/>
        <v>354156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2017-05-09T15:50:17Z</dcterms:modified>
</cp:coreProperties>
</file>