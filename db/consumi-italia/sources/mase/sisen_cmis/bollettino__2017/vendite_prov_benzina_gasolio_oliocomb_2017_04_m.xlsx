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F43" s="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J43" s="1"/>
  <c r="F42"/>
  <c r="J42"/>
  <c r="C43"/>
  <c r="D43"/>
  <c r="E43"/>
  <c r="G43"/>
  <c r="H43"/>
  <c r="I43"/>
  <c r="K43"/>
  <c r="L43"/>
  <c r="M43"/>
  <c r="N43"/>
  <c r="O43"/>
  <c r="F44"/>
  <c r="J44"/>
  <c r="J46" s="1"/>
  <c r="F45"/>
  <c r="J45"/>
  <c r="C46"/>
  <c r="D46"/>
  <c r="E46"/>
  <c r="F46"/>
  <c r="G46"/>
  <c r="H46"/>
  <c r="I46"/>
  <c r="K46"/>
  <c r="L46"/>
  <c r="M46"/>
  <c r="N46"/>
  <c r="O46"/>
  <c r="F47"/>
  <c r="F51" s="1"/>
  <c r="J47"/>
  <c r="F48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J59" s="1"/>
  <c r="F54"/>
  <c r="J54"/>
  <c r="F55"/>
  <c r="J55"/>
  <c r="F56"/>
  <c r="J56"/>
  <c r="F57"/>
  <c r="J57"/>
  <c r="F58"/>
  <c r="J58"/>
  <c r="C59"/>
  <c r="D59"/>
  <c r="E59"/>
  <c r="F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J88"/>
  <c r="C89"/>
  <c r="D89"/>
  <c r="E89"/>
  <c r="F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J97"/>
  <c r="C98"/>
  <c r="D98"/>
  <c r="E98"/>
  <c r="F98"/>
  <c r="G98"/>
  <c r="H98"/>
  <c r="I98"/>
  <c r="K98"/>
  <c r="L98"/>
  <c r="M98"/>
  <c r="N98"/>
  <c r="O98"/>
  <c r="F99"/>
  <c r="F103" s="1"/>
  <c r="J99"/>
  <c r="F100"/>
  <c r="J100"/>
  <c r="F101"/>
  <c r="J101"/>
  <c r="J103" s="1"/>
  <c r="F102"/>
  <c r="J102"/>
  <c r="C103"/>
  <c r="D103"/>
  <c r="E103"/>
  <c r="G103"/>
  <c r="H103"/>
  <c r="I103"/>
  <c r="K103"/>
  <c r="L103"/>
  <c r="M103"/>
  <c r="N103"/>
  <c r="O103"/>
  <c r="F104"/>
  <c r="J104"/>
  <c r="F105"/>
  <c r="J105"/>
  <c r="J109" s="1"/>
  <c r="F106"/>
  <c r="J106"/>
  <c r="F107"/>
  <c r="J107"/>
  <c r="F108"/>
  <c r="J108"/>
  <c r="C109"/>
  <c r="D109"/>
  <c r="E109"/>
  <c r="F109"/>
  <c r="G109"/>
  <c r="H109"/>
  <c r="I109"/>
  <c r="K109"/>
  <c r="L109"/>
  <c r="M109"/>
  <c r="N109"/>
  <c r="O109"/>
  <c r="F110"/>
  <c r="F116" s="1"/>
  <c r="J110"/>
  <c r="F11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D145" s="1"/>
  <c r="E135"/>
  <c r="F135"/>
  <c r="G135"/>
  <c r="H135"/>
  <c r="H145" s="1"/>
  <c r="I135"/>
  <c r="K135"/>
  <c r="L135"/>
  <c r="L145" s="1"/>
  <c r="M135"/>
  <c r="N135"/>
  <c r="O135"/>
  <c r="F136"/>
  <c r="F144" s="1"/>
  <c r="F145" s="1"/>
  <c r="J136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E144"/>
  <c r="E145" s="1"/>
  <c r="G144"/>
  <c r="G145" s="1"/>
  <c r="H144"/>
  <c r="I144"/>
  <c r="I145" s="1"/>
  <c r="J144"/>
  <c r="K144"/>
  <c r="K145" s="1"/>
  <c r="L144"/>
  <c r="M144"/>
  <c r="M145" s="1"/>
  <c r="N144"/>
  <c r="O144"/>
  <c r="O145" s="1"/>
  <c r="N145"/>
  <c r="F15" i="2"/>
  <c r="F23" s="1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F30" s="1"/>
  <c r="J26"/>
  <c r="F27"/>
  <c r="J27"/>
  <c r="F28"/>
  <c r="J28"/>
  <c r="F29"/>
  <c r="J29"/>
  <c r="C30"/>
  <c r="D30"/>
  <c r="E30"/>
  <c r="G30"/>
  <c r="H30"/>
  <c r="I30"/>
  <c r="J30"/>
  <c r="K30"/>
  <c r="L30"/>
  <c r="M30"/>
  <c r="N30"/>
  <c r="O30"/>
  <c r="F3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K43"/>
  <c r="L43"/>
  <c r="M43"/>
  <c r="N43"/>
  <c r="O43"/>
  <c r="F44"/>
  <c r="F46" s="1"/>
  <c r="J44"/>
  <c r="F45"/>
  <c r="J45"/>
  <c r="C46"/>
  <c r="D46"/>
  <c r="E46"/>
  <c r="G46"/>
  <c r="H46"/>
  <c r="I46"/>
  <c r="J46"/>
  <c r="K46"/>
  <c r="L46"/>
  <c r="M46"/>
  <c r="N46"/>
  <c r="O46"/>
  <c r="F47"/>
  <c r="J47"/>
  <c r="F48"/>
  <c r="J48"/>
  <c r="F49"/>
  <c r="J49"/>
  <c r="F50"/>
  <c r="J50"/>
  <c r="C51"/>
  <c r="D51"/>
  <c r="E51"/>
  <c r="F51"/>
  <c r="G51"/>
  <c r="H51"/>
  <c r="I51"/>
  <c r="J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K69"/>
  <c r="L69"/>
  <c r="M69"/>
  <c r="N69"/>
  <c r="O69"/>
  <c r="F70"/>
  <c r="F80" s="1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J86" s="1"/>
  <c r="F83"/>
  <c r="J83"/>
  <c r="F84"/>
  <c r="J84"/>
  <c r="F85"/>
  <c r="J85"/>
  <c r="C86"/>
  <c r="D86"/>
  <c r="E86"/>
  <c r="F86"/>
  <c r="G86"/>
  <c r="H86"/>
  <c r="I86"/>
  <c r="K86"/>
  <c r="L86"/>
  <c r="M86"/>
  <c r="N86"/>
  <c r="O86"/>
  <c r="F87"/>
  <c r="F89" s="1"/>
  <c r="J87"/>
  <c r="F88"/>
  <c r="J88"/>
  <c r="C89"/>
  <c r="D89"/>
  <c r="E89"/>
  <c r="G89"/>
  <c r="H89"/>
  <c r="I89"/>
  <c r="J89"/>
  <c r="K89"/>
  <c r="L89"/>
  <c r="M89"/>
  <c r="N89"/>
  <c r="O89"/>
  <c r="F90"/>
  <c r="J90"/>
  <c r="F91"/>
  <c r="J91"/>
  <c r="J95" s="1"/>
  <c r="F92"/>
  <c r="J92"/>
  <c r="F93"/>
  <c r="J93"/>
  <c r="F94"/>
  <c r="J94"/>
  <c r="C95"/>
  <c r="D95"/>
  <c r="E95"/>
  <c r="F95"/>
  <c r="G95"/>
  <c r="H95"/>
  <c r="I95"/>
  <c r="K95"/>
  <c r="L95"/>
  <c r="M95"/>
  <c r="N95"/>
  <c r="O95"/>
  <c r="F96"/>
  <c r="F98" s="1"/>
  <c r="J96"/>
  <c r="F97"/>
  <c r="J97"/>
  <c r="C98"/>
  <c r="D98"/>
  <c r="E98"/>
  <c r="G98"/>
  <c r="H98"/>
  <c r="I98"/>
  <c r="J98"/>
  <c r="K98"/>
  <c r="L98"/>
  <c r="M98"/>
  <c r="N98"/>
  <c r="O98"/>
  <c r="F99"/>
  <c r="J99"/>
  <c r="F100"/>
  <c r="J100"/>
  <c r="F101"/>
  <c r="J101"/>
  <c r="F102"/>
  <c r="J102"/>
  <c r="C103"/>
  <c r="D103"/>
  <c r="E103"/>
  <c r="F103"/>
  <c r="G103"/>
  <c r="H103"/>
  <c r="I103"/>
  <c r="J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F111"/>
  <c r="J111"/>
  <c r="F112"/>
  <c r="J112"/>
  <c r="F113"/>
  <c r="J113"/>
  <c r="F114"/>
  <c r="J114"/>
  <c r="F115"/>
  <c r="J115"/>
  <c r="C116"/>
  <c r="D116"/>
  <c r="E116"/>
  <c r="F116"/>
  <c r="G116"/>
  <c r="H116"/>
  <c r="I116"/>
  <c r="J116"/>
  <c r="K116"/>
  <c r="L116"/>
  <c r="M116"/>
  <c r="N116"/>
  <c r="O116"/>
  <c r="F117"/>
  <c r="F119" s="1"/>
  <c r="J117"/>
  <c r="F118"/>
  <c r="J118"/>
  <c r="C119"/>
  <c r="D119"/>
  <c r="E119"/>
  <c r="G119"/>
  <c r="H119"/>
  <c r="I119"/>
  <c r="J119"/>
  <c r="K119"/>
  <c r="L119"/>
  <c r="M119"/>
  <c r="N119"/>
  <c r="O119"/>
  <c r="F120"/>
  <c r="J120"/>
  <c r="F121"/>
  <c r="J121"/>
  <c r="F122"/>
  <c r="J122"/>
  <c r="F123"/>
  <c r="J123"/>
  <c r="F124"/>
  <c r="J124"/>
  <c r="C125"/>
  <c r="D125"/>
  <c r="E125"/>
  <c r="F125"/>
  <c r="G125"/>
  <c r="H125"/>
  <c r="I125"/>
  <c r="J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G135"/>
  <c r="G145" s="1"/>
  <c r="H135"/>
  <c r="I135"/>
  <c r="J135"/>
  <c r="K135"/>
  <c r="K145" s="1"/>
  <c r="L135"/>
  <c r="M135"/>
  <c r="N135"/>
  <c r="O135"/>
  <c r="O145" s="1"/>
  <c r="F136"/>
  <c r="J136"/>
  <c r="F137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F144"/>
  <c r="G144"/>
  <c r="H144"/>
  <c r="H145" s="1"/>
  <c r="I144"/>
  <c r="J144"/>
  <c r="K144"/>
  <c r="L144"/>
  <c r="L145" s="1"/>
  <c r="M144"/>
  <c r="N144"/>
  <c r="N145" s="1"/>
  <c r="O144"/>
  <c r="E145"/>
  <c r="I145"/>
  <c r="M145"/>
  <c r="J145" l="1"/>
  <c r="F145"/>
  <c r="J145" i="1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<sst xmlns="http://schemas.openxmlformats.org/spreadsheetml/2006/main" count="544" uniqueCount="271">
  <si>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</si>
  <si>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</si>
  <si>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</si>
  <si>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</si>
  <si>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</si>
  <si>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</si>
  <si>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</si>
  <si>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aprile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</si>
  <si>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</si>
  <si>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</si>
  <si>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</si>
  <si>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</si>
  <si>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</si>
  <si>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</si>
  <si>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</si>
  <si>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</si>
  <si>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</si>
  <si>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</si>
  <si>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</si>
  <si>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</si>
  <si>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</si>
  <si>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</si>
  <si>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</si>
  <si>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</si>
  <si>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</si>
  <si>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</si>
  <si>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</si>
  <si>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</si>
  <si>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</si>
  <si>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</si>
  <si>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</si>
  <si>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</si>
  <si>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</si>
  <si>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</si>
  <si>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</si>
  <si>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</si>
  <si>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</si>
  <si>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</si>
  <si>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</si>
  <si>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</si>
  <si>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</si>
  <si>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</si>
  <si>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</si>
  <si>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</si>
  <si>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</si>
  <si>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</si>
  <si>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</si>
  <si>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</si>
  <si>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</si>
  <si>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</si>
  <si>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</si>
  <si>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</si>
  <si>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</si>
  <si>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</si>
  <si>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</si>
  <si>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</si>
  <si>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</si>
  <si>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</si>
  <si>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</si>
  <si>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</si>
  <si>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</si>
  <si>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</si>
  <si>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</si>
  <si>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</si>
  <si>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</si>
  <si>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</si>
  <si>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</si>
  <si>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</si>
  <si>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</si>
  <si>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</si>
  <si>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</si>
  <si>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</si>
  <si>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</si>
  <si>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</si>
  <si>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</si>
  <si>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</si>
  <si>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</si>
  <si>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</si>
  <si>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</si>
  <si>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</si>
  <si>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</si>
  <si>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</si>
  <si>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</si>
  <si>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</si>
  <si>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</si>
  <si>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</si>
  <si>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</si>
  <si>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</si>
  <si>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</si>
  <si>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</si>
  <si>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</si>
  <si>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</si>
  <si>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</si>
  <si>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</si>
  <si>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</si>
  <si>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</si>
  <si>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</si>
  <si>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</si>
  <si>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</si>
  <si>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</si>
  <si>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</si>
  <si>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</si>
  <si>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</si>
  <si>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</si>
  <si>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</si>
  <si>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</si>
  <si>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</si>
  <si>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</si>
  <si>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</si>
  <si>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</si>
  <si>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</si>
  <si>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</si>
  <si>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</si>
  <si>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</si>
  <si>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</si>
  <si>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</si>
  <si>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</si>
  <si>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</si>
  <si>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</si>
  <si>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</si>
  <si>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</si>
  <si>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</si>
  <si>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</si>
  <si>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</si>
  <si>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</si>
  <si>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</si>
  <si>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</si>
  <si>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</si>
  <si>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</si>
  <si>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</si>
  <si>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</si>
  <si>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</si>
  <si>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</si>
  <si>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</si>
  <si>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</si>
  <si>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</si>
  <si>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</si>
  <si>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</si>
  <si>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</si>
  <si>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</si>
  <si>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</si>
  <si>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</si>
  <si>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</si>
  <si>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</si>
  <si>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</si>
  <si>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</si>
  <si>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</si>
  <si>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</si>
  <si>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</si>
  <si>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</si>
  <si>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</si>
  <si>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</si>
  <si>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</si>
  <si>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</si>
  <si>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</si>
  <si>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</si>
  <si>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</si>
  <si>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</si>
  <si>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</si>
  <si>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</si>
  <si>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</si>
  <si>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</si>
  <si>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</si>
  <si>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</si>
  <si>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</si>
  <si>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</si>
  <si>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</si>
  <si>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</si>
  <si>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</si>
  <si>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</si>
  <si>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</si>
  <si>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</si>
  <si>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</si>
  <si>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</si>
  <si>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</si>
  <si>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</si>
  <si>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</si>
  <si>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</si>
  <si>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</si>
  <si>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</si>
  <si>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</si>
  <si>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</si>
  <si>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</si>
  <si>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</si>
  <si>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</si>
  <si>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</si>
  <si>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</si>
  <si>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</si>
  <si>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</si>
  <si>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</si>
  <si>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</si>
  <si>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</si>
  <si>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</si>
  <si>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</si>
  <si>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</si>
  <si>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</si>
  <si>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</si>
  <si>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</si>
  <si>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</si>
  <si>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</si>
  <si>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</si>
  <si>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</si>
  <si>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</si>
  <si>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</si>
  <si>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</si>
  <si>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</si>
  <si>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</si>
  <si>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</si>
  <si>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</si>
  <si>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</si>
  <si>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</si>
  <si>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</si>
  <si>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</si>
  <si>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</si>
  <si>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</si>
  <si>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</si>
  <si>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</si>
  <si>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</si>
  <si>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</si>
  <si>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</si>
  <si>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</si>
  <si>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</si>
  <si>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</si>
  <si>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</si>
  <si>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</si>
  <si>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</si>
  <si>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</si>
  <si>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</si>
  <si>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</si>
  <si>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</si>
  <si>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</si>
  <si>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</si>
  <si>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</si>
  <si>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</si>
  <si>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</si>
  <si>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</si>
  <si>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</si>
  <si>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</si>
  <si>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</si>
  <si>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</si>
  <si>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</si>
  <si>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</si>
  <si>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</si>
  <si>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</si>
  <si>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</si>
  <si>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</si>
  <si>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</si>
  <si>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</si>
  <si>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</si>
  <si>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</si>
  <si>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</si>
  <si>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</si>
  <si>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</si>
  <si>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</si>
  <si>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</si>
  <si>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</si>
  <si>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</si>
  <si>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</si>
  <si>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</si>
  <si>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</si>
  <si>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</si>
  <si>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</si>
  <si>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</si>
  <si>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</si>
  <si>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</si>
  <si>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</si>
  <si>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</si>
  <si>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</si>
  <si>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</si>
  <si>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</si>
  <si>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gennaio-aprile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</si>
</sst>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4565</v>
      </c>
      <c r="D15" s="28">
        <v>3357</v>
      </c>
      <c r="E15" s="28">
        <v>610</v>
      </c>
      <c r="F15" s="28">
        <f t="shared" ref="F15:F22" si="0">SUM(C15-D15-E15)</f>
        <v>598</v>
      </c>
      <c r="G15" s="28">
        <v>21376</v>
      </c>
      <c r="H15" s="28">
        <v>8701</v>
      </c>
      <c r="I15" s="28">
        <v>2893</v>
      </c>
      <c r="J15" s="28">
        <f t="shared" ref="J15:J22" si="1">SUM(G15-H15-I15)</f>
        <v>9782</v>
      </c>
      <c r="K15" s="28">
        <v>516</v>
      </c>
      <c r="L15" s="28">
        <v>0</v>
      </c>
      <c r="M15" s="28">
        <v>3152</v>
      </c>
      <c r="N15" s="28">
        <v>583</v>
      </c>
      <c r="O15" s="28">
        <v>583</v>
      </c>
    </row>
    <row r="16" spans="1:15" ht="12.75" customHeight="1">
      <c r="A16" s="4" t="s">
        <v>29</v>
      </c>
      <c r="B16" s="5" t="s">
        <v>30</v>
      </c>
      <c r="C16" s="28">
        <v>3407</v>
      </c>
      <c r="D16" s="28">
        <v>1403</v>
      </c>
      <c r="E16" s="28">
        <v>93</v>
      </c>
      <c r="F16" s="28">
        <f t="shared" si="0"/>
        <v>1911</v>
      </c>
      <c r="G16" s="28">
        <v>20177</v>
      </c>
      <c r="H16" s="28">
        <v>3502</v>
      </c>
      <c r="I16" s="28">
        <v>494</v>
      </c>
      <c r="J16" s="28">
        <f t="shared" si="1"/>
        <v>16181</v>
      </c>
      <c r="K16" s="28">
        <v>98</v>
      </c>
      <c r="L16" s="28">
        <v>0</v>
      </c>
      <c r="M16" s="28">
        <v>1471</v>
      </c>
      <c r="N16" s="28">
        <v>9</v>
      </c>
      <c r="O16" s="28">
        <v>9</v>
      </c>
    </row>
    <row r="17" spans="1:15" ht="12.75" customHeight="1">
      <c r="A17" s="4" t="s">
        <v>31</v>
      </c>
      <c r="B17" s="5" t="s">
        <v>32</v>
      </c>
      <c r="C17" s="28">
        <v>1903</v>
      </c>
      <c r="D17" s="28">
        <v>1479</v>
      </c>
      <c r="E17" s="28">
        <v>0</v>
      </c>
      <c r="F17" s="28">
        <f t="shared" si="0"/>
        <v>424</v>
      </c>
      <c r="G17" s="28">
        <v>3629</v>
      </c>
      <c r="H17" s="28">
        <v>2588</v>
      </c>
      <c r="I17" s="28">
        <v>0</v>
      </c>
      <c r="J17" s="28">
        <f t="shared" si="1"/>
        <v>1041</v>
      </c>
      <c r="K17" s="28">
        <v>25</v>
      </c>
      <c r="L17" s="28">
        <v>0</v>
      </c>
      <c r="M17" s="28">
        <v>166</v>
      </c>
      <c r="N17" s="28">
        <v>129</v>
      </c>
      <c r="O17" s="28">
        <v>129</v>
      </c>
    </row>
    <row r="18" spans="1:15" ht="12.75" customHeight="1">
      <c r="A18" s="4" t="s">
        <v>33</v>
      </c>
      <c r="B18" s="5" t="s">
        <v>34</v>
      </c>
      <c r="C18" s="28">
        <v>5692</v>
      </c>
      <c r="D18" s="28">
        <v>3806</v>
      </c>
      <c r="E18" s="28">
        <v>88</v>
      </c>
      <c r="F18" s="28">
        <f t="shared" si="0"/>
        <v>1798</v>
      </c>
      <c r="G18" s="28">
        <v>14123</v>
      </c>
      <c r="H18" s="28">
        <v>9548</v>
      </c>
      <c r="I18" s="28">
        <v>352</v>
      </c>
      <c r="J18" s="28">
        <f t="shared" si="1"/>
        <v>4223</v>
      </c>
      <c r="K18" s="28">
        <v>236</v>
      </c>
      <c r="L18" s="28">
        <v>0</v>
      </c>
      <c r="M18" s="28">
        <v>1608</v>
      </c>
      <c r="N18" s="28">
        <v>84</v>
      </c>
      <c r="O18" s="28">
        <v>84</v>
      </c>
    </row>
    <row r="19" spans="1:15" ht="12.75" customHeight="1">
      <c r="A19" s="4" t="s">
        <v>35</v>
      </c>
      <c r="B19" s="5" t="s">
        <v>36</v>
      </c>
      <c r="C19" s="28">
        <v>3461</v>
      </c>
      <c r="D19" s="28">
        <v>3279</v>
      </c>
      <c r="E19" s="28">
        <v>129</v>
      </c>
      <c r="F19" s="28">
        <f t="shared" si="0"/>
        <v>53</v>
      </c>
      <c r="G19" s="28">
        <v>9497</v>
      </c>
      <c r="H19" s="28">
        <v>7688</v>
      </c>
      <c r="I19" s="28">
        <v>669</v>
      </c>
      <c r="J19" s="28">
        <f t="shared" si="1"/>
        <v>1140</v>
      </c>
      <c r="K19" s="28">
        <v>43</v>
      </c>
      <c r="L19" s="28">
        <v>0</v>
      </c>
      <c r="M19" s="28">
        <v>19</v>
      </c>
      <c r="N19" s="28">
        <v>78</v>
      </c>
      <c r="O19" s="28">
        <v>78</v>
      </c>
    </row>
    <row r="20" spans="1:15" ht="12.75" customHeight="1">
      <c r="A20" s="4" t="s">
        <v>37</v>
      </c>
      <c r="B20" s="5" t="s">
        <v>38</v>
      </c>
      <c r="C20" s="28">
        <v>19466</v>
      </c>
      <c r="D20" s="28">
        <v>17427</v>
      </c>
      <c r="E20" s="28">
        <v>560</v>
      </c>
      <c r="F20" s="28">
        <f t="shared" si="0"/>
        <v>1479</v>
      </c>
      <c r="G20" s="28">
        <v>49308</v>
      </c>
      <c r="H20" s="28">
        <v>35999</v>
      </c>
      <c r="I20" s="28">
        <v>2706</v>
      </c>
      <c r="J20" s="28">
        <f t="shared" si="1"/>
        <v>10603</v>
      </c>
      <c r="K20" s="28">
        <v>722</v>
      </c>
      <c r="L20" s="28">
        <v>0</v>
      </c>
      <c r="M20" s="28">
        <v>1993</v>
      </c>
      <c r="N20" s="28">
        <v>275</v>
      </c>
      <c r="O20" s="28">
        <v>275</v>
      </c>
    </row>
    <row r="21" spans="1:15" ht="12.75" customHeight="1">
      <c r="A21" s="4" t="s">
        <v>39</v>
      </c>
      <c r="B21" s="5" t="s">
        <v>40</v>
      </c>
      <c r="C21" s="28">
        <v>1582</v>
      </c>
      <c r="D21" s="28">
        <v>1561</v>
      </c>
      <c r="E21" s="28">
        <v>0</v>
      </c>
      <c r="F21" s="28">
        <f t="shared" si="0"/>
        <v>21</v>
      </c>
      <c r="G21" s="28">
        <v>2768</v>
      </c>
      <c r="H21" s="28">
        <v>2613</v>
      </c>
      <c r="I21" s="28">
        <v>0</v>
      </c>
      <c r="J21" s="28">
        <f t="shared" si="1"/>
        <v>155</v>
      </c>
      <c r="K21" s="28">
        <v>31</v>
      </c>
      <c r="L21" s="28">
        <v>0</v>
      </c>
      <c r="M21" s="28">
        <v>0</v>
      </c>
      <c r="N21" s="28">
        <v>17</v>
      </c>
      <c r="O21" s="28">
        <v>17</v>
      </c>
    </row>
    <row r="22" spans="1:15" ht="12.75" customHeight="1">
      <c r="A22" s="4" t="s">
        <v>41</v>
      </c>
      <c r="B22" s="5" t="s">
        <v>42</v>
      </c>
      <c r="C22" s="28">
        <v>1575</v>
      </c>
      <c r="D22" s="28">
        <v>1258</v>
      </c>
      <c r="E22" s="28">
        <v>202</v>
      </c>
      <c r="F22" s="28">
        <f t="shared" si="0"/>
        <v>115</v>
      </c>
      <c r="G22" s="28">
        <v>4115</v>
      </c>
      <c r="H22" s="28">
        <v>2531</v>
      </c>
      <c r="I22" s="28">
        <v>691</v>
      </c>
      <c r="J22" s="28">
        <f t="shared" si="1"/>
        <v>893</v>
      </c>
      <c r="K22" s="28">
        <v>76</v>
      </c>
      <c r="L22" s="28">
        <v>0</v>
      </c>
      <c r="M22" s="28">
        <v>829</v>
      </c>
      <c r="N22" s="28">
        <v>80</v>
      </c>
      <c r="O22" s="28">
        <v>80</v>
      </c>
    </row>
    <row r="23" spans="1:15" ht="12.75" customHeight="1">
      <c r="A23" s="8"/>
      <c r="B23" s="9" t="s">
        <v>43</v>
      </c>
      <c r="C23" s="29">
        <f t="shared" ref="C23:O23" si="2">SUM(C15:C22)</f>
        <v>41651</v>
      </c>
      <c r="D23" s="29">
        <f t="shared" si="2"/>
        <v>33570</v>
      </c>
      <c r="E23" s="29">
        <f t="shared" si="2"/>
        <v>1682</v>
      </c>
      <c r="F23" s="29">
        <f t="shared" si="2"/>
        <v>6399</v>
      </c>
      <c r="G23" s="29">
        <f t="shared" si="2"/>
        <v>124993</v>
      </c>
      <c r="H23" s="29">
        <f t="shared" si="2"/>
        <v>73170</v>
      </c>
      <c r="I23" s="29">
        <f t="shared" si="2"/>
        <v>7805</v>
      </c>
      <c r="J23" s="29">
        <f t="shared" si="2"/>
        <v>44018</v>
      </c>
      <c r="K23" s="29">
        <f t="shared" si="2"/>
        <v>1747</v>
      </c>
      <c r="L23" s="29">
        <f t="shared" si="2"/>
        <v>0</v>
      </c>
      <c r="M23" s="29">
        <f t="shared" si="2"/>
        <v>9238</v>
      </c>
      <c r="N23" s="29">
        <f t="shared" si="2"/>
        <v>1255</v>
      </c>
      <c r="O23" s="29">
        <f t="shared" si="2"/>
        <v>1255</v>
      </c>
    </row>
    <row r="24" spans="1:15" ht="14.25" customHeight="1">
      <c r="A24" s="4" t="s">
        <v>44</v>
      </c>
      <c r="B24" s="5" t="s">
        <v>45</v>
      </c>
      <c r="C24" s="28">
        <v>1710</v>
      </c>
      <c r="D24" s="28">
        <v>1199</v>
      </c>
      <c r="E24" s="28">
        <v>134</v>
      </c>
      <c r="F24" s="28">
        <f>SUM(C24-D24-E24)</f>
        <v>377</v>
      </c>
      <c r="G24" s="28">
        <v>3983</v>
      </c>
      <c r="H24" s="28">
        <v>2008</v>
      </c>
      <c r="I24" s="28">
        <v>421</v>
      </c>
      <c r="J24" s="28">
        <f>SUM(G24-H24-I24)</f>
        <v>1554</v>
      </c>
      <c r="K24" s="28">
        <v>868</v>
      </c>
      <c r="L24" s="28">
        <v>0</v>
      </c>
      <c r="M24" s="28">
        <v>293</v>
      </c>
      <c r="N24" s="28">
        <v>51</v>
      </c>
      <c r="O24" s="28">
        <v>51</v>
      </c>
    </row>
    <row r="25" spans="1:15" ht="14.25" customHeight="1">
      <c r="A25" s="10"/>
      <c r="B25" s="9" t="s">
        <v>46</v>
      </c>
      <c r="C25" s="29">
        <f t="shared" ref="C25:O25" si="3">SUM(C24)</f>
        <v>1710</v>
      </c>
      <c r="D25" s="29">
        <f t="shared" si="3"/>
        <v>1199</v>
      </c>
      <c r="E25" s="29">
        <f t="shared" si="3"/>
        <v>134</v>
      </c>
      <c r="F25" s="29">
        <f t="shared" si="3"/>
        <v>377</v>
      </c>
      <c r="G25" s="29">
        <f t="shared" si="3"/>
        <v>3983</v>
      </c>
      <c r="H25" s="29">
        <f t="shared" si="3"/>
        <v>2008</v>
      </c>
      <c r="I25" s="29">
        <f t="shared" si="3"/>
        <v>421</v>
      </c>
      <c r="J25" s="29">
        <f t="shared" si="3"/>
        <v>1554</v>
      </c>
      <c r="K25" s="29">
        <f t="shared" si="3"/>
        <v>868</v>
      </c>
      <c r="L25" s="29">
        <f t="shared" si="3"/>
        <v>0</v>
      </c>
      <c r="M25" s="29">
        <f t="shared" si="3"/>
        <v>293</v>
      </c>
      <c r="N25" s="29">
        <f t="shared" si="3"/>
        <v>51</v>
      </c>
      <c r="O25" s="29">
        <f t="shared" si="3"/>
        <v>51</v>
      </c>
    </row>
    <row r="26" spans="1:15" ht="12.75" customHeight="1">
      <c r="A26" s="4" t="s">
        <v>47</v>
      </c>
      <c r="B26" s="5" t="s">
        <v>48</v>
      </c>
      <c r="C26" s="28">
        <v>14652</v>
      </c>
      <c r="D26" s="28">
        <v>6362</v>
      </c>
      <c r="E26" s="28">
        <v>506</v>
      </c>
      <c r="F26" s="28">
        <f>SUM(C26-D26-E26)</f>
        <v>7784</v>
      </c>
      <c r="G26" s="28">
        <v>33321</v>
      </c>
      <c r="H26" s="28">
        <v>10766</v>
      </c>
      <c r="I26" s="28">
        <v>1498</v>
      </c>
      <c r="J26" s="28">
        <f>SUM(G26-H26-I26)</f>
        <v>21057</v>
      </c>
      <c r="K26" s="28">
        <v>535</v>
      </c>
      <c r="L26" s="28">
        <v>0</v>
      </c>
      <c r="M26" s="28">
        <v>570</v>
      </c>
      <c r="N26" s="28">
        <v>387</v>
      </c>
      <c r="O26" s="28">
        <v>387</v>
      </c>
    </row>
    <row r="27" spans="1:15" ht="12.75" customHeight="1">
      <c r="A27" s="4" t="s">
        <v>49</v>
      </c>
      <c r="B27" s="5" t="s">
        <v>50</v>
      </c>
      <c r="C27" s="28">
        <v>2534</v>
      </c>
      <c r="D27" s="28">
        <v>2063</v>
      </c>
      <c r="E27" s="28">
        <v>149</v>
      </c>
      <c r="F27" s="28">
        <f>SUM(C27-D27-E27)</f>
        <v>322</v>
      </c>
      <c r="G27" s="28">
        <v>4842</v>
      </c>
      <c r="H27" s="28">
        <v>3136</v>
      </c>
      <c r="I27" s="28">
        <v>447</v>
      </c>
      <c r="J27" s="28">
        <f>SUM(G27-H27-I27)</f>
        <v>1259</v>
      </c>
      <c r="K27" s="28">
        <v>163</v>
      </c>
      <c r="L27" s="28">
        <v>0</v>
      </c>
      <c r="M27" s="28">
        <v>77</v>
      </c>
      <c r="N27" s="28">
        <v>26</v>
      </c>
      <c r="O27" s="28">
        <v>26</v>
      </c>
    </row>
    <row r="28" spans="1:15" ht="12.75" customHeight="1">
      <c r="A28" s="4" t="s">
        <v>51</v>
      </c>
      <c r="B28" s="5" t="s">
        <v>52</v>
      </c>
      <c r="C28" s="28">
        <v>2500</v>
      </c>
      <c r="D28" s="28">
        <v>1593</v>
      </c>
      <c r="E28" s="28">
        <v>235</v>
      </c>
      <c r="F28" s="28">
        <f>SUM(C28-D28-E28)</f>
        <v>672</v>
      </c>
      <c r="G28" s="28">
        <v>6157</v>
      </c>
      <c r="H28" s="28">
        <v>3434</v>
      </c>
      <c r="I28" s="28">
        <v>1136</v>
      </c>
      <c r="J28" s="28">
        <f>SUM(G28-H28-I28)</f>
        <v>1587</v>
      </c>
      <c r="K28" s="28">
        <v>29</v>
      </c>
      <c r="L28" s="28">
        <v>0</v>
      </c>
      <c r="M28" s="28">
        <v>128</v>
      </c>
      <c r="N28" s="28">
        <v>30</v>
      </c>
      <c r="O28" s="28">
        <v>30</v>
      </c>
    </row>
    <row r="29" spans="1:15" ht="12.75" customHeight="1">
      <c r="A29" s="4" t="s">
        <v>53</v>
      </c>
      <c r="B29" s="5" t="s">
        <v>54</v>
      </c>
      <c r="C29" s="28">
        <v>3027</v>
      </c>
      <c r="D29" s="28">
        <v>2570</v>
      </c>
      <c r="E29" s="28">
        <v>385</v>
      </c>
      <c r="F29" s="28">
        <f>SUM(C29-D29-E29)</f>
        <v>72</v>
      </c>
      <c r="G29" s="28">
        <v>6727</v>
      </c>
      <c r="H29" s="28">
        <v>5170</v>
      </c>
      <c r="I29" s="28">
        <v>1349</v>
      </c>
      <c r="J29" s="28">
        <f>SUM(G29-H29-I29)</f>
        <v>208</v>
      </c>
      <c r="K29" s="28">
        <v>6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22713</v>
      </c>
      <c r="D30" s="29">
        <f t="shared" si="4"/>
        <v>12588</v>
      </c>
      <c r="E30" s="29">
        <f t="shared" si="4"/>
        <v>1275</v>
      </c>
      <c r="F30" s="29">
        <f t="shared" si="4"/>
        <v>8850</v>
      </c>
      <c r="G30" s="29">
        <f t="shared" si="4"/>
        <v>51047</v>
      </c>
      <c r="H30" s="29">
        <f t="shared" si="4"/>
        <v>22506</v>
      </c>
      <c r="I30" s="29">
        <f t="shared" si="4"/>
        <v>4430</v>
      </c>
      <c r="J30" s="29">
        <f t="shared" si="4"/>
        <v>24111</v>
      </c>
      <c r="K30" s="29">
        <f t="shared" si="4"/>
        <v>733</v>
      </c>
      <c r="L30" s="29">
        <f t="shared" si="4"/>
        <v>0</v>
      </c>
      <c r="M30" s="29">
        <f t="shared" si="4"/>
        <v>775</v>
      </c>
      <c r="N30" s="29">
        <f t="shared" si="4"/>
        <v>443</v>
      </c>
      <c r="O30" s="29">
        <f t="shared" si="4"/>
        <v>443</v>
      </c>
    </row>
    <row r="31" spans="1:15" ht="12.75" customHeight="1">
      <c r="A31" s="4" t="s">
        <v>56</v>
      </c>
      <c r="B31" s="5" t="s">
        <v>57</v>
      </c>
      <c r="C31" s="28">
        <v>10218</v>
      </c>
      <c r="D31" s="28">
        <v>8045</v>
      </c>
      <c r="E31" s="28">
        <v>204</v>
      </c>
      <c r="F31" s="28">
        <f t="shared" ref="F31:F42" si="5">SUM(C31-D31-E31)</f>
        <v>1969</v>
      </c>
      <c r="G31" s="28">
        <v>28334</v>
      </c>
      <c r="H31" s="28">
        <v>15513</v>
      </c>
      <c r="I31" s="28">
        <v>878</v>
      </c>
      <c r="J31" s="28">
        <f t="shared" ref="J31:J42" si="6">SUM(G31-H31-I31)</f>
        <v>11943</v>
      </c>
      <c r="K31" s="28">
        <v>267</v>
      </c>
      <c r="L31" s="28">
        <v>0</v>
      </c>
      <c r="M31" s="28">
        <v>516</v>
      </c>
      <c r="N31" s="28">
        <v>61</v>
      </c>
      <c r="O31" s="28">
        <v>61</v>
      </c>
    </row>
    <row r="32" spans="1:15" ht="12.75" customHeight="1">
      <c r="A32" s="4" t="s">
        <v>58</v>
      </c>
      <c r="B32" s="5" t="s">
        <v>59</v>
      </c>
      <c r="C32" s="28">
        <v>12009</v>
      </c>
      <c r="D32" s="28">
        <v>10409</v>
      </c>
      <c r="E32" s="28">
        <v>528</v>
      </c>
      <c r="F32" s="28">
        <f t="shared" si="5"/>
        <v>1072</v>
      </c>
      <c r="G32" s="28">
        <v>43699</v>
      </c>
      <c r="H32" s="28">
        <v>24909</v>
      </c>
      <c r="I32" s="28">
        <v>2614</v>
      </c>
      <c r="J32" s="28">
        <f t="shared" si="6"/>
        <v>16176</v>
      </c>
      <c r="K32" s="28">
        <v>575</v>
      </c>
      <c r="L32" s="28">
        <v>0</v>
      </c>
      <c r="M32" s="28">
        <v>5901</v>
      </c>
      <c r="N32" s="28">
        <v>318</v>
      </c>
      <c r="O32" s="28">
        <v>318</v>
      </c>
    </row>
    <row r="33" spans="1:256" ht="12.75" customHeight="1">
      <c r="A33" s="4" t="s">
        <v>60</v>
      </c>
      <c r="B33" s="5" t="s">
        <v>61</v>
      </c>
      <c r="C33" s="28">
        <v>7091</v>
      </c>
      <c r="D33" s="28">
        <v>5452</v>
      </c>
      <c r="E33" s="28">
        <v>199</v>
      </c>
      <c r="F33" s="28">
        <f t="shared" si="5"/>
        <v>1440</v>
      </c>
      <c r="G33" s="28">
        <v>23132</v>
      </c>
      <c r="H33" s="28">
        <v>6973</v>
      </c>
      <c r="I33" s="28">
        <v>525</v>
      </c>
      <c r="J33" s="28">
        <f t="shared" si="6"/>
        <v>15634</v>
      </c>
      <c r="K33" s="28">
        <v>415</v>
      </c>
      <c r="L33" s="28">
        <v>0</v>
      </c>
      <c r="M33" s="28">
        <v>1577</v>
      </c>
      <c r="N33" s="28">
        <v>193</v>
      </c>
      <c r="O33" s="28">
        <v>193</v>
      </c>
    </row>
    <row r="34" spans="1:256" ht="12.75" customHeight="1">
      <c r="A34" s="4" t="s">
        <v>62</v>
      </c>
      <c r="B34" s="5" t="s">
        <v>63</v>
      </c>
      <c r="C34" s="28">
        <v>8043</v>
      </c>
      <c r="D34" s="28">
        <v>2419</v>
      </c>
      <c r="E34" s="28">
        <v>41</v>
      </c>
      <c r="F34" s="28">
        <f t="shared" si="5"/>
        <v>5583</v>
      </c>
      <c r="G34" s="28">
        <v>25201</v>
      </c>
      <c r="H34" s="28">
        <v>5951</v>
      </c>
      <c r="I34" s="28">
        <v>218</v>
      </c>
      <c r="J34" s="28">
        <f t="shared" si="6"/>
        <v>19032</v>
      </c>
      <c r="K34" s="28">
        <v>85</v>
      </c>
      <c r="L34" s="28">
        <v>0</v>
      </c>
      <c r="M34" s="28">
        <v>2895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3261</v>
      </c>
      <c r="D35" s="28">
        <v>3202</v>
      </c>
      <c r="E35" s="28">
        <v>0</v>
      </c>
      <c r="F35" s="28">
        <f t="shared" si="5"/>
        <v>59</v>
      </c>
      <c r="G35" s="28">
        <v>5728</v>
      </c>
      <c r="H35" s="28">
        <v>5136</v>
      </c>
      <c r="I35" s="28">
        <v>0</v>
      </c>
      <c r="J35" s="28">
        <f t="shared" si="6"/>
        <v>592</v>
      </c>
      <c r="K35" s="28">
        <v>67</v>
      </c>
      <c r="L35" s="28">
        <v>0</v>
      </c>
      <c r="M35" s="28">
        <v>80</v>
      </c>
      <c r="N35" s="28">
        <v>236</v>
      </c>
      <c r="O35" s="28">
        <v>236</v>
      </c>
    </row>
    <row r="36" spans="1:256" ht="12.75" customHeight="1">
      <c r="A36" s="4" t="s">
        <v>66</v>
      </c>
      <c r="B36" s="5" t="s">
        <v>67</v>
      </c>
      <c r="C36" s="28">
        <v>1967</v>
      </c>
      <c r="D36" s="28">
        <v>1547</v>
      </c>
      <c r="E36" s="28">
        <v>185</v>
      </c>
      <c r="F36" s="28">
        <f t="shared" si="5"/>
        <v>235</v>
      </c>
      <c r="G36" s="28">
        <v>5464</v>
      </c>
      <c r="H36" s="28">
        <v>3779</v>
      </c>
      <c r="I36" s="28">
        <v>912</v>
      </c>
      <c r="J36" s="28">
        <f t="shared" si="6"/>
        <v>773</v>
      </c>
      <c r="K36" s="28">
        <v>0</v>
      </c>
      <c r="L36" s="28">
        <v>0</v>
      </c>
      <c r="M36" s="28">
        <v>559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3056</v>
      </c>
      <c r="D37" s="28">
        <v>2681</v>
      </c>
      <c r="E37" s="28">
        <v>52</v>
      </c>
      <c r="F37" s="28">
        <f t="shared" si="5"/>
        <v>323</v>
      </c>
      <c r="G37" s="28">
        <v>10215</v>
      </c>
      <c r="H37" s="28">
        <v>6998</v>
      </c>
      <c r="I37" s="28">
        <v>195</v>
      </c>
      <c r="J37" s="28">
        <f t="shared" si="6"/>
        <v>3022</v>
      </c>
      <c r="K37" s="28">
        <v>30</v>
      </c>
      <c r="L37" s="28">
        <v>0</v>
      </c>
      <c r="M37" s="28">
        <v>812</v>
      </c>
      <c r="N37" s="28">
        <v>95</v>
      </c>
      <c r="O37" s="28">
        <v>95</v>
      </c>
    </row>
    <row r="38" spans="1:256" ht="12.75" customHeight="1">
      <c r="A38" s="4" t="s">
        <v>70</v>
      </c>
      <c r="B38" s="5" t="s">
        <v>71</v>
      </c>
      <c r="C38" s="28">
        <v>44193</v>
      </c>
      <c r="D38" s="28">
        <v>35619</v>
      </c>
      <c r="E38" s="28">
        <v>1436</v>
      </c>
      <c r="F38" s="28">
        <f t="shared" si="5"/>
        <v>7138</v>
      </c>
      <c r="G38" s="28">
        <v>99566</v>
      </c>
      <c r="H38" s="28">
        <v>61440</v>
      </c>
      <c r="I38" s="28">
        <v>5292</v>
      </c>
      <c r="J38" s="28">
        <f t="shared" si="6"/>
        <v>32834</v>
      </c>
      <c r="K38" s="28">
        <v>1795</v>
      </c>
      <c r="L38" s="28">
        <v>0</v>
      </c>
      <c r="M38" s="28">
        <v>5068</v>
      </c>
      <c r="N38" s="28">
        <v>3916</v>
      </c>
      <c r="O38" s="28">
        <v>3916</v>
      </c>
    </row>
    <row r="39" spans="1:256" ht="12.75" customHeight="1">
      <c r="A39" s="4" t="s">
        <v>72</v>
      </c>
      <c r="B39" s="5" t="s">
        <v>73</v>
      </c>
      <c r="C39" s="28">
        <v>6714</v>
      </c>
      <c r="D39" s="28">
        <v>6187</v>
      </c>
      <c r="E39" s="28">
        <v>227</v>
      </c>
      <c r="F39" s="28">
        <f t="shared" si="5"/>
        <v>300</v>
      </c>
      <c r="G39" s="28">
        <v>12111</v>
      </c>
      <c r="H39" s="28">
        <v>10040</v>
      </c>
      <c r="I39" s="28">
        <v>1165</v>
      </c>
      <c r="J39" s="28">
        <f t="shared" si="6"/>
        <v>906</v>
      </c>
      <c r="K39" s="28">
        <v>16</v>
      </c>
      <c r="L39" s="28">
        <v>0</v>
      </c>
      <c r="M39" s="28">
        <v>17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5011</v>
      </c>
      <c r="D40" s="28">
        <v>4313</v>
      </c>
      <c r="E40" s="28">
        <v>249</v>
      </c>
      <c r="F40" s="28">
        <f t="shared" si="5"/>
        <v>449</v>
      </c>
      <c r="G40" s="28">
        <v>13335</v>
      </c>
      <c r="H40" s="28">
        <v>8470</v>
      </c>
      <c r="I40" s="28">
        <v>960</v>
      </c>
      <c r="J40" s="28">
        <f t="shared" si="6"/>
        <v>3905</v>
      </c>
      <c r="K40" s="28">
        <v>181</v>
      </c>
      <c r="L40" s="28">
        <v>27</v>
      </c>
      <c r="M40" s="28">
        <v>4021</v>
      </c>
      <c r="N40" s="28">
        <v>259</v>
      </c>
      <c r="O40" s="28">
        <v>259</v>
      </c>
    </row>
    <row r="41" spans="1:256" ht="12.75" customHeight="1">
      <c r="A41" s="4" t="s">
        <v>76</v>
      </c>
      <c r="B41" s="5" t="s">
        <v>77</v>
      </c>
      <c r="C41" s="28">
        <v>1422</v>
      </c>
      <c r="D41" s="28">
        <v>1231</v>
      </c>
      <c r="E41" s="28">
        <v>0</v>
      </c>
      <c r="F41" s="28">
        <f t="shared" si="5"/>
        <v>191</v>
      </c>
      <c r="G41" s="28">
        <v>5383</v>
      </c>
      <c r="H41" s="28">
        <v>3444</v>
      </c>
      <c r="I41" s="28">
        <v>0</v>
      </c>
      <c r="J41" s="28">
        <f t="shared" si="6"/>
        <v>1939</v>
      </c>
      <c r="K41" s="28">
        <v>375</v>
      </c>
      <c r="L41" s="28">
        <v>0</v>
      </c>
      <c r="M41" s="28">
        <v>209</v>
      </c>
      <c r="N41" s="28">
        <v>44</v>
      </c>
      <c r="O41" s="28">
        <v>44</v>
      </c>
    </row>
    <row r="42" spans="1:256" ht="12.75" customHeight="1">
      <c r="A42" s="4" t="s">
        <v>78</v>
      </c>
      <c r="B42" s="5" t="s">
        <v>79</v>
      </c>
      <c r="C42" s="28">
        <v>10552</v>
      </c>
      <c r="D42" s="28">
        <v>8441</v>
      </c>
      <c r="E42" s="28">
        <v>290</v>
      </c>
      <c r="F42" s="28">
        <f t="shared" si="5"/>
        <v>1821</v>
      </c>
      <c r="G42" s="28">
        <v>16447</v>
      </c>
      <c r="H42" s="28">
        <v>12844</v>
      </c>
      <c r="I42" s="28">
        <v>650</v>
      </c>
      <c r="J42" s="28">
        <f t="shared" si="6"/>
        <v>2953</v>
      </c>
      <c r="K42" s="28">
        <v>180</v>
      </c>
      <c r="L42" s="28">
        <v>0</v>
      </c>
      <c r="M42" s="28">
        <v>40</v>
      </c>
      <c r="N42" s="28">
        <v>65</v>
      </c>
      <c r="O42" s="28">
        <v>65</v>
      </c>
    </row>
    <row r="43" spans="1:256" ht="12.75" customHeight="1">
      <c r="A43" s="8"/>
      <c r="B43" s="9" t="s">
        <v>80</v>
      </c>
      <c r="C43" s="29">
        <f t="shared" ref="C43:O43" si="7">SUM(C31:C42)</f>
        <v>113537</v>
      </c>
      <c r="D43" s="29">
        <f t="shared" si="7"/>
        <v>89546</v>
      </c>
      <c r="E43" s="29">
        <f t="shared" si="7"/>
        <v>3411</v>
      </c>
      <c r="F43" s="29">
        <f t="shared" si="7"/>
        <v>20580</v>
      </c>
      <c r="G43" s="29">
        <f t="shared" si="7"/>
        <v>288615</v>
      </c>
      <c r="H43" s="29">
        <f t="shared" si="7"/>
        <v>165497</v>
      </c>
      <c r="I43" s="29">
        <f t="shared" si="7"/>
        <v>13409</v>
      </c>
      <c r="J43" s="29">
        <f t="shared" si="7"/>
        <v>109709</v>
      </c>
      <c r="K43" s="29">
        <f t="shared" si="7"/>
        <v>3986</v>
      </c>
      <c r="L43" s="29">
        <f t="shared" si="7"/>
        <v>27</v>
      </c>
      <c r="M43" s="29">
        <f t="shared" si="7"/>
        <v>21695</v>
      </c>
      <c r="N43" s="29">
        <f t="shared" si="7"/>
        <v>5187</v>
      </c>
      <c r="O43" s="29">
        <f t="shared" si="7"/>
        <v>5187</v>
      </c>
    </row>
    <row r="44" spans="1:256" ht="12.75" customHeight="1">
      <c r="A44" s="4" t="s">
        <v>81</v>
      </c>
      <c r="B44" s="5" t="s">
        <v>82</v>
      </c>
      <c r="C44" s="28">
        <v>3728</v>
      </c>
      <c r="D44" s="28">
        <v>3217</v>
      </c>
      <c r="E44" s="28">
        <v>123</v>
      </c>
      <c r="F44" s="28">
        <f>SUM(C44-D44-E44)</f>
        <v>388</v>
      </c>
      <c r="G44" s="28">
        <v>15898</v>
      </c>
      <c r="H44" s="28">
        <v>8019</v>
      </c>
      <c r="I44" s="28">
        <v>414</v>
      </c>
      <c r="J44" s="28">
        <f>SUM(G44-H44-I44)</f>
        <v>7465</v>
      </c>
      <c r="K44" s="28">
        <v>556</v>
      </c>
      <c r="L44" s="28">
        <v>0</v>
      </c>
      <c r="M44" s="28">
        <v>471</v>
      </c>
      <c r="N44" s="28">
        <v>170</v>
      </c>
      <c r="O44" s="28">
        <v>170</v>
      </c>
    </row>
    <row r="45" spans="1:256" ht="12.75" customHeight="1">
      <c r="A45" s="4" t="s">
        <v>83</v>
      </c>
      <c r="B45" s="5" t="s">
        <v>84</v>
      </c>
      <c r="C45" s="28">
        <v>5310</v>
      </c>
      <c r="D45" s="28">
        <v>4070</v>
      </c>
      <c r="E45" s="28">
        <v>170</v>
      </c>
      <c r="F45" s="28">
        <f>SUM(C45-D45-E45)</f>
        <v>1070</v>
      </c>
      <c r="G45" s="28">
        <v>22133</v>
      </c>
      <c r="H45" s="28">
        <v>9304</v>
      </c>
      <c r="I45" s="28">
        <v>699</v>
      </c>
      <c r="J45" s="28">
        <f>SUM(G45-H45-I45)</f>
        <v>12130</v>
      </c>
      <c r="K45" s="28">
        <v>2447</v>
      </c>
      <c r="L45" s="28">
        <v>0</v>
      </c>
      <c r="M45" s="28">
        <v>2805</v>
      </c>
      <c r="N45" s="28">
        <v>26</v>
      </c>
      <c r="O45" s="28">
        <v>26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9038</v>
      </c>
      <c r="D46" s="29">
        <f t="shared" si="8"/>
        <v>7287</v>
      </c>
      <c r="E46" s="29">
        <f t="shared" si="8"/>
        <v>293</v>
      </c>
      <c r="F46" s="29">
        <f t="shared" si="8"/>
        <v>1458</v>
      </c>
      <c r="G46" s="29">
        <f t="shared" si="8"/>
        <v>38031</v>
      </c>
      <c r="H46" s="29">
        <f t="shared" si="8"/>
        <v>17323</v>
      </c>
      <c r="I46" s="29">
        <f t="shared" si="8"/>
        <v>1113</v>
      </c>
      <c r="J46" s="29">
        <f t="shared" si="8"/>
        <v>19595</v>
      </c>
      <c r="K46" s="29">
        <f t="shared" si="8"/>
        <v>3003</v>
      </c>
      <c r="L46" s="29">
        <f t="shared" si="8"/>
        <v>0</v>
      </c>
      <c r="M46" s="29">
        <f t="shared" si="8"/>
        <v>3276</v>
      </c>
      <c r="N46" s="29">
        <f t="shared" si="8"/>
        <v>196</v>
      </c>
      <c r="O46" s="29">
        <f t="shared" si="8"/>
        <v>196</v>
      </c>
    </row>
    <row r="47" spans="1:256" ht="12.75" customHeight="1">
      <c r="A47" s="4" t="s">
        <v>86</v>
      </c>
      <c r="B47" s="5" t="s">
        <v>87</v>
      </c>
      <c r="C47" s="28">
        <v>920</v>
      </c>
      <c r="D47" s="28">
        <v>804</v>
      </c>
      <c r="E47" s="28">
        <v>0</v>
      </c>
      <c r="F47" s="28">
        <f>SUM(C47-D47-E47)</f>
        <v>116</v>
      </c>
      <c r="G47" s="28">
        <v>941</v>
      </c>
      <c r="H47" s="28">
        <v>734</v>
      </c>
      <c r="I47" s="28">
        <v>0</v>
      </c>
      <c r="J47" s="28">
        <f>SUM(G47-H47-I47)</f>
        <v>207</v>
      </c>
      <c r="K47" s="28">
        <v>0</v>
      </c>
      <c r="L47" s="28">
        <v>0</v>
      </c>
      <c r="M47" s="28">
        <v>9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2875</v>
      </c>
      <c r="D48" s="28">
        <v>2294</v>
      </c>
      <c r="E48" s="28">
        <v>19</v>
      </c>
      <c r="F48" s="28">
        <f>SUM(C48-D48-E48)</f>
        <v>562</v>
      </c>
      <c r="G48" s="28">
        <v>5231</v>
      </c>
      <c r="H48" s="28">
        <v>3985</v>
      </c>
      <c r="I48" s="28">
        <v>66</v>
      </c>
      <c r="J48" s="28">
        <f>SUM(G48-H48-I48)</f>
        <v>1180</v>
      </c>
      <c r="K48" s="28">
        <v>0</v>
      </c>
      <c r="L48" s="28">
        <v>0</v>
      </c>
      <c r="M48" s="28">
        <v>213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957</v>
      </c>
      <c r="D49" s="28">
        <v>858</v>
      </c>
      <c r="E49" s="28">
        <v>66</v>
      </c>
      <c r="F49" s="28">
        <f>SUM(C49-D49-E49)</f>
        <v>33</v>
      </c>
      <c r="G49" s="28">
        <v>1193</v>
      </c>
      <c r="H49" s="28">
        <v>977</v>
      </c>
      <c r="I49" s="28">
        <v>165</v>
      </c>
      <c r="J49" s="28">
        <f>SUM(G49-H49-I49)</f>
        <v>51</v>
      </c>
      <c r="K49" s="28">
        <v>29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8737</v>
      </c>
      <c r="D50" s="28">
        <v>8437</v>
      </c>
      <c r="E50" s="28">
        <v>97</v>
      </c>
      <c r="F50" s="28">
        <f>SUM(C50-D50-E50)</f>
        <v>203</v>
      </c>
      <c r="G50" s="28">
        <v>18014</v>
      </c>
      <c r="H50" s="28">
        <v>13608</v>
      </c>
      <c r="I50" s="28">
        <v>407</v>
      </c>
      <c r="J50" s="28">
        <f>SUM(G50-H50-I50)</f>
        <v>3999</v>
      </c>
      <c r="K50" s="28">
        <v>857</v>
      </c>
      <c r="L50" s="28">
        <v>0</v>
      </c>
      <c r="M50" s="28">
        <v>1609</v>
      </c>
      <c r="N50" s="28">
        <v>56</v>
      </c>
      <c r="O50" s="28">
        <v>56</v>
      </c>
    </row>
    <row r="51" spans="1:15" ht="12.75" customHeight="1">
      <c r="A51" s="8"/>
      <c r="B51" s="9" t="s">
        <v>94</v>
      </c>
      <c r="C51" s="29">
        <f t="shared" ref="C51:O51" si="9">SUM(C47:C50)</f>
        <v>13489</v>
      </c>
      <c r="D51" s="29">
        <f t="shared" si="9"/>
        <v>12393</v>
      </c>
      <c r="E51" s="29">
        <f t="shared" si="9"/>
        <v>182</v>
      </c>
      <c r="F51" s="29">
        <f t="shared" si="9"/>
        <v>914</v>
      </c>
      <c r="G51" s="29">
        <f t="shared" si="9"/>
        <v>25379</v>
      </c>
      <c r="H51" s="29">
        <f t="shared" si="9"/>
        <v>19304</v>
      </c>
      <c r="I51" s="29">
        <f t="shared" si="9"/>
        <v>638</v>
      </c>
      <c r="J51" s="29">
        <f t="shared" si="9"/>
        <v>5437</v>
      </c>
      <c r="K51" s="29">
        <f t="shared" si="9"/>
        <v>886</v>
      </c>
      <c r="L51" s="29">
        <f t="shared" si="9"/>
        <v>0</v>
      </c>
      <c r="M51" s="29">
        <f t="shared" si="9"/>
        <v>1831</v>
      </c>
      <c r="N51" s="29">
        <f t="shared" si="9"/>
        <v>56</v>
      </c>
      <c r="O51" s="29">
        <f t="shared" si="9"/>
        <v>56</v>
      </c>
    </row>
    <row r="52" spans="1:15" ht="12.75" customHeight="1">
      <c r="A52" s="4" t="s">
        <v>95</v>
      </c>
      <c r="B52" s="5" t="s">
        <v>96</v>
      </c>
      <c r="C52" s="28">
        <v>1516</v>
      </c>
      <c r="D52" s="28">
        <v>1089</v>
      </c>
      <c r="E52" s="28">
        <v>4</v>
      </c>
      <c r="F52" s="28">
        <f t="shared" ref="F52:F58" si="10">SUM(C52-D52-E52)</f>
        <v>423</v>
      </c>
      <c r="G52" s="28">
        <v>4469</v>
      </c>
      <c r="H52" s="28">
        <v>2575</v>
      </c>
      <c r="I52" s="28">
        <v>0</v>
      </c>
      <c r="J52" s="28">
        <f t="shared" ref="J52:J58" si="11">SUM(G52-H52-I52)</f>
        <v>1894</v>
      </c>
      <c r="K52" s="28">
        <v>981</v>
      </c>
      <c r="L52" s="28">
        <v>0</v>
      </c>
      <c r="M52" s="28">
        <v>55</v>
      </c>
      <c r="N52" s="28">
        <v>29</v>
      </c>
      <c r="O52" s="28">
        <v>29</v>
      </c>
    </row>
    <row r="53" spans="1:15" ht="12.75" customHeight="1">
      <c r="A53" s="4" t="s">
        <v>97</v>
      </c>
      <c r="B53" s="5" t="s">
        <v>98</v>
      </c>
      <c r="C53" s="28">
        <v>8948</v>
      </c>
      <c r="D53" s="28">
        <v>6150</v>
      </c>
      <c r="E53" s="28">
        <v>176</v>
      </c>
      <c r="F53" s="28">
        <f t="shared" si="10"/>
        <v>2622</v>
      </c>
      <c r="G53" s="28">
        <v>27166</v>
      </c>
      <c r="H53" s="28">
        <v>15927</v>
      </c>
      <c r="I53" s="28">
        <v>931</v>
      </c>
      <c r="J53" s="28">
        <f t="shared" si="11"/>
        <v>10308</v>
      </c>
      <c r="K53" s="28">
        <v>368</v>
      </c>
      <c r="L53" s="28">
        <v>0</v>
      </c>
      <c r="M53" s="28">
        <v>930</v>
      </c>
      <c r="N53" s="28">
        <v>212</v>
      </c>
      <c r="O53" s="28">
        <v>212</v>
      </c>
    </row>
    <row r="54" spans="1:15" ht="12.75" customHeight="1">
      <c r="A54" s="4" t="s">
        <v>99</v>
      </c>
      <c r="B54" s="5" t="s">
        <v>100</v>
      </c>
      <c r="C54" s="28">
        <v>1540</v>
      </c>
      <c r="D54" s="28">
        <v>852</v>
      </c>
      <c r="E54" s="28">
        <v>41</v>
      </c>
      <c r="F54" s="28">
        <f t="shared" si="10"/>
        <v>647</v>
      </c>
      <c r="G54" s="28">
        <v>5166</v>
      </c>
      <c r="H54" s="28">
        <v>2708</v>
      </c>
      <c r="I54" s="28">
        <v>346</v>
      </c>
      <c r="J54" s="28">
        <f t="shared" si="11"/>
        <v>2112</v>
      </c>
      <c r="K54" s="28">
        <v>0</v>
      </c>
      <c r="L54" s="28">
        <v>0</v>
      </c>
      <c r="M54" s="28">
        <v>553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6317</v>
      </c>
      <c r="D55" s="28">
        <v>4275</v>
      </c>
      <c r="E55" s="28">
        <v>102</v>
      </c>
      <c r="F55" s="28">
        <f t="shared" si="10"/>
        <v>1940</v>
      </c>
      <c r="G55" s="28">
        <v>21209</v>
      </c>
      <c r="H55" s="28">
        <v>10397</v>
      </c>
      <c r="I55" s="28">
        <v>453</v>
      </c>
      <c r="J55" s="28">
        <f t="shared" si="11"/>
        <v>10359</v>
      </c>
      <c r="K55" s="28">
        <v>1316</v>
      </c>
      <c r="L55" s="28">
        <v>0</v>
      </c>
      <c r="M55" s="28">
        <v>1362</v>
      </c>
      <c r="N55" s="28">
        <v>1157</v>
      </c>
      <c r="O55" s="28">
        <v>1157</v>
      </c>
    </row>
    <row r="56" spans="1:15" ht="12.75" customHeight="1">
      <c r="A56" s="4" t="s">
        <v>103</v>
      </c>
      <c r="B56" s="5" t="s">
        <v>104</v>
      </c>
      <c r="C56" s="28">
        <v>7285</v>
      </c>
      <c r="D56" s="28">
        <v>3794</v>
      </c>
      <c r="E56" s="28">
        <v>426</v>
      </c>
      <c r="F56" s="28">
        <f t="shared" si="10"/>
        <v>3065</v>
      </c>
      <c r="G56" s="28">
        <v>26635</v>
      </c>
      <c r="H56" s="28">
        <v>9086</v>
      </c>
      <c r="I56" s="28">
        <v>2142</v>
      </c>
      <c r="J56" s="28">
        <f t="shared" si="11"/>
        <v>15407</v>
      </c>
      <c r="K56" s="28">
        <v>617</v>
      </c>
      <c r="L56" s="28">
        <v>3</v>
      </c>
      <c r="M56" s="28">
        <v>2903</v>
      </c>
      <c r="N56" s="28">
        <v>7793</v>
      </c>
      <c r="O56" s="28">
        <v>619</v>
      </c>
    </row>
    <row r="57" spans="1:15" ht="12.75" customHeight="1">
      <c r="A57" s="4" t="s">
        <v>105</v>
      </c>
      <c r="B57" s="5" t="s">
        <v>106</v>
      </c>
      <c r="C57" s="28">
        <v>8936</v>
      </c>
      <c r="D57" s="28">
        <v>4732</v>
      </c>
      <c r="E57" s="28">
        <v>414</v>
      </c>
      <c r="F57" s="28">
        <f t="shared" si="10"/>
        <v>3790</v>
      </c>
      <c r="G57" s="28">
        <v>32578</v>
      </c>
      <c r="H57" s="28">
        <v>14050</v>
      </c>
      <c r="I57" s="28">
        <v>1974</v>
      </c>
      <c r="J57" s="28">
        <f t="shared" si="11"/>
        <v>16554</v>
      </c>
      <c r="K57" s="28">
        <v>190</v>
      </c>
      <c r="L57" s="28">
        <v>0</v>
      </c>
      <c r="M57" s="28">
        <v>3209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8224</v>
      </c>
      <c r="D58" s="28">
        <v>4781</v>
      </c>
      <c r="E58" s="28">
        <v>121</v>
      </c>
      <c r="F58" s="28">
        <f t="shared" si="10"/>
        <v>3322</v>
      </c>
      <c r="G58" s="28">
        <v>27460</v>
      </c>
      <c r="H58" s="28">
        <v>11409</v>
      </c>
      <c r="I58" s="28">
        <v>623</v>
      </c>
      <c r="J58" s="28">
        <f t="shared" si="11"/>
        <v>15428</v>
      </c>
      <c r="K58" s="28">
        <v>510</v>
      </c>
      <c r="L58" s="28">
        <v>19</v>
      </c>
      <c r="M58" s="28">
        <v>1662</v>
      </c>
      <c r="N58" s="28">
        <v>1960</v>
      </c>
      <c r="O58" s="28">
        <v>1960</v>
      </c>
    </row>
    <row r="59" spans="1:15" ht="12.75" customHeight="1">
      <c r="A59" s="8"/>
      <c r="B59" s="9" t="s">
        <v>109</v>
      </c>
      <c r="C59" s="29">
        <f t="shared" ref="C59:O59" si="12">SUM(C52:C58)</f>
        <v>42766</v>
      </c>
      <c r="D59" s="29">
        <f t="shared" si="12"/>
        <v>25673</v>
      </c>
      <c r="E59" s="29">
        <f t="shared" si="12"/>
        <v>1284</v>
      </c>
      <c r="F59" s="29">
        <f t="shared" si="12"/>
        <v>15809</v>
      </c>
      <c r="G59" s="29">
        <f t="shared" si="12"/>
        <v>144683</v>
      </c>
      <c r="H59" s="29">
        <f t="shared" si="12"/>
        <v>66152</v>
      </c>
      <c r="I59" s="29">
        <f t="shared" si="12"/>
        <v>6469</v>
      </c>
      <c r="J59" s="29">
        <f t="shared" si="12"/>
        <v>72062</v>
      </c>
      <c r="K59" s="29">
        <f t="shared" si="12"/>
        <v>3982</v>
      </c>
      <c r="L59" s="29">
        <f t="shared" si="12"/>
        <v>22</v>
      </c>
      <c r="M59" s="29">
        <f t="shared" si="12"/>
        <v>10674</v>
      </c>
      <c r="N59" s="29">
        <f t="shared" si="12"/>
        <v>11151</v>
      </c>
      <c r="O59" s="29">
        <f t="shared" si="12"/>
        <v>3977</v>
      </c>
    </row>
    <row r="60" spans="1:15" ht="12.75" customHeight="1">
      <c r="A60" s="4" t="s">
        <v>110</v>
      </c>
      <c r="B60" s="5" t="s">
        <v>111</v>
      </c>
      <c r="C60" s="28">
        <v>9266</v>
      </c>
      <c r="D60" s="28">
        <v>6562</v>
      </c>
      <c r="E60" s="28">
        <v>699</v>
      </c>
      <c r="F60" s="28">
        <f t="shared" ref="F60:F68" si="13">SUM(C60-D60-E60)</f>
        <v>2005</v>
      </c>
      <c r="G60" s="28">
        <v>27928</v>
      </c>
      <c r="H60" s="28">
        <v>16100</v>
      </c>
      <c r="I60" s="28">
        <v>3682</v>
      </c>
      <c r="J60" s="28">
        <f t="shared" ref="J60:J68" si="14">SUM(G60-H60-I60)</f>
        <v>8146</v>
      </c>
      <c r="K60" s="28">
        <v>65</v>
      </c>
      <c r="L60" s="28">
        <v>0</v>
      </c>
      <c r="M60" s="28">
        <v>1205</v>
      </c>
      <c r="N60" s="28">
        <v>152</v>
      </c>
      <c r="O60" s="28">
        <v>152</v>
      </c>
    </row>
    <row r="61" spans="1:15" ht="12.75" customHeight="1">
      <c r="A61" s="4" t="s">
        <v>112</v>
      </c>
      <c r="B61" s="5" t="s">
        <v>113</v>
      </c>
      <c r="C61" s="28">
        <v>2597</v>
      </c>
      <c r="D61" s="28">
        <v>1781</v>
      </c>
      <c r="E61" s="28">
        <v>50</v>
      </c>
      <c r="F61" s="28">
        <f t="shared" si="13"/>
        <v>766</v>
      </c>
      <c r="G61" s="28">
        <v>7442</v>
      </c>
      <c r="H61" s="28">
        <v>4493</v>
      </c>
      <c r="I61" s="28">
        <v>280</v>
      </c>
      <c r="J61" s="28">
        <f t="shared" si="14"/>
        <v>2669</v>
      </c>
      <c r="K61" s="28">
        <v>20</v>
      </c>
      <c r="L61" s="28">
        <v>0</v>
      </c>
      <c r="M61" s="28">
        <v>1305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4420</v>
      </c>
      <c r="D62" s="28">
        <v>2208</v>
      </c>
      <c r="E62" s="28">
        <v>184</v>
      </c>
      <c r="F62" s="28">
        <f t="shared" si="13"/>
        <v>2028</v>
      </c>
      <c r="G62" s="28">
        <v>19214</v>
      </c>
      <c r="H62" s="28">
        <v>6007</v>
      </c>
      <c r="I62" s="28">
        <v>1114</v>
      </c>
      <c r="J62" s="28">
        <f t="shared" si="14"/>
        <v>12093</v>
      </c>
      <c r="K62" s="28">
        <v>268</v>
      </c>
      <c r="L62" s="28">
        <v>0</v>
      </c>
      <c r="M62" s="28">
        <v>1534</v>
      </c>
      <c r="N62" s="28">
        <v>394</v>
      </c>
      <c r="O62" s="28">
        <v>394</v>
      </c>
    </row>
    <row r="63" spans="1:15" ht="12.75" customHeight="1">
      <c r="A63" s="4" t="s">
        <v>116</v>
      </c>
      <c r="B63" s="5" t="s">
        <v>117</v>
      </c>
      <c r="C63" s="28">
        <v>6059</v>
      </c>
      <c r="D63" s="28">
        <v>3791</v>
      </c>
      <c r="E63" s="28">
        <v>275</v>
      </c>
      <c r="F63" s="28">
        <f t="shared" si="13"/>
        <v>1993</v>
      </c>
      <c r="G63" s="28">
        <v>19316</v>
      </c>
      <c r="H63" s="28">
        <v>10829</v>
      </c>
      <c r="I63" s="28">
        <v>2073</v>
      </c>
      <c r="J63" s="28">
        <f t="shared" si="14"/>
        <v>6414</v>
      </c>
      <c r="K63" s="28">
        <v>0</v>
      </c>
      <c r="L63" s="28">
        <v>0</v>
      </c>
      <c r="M63" s="28">
        <v>1217</v>
      </c>
      <c r="N63" s="28">
        <v>79</v>
      </c>
      <c r="O63" s="28">
        <v>79</v>
      </c>
    </row>
    <row r="64" spans="1:15" ht="12.75" customHeight="1">
      <c r="A64" s="4" t="s">
        <v>118</v>
      </c>
      <c r="B64" s="5" t="s">
        <v>119</v>
      </c>
      <c r="C64" s="28">
        <v>6027</v>
      </c>
      <c r="D64" s="28">
        <v>2944</v>
      </c>
      <c r="E64" s="28">
        <v>427</v>
      </c>
      <c r="F64" s="28">
        <f t="shared" si="13"/>
        <v>2656</v>
      </c>
      <c r="G64" s="28">
        <v>21395</v>
      </c>
      <c r="H64" s="28">
        <v>8437</v>
      </c>
      <c r="I64" s="28">
        <v>2016</v>
      </c>
      <c r="J64" s="28">
        <f t="shared" si="14"/>
        <v>10942</v>
      </c>
      <c r="K64" s="28">
        <v>51</v>
      </c>
      <c r="L64" s="28">
        <v>7</v>
      </c>
      <c r="M64" s="28">
        <v>718</v>
      </c>
      <c r="N64" s="28">
        <v>55</v>
      </c>
      <c r="O64" s="28">
        <v>55</v>
      </c>
    </row>
    <row r="65" spans="1:15" ht="12.75" customHeight="1">
      <c r="A65" s="4" t="s">
        <v>120</v>
      </c>
      <c r="B65" s="5" t="s">
        <v>121</v>
      </c>
      <c r="C65" s="28">
        <v>2680</v>
      </c>
      <c r="D65" s="28">
        <v>1828</v>
      </c>
      <c r="E65" s="28">
        <v>284</v>
      </c>
      <c r="F65" s="28">
        <f t="shared" si="13"/>
        <v>568</v>
      </c>
      <c r="G65" s="28">
        <v>14134</v>
      </c>
      <c r="H65" s="28">
        <v>5358</v>
      </c>
      <c r="I65" s="28">
        <v>1555</v>
      </c>
      <c r="J65" s="28">
        <f t="shared" si="14"/>
        <v>7221</v>
      </c>
      <c r="K65" s="28">
        <v>732</v>
      </c>
      <c r="L65" s="28">
        <v>0</v>
      </c>
      <c r="M65" s="28">
        <v>1936</v>
      </c>
      <c r="N65" s="28">
        <v>153</v>
      </c>
      <c r="O65" s="28">
        <v>153</v>
      </c>
    </row>
    <row r="66" spans="1:15" ht="12.75" customHeight="1">
      <c r="A66" s="4" t="s">
        <v>122</v>
      </c>
      <c r="B66" s="5" t="s">
        <v>123</v>
      </c>
      <c r="C66" s="28">
        <v>5523</v>
      </c>
      <c r="D66" s="28">
        <v>1930</v>
      </c>
      <c r="E66" s="28">
        <v>101</v>
      </c>
      <c r="F66" s="28">
        <f t="shared" si="13"/>
        <v>3492</v>
      </c>
      <c r="G66" s="28">
        <v>26260</v>
      </c>
      <c r="H66" s="28">
        <v>5666</v>
      </c>
      <c r="I66" s="28">
        <v>546</v>
      </c>
      <c r="J66" s="28">
        <f t="shared" si="14"/>
        <v>20048</v>
      </c>
      <c r="K66" s="28">
        <v>1030</v>
      </c>
      <c r="L66" s="28">
        <v>0</v>
      </c>
      <c r="M66" s="28">
        <v>5278</v>
      </c>
      <c r="N66" s="28">
        <v>0</v>
      </c>
      <c r="O66" s="28">
        <v>0</v>
      </c>
    </row>
    <row r="67" spans="1:15" ht="12.75" customHeight="1">
      <c r="A67" s="4" t="s">
        <v>124</v>
      </c>
      <c r="B67" s="5" t="s">
        <v>125</v>
      </c>
      <c r="C67" s="28">
        <v>7585</v>
      </c>
      <c r="D67" s="28">
        <v>2179</v>
      </c>
      <c r="E67" s="28">
        <v>0</v>
      </c>
      <c r="F67" s="28">
        <f t="shared" si="13"/>
        <v>5406</v>
      </c>
      <c r="G67" s="28">
        <v>30508</v>
      </c>
      <c r="H67" s="28">
        <v>5738</v>
      </c>
      <c r="I67" s="28">
        <v>0</v>
      </c>
      <c r="J67" s="28">
        <f t="shared" si="14"/>
        <v>24770</v>
      </c>
      <c r="K67" s="28">
        <v>754</v>
      </c>
      <c r="L67" s="28">
        <v>0</v>
      </c>
      <c r="M67" s="28">
        <v>6028</v>
      </c>
      <c r="N67" s="28">
        <v>62</v>
      </c>
      <c r="O67" s="28">
        <v>62</v>
      </c>
    </row>
    <row r="68" spans="1:15" ht="12.75" customHeight="1">
      <c r="A68" s="4" t="s">
        <v>126</v>
      </c>
      <c r="B68" s="5" t="s">
        <v>127</v>
      </c>
      <c r="C68" s="28">
        <v>6205</v>
      </c>
      <c r="D68" s="28">
        <v>2742</v>
      </c>
      <c r="E68" s="28">
        <v>107</v>
      </c>
      <c r="F68" s="28">
        <f t="shared" si="13"/>
        <v>3356</v>
      </c>
      <c r="G68" s="28">
        <v>12696</v>
      </c>
      <c r="H68" s="28">
        <v>6342</v>
      </c>
      <c r="I68" s="28">
        <v>690</v>
      </c>
      <c r="J68" s="28">
        <f t="shared" si="14"/>
        <v>5664</v>
      </c>
      <c r="K68" s="28">
        <v>28</v>
      </c>
      <c r="L68" s="28">
        <v>0</v>
      </c>
      <c r="M68" s="28">
        <v>391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50362</v>
      </c>
      <c r="D69" s="29">
        <f t="shared" si="15"/>
        <v>25965</v>
      </c>
      <c r="E69" s="29">
        <f t="shared" si="15"/>
        <v>2127</v>
      </c>
      <c r="F69" s="29">
        <f t="shared" si="15"/>
        <v>22270</v>
      </c>
      <c r="G69" s="29">
        <f t="shared" si="15"/>
        <v>178893</v>
      </c>
      <c r="H69" s="29">
        <f t="shared" si="15"/>
        <v>68970</v>
      </c>
      <c r="I69" s="29">
        <f t="shared" si="15"/>
        <v>11956</v>
      </c>
      <c r="J69" s="29">
        <f t="shared" si="15"/>
        <v>97967</v>
      </c>
      <c r="K69" s="29">
        <f t="shared" si="15"/>
        <v>2948</v>
      </c>
      <c r="L69" s="29">
        <f t="shared" si="15"/>
        <v>7</v>
      </c>
      <c r="M69" s="29">
        <f t="shared" si="15"/>
        <v>19612</v>
      </c>
      <c r="N69" s="29">
        <f t="shared" si="15"/>
        <v>895</v>
      </c>
      <c r="O69" s="29">
        <f t="shared" si="15"/>
        <v>895</v>
      </c>
    </row>
    <row r="70" spans="1:15" ht="12.75" customHeight="1">
      <c r="A70" s="4" t="s">
        <v>129</v>
      </c>
      <c r="B70" s="5" t="s">
        <v>130</v>
      </c>
      <c r="C70" s="28">
        <v>3391</v>
      </c>
      <c r="D70" s="28">
        <v>2414</v>
      </c>
      <c r="E70" s="28">
        <v>243</v>
      </c>
      <c r="F70" s="28">
        <f t="shared" ref="F70:F79" si="16">SUM(C70-D70-E70)</f>
        <v>734</v>
      </c>
      <c r="G70" s="28">
        <v>11402</v>
      </c>
      <c r="H70" s="28">
        <v>6220</v>
      </c>
      <c r="I70" s="28">
        <v>1721</v>
      </c>
      <c r="J70" s="28">
        <f t="shared" ref="J70:J79" si="17">SUM(G70-H70-I70)</f>
        <v>3461</v>
      </c>
      <c r="K70" s="28">
        <v>138</v>
      </c>
      <c r="L70" s="28">
        <v>16</v>
      </c>
      <c r="M70" s="28">
        <v>757</v>
      </c>
      <c r="N70" s="28">
        <v>7</v>
      </c>
      <c r="O70" s="28">
        <v>7</v>
      </c>
    </row>
    <row r="71" spans="1:15" ht="12.75" customHeight="1">
      <c r="A71" s="4" t="s">
        <v>131</v>
      </c>
      <c r="B71" s="5" t="s">
        <v>132</v>
      </c>
      <c r="C71" s="28">
        <v>12899</v>
      </c>
      <c r="D71" s="28">
        <v>8072</v>
      </c>
      <c r="E71" s="28">
        <v>485</v>
      </c>
      <c r="F71" s="28">
        <f t="shared" si="16"/>
        <v>4342</v>
      </c>
      <c r="G71" s="28">
        <v>30648</v>
      </c>
      <c r="H71" s="28">
        <v>14782</v>
      </c>
      <c r="I71" s="28">
        <v>2330</v>
      </c>
      <c r="J71" s="28">
        <f t="shared" si="17"/>
        <v>13536</v>
      </c>
      <c r="K71" s="28">
        <v>501</v>
      </c>
      <c r="L71" s="28">
        <v>0</v>
      </c>
      <c r="M71" s="28">
        <v>1004</v>
      </c>
      <c r="N71" s="28">
        <v>2543</v>
      </c>
      <c r="O71" s="28">
        <v>2543</v>
      </c>
    </row>
    <row r="72" spans="1:15" ht="12.75" customHeight="1">
      <c r="A72" s="4" t="s">
        <v>133</v>
      </c>
      <c r="B72" s="5" t="s">
        <v>134</v>
      </c>
      <c r="C72" s="28">
        <v>2579</v>
      </c>
      <c r="D72" s="28">
        <v>1732</v>
      </c>
      <c r="E72" s="28">
        <v>0</v>
      </c>
      <c r="F72" s="28">
        <f t="shared" si="16"/>
        <v>847</v>
      </c>
      <c r="G72" s="28">
        <v>7971</v>
      </c>
      <c r="H72" s="28">
        <v>4503</v>
      </c>
      <c r="I72" s="28">
        <v>0</v>
      </c>
      <c r="J72" s="28">
        <f t="shared" si="17"/>
        <v>3468</v>
      </c>
      <c r="K72" s="28">
        <v>221</v>
      </c>
      <c r="L72" s="28">
        <v>83</v>
      </c>
      <c r="M72" s="28">
        <v>1445</v>
      </c>
      <c r="N72" s="28">
        <v>61</v>
      </c>
      <c r="O72" s="28">
        <v>61</v>
      </c>
    </row>
    <row r="73" spans="1:15" ht="12.75" customHeight="1">
      <c r="A73" s="4" t="s">
        <v>135</v>
      </c>
      <c r="B73" s="5" t="s">
        <v>136</v>
      </c>
      <c r="C73" s="28">
        <v>5600</v>
      </c>
      <c r="D73" s="28">
        <v>4106</v>
      </c>
      <c r="E73" s="28">
        <v>55</v>
      </c>
      <c r="F73" s="28">
        <f t="shared" si="16"/>
        <v>1439</v>
      </c>
      <c r="G73" s="28">
        <v>15511</v>
      </c>
      <c r="H73" s="28">
        <v>9701</v>
      </c>
      <c r="I73" s="28">
        <v>175</v>
      </c>
      <c r="J73" s="28">
        <f t="shared" si="17"/>
        <v>5635</v>
      </c>
      <c r="K73" s="28">
        <v>261</v>
      </c>
      <c r="L73" s="28">
        <v>0</v>
      </c>
      <c r="M73" s="28">
        <v>737</v>
      </c>
      <c r="N73" s="28">
        <v>3517</v>
      </c>
      <c r="O73" s="28">
        <v>3517</v>
      </c>
    </row>
    <row r="74" spans="1:15" ht="12.75" customHeight="1">
      <c r="A74" s="4" t="s">
        <v>137</v>
      </c>
      <c r="B74" s="5" t="s">
        <v>138</v>
      </c>
      <c r="C74" s="28">
        <v>4936</v>
      </c>
      <c r="D74" s="28">
        <v>3650</v>
      </c>
      <c r="E74" s="28">
        <v>183</v>
      </c>
      <c r="F74" s="28">
        <f t="shared" si="16"/>
        <v>1103</v>
      </c>
      <c r="G74" s="28">
        <v>10640</v>
      </c>
      <c r="H74" s="28">
        <v>6380</v>
      </c>
      <c r="I74" s="28">
        <v>721</v>
      </c>
      <c r="J74" s="28">
        <f t="shared" si="17"/>
        <v>3539</v>
      </c>
      <c r="K74" s="28">
        <v>193</v>
      </c>
      <c r="L74" s="28">
        <v>0</v>
      </c>
      <c r="M74" s="28">
        <v>205</v>
      </c>
      <c r="N74" s="28">
        <v>317</v>
      </c>
      <c r="O74" s="28">
        <v>317</v>
      </c>
    </row>
    <row r="75" spans="1:15" ht="12.75" customHeight="1">
      <c r="A75" s="4" t="s">
        <v>139</v>
      </c>
      <c r="B75" s="5" t="s">
        <v>140</v>
      </c>
      <c r="C75" s="28">
        <v>2282</v>
      </c>
      <c r="D75" s="28">
        <v>2098</v>
      </c>
      <c r="E75" s="28">
        <v>45</v>
      </c>
      <c r="F75" s="28">
        <f t="shared" si="16"/>
        <v>139</v>
      </c>
      <c r="G75" s="28">
        <v>4370</v>
      </c>
      <c r="H75" s="28">
        <v>3610</v>
      </c>
      <c r="I75" s="28">
        <v>324</v>
      </c>
      <c r="J75" s="28">
        <f t="shared" si="17"/>
        <v>436</v>
      </c>
      <c r="K75" s="28">
        <v>21</v>
      </c>
      <c r="L75" s="28">
        <v>0</v>
      </c>
      <c r="M75" s="28">
        <v>9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4922</v>
      </c>
      <c r="D76" s="28">
        <v>3407</v>
      </c>
      <c r="E76" s="28">
        <v>95</v>
      </c>
      <c r="F76" s="28">
        <f t="shared" si="16"/>
        <v>1420</v>
      </c>
      <c r="G76" s="28">
        <v>13047</v>
      </c>
      <c r="H76" s="28">
        <v>8028</v>
      </c>
      <c r="I76" s="28">
        <v>344</v>
      </c>
      <c r="J76" s="28">
        <f t="shared" si="17"/>
        <v>4675</v>
      </c>
      <c r="K76" s="28">
        <v>186</v>
      </c>
      <c r="L76" s="28">
        <v>0</v>
      </c>
      <c r="M76" s="28">
        <v>444</v>
      </c>
      <c r="N76" s="28">
        <v>105</v>
      </c>
      <c r="O76" s="28">
        <v>105</v>
      </c>
    </row>
    <row r="77" spans="1:15" ht="12.75" customHeight="1">
      <c r="A77" s="4" t="s">
        <v>143</v>
      </c>
      <c r="B77" s="5" t="s">
        <v>144</v>
      </c>
      <c r="C77" s="28">
        <v>3850</v>
      </c>
      <c r="D77" s="28">
        <v>2273</v>
      </c>
      <c r="E77" s="28">
        <v>67</v>
      </c>
      <c r="F77" s="28">
        <f t="shared" si="16"/>
        <v>1510</v>
      </c>
      <c r="G77" s="28">
        <v>9122</v>
      </c>
      <c r="H77" s="28">
        <v>4807</v>
      </c>
      <c r="I77" s="28">
        <v>229</v>
      </c>
      <c r="J77" s="28">
        <f t="shared" si="17"/>
        <v>4086</v>
      </c>
      <c r="K77" s="28">
        <v>321</v>
      </c>
      <c r="L77" s="28">
        <v>0</v>
      </c>
      <c r="M77" s="28">
        <v>495</v>
      </c>
      <c r="N77" s="28">
        <v>24</v>
      </c>
      <c r="O77" s="28">
        <v>24</v>
      </c>
    </row>
    <row r="78" spans="1:15" ht="12.75" customHeight="1">
      <c r="A78" s="4" t="s">
        <v>145</v>
      </c>
      <c r="B78" s="5" t="s">
        <v>146</v>
      </c>
      <c r="C78" s="28">
        <v>2691</v>
      </c>
      <c r="D78" s="28">
        <v>1805</v>
      </c>
      <c r="E78" s="28">
        <v>0</v>
      </c>
      <c r="F78" s="28">
        <f t="shared" si="16"/>
        <v>886</v>
      </c>
      <c r="G78" s="28">
        <v>5774</v>
      </c>
      <c r="H78" s="28">
        <v>3687</v>
      </c>
      <c r="I78" s="28">
        <v>0</v>
      </c>
      <c r="J78" s="28">
        <f t="shared" si="17"/>
        <v>2087</v>
      </c>
      <c r="K78" s="28">
        <v>30</v>
      </c>
      <c r="L78" s="28">
        <v>0</v>
      </c>
      <c r="M78" s="28">
        <v>16</v>
      </c>
      <c r="N78" s="28">
        <v>87</v>
      </c>
      <c r="O78" s="28">
        <v>87</v>
      </c>
    </row>
    <row r="79" spans="1:15" ht="12.75" customHeight="1">
      <c r="A79" s="4" t="s">
        <v>147</v>
      </c>
      <c r="B79" s="5" t="s">
        <v>148</v>
      </c>
      <c r="C79" s="28">
        <v>2914</v>
      </c>
      <c r="D79" s="28">
        <v>2152</v>
      </c>
      <c r="E79" s="28">
        <v>79</v>
      </c>
      <c r="F79" s="28">
        <f t="shared" si="16"/>
        <v>683</v>
      </c>
      <c r="G79" s="28">
        <v>9978</v>
      </c>
      <c r="H79" s="28">
        <v>5516</v>
      </c>
      <c r="I79" s="28">
        <v>522</v>
      </c>
      <c r="J79" s="28">
        <f t="shared" si="17"/>
        <v>3940</v>
      </c>
      <c r="K79" s="28">
        <v>278</v>
      </c>
      <c r="L79" s="28">
        <v>0</v>
      </c>
      <c r="M79" s="28">
        <v>1126</v>
      </c>
      <c r="N79" s="28">
        <v>63</v>
      </c>
      <c r="O79" s="28">
        <v>63</v>
      </c>
    </row>
    <row r="80" spans="1:15" ht="12.75" customHeight="1">
      <c r="A80" s="8"/>
      <c r="B80" s="9" t="s">
        <v>149</v>
      </c>
      <c r="C80" s="29">
        <f t="shared" ref="C80:O80" si="18">SUM(C70:C79)</f>
        <v>46064</v>
      </c>
      <c r="D80" s="29">
        <f t="shared" si="18"/>
        <v>31709</v>
      </c>
      <c r="E80" s="29">
        <f t="shared" si="18"/>
        <v>1252</v>
      </c>
      <c r="F80" s="29">
        <f t="shared" si="18"/>
        <v>13103</v>
      </c>
      <c r="G80" s="29">
        <f t="shared" si="18"/>
        <v>118463</v>
      </c>
      <c r="H80" s="29">
        <f t="shared" si="18"/>
        <v>67234</v>
      </c>
      <c r="I80" s="29">
        <f t="shared" si="18"/>
        <v>6366</v>
      </c>
      <c r="J80" s="29">
        <f t="shared" si="18"/>
        <v>44863</v>
      </c>
      <c r="K80" s="29">
        <f t="shared" si="18"/>
        <v>2150</v>
      </c>
      <c r="L80" s="29">
        <f t="shared" si="18"/>
        <v>99</v>
      </c>
      <c r="M80" s="29">
        <f t="shared" si="18"/>
        <v>6238</v>
      </c>
      <c r="N80" s="29">
        <f t="shared" si="18"/>
        <v>6724</v>
      </c>
      <c r="O80" s="29">
        <f t="shared" si="18"/>
        <v>6724</v>
      </c>
    </row>
    <row r="81" spans="1:15" ht="12.75" customHeight="1">
      <c r="A81" s="4" t="s">
        <v>150</v>
      </c>
      <c r="B81" s="5" t="s">
        <v>151</v>
      </c>
      <c r="C81" s="28">
        <v>4944</v>
      </c>
      <c r="D81" s="28">
        <v>3028</v>
      </c>
      <c r="E81" s="28">
        <v>140</v>
      </c>
      <c r="F81" s="28">
        <f>SUM(C81-D81-E81)</f>
        <v>1776</v>
      </c>
      <c r="G81" s="28">
        <v>19357</v>
      </c>
      <c r="H81" s="28">
        <v>9897</v>
      </c>
      <c r="I81" s="28">
        <v>1006</v>
      </c>
      <c r="J81" s="28">
        <f>SUM(G81-H81-I81)</f>
        <v>8454</v>
      </c>
      <c r="K81" s="28">
        <v>81</v>
      </c>
      <c r="L81" s="28">
        <v>212</v>
      </c>
      <c r="M81" s="28">
        <v>1295</v>
      </c>
      <c r="N81" s="28">
        <v>142</v>
      </c>
      <c r="O81" s="28">
        <v>142</v>
      </c>
    </row>
    <row r="82" spans="1:15" ht="12.75" customHeight="1">
      <c r="A82" s="4" t="s">
        <v>152</v>
      </c>
      <c r="B82" s="5" t="s">
        <v>153</v>
      </c>
      <c r="C82" s="28">
        <v>1832</v>
      </c>
      <c r="D82" s="28">
        <v>1307</v>
      </c>
      <c r="E82" s="28">
        <v>36</v>
      </c>
      <c r="F82" s="28">
        <f>SUM(C82-D82-E82)</f>
        <v>489</v>
      </c>
      <c r="G82" s="28">
        <v>8966</v>
      </c>
      <c r="H82" s="28">
        <v>4206</v>
      </c>
      <c r="I82" s="28">
        <v>234</v>
      </c>
      <c r="J82" s="28">
        <f>SUM(G82-H82-I82)</f>
        <v>4526</v>
      </c>
      <c r="K82" s="28">
        <v>35</v>
      </c>
      <c r="L82" s="28">
        <v>0</v>
      </c>
      <c r="M82" s="28">
        <v>1243</v>
      </c>
      <c r="N82" s="28">
        <v>97</v>
      </c>
      <c r="O82" s="28">
        <v>97</v>
      </c>
    </row>
    <row r="83" spans="1:15" ht="12.75" customHeight="1">
      <c r="A83" s="4" t="s">
        <v>154</v>
      </c>
      <c r="B83" s="5" t="s">
        <v>155</v>
      </c>
      <c r="C83" s="28">
        <v>622</v>
      </c>
      <c r="D83" s="28">
        <v>591</v>
      </c>
      <c r="E83" s="28">
        <v>27</v>
      </c>
      <c r="F83" s="28">
        <f>SUM(C83-D83-E83)</f>
        <v>4</v>
      </c>
      <c r="G83" s="28">
        <v>2443</v>
      </c>
      <c r="H83" s="28">
        <v>1914</v>
      </c>
      <c r="I83" s="28">
        <v>222</v>
      </c>
      <c r="J83" s="28">
        <f>SUM(G83-H83-I83)</f>
        <v>307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2010</v>
      </c>
      <c r="D84" s="28">
        <v>1743</v>
      </c>
      <c r="E84" s="28">
        <v>27</v>
      </c>
      <c r="F84" s="28">
        <f>SUM(C84-D84-E84)</f>
        <v>240</v>
      </c>
      <c r="G84" s="28">
        <v>8991</v>
      </c>
      <c r="H84" s="28">
        <v>5616</v>
      </c>
      <c r="I84" s="28">
        <v>204</v>
      </c>
      <c r="J84" s="28">
        <f>SUM(G84-H84-I84)</f>
        <v>3171</v>
      </c>
      <c r="K84" s="28">
        <v>78</v>
      </c>
      <c r="L84" s="28">
        <v>0</v>
      </c>
      <c r="M84" s="28">
        <v>794</v>
      </c>
      <c r="N84" s="28">
        <v>31</v>
      </c>
      <c r="O84" s="28">
        <v>31</v>
      </c>
    </row>
    <row r="85" spans="1:15" ht="12.75" customHeight="1">
      <c r="A85" s="4" t="s">
        <v>158</v>
      </c>
      <c r="B85" s="5" t="s">
        <v>159</v>
      </c>
      <c r="C85" s="28">
        <v>2971</v>
      </c>
      <c r="D85" s="28">
        <v>2318</v>
      </c>
      <c r="E85" s="28">
        <v>112</v>
      </c>
      <c r="F85" s="28">
        <f>SUM(C85-D85-E85)</f>
        <v>541</v>
      </c>
      <c r="G85" s="28">
        <v>9318</v>
      </c>
      <c r="H85" s="28">
        <v>6069</v>
      </c>
      <c r="I85" s="28">
        <v>534</v>
      </c>
      <c r="J85" s="28">
        <f>SUM(G85-H85-I85)</f>
        <v>2715</v>
      </c>
      <c r="K85" s="28">
        <v>87</v>
      </c>
      <c r="L85" s="28">
        <v>84</v>
      </c>
      <c r="M85" s="28">
        <v>712</v>
      </c>
      <c r="N85" s="28">
        <v>1696</v>
      </c>
      <c r="O85" s="28">
        <v>1696</v>
      </c>
    </row>
    <row r="86" spans="1:15" ht="12.75" customHeight="1">
      <c r="A86" s="8"/>
      <c r="B86" s="9" t="s">
        <v>160</v>
      </c>
      <c r="C86" s="29">
        <f t="shared" ref="C86:O86" si="19">SUM(C81:C85)</f>
        <v>12379</v>
      </c>
      <c r="D86" s="29">
        <f t="shared" si="19"/>
        <v>8987</v>
      </c>
      <c r="E86" s="29">
        <f t="shared" si="19"/>
        <v>342</v>
      </c>
      <c r="F86" s="29">
        <f t="shared" si="19"/>
        <v>3050</v>
      </c>
      <c r="G86" s="29">
        <f t="shared" si="19"/>
        <v>49075</v>
      </c>
      <c r="H86" s="29">
        <f t="shared" si="19"/>
        <v>27702</v>
      </c>
      <c r="I86" s="29">
        <f t="shared" si="19"/>
        <v>2200</v>
      </c>
      <c r="J86" s="29">
        <f t="shared" si="19"/>
        <v>19173</v>
      </c>
      <c r="K86" s="29">
        <f t="shared" si="19"/>
        <v>281</v>
      </c>
      <c r="L86" s="29">
        <f t="shared" si="19"/>
        <v>296</v>
      </c>
      <c r="M86" s="29">
        <f t="shared" si="19"/>
        <v>4044</v>
      </c>
      <c r="N86" s="29">
        <f t="shared" si="19"/>
        <v>1966</v>
      </c>
      <c r="O86" s="29">
        <f t="shared" si="19"/>
        <v>1966</v>
      </c>
    </row>
    <row r="87" spans="1:15" ht="12.75" customHeight="1">
      <c r="A87" s="4" t="s">
        <v>161</v>
      </c>
      <c r="B87" s="5" t="s">
        <v>162</v>
      </c>
      <c r="C87" s="28">
        <v>5093</v>
      </c>
      <c r="D87" s="28">
        <v>3925</v>
      </c>
      <c r="E87" s="28">
        <v>0</v>
      </c>
      <c r="F87" s="28">
        <f>SUM(C87-D87-E87)</f>
        <v>1168</v>
      </c>
      <c r="G87" s="28">
        <v>21925</v>
      </c>
      <c r="H87" s="28">
        <v>11598</v>
      </c>
      <c r="I87" s="28">
        <v>0</v>
      </c>
      <c r="J87" s="28">
        <f>SUM(G87-H87-I87)</f>
        <v>10327</v>
      </c>
      <c r="K87" s="28">
        <v>68</v>
      </c>
      <c r="L87" s="28">
        <v>0</v>
      </c>
      <c r="M87" s="28">
        <v>1826</v>
      </c>
      <c r="N87" s="28">
        <v>100</v>
      </c>
      <c r="O87" s="28">
        <v>100</v>
      </c>
    </row>
    <row r="88" spans="1:15" ht="12.75" customHeight="1">
      <c r="A88" s="4" t="s">
        <v>163</v>
      </c>
      <c r="B88" s="5" t="s">
        <v>164</v>
      </c>
      <c r="C88" s="28">
        <v>3936</v>
      </c>
      <c r="D88" s="28">
        <v>1969</v>
      </c>
      <c r="E88" s="28">
        <v>185</v>
      </c>
      <c r="F88" s="28">
        <f>SUM(C88-D88-E88)</f>
        <v>1782</v>
      </c>
      <c r="G88" s="28">
        <v>11535</v>
      </c>
      <c r="H88" s="28">
        <v>4636</v>
      </c>
      <c r="I88" s="28">
        <v>1190</v>
      </c>
      <c r="J88" s="28">
        <f>SUM(G88-H88-I88)</f>
        <v>5709</v>
      </c>
      <c r="K88" s="28">
        <v>14</v>
      </c>
      <c r="L88" s="28">
        <v>0</v>
      </c>
      <c r="M88" s="28">
        <v>606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9029</v>
      </c>
      <c r="D89" s="29">
        <f t="shared" si="20"/>
        <v>5894</v>
      </c>
      <c r="E89" s="29">
        <f t="shared" si="20"/>
        <v>185</v>
      </c>
      <c r="F89" s="29">
        <f t="shared" si="20"/>
        <v>2950</v>
      </c>
      <c r="G89" s="29">
        <f t="shared" si="20"/>
        <v>33460</v>
      </c>
      <c r="H89" s="29">
        <f t="shared" si="20"/>
        <v>16234</v>
      </c>
      <c r="I89" s="29">
        <f t="shared" si="20"/>
        <v>1190</v>
      </c>
      <c r="J89" s="29">
        <f t="shared" si="20"/>
        <v>16036</v>
      </c>
      <c r="K89" s="29">
        <f t="shared" si="20"/>
        <v>82</v>
      </c>
      <c r="L89" s="29">
        <f t="shared" si="20"/>
        <v>0</v>
      </c>
      <c r="M89" s="29">
        <f t="shared" si="20"/>
        <v>2432</v>
      </c>
      <c r="N89" s="29">
        <f t="shared" si="20"/>
        <v>100</v>
      </c>
      <c r="O89" s="29">
        <f t="shared" si="20"/>
        <v>100</v>
      </c>
    </row>
    <row r="90" spans="1:15" ht="12.75" customHeight="1">
      <c r="A90" s="4" t="s">
        <v>166</v>
      </c>
      <c r="B90" s="5" t="s">
        <v>167</v>
      </c>
      <c r="C90" s="28">
        <v>5701</v>
      </c>
      <c r="D90" s="28">
        <v>2737</v>
      </c>
      <c r="E90" s="28">
        <v>355</v>
      </c>
      <c r="F90" s="28">
        <f>SUM(C90-D90-E90)</f>
        <v>2609</v>
      </c>
      <c r="G90" s="28">
        <v>24589</v>
      </c>
      <c r="H90" s="28">
        <v>8577</v>
      </c>
      <c r="I90" s="28">
        <v>2171</v>
      </c>
      <c r="J90" s="28">
        <f>SUM(G90-H90-I90)</f>
        <v>13841</v>
      </c>
      <c r="K90" s="28">
        <v>54</v>
      </c>
      <c r="L90" s="28">
        <v>0</v>
      </c>
      <c r="M90" s="28">
        <v>1921</v>
      </c>
      <c r="N90" s="28">
        <v>41</v>
      </c>
      <c r="O90" s="28">
        <v>41</v>
      </c>
    </row>
    <row r="91" spans="1:15" ht="12.75" customHeight="1">
      <c r="A91" s="4" t="s">
        <v>168</v>
      </c>
      <c r="B91" s="5" t="s">
        <v>169</v>
      </c>
      <c r="C91" s="28">
        <v>5148</v>
      </c>
      <c r="D91" s="28">
        <v>3802</v>
      </c>
      <c r="E91" s="28">
        <v>0</v>
      </c>
      <c r="F91" s="28">
        <f>SUM(C91-D91-E91)</f>
        <v>1346</v>
      </c>
      <c r="G91" s="28">
        <v>21802</v>
      </c>
      <c r="H91" s="28">
        <v>9574</v>
      </c>
      <c r="I91" s="28">
        <v>0</v>
      </c>
      <c r="J91" s="28">
        <f>SUM(G91-H91-I91)</f>
        <v>12228</v>
      </c>
      <c r="K91" s="28">
        <v>73</v>
      </c>
      <c r="L91" s="28">
        <v>18</v>
      </c>
      <c r="M91" s="28">
        <v>2726</v>
      </c>
      <c r="N91" s="28">
        <v>12</v>
      </c>
      <c r="O91" s="28">
        <v>12</v>
      </c>
    </row>
    <row r="92" spans="1:15" ht="12.75" customHeight="1">
      <c r="A92" s="4" t="s">
        <v>170</v>
      </c>
      <c r="B92" s="5" t="s">
        <v>171</v>
      </c>
      <c r="C92" s="28">
        <v>1061</v>
      </c>
      <c r="D92" s="28">
        <v>842</v>
      </c>
      <c r="E92" s="28">
        <v>146</v>
      </c>
      <c r="F92" s="28">
        <f>SUM(C92-D92-E92)</f>
        <v>73</v>
      </c>
      <c r="G92" s="28">
        <v>3909</v>
      </c>
      <c r="H92" s="28">
        <v>2156</v>
      </c>
      <c r="I92" s="28">
        <v>1116</v>
      </c>
      <c r="J92" s="28">
        <f>SUM(G92-H92-I92)</f>
        <v>637</v>
      </c>
      <c r="K92" s="28">
        <v>19</v>
      </c>
      <c r="L92" s="28">
        <v>0</v>
      </c>
      <c r="M92" s="28">
        <v>198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52738</v>
      </c>
      <c r="D93" s="28">
        <v>34744</v>
      </c>
      <c r="E93" s="28">
        <v>2378</v>
      </c>
      <c r="F93" s="28">
        <f>SUM(C93-D93-E93)</f>
        <v>15616</v>
      </c>
      <c r="G93" s="28">
        <v>154761</v>
      </c>
      <c r="H93" s="28">
        <v>60556</v>
      </c>
      <c r="I93" s="28">
        <v>8144</v>
      </c>
      <c r="J93" s="28">
        <f>SUM(G93-H93-I93)</f>
        <v>86061</v>
      </c>
      <c r="K93" s="28">
        <v>4723</v>
      </c>
      <c r="L93" s="28">
        <v>10</v>
      </c>
      <c r="M93" s="28">
        <v>8523</v>
      </c>
      <c r="N93" s="28">
        <v>406</v>
      </c>
      <c r="O93" s="28">
        <v>406</v>
      </c>
    </row>
    <row r="94" spans="1:15" ht="12.75" customHeight="1">
      <c r="A94" s="4" t="s">
        <v>174</v>
      </c>
      <c r="B94" s="5" t="s">
        <v>175</v>
      </c>
      <c r="C94" s="28">
        <v>3702</v>
      </c>
      <c r="D94" s="28">
        <v>1165</v>
      </c>
      <c r="E94" s="28">
        <v>84</v>
      </c>
      <c r="F94" s="28">
        <f>SUM(C94-D94-E94)</f>
        <v>2453</v>
      </c>
      <c r="G94" s="28">
        <v>10368</v>
      </c>
      <c r="H94" s="28">
        <v>3465</v>
      </c>
      <c r="I94" s="28">
        <v>644</v>
      </c>
      <c r="J94" s="28">
        <f>SUM(G94-H94-I94)</f>
        <v>6259</v>
      </c>
      <c r="K94" s="28">
        <v>92</v>
      </c>
      <c r="L94" s="28">
        <v>65</v>
      </c>
      <c r="M94" s="28">
        <v>1667</v>
      </c>
      <c r="N94" s="28">
        <v>71</v>
      </c>
      <c r="O94" s="28">
        <v>71</v>
      </c>
    </row>
    <row r="95" spans="1:15" ht="12.75" customHeight="1">
      <c r="A95" s="8"/>
      <c r="B95" s="9" t="s">
        <v>176</v>
      </c>
      <c r="C95" s="29">
        <f t="shared" ref="C95:O95" si="21">SUM(C90:C94)</f>
        <v>68350</v>
      </c>
      <c r="D95" s="29">
        <f t="shared" si="21"/>
        <v>43290</v>
      </c>
      <c r="E95" s="29">
        <f t="shared" si="21"/>
        <v>2963</v>
      </c>
      <c r="F95" s="29">
        <f t="shared" si="21"/>
        <v>22097</v>
      </c>
      <c r="G95" s="29">
        <f t="shared" si="21"/>
        <v>215429</v>
      </c>
      <c r="H95" s="29">
        <f t="shared" si="21"/>
        <v>84328</v>
      </c>
      <c r="I95" s="29">
        <f t="shared" si="21"/>
        <v>12075</v>
      </c>
      <c r="J95" s="29">
        <f t="shared" si="21"/>
        <v>119026</v>
      </c>
      <c r="K95" s="29">
        <f t="shared" si="21"/>
        <v>4961</v>
      </c>
      <c r="L95" s="29">
        <f t="shared" si="21"/>
        <v>93</v>
      </c>
      <c r="M95" s="29">
        <f t="shared" si="21"/>
        <v>15035</v>
      </c>
      <c r="N95" s="29">
        <f t="shared" si="21"/>
        <v>530</v>
      </c>
      <c r="O95" s="29">
        <f t="shared" si="21"/>
        <v>530</v>
      </c>
    </row>
    <row r="96" spans="1:15" ht="12.75" customHeight="1">
      <c r="A96" s="4" t="s">
        <v>177</v>
      </c>
      <c r="B96" s="5" t="s">
        <v>178</v>
      </c>
      <c r="C96" s="28">
        <v>1089</v>
      </c>
      <c r="D96" s="28">
        <v>797</v>
      </c>
      <c r="E96" s="28">
        <v>40</v>
      </c>
      <c r="F96" s="28">
        <f>SUM(C96-D96-E96)</f>
        <v>252</v>
      </c>
      <c r="G96" s="28">
        <v>5464</v>
      </c>
      <c r="H96" s="28">
        <v>3005</v>
      </c>
      <c r="I96" s="28">
        <v>272</v>
      </c>
      <c r="J96" s="28">
        <f>SUM(G96-H96-I96)</f>
        <v>2187</v>
      </c>
      <c r="K96" s="28">
        <v>0</v>
      </c>
      <c r="L96" s="28">
        <v>0</v>
      </c>
      <c r="M96" s="28">
        <v>791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356</v>
      </c>
      <c r="D97" s="28">
        <v>317</v>
      </c>
      <c r="E97" s="28">
        <v>0</v>
      </c>
      <c r="F97" s="28">
        <f>SUM(C97-D97-E97)</f>
        <v>39</v>
      </c>
      <c r="G97" s="28">
        <v>1355</v>
      </c>
      <c r="H97" s="28">
        <v>1089</v>
      </c>
      <c r="I97" s="28">
        <v>0</v>
      </c>
      <c r="J97" s="28">
        <f>SUM(G97-H97-I97)</f>
        <v>266</v>
      </c>
      <c r="K97" s="28">
        <v>0</v>
      </c>
      <c r="L97" s="28">
        <v>0</v>
      </c>
      <c r="M97" s="28">
        <v>31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1445</v>
      </c>
      <c r="D98" s="29">
        <f t="shared" si="22"/>
        <v>1114</v>
      </c>
      <c r="E98" s="29">
        <f t="shared" si="22"/>
        <v>40</v>
      </c>
      <c r="F98" s="29">
        <f t="shared" si="22"/>
        <v>291</v>
      </c>
      <c r="G98" s="29">
        <f t="shared" si="22"/>
        <v>6819</v>
      </c>
      <c r="H98" s="29">
        <f t="shared" si="22"/>
        <v>4094</v>
      </c>
      <c r="I98" s="29">
        <f t="shared" si="22"/>
        <v>272</v>
      </c>
      <c r="J98" s="29">
        <f t="shared" si="22"/>
        <v>2453</v>
      </c>
      <c r="K98" s="29">
        <f t="shared" si="22"/>
        <v>0</v>
      </c>
      <c r="L98" s="29">
        <f t="shared" si="22"/>
        <v>0</v>
      </c>
      <c r="M98" s="29">
        <f t="shared" si="22"/>
        <v>822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2781</v>
      </c>
      <c r="D99" s="28">
        <v>2220</v>
      </c>
      <c r="E99" s="28">
        <v>115</v>
      </c>
      <c r="F99" s="28">
        <f>SUM(C99-D99-E99)</f>
        <v>446</v>
      </c>
      <c r="G99" s="28">
        <v>12335</v>
      </c>
      <c r="H99" s="28">
        <v>7113</v>
      </c>
      <c r="I99" s="28">
        <v>746</v>
      </c>
      <c r="J99" s="28">
        <f>SUM(G99-H99-I99)</f>
        <v>4476</v>
      </c>
      <c r="K99" s="28">
        <v>3</v>
      </c>
      <c r="L99" s="28">
        <v>0</v>
      </c>
      <c r="M99" s="28">
        <v>1377</v>
      </c>
      <c r="N99" s="28">
        <v>14</v>
      </c>
      <c r="O99" s="28">
        <v>14</v>
      </c>
    </row>
    <row r="100" spans="1:15" ht="12.75" customHeight="1">
      <c r="A100" s="4" t="s">
        <v>184</v>
      </c>
      <c r="B100" s="5" t="s">
        <v>185</v>
      </c>
      <c r="C100" s="28">
        <v>2349</v>
      </c>
      <c r="D100" s="28">
        <v>1355</v>
      </c>
      <c r="E100" s="28">
        <v>97</v>
      </c>
      <c r="F100" s="28">
        <f>SUM(C100-D100-E100)</f>
        <v>897</v>
      </c>
      <c r="G100" s="28">
        <v>10096</v>
      </c>
      <c r="H100" s="28">
        <v>3599</v>
      </c>
      <c r="I100" s="28">
        <v>498</v>
      </c>
      <c r="J100" s="28">
        <f>SUM(G100-H100-I100)</f>
        <v>5999</v>
      </c>
      <c r="K100" s="28">
        <v>85</v>
      </c>
      <c r="L100" s="28">
        <v>0</v>
      </c>
      <c r="M100" s="28">
        <v>567</v>
      </c>
      <c r="N100" s="28">
        <v>13</v>
      </c>
      <c r="O100" s="28">
        <v>13</v>
      </c>
    </row>
    <row r="101" spans="1:15" ht="12.75" customHeight="1">
      <c r="A101" s="4" t="s">
        <v>186</v>
      </c>
      <c r="B101" s="5" t="s">
        <v>187</v>
      </c>
      <c r="C101" s="28">
        <v>1401</v>
      </c>
      <c r="D101" s="28">
        <v>1041</v>
      </c>
      <c r="E101" s="28">
        <v>0</v>
      </c>
      <c r="F101" s="28">
        <f>SUM(C101-D101-E101)</f>
        <v>360</v>
      </c>
      <c r="G101" s="28">
        <v>4169</v>
      </c>
      <c r="H101" s="28">
        <v>2823</v>
      </c>
      <c r="I101" s="28">
        <v>0</v>
      </c>
      <c r="J101" s="28">
        <f>SUM(G101-H101-I101)</f>
        <v>1346</v>
      </c>
      <c r="K101" s="28">
        <v>4</v>
      </c>
      <c r="L101" s="28">
        <v>0</v>
      </c>
      <c r="M101" s="28">
        <v>457</v>
      </c>
      <c r="N101" s="28">
        <v>43</v>
      </c>
      <c r="O101" s="28">
        <v>43</v>
      </c>
    </row>
    <row r="102" spans="1:15" ht="12.75" customHeight="1">
      <c r="A102" s="4" t="s">
        <v>188</v>
      </c>
      <c r="B102" s="5" t="s">
        <v>189</v>
      </c>
      <c r="C102" s="28">
        <v>2315</v>
      </c>
      <c r="D102" s="28">
        <v>1862</v>
      </c>
      <c r="E102" s="28">
        <v>151</v>
      </c>
      <c r="F102" s="28">
        <f>SUM(C102-D102-E102)</f>
        <v>302</v>
      </c>
      <c r="G102" s="28">
        <v>8155</v>
      </c>
      <c r="H102" s="28">
        <v>4871</v>
      </c>
      <c r="I102" s="28">
        <v>1104</v>
      </c>
      <c r="J102" s="28">
        <f>SUM(G102-H102-I102)</f>
        <v>2180</v>
      </c>
      <c r="K102" s="28">
        <v>0</v>
      </c>
      <c r="L102" s="28">
        <v>0</v>
      </c>
      <c r="M102" s="28">
        <v>710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8846</v>
      </c>
      <c r="D103" s="29">
        <f t="shared" si="23"/>
        <v>6478</v>
      </c>
      <c r="E103" s="29">
        <f t="shared" si="23"/>
        <v>363</v>
      </c>
      <c r="F103" s="29">
        <f t="shared" si="23"/>
        <v>2005</v>
      </c>
      <c r="G103" s="29">
        <f t="shared" si="23"/>
        <v>34755</v>
      </c>
      <c r="H103" s="29">
        <f t="shared" si="23"/>
        <v>18406</v>
      </c>
      <c r="I103" s="29">
        <f t="shared" si="23"/>
        <v>2348</v>
      </c>
      <c r="J103" s="29">
        <f t="shared" si="23"/>
        <v>14001</v>
      </c>
      <c r="K103" s="29">
        <f t="shared" si="23"/>
        <v>92</v>
      </c>
      <c r="L103" s="29">
        <f t="shared" si="23"/>
        <v>0</v>
      </c>
      <c r="M103" s="29">
        <f t="shared" si="23"/>
        <v>3111</v>
      </c>
      <c r="N103" s="29">
        <f t="shared" si="23"/>
        <v>70</v>
      </c>
      <c r="O103" s="29">
        <f t="shared" si="23"/>
        <v>70</v>
      </c>
    </row>
    <row r="104" spans="1:15" ht="12.75" customHeight="1">
      <c r="A104" s="4" t="s">
        <v>191</v>
      </c>
      <c r="B104" s="5" t="s">
        <v>192</v>
      </c>
      <c r="C104" s="28">
        <v>1679</v>
      </c>
      <c r="D104" s="28">
        <v>1352</v>
      </c>
      <c r="E104" s="28">
        <v>71</v>
      </c>
      <c r="F104" s="28">
        <f>SUM(C104-D104-E104)</f>
        <v>256</v>
      </c>
      <c r="G104" s="28">
        <v>7340</v>
      </c>
      <c r="H104" s="28">
        <v>4556</v>
      </c>
      <c r="I104" s="28">
        <v>529</v>
      </c>
      <c r="J104" s="28">
        <f>SUM(G104-H104-I104)</f>
        <v>2255</v>
      </c>
      <c r="K104" s="28">
        <v>18</v>
      </c>
      <c r="L104" s="28">
        <v>0</v>
      </c>
      <c r="M104" s="28">
        <v>205</v>
      </c>
      <c r="N104" s="28">
        <v>28</v>
      </c>
      <c r="O104" s="28">
        <v>28</v>
      </c>
    </row>
    <row r="105" spans="1:15" ht="12.75" customHeight="1">
      <c r="A105" s="4" t="s">
        <v>193</v>
      </c>
      <c r="B105" s="5" t="s">
        <v>194</v>
      </c>
      <c r="C105" s="28">
        <v>1354</v>
      </c>
      <c r="D105" s="28">
        <v>768</v>
      </c>
      <c r="E105" s="28">
        <v>0</v>
      </c>
      <c r="F105" s="28">
        <f>SUM(C105-D105-E105)</f>
        <v>586</v>
      </c>
      <c r="G105" s="28">
        <v>5142</v>
      </c>
      <c r="H105" s="28">
        <v>2633</v>
      </c>
      <c r="I105" s="28">
        <v>0</v>
      </c>
      <c r="J105" s="28">
        <f>SUM(G105-H105-I105)</f>
        <v>2509</v>
      </c>
      <c r="K105" s="28">
        <v>0</v>
      </c>
      <c r="L105" s="28">
        <v>0</v>
      </c>
      <c r="M105" s="28">
        <v>528</v>
      </c>
      <c r="N105" s="28">
        <v>62</v>
      </c>
      <c r="O105" s="28">
        <v>62</v>
      </c>
    </row>
    <row r="106" spans="1:15" ht="12.75" customHeight="1">
      <c r="A106" s="4" t="s">
        <v>195</v>
      </c>
      <c r="B106" s="5" t="s">
        <v>196</v>
      </c>
      <c r="C106" s="28">
        <v>6444</v>
      </c>
      <c r="D106" s="28">
        <v>4102</v>
      </c>
      <c r="E106" s="28">
        <v>235</v>
      </c>
      <c r="F106" s="28">
        <f>SUM(C106-D106-E106)</f>
        <v>2107</v>
      </c>
      <c r="G106" s="28">
        <v>26003</v>
      </c>
      <c r="H106" s="28">
        <v>11473</v>
      </c>
      <c r="I106" s="28">
        <v>1391</v>
      </c>
      <c r="J106" s="28">
        <f>SUM(G106-H106-I106)</f>
        <v>13139</v>
      </c>
      <c r="K106" s="28">
        <v>16</v>
      </c>
      <c r="L106" s="28">
        <v>0</v>
      </c>
      <c r="M106" s="28">
        <v>5493</v>
      </c>
      <c r="N106" s="28">
        <v>57</v>
      </c>
      <c r="O106" s="28">
        <v>57</v>
      </c>
    </row>
    <row r="107" spans="1:15" ht="12.75" customHeight="1">
      <c r="A107" s="4" t="s">
        <v>197</v>
      </c>
      <c r="B107" s="5" t="s">
        <v>198</v>
      </c>
      <c r="C107" s="28">
        <v>21150</v>
      </c>
      <c r="D107" s="28">
        <v>14606</v>
      </c>
      <c r="E107" s="28">
        <v>611</v>
      </c>
      <c r="F107" s="28">
        <f>SUM(C107-D107-E107)</f>
        <v>5933</v>
      </c>
      <c r="G107" s="28">
        <v>62447</v>
      </c>
      <c r="H107" s="28">
        <v>28032</v>
      </c>
      <c r="I107" s="28">
        <v>1621</v>
      </c>
      <c r="J107" s="28">
        <f>SUM(G107-H107-I107)</f>
        <v>32794</v>
      </c>
      <c r="K107" s="28">
        <v>1913</v>
      </c>
      <c r="L107" s="28">
        <v>0</v>
      </c>
      <c r="M107" s="28">
        <v>1167</v>
      </c>
      <c r="N107" s="28">
        <v>1109</v>
      </c>
      <c r="O107" s="28">
        <v>1109</v>
      </c>
    </row>
    <row r="108" spans="1:15" ht="12.75" customHeight="1">
      <c r="A108" s="4" t="s">
        <v>199</v>
      </c>
      <c r="B108" s="5" t="s">
        <v>200</v>
      </c>
      <c r="C108" s="28">
        <v>6761</v>
      </c>
      <c r="D108" s="28">
        <v>3789</v>
      </c>
      <c r="E108" s="28">
        <v>217</v>
      </c>
      <c r="F108" s="28">
        <f>SUM(C108-D108-E108)</f>
        <v>2755</v>
      </c>
      <c r="G108" s="28">
        <v>41357</v>
      </c>
      <c r="H108" s="28">
        <v>11924</v>
      </c>
      <c r="I108" s="28">
        <v>1495</v>
      </c>
      <c r="J108" s="28">
        <f>SUM(G108-H108-I108)</f>
        <v>27938</v>
      </c>
      <c r="K108" s="28">
        <v>134</v>
      </c>
      <c r="L108" s="28">
        <v>0</v>
      </c>
      <c r="M108" s="28">
        <v>1100</v>
      </c>
      <c r="N108" s="28">
        <v>419</v>
      </c>
      <c r="O108" s="28">
        <v>419</v>
      </c>
    </row>
    <row r="109" spans="1:15" ht="12.75" customHeight="1">
      <c r="A109" s="8"/>
      <c r="B109" s="9" t="s">
        <v>201</v>
      </c>
      <c r="C109" s="29">
        <f t="shared" ref="C109:O109" si="24">SUM(C104:C108)</f>
        <v>37388</v>
      </c>
      <c r="D109" s="29">
        <f t="shared" si="24"/>
        <v>24617</v>
      </c>
      <c r="E109" s="29">
        <f t="shared" si="24"/>
        <v>1134</v>
      </c>
      <c r="F109" s="29">
        <f t="shared" si="24"/>
        <v>11637</v>
      </c>
      <c r="G109" s="29">
        <f t="shared" si="24"/>
        <v>142289</v>
      </c>
      <c r="H109" s="29">
        <f t="shared" si="24"/>
        <v>58618</v>
      </c>
      <c r="I109" s="29">
        <f t="shared" si="24"/>
        <v>5036</v>
      </c>
      <c r="J109" s="29">
        <f t="shared" si="24"/>
        <v>78635</v>
      </c>
      <c r="K109" s="29">
        <f t="shared" si="24"/>
        <v>2081</v>
      </c>
      <c r="L109" s="29">
        <f t="shared" si="24"/>
        <v>0</v>
      </c>
      <c r="M109" s="29">
        <f t="shared" si="24"/>
        <v>8493</v>
      </c>
      <c r="N109" s="29">
        <f t="shared" si="24"/>
        <v>1675</v>
      </c>
      <c r="O109" s="29">
        <f t="shared" si="24"/>
        <v>1675</v>
      </c>
    </row>
    <row r="110" spans="1:15" ht="12.75" customHeight="1">
      <c r="A110" s="4" t="s">
        <v>202</v>
      </c>
      <c r="B110" s="5" t="s">
        <v>203</v>
      </c>
      <c r="C110" s="28">
        <v>9880</v>
      </c>
      <c r="D110" s="28">
        <v>7806</v>
      </c>
      <c r="E110" s="28">
        <v>44</v>
      </c>
      <c r="F110" s="28">
        <f t="shared" ref="F110:F115" si="25">SUM(C110-D110-E110)</f>
        <v>2030</v>
      </c>
      <c r="G110" s="28">
        <v>41838</v>
      </c>
      <c r="H110" s="28">
        <v>26538</v>
      </c>
      <c r="I110" s="28">
        <v>617</v>
      </c>
      <c r="J110" s="28">
        <f t="shared" ref="J110:J115" si="26">SUM(G110-H110-I110)</f>
        <v>14683</v>
      </c>
      <c r="K110" s="28">
        <v>329</v>
      </c>
      <c r="L110" s="28">
        <v>0</v>
      </c>
      <c r="M110" s="28">
        <v>5372</v>
      </c>
      <c r="N110" s="28">
        <v>91</v>
      </c>
      <c r="O110" s="28">
        <v>91</v>
      </c>
    </row>
    <row r="111" spans="1:15" ht="12.75" customHeight="1">
      <c r="A111" s="4" t="s">
        <v>204</v>
      </c>
      <c r="B111" s="5" t="s">
        <v>205</v>
      </c>
      <c r="C111" s="28">
        <v>1278</v>
      </c>
      <c r="D111" s="28">
        <v>1192</v>
      </c>
      <c r="E111" s="28">
        <v>21</v>
      </c>
      <c r="F111" s="28">
        <f t="shared" si="25"/>
        <v>65</v>
      </c>
      <c r="G111" s="28">
        <v>4114</v>
      </c>
      <c r="H111" s="28">
        <v>3696</v>
      </c>
      <c r="I111" s="28">
        <v>190</v>
      </c>
      <c r="J111" s="28">
        <f t="shared" si="26"/>
        <v>228</v>
      </c>
      <c r="K111" s="28">
        <v>0</v>
      </c>
      <c r="L111" s="28">
        <v>0</v>
      </c>
      <c r="M111" s="28">
        <v>165</v>
      </c>
      <c r="N111" s="28">
        <v>52</v>
      </c>
      <c r="O111" s="28">
        <v>52</v>
      </c>
    </row>
    <row r="112" spans="1:15" ht="12.75" customHeight="1">
      <c r="A112" s="4" t="s">
        <v>206</v>
      </c>
      <c r="B112" s="5" t="s">
        <v>207</v>
      </c>
      <c r="C112" s="28">
        <v>3215</v>
      </c>
      <c r="D112" s="28">
        <v>2379</v>
      </c>
      <c r="E112" s="28">
        <v>0</v>
      </c>
      <c r="F112" s="28">
        <f t="shared" si="25"/>
        <v>836</v>
      </c>
      <c r="G112" s="28">
        <v>11052</v>
      </c>
      <c r="H112" s="28">
        <v>7225</v>
      </c>
      <c r="I112" s="28">
        <v>0</v>
      </c>
      <c r="J112" s="28">
        <f t="shared" si="26"/>
        <v>3827</v>
      </c>
      <c r="K112" s="28">
        <v>2975</v>
      </c>
      <c r="L112" s="28">
        <v>0</v>
      </c>
      <c r="M112" s="28">
        <v>1253</v>
      </c>
      <c r="N112" s="28">
        <v>54</v>
      </c>
      <c r="O112" s="28">
        <v>54</v>
      </c>
    </row>
    <row r="113" spans="1:15" ht="12.75" customHeight="1">
      <c r="A113" s="4" t="s">
        <v>208</v>
      </c>
      <c r="B113" s="5" t="s">
        <v>209</v>
      </c>
      <c r="C113" s="28">
        <v>2945</v>
      </c>
      <c r="D113" s="28">
        <v>1906</v>
      </c>
      <c r="E113" s="28">
        <v>30</v>
      </c>
      <c r="F113" s="28">
        <f t="shared" si="25"/>
        <v>1009</v>
      </c>
      <c r="G113" s="28">
        <v>12380</v>
      </c>
      <c r="H113" s="28">
        <v>6065</v>
      </c>
      <c r="I113" s="28">
        <v>182</v>
      </c>
      <c r="J113" s="28">
        <f t="shared" si="26"/>
        <v>6133</v>
      </c>
      <c r="K113" s="28">
        <v>93</v>
      </c>
      <c r="L113" s="28">
        <v>0</v>
      </c>
      <c r="M113" s="28">
        <v>3131</v>
      </c>
      <c r="N113" s="28">
        <v>109</v>
      </c>
      <c r="O113" s="28">
        <v>109</v>
      </c>
    </row>
    <row r="114" spans="1:15" ht="12.75" customHeight="1">
      <c r="A114" s="4" t="s">
        <v>210</v>
      </c>
      <c r="B114" s="5" t="s">
        <v>211</v>
      </c>
      <c r="C114" s="28">
        <v>7173</v>
      </c>
      <c r="D114" s="28">
        <v>5202</v>
      </c>
      <c r="E114" s="28">
        <v>0</v>
      </c>
      <c r="F114" s="28">
        <f t="shared" si="25"/>
        <v>1971</v>
      </c>
      <c r="G114" s="28">
        <v>21020</v>
      </c>
      <c r="H114" s="28">
        <v>12253</v>
      </c>
      <c r="I114" s="28">
        <v>0</v>
      </c>
      <c r="J114" s="28">
        <f t="shared" si="26"/>
        <v>8767</v>
      </c>
      <c r="K114" s="28">
        <v>642</v>
      </c>
      <c r="L114" s="28">
        <v>0</v>
      </c>
      <c r="M114" s="28">
        <v>2415</v>
      </c>
      <c r="N114" s="28">
        <v>254</v>
      </c>
      <c r="O114" s="28">
        <v>254</v>
      </c>
    </row>
    <row r="115" spans="1:15" ht="12.75" customHeight="1">
      <c r="A115" s="4" t="s">
        <v>212</v>
      </c>
      <c r="B115" s="5" t="s">
        <v>213</v>
      </c>
      <c r="C115" s="28">
        <v>4865</v>
      </c>
      <c r="D115" s="28">
        <v>4145</v>
      </c>
      <c r="E115" s="28">
        <v>0</v>
      </c>
      <c r="F115" s="28">
        <f t="shared" si="25"/>
        <v>720</v>
      </c>
      <c r="G115" s="28">
        <v>16109</v>
      </c>
      <c r="H115" s="28">
        <v>12368</v>
      </c>
      <c r="I115" s="28">
        <v>0</v>
      </c>
      <c r="J115" s="28">
        <f t="shared" si="26"/>
        <v>3741</v>
      </c>
      <c r="K115" s="28">
        <v>326</v>
      </c>
      <c r="L115" s="28">
        <v>0</v>
      </c>
      <c r="M115" s="28">
        <v>1919</v>
      </c>
      <c r="N115" s="28">
        <v>161</v>
      </c>
      <c r="O115" s="28">
        <v>161</v>
      </c>
    </row>
    <row r="116" spans="1:15" ht="12.75" customHeight="1">
      <c r="A116" s="8"/>
      <c r="B116" s="9" t="s">
        <v>214</v>
      </c>
      <c r="C116" s="29">
        <f t="shared" ref="C116:O116" si="27">SUM(C110:C115)</f>
        <v>29356</v>
      </c>
      <c r="D116" s="29">
        <f t="shared" si="27"/>
        <v>22630</v>
      </c>
      <c r="E116" s="29">
        <f t="shared" si="27"/>
        <v>95</v>
      </c>
      <c r="F116" s="29">
        <f t="shared" si="27"/>
        <v>6631</v>
      </c>
      <c r="G116" s="29">
        <f t="shared" si="27"/>
        <v>106513</v>
      </c>
      <c r="H116" s="29">
        <f t="shared" si="27"/>
        <v>68145</v>
      </c>
      <c r="I116" s="29">
        <f t="shared" si="27"/>
        <v>989</v>
      </c>
      <c r="J116" s="29">
        <f t="shared" si="27"/>
        <v>37379</v>
      </c>
      <c r="K116" s="29">
        <f t="shared" si="27"/>
        <v>4365</v>
      </c>
      <c r="L116" s="29">
        <f t="shared" si="27"/>
        <v>0</v>
      </c>
      <c r="M116" s="29">
        <f t="shared" si="27"/>
        <v>14255</v>
      </c>
      <c r="N116" s="29">
        <f t="shared" si="27"/>
        <v>721</v>
      </c>
      <c r="O116" s="29">
        <f t="shared" si="27"/>
        <v>721</v>
      </c>
    </row>
    <row r="117" spans="1:15" ht="12.75" customHeight="1">
      <c r="A117" s="4" t="s">
        <v>215</v>
      </c>
      <c r="B117" s="5" t="s">
        <v>216</v>
      </c>
      <c r="C117" s="28">
        <v>1123</v>
      </c>
      <c r="D117" s="28">
        <v>783</v>
      </c>
      <c r="E117" s="28">
        <v>0</v>
      </c>
      <c r="F117" s="28">
        <f>SUM(C117-D117-E117)</f>
        <v>340</v>
      </c>
      <c r="G117" s="28">
        <v>4540</v>
      </c>
      <c r="H117" s="28">
        <v>2949</v>
      </c>
      <c r="I117" s="28">
        <v>0</v>
      </c>
      <c r="J117" s="28">
        <f>SUM(G117-H117-I117)</f>
        <v>1591</v>
      </c>
      <c r="K117" s="28">
        <v>0</v>
      </c>
      <c r="L117" s="28">
        <v>0</v>
      </c>
      <c r="M117" s="28">
        <v>1448</v>
      </c>
      <c r="N117" s="28">
        <v>28</v>
      </c>
      <c r="O117" s="28">
        <v>28</v>
      </c>
    </row>
    <row r="118" spans="1:15" ht="12.75" customHeight="1">
      <c r="A118" s="4" t="s">
        <v>217</v>
      </c>
      <c r="B118" s="5" t="s">
        <v>218</v>
      </c>
      <c r="C118" s="28">
        <v>2530</v>
      </c>
      <c r="D118" s="28">
        <v>2123</v>
      </c>
      <c r="E118" s="28">
        <v>42</v>
      </c>
      <c r="F118" s="28">
        <f>SUM(C118-D118-E118)</f>
        <v>365</v>
      </c>
      <c r="G118" s="28">
        <v>9623</v>
      </c>
      <c r="H118" s="28">
        <v>6432</v>
      </c>
      <c r="I118" s="28">
        <v>351</v>
      </c>
      <c r="J118" s="28">
        <f>SUM(G118-H118-I118)</f>
        <v>2840</v>
      </c>
      <c r="K118" s="28">
        <v>0</v>
      </c>
      <c r="L118" s="28">
        <v>0</v>
      </c>
      <c r="M118" s="28">
        <v>1045</v>
      </c>
      <c r="N118" s="28">
        <v>99</v>
      </c>
      <c r="O118" s="28">
        <v>99</v>
      </c>
    </row>
    <row r="119" spans="1:15" ht="12.75" customHeight="1">
      <c r="A119" s="8"/>
      <c r="B119" s="9" t="s">
        <v>219</v>
      </c>
      <c r="C119" s="29">
        <f t="shared" ref="C119:O119" si="28">SUM(C117:C118)</f>
        <v>3653</v>
      </c>
      <c r="D119" s="29">
        <f t="shared" si="28"/>
        <v>2906</v>
      </c>
      <c r="E119" s="29">
        <f t="shared" si="28"/>
        <v>42</v>
      </c>
      <c r="F119" s="29">
        <f t="shared" si="28"/>
        <v>705</v>
      </c>
      <c r="G119" s="29">
        <f t="shared" si="28"/>
        <v>14163</v>
      </c>
      <c r="H119" s="29">
        <f t="shared" si="28"/>
        <v>9381</v>
      </c>
      <c r="I119" s="29">
        <f t="shared" si="28"/>
        <v>351</v>
      </c>
      <c r="J119" s="29">
        <f t="shared" si="28"/>
        <v>4431</v>
      </c>
      <c r="K119" s="29">
        <f t="shared" si="28"/>
        <v>0</v>
      </c>
      <c r="L119" s="29">
        <f t="shared" si="28"/>
        <v>0</v>
      </c>
      <c r="M119" s="29">
        <f t="shared" si="28"/>
        <v>2493</v>
      </c>
      <c r="N119" s="29">
        <f t="shared" si="28"/>
        <v>127</v>
      </c>
      <c r="O119" s="29">
        <f t="shared" si="28"/>
        <v>127</v>
      </c>
    </row>
    <row r="120" spans="1:15" ht="12.75" customHeight="1">
      <c r="A120" s="4" t="s">
        <v>220</v>
      </c>
      <c r="B120" s="5" t="s">
        <v>221</v>
      </c>
      <c r="C120" s="28">
        <v>2808</v>
      </c>
      <c r="D120" s="28">
        <v>2465</v>
      </c>
      <c r="E120" s="28">
        <v>46</v>
      </c>
      <c r="F120" s="28">
        <f>SUM(C120-D120-E120)</f>
        <v>297</v>
      </c>
      <c r="G120" s="28">
        <v>9828</v>
      </c>
      <c r="H120" s="28">
        <v>7167</v>
      </c>
      <c r="I120" s="28">
        <v>444</v>
      </c>
      <c r="J120" s="28">
        <f>SUM(G120-H120-I120)</f>
        <v>2217</v>
      </c>
      <c r="K120" s="28">
        <v>257</v>
      </c>
      <c r="L120" s="28">
        <v>0</v>
      </c>
      <c r="M120" s="28">
        <v>533</v>
      </c>
      <c r="N120" s="28">
        <v>282</v>
      </c>
      <c r="O120" s="28">
        <v>282</v>
      </c>
    </row>
    <row r="121" spans="1:15" ht="12.75" customHeight="1">
      <c r="A121" s="4" t="s">
        <v>222</v>
      </c>
      <c r="B121" s="5" t="s">
        <v>223</v>
      </c>
      <c r="C121" s="28">
        <v>4595</v>
      </c>
      <c r="D121" s="28">
        <v>4118</v>
      </c>
      <c r="E121" s="28">
        <v>132</v>
      </c>
      <c r="F121" s="28">
        <f>SUM(C121-D121-E121)</f>
        <v>345</v>
      </c>
      <c r="G121" s="28">
        <v>17341</v>
      </c>
      <c r="H121" s="28">
        <v>12309</v>
      </c>
      <c r="I121" s="28">
        <v>897</v>
      </c>
      <c r="J121" s="28">
        <f>SUM(G121-H121-I121)</f>
        <v>4135</v>
      </c>
      <c r="K121" s="28">
        <v>66</v>
      </c>
      <c r="L121" s="28">
        <v>0</v>
      </c>
      <c r="M121" s="28">
        <v>1565</v>
      </c>
      <c r="N121" s="28">
        <v>92</v>
      </c>
      <c r="O121" s="28">
        <v>92</v>
      </c>
    </row>
    <row r="122" spans="1:15" ht="12.75" customHeight="1">
      <c r="A122" s="4" t="s">
        <v>224</v>
      </c>
      <c r="B122" s="5" t="s">
        <v>225</v>
      </c>
      <c r="C122" s="28">
        <v>838</v>
      </c>
      <c r="D122" s="28">
        <v>714</v>
      </c>
      <c r="E122" s="28">
        <v>0</v>
      </c>
      <c r="F122" s="28">
        <f>SUM(C122-D122-E122)</f>
        <v>124</v>
      </c>
      <c r="G122" s="28">
        <v>2864</v>
      </c>
      <c r="H122" s="28">
        <v>1931</v>
      </c>
      <c r="I122" s="28">
        <v>0</v>
      </c>
      <c r="J122" s="28">
        <f>SUM(G122-H122-I122)</f>
        <v>933</v>
      </c>
      <c r="K122" s="28">
        <v>0</v>
      </c>
      <c r="L122" s="28">
        <v>0</v>
      </c>
      <c r="M122" s="28">
        <v>1146</v>
      </c>
      <c r="N122" s="28">
        <v>26</v>
      </c>
      <c r="O122" s="28">
        <v>26</v>
      </c>
    </row>
    <row r="123" spans="1:15" ht="12.75" customHeight="1">
      <c r="A123" s="4" t="s">
        <v>226</v>
      </c>
      <c r="B123" s="5" t="s">
        <v>227</v>
      </c>
      <c r="C123" s="28">
        <v>4232</v>
      </c>
      <c r="D123" s="28">
        <v>3511</v>
      </c>
      <c r="E123" s="28">
        <v>62</v>
      </c>
      <c r="F123" s="28">
        <f>SUM(C123-D123-E123)</f>
        <v>659</v>
      </c>
      <c r="G123" s="28">
        <v>14734</v>
      </c>
      <c r="H123" s="28">
        <v>9209</v>
      </c>
      <c r="I123" s="28">
        <v>482</v>
      </c>
      <c r="J123" s="28">
        <f>SUM(G123-H123-I123)</f>
        <v>5043</v>
      </c>
      <c r="K123" s="28">
        <v>169</v>
      </c>
      <c r="L123" s="28">
        <v>0</v>
      </c>
      <c r="M123" s="28">
        <v>679</v>
      </c>
      <c r="N123" s="28">
        <v>149</v>
      </c>
      <c r="O123" s="28">
        <v>149</v>
      </c>
    </row>
    <row r="124" spans="1:15" ht="12.75" customHeight="1">
      <c r="A124" s="4" t="s">
        <v>228</v>
      </c>
      <c r="B124" s="5" t="s">
        <v>229</v>
      </c>
      <c r="C124" s="28">
        <v>1556</v>
      </c>
      <c r="D124" s="28">
        <v>1389</v>
      </c>
      <c r="E124" s="28">
        <v>36</v>
      </c>
      <c r="F124" s="28">
        <f>SUM(C124-D124-E124)</f>
        <v>131</v>
      </c>
      <c r="G124" s="28">
        <v>4805</v>
      </c>
      <c r="H124" s="28">
        <v>3673</v>
      </c>
      <c r="I124" s="28">
        <v>304</v>
      </c>
      <c r="J124" s="28">
        <f>SUM(G124-H124-I124)</f>
        <v>828</v>
      </c>
      <c r="K124" s="28">
        <v>31</v>
      </c>
      <c r="L124" s="28">
        <v>0</v>
      </c>
      <c r="M124" s="28">
        <v>10</v>
      </c>
      <c r="N124" s="28">
        <v>26</v>
      </c>
      <c r="O124" s="28">
        <v>26</v>
      </c>
    </row>
    <row r="125" spans="1:15" ht="12.75" customHeight="1">
      <c r="A125" s="8"/>
      <c r="B125" s="9" t="s">
        <v>230</v>
      </c>
      <c r="C125" s="29">
        <f t="shared" ref="C125:O125" si="29">SUM(C120:C124)</f>
        <v>14029</v>
      </c>
      <c r="D125" s="29">
        <f t="shared" si="29"/>
        <v>12197</v>
      </c>
      <c r="E125" s="29">
        <f t="shared" si="29"/>
        <v>276</v>
      </c>
      <c r="F125" s="29">
        <f t="shared" si="29"/>
        <v>1556</v>
      </c>
      <c r="G125" s="29">
        <f t="shared" si="29"/>
        <v>49572</v>
      </c>
      <c r="H125" s="29">
        <f t="shared" si="29"/>
        <v>34289</v>
      </c>
      <c r="I125" s="29">
        <f t="shared" si="29"/>
        <v>2127</v>
      </c>
      <c r="J125" s="29">
        <f t="shared" si="29"/>
        <v>13156</v>
      </c>
      <c r="K125" s="29">
        <f t="shared" si="29"/>
        <v>523</v>
      </c>
      <c r="L125" s="29">
        <f t="shared" si="29"/>
        <v>0</v>
      </c>
      <c r="M125" s="29">
        <f t="shared" si="29"/>
        <v>3933</v>
      </c>
      <c r="N125" s="29">
        <f t="shared" si="29"/>
        <v>575</v>
      </c>
      <c r="O125" s="29">
        <f t="shared" si="29"/>
        <v>575</v>
      </c>
    </row>
    <row r="126" spans="1:15" ht="12.75" customHeight="1">
      <c r="A126" s="4" t="s">
        <v>231</v>
      </c>
      <c r="B126" s="5" t="s">
        <v>232</v>
      </c>
      <c r="C126" s="28">
        <v>2807</v>
      </c>
      <c r="D126" s="28">
        <v>2128</v>
      </c>
      <c r="E126" s="28">
        <v>0</v>
      </c>
      <c r="F126" s="28">
        <f t="shared" ref="F126:F134" si="30">SUM(C126-D126-E126)</f>
        <v>679</v>
      </c>
      <c r="G126" s="28">
        <v>8332</v>
      </c>
      <c r="H126" s="28">
        <v>4744</v>
      </c>
      <c r="I126" s="28">
        <v>0</v>
      </c>
      <c r="J126" s="28">
        <f t="shared" ref="J126:J134" si="31">SUM(G126-H126-I126)</f>
        <v>3588</v>
      </c>
      <c r="K126" s="28">
        <v>9</v>
      </c>
      <c r="L126" s="28">
        <v>0</v>
      </c>
      <c r="M126" s="28">
        <v>798</v>
      </c>
      <c r="N126" s="28">
        <v>0</v>
      </c>
      <c r="O126" s="28">
        <v>0</v>
      </c>
    </row>
    <row r="127" spans="1:15" ht="12.75" customHeight="1">
      <c r="A127" s="4" t="s">
        <v>233</v>
      </c>
      <c r="B127" s="5" t="s">
        <v>234</v>
      </c>
      <c r="C127" s="28">
        <v>1362</v>
      </c>
      <c r="D127" s="28">
        <v>1122</v>
      </c>
      <c r="E127" s="28">
        <v>0</v>
      </c>
      <c r="F127" s="28">
        <f t="shared" si="30"/>
        <v>240</v>
      </c>
      <c r="G127" s="28">
        <v>4750</v>
      </c>
      <c r="H127" s="28">
        <v>3800</v>
      </c>
      <c r="I127" s="28">
        <v>0</v>
      </c>
      <c r="J127" s="28">
        <f t="shared" si="31"/>
        <v>950</v>
      </c>
      <c r="K127" s="28">
        <v>0</v>
      </c>
      <c r="L127" s="28">
        <v>0</v>
      </c>
      <c r="M127" s="28">
        <v>242</v>
      </c>
      <c r="N127" s="28">
        <v>38</v>
      </c>
      <c r="O127" s="28">
        <v>38</v>
      </c>
    </row>
    <row r="128" spans="1:15" ht="12.75" customHeight="1">
      <c r="A128" s="4" t="s">
        <v>235</v>
      </c>
      <c r="B128" s="5" t="s">
        <v>236</v>
      </c>
      <c r="C128" s="28">
        <v>9437</v>
      </c>
      <c r="D128" s="28">
        <v>7033</v>
      </c>
      <c r="E128" s="28">
        <v>206</v>
      </c>
      <c r="F128" s="28">
        <f t="shared" si="30"/>
        <v>2198</v>
      </c>
      <c r="G128" s="28">
        <v>22945</v>
      </c>
      <c r="H128" s="28">
        <v>14993</v>
      </c>
      <c r="I128" s="28">
        <v>883</v>
      </c>
      <c r="J128" s="28">
        <f t="shared" si="31"/>
        <v>7069</v>
      </c>
      <c r="K128" s="28">
        <v>64</v>
      </c>
      <c r="L128" s="28">
        <v>0</v>
      </c>
      <c r="M128" s="28">
        <v>1436</v>
      </c>
      <c r="N128" s="28">
        <v>194</v>
      </c>
      <c r="O128" s="28">
        <v>194</v>
      </c>
    </row>
    <row r="129" spans="1:15" ht="12.75" customHeight="1">
      <c r="A129" s="4" t="s">
        <v>237</v>
      </c>
      <c r="B129" s="5" t="s">
        <v>238</v>
      </c>
      <c r="C129" s="28">
        <v>1021</v>
      </c>
      <c r="D129" s="28">
        <v>812</v>
      </c>
      <c r="E129" s="28">
        <v>51</v>
      </c>
      <c r="F129" s="28">
        <f t="shared" si="30"/>
        <v>158</v>
      </c>
      <c r="G129" s="28">
        <v>3692</v>
      </c>
      <c r="H129" s="28">
        <v>1920</v>
      </c>
      <c r="I129" s="28">
        <v>460</v>
      </c>
      <c r="J129" s="28">
        <f t="shared" si="31"/>
        <v>1312</v>
      </c>
      <c r="K129" s="28">
        <v>44</v>
      </c>
      <c r="L129" s="28">
        <v>0</v>
      </c>
      <c r="M129" s="28">
        <v>805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5895</v>
      </c>
      <c r="D130" s="28">
        <v>4910</v>
      </c>
      <c r="E130" s="28">
        <v>314</v>
      </c>
      <c r="F130" s="28">
        <f t="shared" si="30"/>
        <v>671</v>
      </c>
      <c r="G130" s="28">
        <v>15118</v>
      </c>
      <c r="H130" s="28">
        <v>8295</v>
      </c>
      <c r="I130" s="28">
        <v>1444</v>
      </c>
      <c r="J130" s="28">
        <f t="shared" si="31"/>
        <v>5379</v>
      </c>
      <c r="K130" s="28">
        <v>271</v>
      </c>
      <c r="L130" s="28">
        <v>0</v>
      </c>
      <c r="M130" s="28">
        <v>89</v>
      </c>
      <c r="N130" s="28">
        <v>579</v>
      </c>
      <c r="O130" s="28">
        <v>579</v>
      </c>
    </row>
    <row r="131" spans="1:15" ht="12.75" customHeight="1">
      <c r="A131" s="4" t="s">
        <v>241</v>
      </c>
      <c r="B131" s="5" t="s">
        <v>242</v>
      </c>
      <c r="C131" s="28">
        <v>10360</v>
      </c>
      <c r="D131" s="28">
        <v>8930</v>
      </c>
      <c r="E131" s="28">
        <v>82</v>
      </c>
      <c r="F131" s="28">
        <f t="shared" si="30"/>
        <v>1348</v>
      </c>
      <c r="G131" s="28">
        <v>24138</v>
      </c>
      <c r="H131" s="28">
        <v>14746</v>
      </c>
      <c r="I131" s="28">
        <v>448</v>
      </c>
      <c r="J131" s="28">
        <f t="shared" si="31"/>
        <v>8944</v>
      </c>
      <c r="K131" s="28">
        <v>249</v>
      </c>
      <c r="L131" s="28">
        <v>0</v>
      </c>
      <c r="M131" s="28">
        <v>630</v>
      </c>
      <c r="N131" s="28">
        <v>117</v>
      </c>
      <c r="O131" s="28">
        <v>117</v>
      </c>
    </row>
    <row r="132" spans="1:15" ht="12.75" customHeight="1">
      <c r="A132" s="4" t="s">
        <v>243</v>
      </c>
      <c r="B132" s="5" t="s">
        <v>244</v>
      </c>
      <c r="C132" s="28">
        <v>5219</v>
      </c>
      <c r="D132" s="28">
        <v>4248</v>
      </c>
      <c r="E132" s="28">
        <v>0</v>
      </c>
      <c r="F132" s="28">
        <f t="shared" si="30"/>
        <v>971</v>
      </c>
      <c r="G132" s="28">
        <v>14307</v>
      </c>
      <c r="H132" s="28">
        <v>8290</v>
      </c>
      <c r="I132" s="28">
        <v>0</v>
      </c>
      <c r="J132" s="28">
        <f t="shared" si="31"/>
        <v>6017</v>
      </c>
      <c r="K132" s="28">
        <v>230</v>
      </c>
      <c r="L132" s="28">
        <v>0</v>
      </c>
      <c r="M132" s="28">
        <v>708</v>
      </c>
      <c r="N132" s="28">
        <v>12</v>
      </c>
      <c r="O132" s="28">
        <v>12</v>
      </c>
    </row>
    <row r="133" spans="1:15" ht="12.75" customHeight="1">
      <c r="A133" s="4" t="s">
        <v>245</v>
      </c>
      <c r="B133" s="5" t="s">
        <v>246</v>
      </c>
      <c r="C133" s="28">
        <v>4655</v>
      </c>
      <c r="D133" s="28">
        <v>3916</v>
      </c>
      <c r="E133" s="28">
        <v>0</v>
      </c>
      <c r="F133" s="28">
        <f t="shared" si="30"/>
        <v>739</v>
      </c>
      <c r="G133" s="28">
        <v>11382</v>
      </c>
      <c r="H133" s="28">
        <v>8945</v>
      </c>
      <c r="I133" s="28">
        <v>0</v>
      </c>
      <c r="J133" s="28">
        <f t="shared" si="31"/>
        <v>2437</v>
      </c>
      <c r="K133" s="28">
        <v>582</v>
      </c>
      <c r="L133" s="28">
        <v>0</v>
      </c>
      <c r="M133" s="28">
        <v>651</v>
      </c>
      <c r="N133" s="28">
        <v>60</v>
      </c>
      <c r="O133" s="28">
        <v>60</v>
      </c>
    </row>
    <row r="134" spans="1:15" ht="12.75" customHeight="1">
      <c r="A134" s="4" t="s">
        <v>247</v>
      </c>
      <c r="B134" s="5" t="s">
        <v>248</v>
      </c>
      <c r="C134" s="28">
        <v>2765</v>
      </c>
      <c r="D134" s="28">
        <v>2163</v>
      </c>
      <c r="E134" s="28">
        <v>0</v>
      </c>
      <c r="F134" s="28">
        <f t="shared" si="30"/>
        <v>602</v>
      </c>
      <c r="G134" s="28">
        <v>6560</v>
      </c>
      <c r="H134" s="28">
        <v>4556</v>
      </c>
      <c r="I134" s="28">
        <v>0</v>
      </c>
      <c r="J134" s="28">
        <f t="shared" si="31"/>
        <v>2004</v>
      </c>
      <c r="K134" s="28">
        <v>7</v>
      </c>
      <c r="L134" s="28">
        <v>0</v>
      </c>
      <c r="M134" s="28">
        <v>1123</v>
      </c>
      <c r="N134" s="28">
        <v>29</v>
      </c>
      <c r="O134" s="28">
        <v>29</v>
      </c>
    </row>
    <row r="135" spans="1:15" ht="12.75" customHeight="1">
      <c r="A135" s="10"/>
      <c r="B135" s="9" t="s">
        <v>249</v>
      </c>
      <c r="C135" s="29">
        <f t="shared" ref="C135:O135" si="32">SUM(C126:C134)</f>
        <v>43521</v>
      </c>
      <c r="D135" s="29">
        <f t="shared" si="32"/>
        <v>35262</v>
      </c>
      <c r="E135" s="29">
        <f t="shared" si="32"/>
        <v>653</v>
      </c>
      <c r="F135" s="29">
        <f t="shared" si="32"/>
        <v>7606</v>
      </c>
      <c r="G135" s="29">
        <f t="shared" si="32"/>
        <v>111224</v>
      </c>
      <c r="H135" s="29">
        <f t="shared" si="32"/>
        <v>70289</v>
      </c>
      <c r="I135" s="29">
        <f t="shared" si="32"/>
        <v>3235</v>
      </c>
      <c r="J135" s="29">
        <f t="shared" si="32"/>
        <v>37700</v>
      </c>
      <c r="K135" s="29">
        <f t="shared" si="32"/>
        <v>1456</v>
      </c>
      <c r="L135" s="29">
        <f t="shared" si="32"/>
        <v>0</v>
      </c>
      <c r="M135" s="29">
        <f t="shared" si="32"/>
        <v>6482</v>
      </c>
      <c r="N135" s="29">
        <f t="shared" si="32"/>
        <v>1029</v>
      </c>
      <c r="O135" s="29">
        <f t="shared" si="32"/>
        <v>1029</v>
      </c>
    </row>
    <row r="136" spans="1:15" ht="12.75" customHeight="1">
      <c r="A136" s="4" t="s">
        <v>250</v>
      </c>
      <c r="B136" s="5" t="s">
        <v>251</v>
      </c>
      <c r="C136" s="28">
        <v>6496</v>
      </c>
      <c r="D136" s="28">
        <v>5989</v>
      </c>
      <c r="E136" s="28">
        <v>0</v>
      </c>
      <c r="F136" s="28">
        <f t="shared" ref="F136:F143" si="33">SUM(C136-D136-E136)</f>
        <v>507</v>
      </c>
      <c r="G136" s="28">
        <v>15724</v>
      </c>
      <c r="H136" s="28">
        <v>12179</v>
      </c>
      <c r="I136" s="28">
        <v>0</v>
      </c>
      <c r="J136" s="28">
        <f t="shared" ref="J136:J143" si="34">SUM(G136-H136-I136)</f>
        <v>3545</v>
      </c>
      <c r="K136" s="28">
        <v>567</v>
      </c>
      <c r="L136" s="28">
        <v>702</v>
      </c>
      <c r="M136" s="28">
        <v>629</v>
      </c>
      <c r="N136" s="28">
        <v>2103</v>
      </c>
      <c r="O136" s="28">
        <v>2103</v>
      </c>
    </row>
    <row r="137" spans="1:15" ht="12.75" customHeight="1">
      <c r="A137" s="4" t="s">
        <v>252</v>
      </c>
      <c r="B137" s="5" t="s">
        <v>253</v>
      </c>
      <c r="C137" s="28">
        <v>919</v>
      </c>
      <c r="D137" s="28">
        <v>919</v>
      </c>
      <c r="E137" s="28">
        <v>0</v>
      </c>
      <c r="F137" s="28">
        <f t="shared" si="33"/>
        <v>0</v>
      </c>
      <c r="G137" s="28">
        <v>2006</v>
      </c>
      <c r="H137" s="28">
        <v>1992</v>
      </c>
      <c r="I137" s="28">
        <v>0</v>
      </c>
      <c r="J137" s="28">
        <f t="shared" si="34"/>
        <v>14</v>
      </c>
      <c r="K137" s="28">
        <v>45</v>
      </c>
      <c r="L137" s="28">
        <v>0</v>
      </c>
      <c r="M137" s="28">
        <v>0</v>
      </c>
      <c r="N137" s="28">
        <v>205</v>
      </c>
      <c r="O137" s="28">
        <v>205</v>
      </c>
    </row>
    <row r="138" spans="1:15" ht="12.75" customHeight="1">
      <c r="A138" s="4" t="s">
        <v>254</v>
      </c>
      <c r="B138" s="5" t="s">
        <v>255</v>
      </c>
      <c r="C138" s="28">
        <v>613</v>
      </c>
      <c r="D138" s="28">
        <v>613</v>
      </c>
      <c r="E138" s="28">
        <v>0</v>
      </c>
      <c r="F138" s="28">
        <f t="shared" si="33"/>
        <v>0</v>
      </c>
      <c r="G138" s="28">
        <v>2249</v>
      </c>
      <c r="H138" s="28">
        <v>1909</v>
      </c>
      <c r="I138" s="28">
        <v>0</v>
      </c>
      <c r="J138" s="28">
        <f t="shared" si="34"/>
        <v>340</v>
      </c>
      <c r="K138" s="28">
        <v>121</v>
      </c>
      <c r="L138" s="28">
        <v>0</v>
      </c>
      <c r="M138" s="28">
        <v>226</v>
      </c>
      <c r="N138" s="28">
        <v>307</v>
      </c>
      <c r="O138" s="28">
        <v>307</v>
      </c>
    </row>
    <row r="139" spans="1:15" ht="12.75" customHeight="1">
      <c r="A139" s="4" t="s">
        <v>256</v>
      </c>
      <c r="B139" s="5" t="s">
        <v>257</v>
      </c>
      <c r="C139" s="28">
        <v>1592</v>
      </c>
      <c r="D139" s="28">
        <v>1473</v>
      </c>
      <c r="E139" s="28">
        <v>0</v>
      </c>
      <c r="F139" s="28">
        <f t="shared" si="33"/>
        <v>119</v>
      </c>
      <c r="G139" s="28">
        <v>4804</v>
      </c>
      <c r="H139" s="28">
        <v>4041</v>
      </c>
      <c r="I139" s="28">
        <v>0</v>
      </c>
      <c r="J139" s="28">
        <f t="shared" si="34"/>
        <v>763</v>
      </c>
      <c r="K139" s="28">
        <v>516</v>
      </c>
      <c r="L139" s="28">
        <v>31</v>
      </c>
      <c r="M139" s="28">
        <v>606</v>
      </c>
      <c r="N139" s="28">
        <v>304</v>
      </c>
      <c r="O139" s="28">
        <v>304</v>
      </c>
    </row>
    <row r="140" spans="1:15" ht="12.75" customHeight="1">
      <c r="A140" s="4" t="s">
        <v>258</v>
      </c>
      <c r="B140" s="5" t="s">
        <v>259</v>
      </c>
      <c r="C140" s="28">
        <v>320</v>
      </c>
      <c r="D140" s="28">
        <v>318</v>
      </c>
      <c r="E140" s="28">
        <v>0</v>
      </c>
      <c r="F140" s="28">
        <f t="shared" si="33"/>
        <v>2</v>
      </c>
      <c r="G140" s="28">
        <v>681</v>
      </c>
      <c r="H140" s="28">
        <v>669</v>
      </c>
      <c r="I140" s="28">
        <v>0</v>
      </c>
      <c r="J140" s="28">
        <f t="shared" si="34"/>
        <v>12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1927</v>
      </c>
      <c r="D141" s="28">
        <v>1835</v>
      </c>
      <c r="E141" s="28">
        <v>0</v>
      </c>
      <c r="F141" s="28">
        <f t="shared" si="33"/>
        <v>92</v>
      </c>
      <c r="G141" s="28">
        <v>4004</v>
      </c>
      <c r="H141" s="28">
        <v>3622</v>
      </c>
      <c r="I141" s="28">
        <v>0</v>
      </c>
      <c r="J141" s="28">
        <f t="shared" si="34"/>
        <v>382</v>
      </c>
      <c r="K141" s="28">
        <v>20</v>
      </c>
      <c r="L141" s="28">
        <v>0</v>
      </c>
      <c r="M141" s="28">
        <v>0</v>
      </c>
      <c r="N141" s="28">
        <v>328</v>
      </c>
      <c r="O141" s="28">
        <v>328</v>
      </c>
    </row>
    <row r="142" spans="1:15" ht="12.75" customHeight="1">
      <c r="A142" s="4" t="s">
        <v>262</v>
      </c>
      <c r="B142" s="5" t="s">
        <v>263</v>
      </c>
      <c r="C142" s="28">
        <v>1592</v>
      </c>
      <c r="D142" s="28">
        <v>1191</v>
      </c>
      <c r="E142" s="28">
        <v>0</v>
      </c>
      <c r="F142" s="28">
        <f t="shared" si="33"/>
        <v>401</v>
      </c>
      <c r="G142" s="28">
        <v>4987</v>
      </c>
      <c r="H142" s="28">
        <v>3964</v>
      </c>
      <c r="I142" s="28">
        <v>0</v>
      </c>
      <c r="J142" s="28">
        <f t="shared" si="34"/>
        <v>1023</v>
      </c>
      <c r="K142" s="28">
        <v>343</v>
      </c>
      <c r="L142" s="28">
        <v>0</v>
      </c>
      <c r="M142" s="28">
        <v>869</v>
      </c>
      <c r="N142" s="28">
        <v>630</v>
      </c>
      <c r="O142" s="28">
        <v>630</v>
      </c>
    </row>
    <row r="143" spans="1:15" ht="12.75" customHeight="1">
      <c r="A143" s="4" t="s">
        <v>264</v>
      </c>
      <c r="B143" s="5" t="s">
        <v>265</v>
      </c>
      <c r="C143" s="28">
        <v>4203</v>
      </c>
      <c r="D143" s="28">
        <v>3431</v>
      </c>
      <c r="E143" s="28">
        <v>0</v>
      </c>
      <c r="F143" s="28">
        <f t="shared" si="33"/>
        <v>772</v>
      </c>
      <c r="G143" s="28">
        <v>12890</v>
      </c>
      <c r="H143" s="28">
        <v>6104</v>
      </c>
      <c r="I143" s="28">
        <v>0</v>
      </c>
      <c r="J143" s="28">
        <f t="shared" si="34"/>
        <v>6786</v>
      </c>
      <c r="K143" s="28">
        <v>1871</v>
      </c>
      <c r="L143" s="28">
        <v>91</v>
      </c>
      <c r="M143" s="28">
        <v>1358</v>
      </c>
      <c r="N143" s="28">
        <v>870</v>
      </c>
      <c r="O143" s="28">
        <v>870</v>
      </c>
    </row>
    <row r="144" spans="1:15" ht="12.75" customHeight="1">
      <c r="A144" s="10"/>
      <c r="B144" s="9" t="s">
        <v>266</v>
      </c>
      <c r="C144" s="30">
        <f t="shared" ref="C144:O144" si="35">SUM(C136:C143)</f>
        <v>17662</v>
      </c>
      <c r="D144" s="30">
        <f t="shared" si="35"/>
        <v>15769</v>
      </c>
      <c r="E144" s="30">
        <f t="shared" si="35"/>
        <v>0</v>
      </c>
      <c r="F144" s="30">
        <f t="shared" si="35"/>
        <v>1893</v>
      </c>
      <c r="G144" s="30">
        <f t="shared" si="35"/>
        <v>47345</v>
      </c>
      <c r="H144" s="30">
        <f t="shared" si="35"/>
        <v>34480</v>
      </c>
      <c r="I144" s="30">
        <f t="shared" si="35"/>
        <v>0</v>
      </c>
      <c r="J144" s="30">
        <f t="shared" si="35"/>
        <v>12865</v>
      </c>
      <c r="K144" s="30">
        <f t="shared" si="35"/>
        <v>3483</v>
      </c>
      <c r="L144" s="30">
        <f t="shared" si="35"/>
        <v>824</v>
      </c>
      <c r="M144" s="30">
        <f t="shared" si="35"/>
        <v>3688</v>
      </c>
      <c r="N144" s="30">
        <f t="shared" si="35"/>
        <v>4747</v>
      </c>
      <c r="O144" s="30">
        <f t="shared" si="35"/>
        <v>4747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586988</v>
      </c>
      <c r="D145" s="31">
        <f t="shared" si="36"/>
        <v>419074</v>
      </c>
      <c r="E145" s="31">
        <f t="shared" si="36"/>
        <v>17733</v>
      </c>
      <c r="F145" s="31">
        <f t="shared" si="36"/>
        <v>150181</v>
      </c>
      <c r="G145" s="31">
        <f t="shared" si="36"/>
        <v>1784731</v>
      </c>
      <c r="H145" s="31">
        <f t="shared" si="36"/>
        <v>928130</v>
      </c>
      <c r="I145" s="31">
        <f t="shared" si="36"/>
        <v>82430</v>
      </c>
      <c r="J145" s="31">
        <f t="shared" si="36"/>
        <v>774171</v>
      </c>
      <c r="K145" s="31">
        <f t="shared" si="36"/>
        <v>37627</v>
      </c>
      <c r="L145" s="31">
        <f t="shared" si="36"/>
        <v>1368</v>
      </c>
      <c r="M145" s="31">
        <f t="shared" si="36"/>
        <v>138420</v>
      </c>
      <c r="N145" s="31">
        <f t="shared" si="36"/>
        <v>37498</v>
      </c>
      <c r="O145" s="31">
        <f t="shared" si="36"/>
        <v>30324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16677</v>
      </c>
      <c r="D15" s="28">
        <v>12805</v>
      </c>
      <c r="E15" s="28">
        <v>1563</v>
      </c>
      <c r="F15" s="28">
        <f t="shared" ref="F15:F22" si="0">SUM(C15-D15-E15)</f>
        <v>2309</v>
      </c>
      <c r="G15" s="28">
        <v>88533</v>
      </c>
      <c r="H15" s="28">
        <v>35990</v>
      </c>
      <c r="I15" s="28">
        <v>10473</v>
      </c>
      <c r="J15" s="28">
        <f t="shared" ref="J15:J22" si="1">SUM(G15-H15-I15)</f>
        <v>42070</v>
      </c>
      <c r="K15" s="28">
        <v>5414</v>
      </c>
      <c r="L15" s="28">
        <v>0</v>
      </c>
      <c r="M15" s="28">
        <v>8385</v>
      </c>
      <c r="N15" s="28">
        <v>3066</v>
      </c>
      <c r="O15" s="28">
        <v>2340</v>
      </c>
    </row>
    <row r="16" spans="1:15" ht="12.75" customHeight="1">
      <c r="A16" s="4" t="s">
        <v>29</v>
      </c>
      <c r="B16" s="5" t="s">
        <v>30</v>
      </c>
      <c r="C16" s="28">
        <v>11818</v>
      </c>
      <c r="D16" s="28">
        <v>5418</v>
      </c>
      <c r="E16" s="28">
        <v>247</v>
      </c>
      <c r="F16" s="28">
        <f t="shared" si="0"/>
        <v>6153</v>
      </c>
      <c r="G16" s="28">
        <v>83986</v>
      </c>
      <c r="H16" s="28">
        <v>14427</v>
      </c>
      <c r="I16" s="28">
        <v>1856</v>
      </c>
      <c r="J16" s="28">
        <f t="shared" si="1"/>
        <v>67703</v>
      </c>
      <c r="K16" s="28">
        <v>1899</v>
      </c>
      <c r="L16" s="28">
        <v>0</v>
      </c>
      <c r="M16" s="28">
        <v>5058</v>
      </c>
      <c r="N16" s="28">
        <v>99</v>
      </c>
      <c r="O16" s="28">
        <v>99</v>
      </c>
    </row>
    <row r="17" spans="1:15" ht="12.75" customHeight="1">
      <c r="A17" s="4" t="s">
        <v>31</v>
      </c>
      <c r="B17" s="5" t="s">
        <v>32</v>
      </c>
      <c r="C17" s="28">
        <v>7275</v>
      </c>
      <c r="D17" s="28">
        <v>5829</v>
      </c>
      <c r="E17" s="28">
        <v>0</v>
      </c>
      <c r="F17" s="28">
        <f t="shared" si="0"/>
        <v>1446</v>
      </c>
      <c r="G17" s="28">
        <v>14835</v>
      </c>
      <c r="H17" s="28">
        <v>10987</v>
      </c>
      <c r="I17" s="28">
        <v>0</v>
      </c>
      <c r="J17" s="28">
        <f t="shared" si="1"/>
        <v>3848</v>
      </c>
      <c r="K17" s="28">
        <v>765</v>
      </c>
      <c r="L17" s="28">
        <v>0</v>
      </c>
      <c r="M17" s="28">
        <v>391</v>
      </c>
      <c r="N17" s="28">
        <v>627</v>
      </c>
      <c r="O17" s="28">
        <v>627</v>
      </c>
    </row>
    <row r="18" spans="1:15" ht="12.75" customHeight="1">
      <c r="A18" s="4" t="s">
        <v>33</v>
      </c>
      <c r="B18" s="5" t="s">
        <v>34</v>
      </c>
      <c r="C18" s="28">
        <v>22019</v>
      </c>
      <c r="D18" s="28">
        <v>14779</v>
      </c>
      <c r="E18" s="28">
        <v>273</v>
      </c>
      <c r="F18" s="28">
        <f t="shared" si="0"/>
        <v>6967</v>
      </c>
      <c r="G18" s="28">
        <v>57397</v>
      </c>
      <c r="H18" s="28">
        <v>40046</v>
      </c>
      <c r="I18" s="28">
        <v>1384</v>
      </c>
      <c r="J18" s="28">
        <f t="shared" si="1"/>
        <v>15967</v>
      </c>
      <c r="K18" s="28">
        <v>2791</v>
      </c>
      <c r="L18" s="28">
        <v>0</v>
      </c>
      <c r="M18" s="28">
        <v>3619</v>
      </c>
      <c r="N18" s="28">
        <v>466</v>
      </c>
      <c r="O18" s="28">
        <v>466</v>
      </c>
    </row>
    <row r="19" spans="1:15" ht="12.75" customHeight="1">
      <c r="A19" s="4" t="s">
        <v>35</v>
      </c>
      <c r="B19" s="5" t="s">
        <v>36</v>
      </c>
      <c r="C19" s="28">
        <v>13457</v>
      </c>
      <c r="D19" s="28">
        <v>12895</v>
      </c>
      <c r="E19" s="28">
        <v>431</v>
      </c>
      <c r="F19" s="28">
        <f t="shared" si="0"/>
        <v>131</v>
      </c>
      <c r="G19" s="28">
        <v>39234</v>
      </c>
      <c r="H19" s="28">
        <v>31475</v>
      </c>
      <c r="I19" s="28">
        <v>2544</v>
      </c>
      <c r="J19" s="28">
        <f t="shared" si="1"/>
        <v>5215</v>
      </c>
      <c r="K19" s="28">
        <v>576</v>
      </c>
      <c r="L19" s="28">
        <v>0</v>
      </c>
      <c r="M19" s="28">
        <v>137</v>
      </c>
      <c r="N19" s="28">
        <v>192</v>
      </c>
      <c r="O19" s="28">
        <v>192</v>
      </c>
    </row>
    <row r="20" spans="1:15" ht="12.75" customHeight="1">
      <c r="A20" s="4" t="s">
        <v>37</v>
      </c>
      <c r="B20" s="5" t="s">
        <v>38</v>
      </c>
      <c r="C20" s="28">
        <v>78480</v>
      </c>
      <c r="D20" s="28">
        <v>70450</v>
      </c>
      <c r="E20" s="28">
        <v>1963</v>
      </c>
      <c r="F20" s="28">
        <f t="shared" si="0"/>
        <v>6067</v>
      </c>
      <c r="G20" s="28">
        <v>206653</v>
      </c>
      <c r="H20" s="28">
        <v>149969</v>
      </c>
      <c r="I20" s="28">
        <v>10761</v>
      </c>
      <c r="J20" s="28">
        <f t="shared" si="1"/>
        <v>45923</v>
      </c>
      <c r="K20" s="28">
        <v>8735</v>
      </c>
      <c r="L20" s="28">
        <v>0</v>
      </c>
      <c r="M20" s="28">
        <v>6551</v>
      </c>
      <c r="N20" s="28">
        <v>2407</v>
      </c>
      <c r="O20" s="28">
        <v>2407</v>
      </c>
    </row>
    <row r="21" spans="1:15" ht="12.75" customHeight="1">
      <c r="A21" s="4" t="s">
        <v>39</v>
      </c>
      <c r="B21" s="5" t="s">
        <v>40</v>
      </c>
      <c r="C21" s="28">
        <v>5863</v>
      </c>
      <c r="D21" s="28">
        <v>5817</v>
      </c>
      <c r="E21" s="28">
        <v>0</v>
      </c>
      <c r="F21" s="28">
        <f t="shared" si="0"/>
        <v>46</v>
      </c>
      <c r="G21" s="28">
        <v>10717</v>
      </c>
      <c r="H21" s="28">
        <v>10370</v>
      </c>
      <c r="I21" s="28">
        <v>0</v>
      </c>
      <c r="J21" s="28">
        <f t="shared" si="1"/>
        <v>347</v>
      </c>
      <c r="K21" s="28">
        <v>94</v>
      </c>
      <c r="L21" s="28">
        <v>0</v>
      </c>
      <c r="M21" s="28">
        <v>0</v>
      </c>
      <c r="N21" s="28">
        <v>63</v>
      </c>
      <c r="O21" s="28">
        <v>63</v>
      </c>
    </row>
    <row r="22" spans="1:15" ht="12.75" customHeight="1">
      <c r="A22" s="4" t="s">
        <v>41</v>
      </c>
      <c r="B22" s="5" t="s">
        <v>42</v>
      </c>
      <c r="C22" s="28">
        <v>6051</v>
      </c>
      <c r="D22" s="28">
        <v>4912</v>
      </c>
      <c r="E22" s="28">
        <v>611</v>
      </c>
      <c r="F22" s="28">
        <f t="shared" si="0"/>
        <v>528</v>
      </c>
      <c r="G22" s="28">
        <v>17305</v>
      </c>
      <c r="H22" s="28">
        <v>10537</v>
      </c>
      <c r="I22" s="28">
        <v>2705</v>
      </c>
      <c r="J22" s="28">
        <f t="shared" si="1"/>
        <v>4063</v>
      </c>
      <c r="K22" s="28">
        <v>1412</v>
      </c>
      <c r="L22" s="28">
        <v>0</v>
      </c>
      <c r="M22" s="28">
        <v>2748</v>
      </c>
      <c r="N22" s="28">
        <v>668</v>
      </c>
      <c r="O22" s="28">
        <v>668</v>
      </c>
    </row>
    <row r="23" spans="1:15" ht="12.75" customHeight="1">
      <c r="A23" s="8"/>
      <c r="B23" s="9" t="s">
        <v>43</v>
      </c>
      <c r="C23" s="29">
        <f t="shared" ref="C23:O23" si="2">SUM(C15:C22)</f>
        <v>161640</v>
      </c>
      <c r="D23" s="29">
        <f t="shared" si="2"/>
        <v>132905</v>
      </c>
      <c r="E23" s="29">
        <f t="shared" si="2"/>
        <v>5088</v>
      </c>
      <c r="F23" s="29">
        <f t="shared" si="2"/>
        <v>23647</v>
      </c>
      <c r="G23" s="29">
        <f t="shared" si="2"/>
        <v>518660</v>
      </c>
      <c r="H23" s="29">
        <f t="shared" si="2"/>
        <v>303801</v>
      </c>
      <c r="I23" s="29">
        <f t="shared" si="2"/>
        <v>29723</v>
      </c>
      <c r="J23" s="29">
        <f t="shared" si="2"/>
        <v>185136</v>
      </c>
      <c r="K23" s="29">
        <f t="shared" si="2"/>
        <v>21686</v>
      </c>
      <c r="L23" s="29">
        <f t="shared" si="2"/>
        <v>0</v>
      </c>
      <c r="M23" s="29">
        <f t="shared" si="2"/>
        <v>26889</v>
      </c>
      <c r="N23" s="29">
        <f t="shared" si="2"/>
        <v>7588</v>
      </c>
      <c r="O23" s="29">
        <f t="shared" si="2"/>
        <v>6862</v>
      </c>
    </row>
    <row r="24" spans="1:15" ht="14.25" customHeight="1">
      <c r="A24" s="4" t="s">
        <v>44</v>
      </c>
      <c r="B24" s="5" t="s">
        <v>45</v>
      </c>
      <c r="C24" s="28">
        <v>6712</v>
      </c>
      <c r="D24" s="28">
        <v>4763</v>
      </c>
      <c r="E24" s="28">
        <v>404</v>
      </c>
      <c r="F24" s="28">
        <f>SUM(C24-D24-E24)</f>
        <v>1545</v>
      </c>
      <c r="G24" s="28">
        <v>17214</v>
      </c>
      <c r="H24" s="28">
        <v>8914</v>
      </c>
      <c r="I24" s="28">
        <v>1634</v>
      </c>
      <c r="J24" s="28">
        <f>SUM(G24-H24-I24)</f>
        <v>6666</v>
      </c>
      <c r="K24" s="28">
        <v>5627</v>
      </c>
      <c r="L24" s="28">
        <v>0</v>
      </c>
      <c r="M24" s="28">
        <v>934</v>
      </c>
      <c r="N24" s="28">
        <v>287</v>
      </c>
      <c r="O24" s="28">
        <v>287</v>
      </c>
    </row>
    <row r="25" spans="1:15" ht="14.25" customHeight="1">
      <c r="A25" s="10"/>
      <c r="B25" s="9" t="s">
        <v>46</v>
      </c>
      <c r="C25" s="29">
        <f t="shared" ref="C25:O25" si="3">SUM(C24)</f>
        <v>6712</v>
      </c>
      <c r="D25" s="29">
        <f t="shared" si="3"/>
        <v>4763</v>
      </c>
      <c r="E25" s="29">
        <f t="shared" si="3"/>
        <v>404</v>
      </c>
      <c r="F25" s="29">
        <f t="shared" si="3"/>
        <v>1545</v>
      </c>
      <c r="G25" s="29">
        <f t="shared" si="3"/>
        <v>17214</v>
      </c>
      <c r="H25" s="29">
        <f t="shared" si="3"/>
        <v>8914</v>
      </c>
      <c r="I25" s="29">
        <f t="shared" si="3"/>
        <v>1634</v>
      </c>
      <c r="J25" s="29">
        <f t="shared" si="3"/>
        <v>6666</v>
      </c>
      <c r="K25" s="29">
        <f t="shared" si="3"/>
        <v>5627</v>
      </c>
      <c r="L25" s="29">
        <f t="shared" si="3"/>
        <v>0</v>
      </c>
      <c r="M25" s="29">
        <f t="shared" si="3"/>
        <v>934</v>
      </c>
      <c r="N25" s="29">
        <f t="shared" si="3"/>
        <v>287</v>
      </c>
      <c r="O25" s="29">
        <f t="shared" si="3"/>
        <v>287</v>
      </c>
    </row>
    <row r="26" spans="1:15" ht="12.75" customHeight="1">
      <c r="A26" s="4" t="s">
        <v>47</v>
      </c>
      <c r="B26" s="5" t="s">
        <v>48</v>
      </c>
      <c r="C26" s="28">
        <v>57605</v>
      </c>
      <c r="D26" s="28">
        <v>24550</v>
      </c>
      <c r="E26" s="28">
        <v>1418</v>
      </c>
      <c r="F26" s="28">
        <f>SUM(C26-D26-E26)</f>
        <v>31637</v>
      </c>
      <c r="G26" s="28">
        <v>138292</v>
      </c>
      <c r="H26" s="28">
        <v>43373</v>
      </c>
      <c r="I26" s="28">
        <v>5306</v>
      </c>
      <c r="J26" s="28">
        <f>SUM(G26-H26-I26)</f>
        <v>89613</v>
      </c>
      <c r="K26" s="28">
        <v>12965</v>
      </c>
      <c r="L26" s="28">
        <v>0</v>
      </c>
      <c r="M26" s="28">
        <v>2239</v>
      </c>
      <c r="N26" s="28">
        <v>1954</v>
      </c>
      <c r="O26" s="28">
        <v>1954</v>
      </c>
    </row>
    <row r="27" spans="1:15" ht="12.75" customHeight="1">
      <c r="A27" s="4" t="s">
        <v>49</v>
      </c>
      <c r="B27" s="5" t="s">
        <v>50</v>
      </c>
      <c r="C27" s="28">
        <v>9224</v>
      </c>
      <c r="D27" s="28">
        <v>7679</v>
      </c>
      <c r="E27" s="28">
        <v>364</v>
      </c>
      <c r="F27" s="28">
        <f>SUM(C27-D27-E27)</f>
        <v>1181</v>
      </c>
      <c r="G27" s="28">
        <v>18217</v>
      </c>
      <c r="H27" s="28">
        <v>12182</v>
      </c>
      <c r="I27" s="28">
        <v>1369</v>
      </c>
      <c r="J27" s="28">
        <f>SUM(G27-H27-I27)</f>
        <v>4666</v>
      </c>
      <c r="K27" s="28">
        <v>1935</v>
      </c>
      <c r="L27" s="28">
        <v>0</v>
      </c>
      <c r="M27" s="28">
        <v>580</v>
      </c>
      <c r="N27" s="28">
        <v>543</v>
      </c>
      <c r="O27" s="28">
        <v>543</v>
      </c>
    </row>
    <row r="28" spans="1:15" ht="12.75" customHeight="1">
      <c r="A28" s="4" t="s">
        <v>51</v>
      </c>
      <c r="B28" s="5" t="s">
        <v>52</v>
      </c>
      <c r="C28" s="28">
        <v>8911</v>
      </c>
      <c r="D28" s="28">
        <v>5728</v>
      </c>
      <c r="E28" s="28">
        <v>633</v>
      </c>
      <c r="F28" s="28">
        <f>SUM(C28-D28-E28)</f>
        <v>2550</v>
      </c>
      <c r="G28" s="28">
        <v>24531</v>
      </c>
      <c r="H28" s="28">
        <v>13368</v>
      </c>
      <c r="I28" s="28">
        <v>3869</v>
      </c>
      <c r="J28" s="28">
        <f>SUM(G28-H28-I28)</f>
        <v>7294</v>
      </c>
      <c r="K28" s="28">
        <v>603</v>
      </c>
      <c r="L28" s="28">
        <v>0</v>
      </c>
      <c r="M28" s="28">
        <v>308</v>
      </c>
      <c r="N28" s="28">
        <v>112</v>
      </c>
      <c r="O28" s="28">
        <v>112</v>
      </c>
    </row>
    <row r="29" spans="1:15" ht="12.75" customHeight="1">
      <c r="A29" s="4" t="s">
        <v>53</v>
      </c>
      <c r="B29" s="5" t="s">
        <v>54</v>
      </c>
      <c r="C29" s="28">
        <v>10831</v>
      </c>
      <c r="D29" s="28">
        <v>9419</v>
      </c>
      <c r="E29" s="28">
        <v>1013</v>
      </c>
      <c r="F29" s="28">
        <f>SUM(C29-D29-E29)</f>
        <v>399</v>
      </c>
      <c r="G29" s="28">
        <v>26192</v>
      </c>
      <c r="H29" s="28">
        <v>20660</v>
      </c>
      <c r="I29" s="28">
        <v>4500</v>
      </c>
      <c r="J29" s="28">
        <f>SUM(G29-H29-I29)</f>
        <v>1032</v>
      </c>
      <c r="K29" s="28">
        <v>40</v>
      </c>
      <c r="L29" s="28">
        <v>0</v>
      </c>
      <c r="M29" s="28">
        <v>89</v>
      </c>
      <c r="N29" s="28">
        <v>89</v>
      </c>
      <c r="O29" s="28">
        <v>89</v>
      </c>
    </row>
    <row r="30" spans="1:15" ht="12.75" customHeight="1">
      <c r="A30" s="8"/>
      <c r="B30" s="9" t="s">
        <v>55</v>
      </c>
      <c r="C30" s="29">
        <f t="shared" ref="C30:O30" si="4">SUM(C26:C29)</f>
        <v>86571</v>
      </c>
      <c r="D30" s="29">
        <f t="shared" si="4"/>
        <v>47376</v>
      </c>
      <c r="E30" s="29">
        <f t="shared" si="4"/>
        <v>3428</v>
      </c>
      <c r="F30" s="29">
        <f t="shared" si="4"/>
        <v>35767</v>
      </c>
      <c r="G30" s="29">
        <f t="shared" si="4"/>
        <v>207232</v>
      </c>
      <c r="H30" s="29">
        <f t="shared" si="4"/>
        <v>89583</v>
      </c>
      <c r="I30" s="29">
        <f t="shared" si="4"/>
        <v>15044</v>
      </c>
      <c r="J30" s="29">
        <f t="shared" si="4"/>
        <v>102605</v>
      </c>
      <c r="K30" s="29">
        <f t="shared" si="4"/>
        <v>15543</v>
      </c>
      <c r="L30" s="29">
        <f t="shared" si="4"/>
        <v>0</v>
      </c>
      <c r="M30" s="29">
        <f t="shared" si="4"/>
        <v>3216</v>
      </c>
      <c r="N30" s="29">
        <f t="shared" si="4"/>
        <v>2698</v>
      </c>
      <c r="O30" s="29">
        <f t="shared" si="4"/>
        <v>2698</v>
      </c>
    </row>
    <row r="31" spans="1:15" ht="12.75" customHeight="1">
      <c r="A31" s="4" t="s">
        <v>56</v>
      </c>
      <c r="B31" s="5" t="s">
        <v>57</v>
      </c>
      <c r="C31" s="28">
        <v>39445</v>
      </c>
      <c r="D31" s="28">
        <v>32004</v>
      </c>
      <c r="E31" s="28">
        <v>661</v>
      </c>
      <c r="F31" s="28">
        <f t="shared" ref="F31:F42" si="5">SUM(C31-D31-E31)</f>
        <v>6780</v>
      </c>
      <c r="G31" s="28">
        <v>117890</v>
      </c>
      <c r="H31" s="28">
        <v>65705</v>
      </c>
      <c r="I31" s="28">
        <v>3330</v>
      </c>
      <c r="J31" s="28">
        <f t="shared" ref="J31:J42" si="6">SUM(G31-H31-I31)</f>
        <v>48855</v>
      </c>
      <c r="K31" s="28">
        <v>3403</v>
      </c>
      <c r="L31" s="28">
        <v>0</v>
      </c>
      <c r="M31" s="28">
        <v>2061</v>
      </c>
      <c r="N31" s="28">
        <v>465</v>
      </c>
      <c r="O31" s="28">
        <v>465</v>
      </c>
    </row>
    <row r="32" spans="1:15" ht="12.75" customHeight="1">
      <c r="A32" s="4" t="s">
        <v>58</v>
      </c>
      <c r="B32" s="5" t="s">
        <v>59</v>
      </c>
      <c r="C32" s="28">
        <v>45240</v>
      </c>
      <c r="D32" s="28">
        <v>39717</v>
      </c>
      <c r="E32" s="28">
        <v>1580</v>
      </c>
      <c r="F32" s="28">
        <f t="shared" si="5"/>
        <v>3943</v>
      </c>
      <c r="G32" s="28">
        <v>177778</v>
      </c>
      <c r="H32" s="28">
        <v>100887</v>
      </c>
      <c r="I32" s="28">
        <v>9676</v>
      </c>
      <c r="J32" s="28">
        <f t="shared" si="6"/>
        <v>67215</v>
      </c>
      <c r="K32" s="28">
        <v>6510</v>
      </c>
      <c r="L32" s="28">
        <v>0</v>
      </c>
      <c r="M32" s="28">
        <v>21697</v>
      </c>
      <c r="N32" s="28">
        <v>1146</v>
      </c>
      <c r="O32" s="28">
        <v>1146</v>
      </c>
    </row>
    <row r="33" spans="1:256" ht="12.75" customHeight="1">
      <c r="A33" s="4" t="s">
        <v>60</v>
      </c>
      <c r="B33" s="5" t="s">
        <v>61</v>
      </c>
      <c r="C33" s="28">
        <v>27864</v>
      </c>
      <c r="D33" s="28">
        <v>21258</v>
      </c>
      <c r="E33" s="28">
        <v>546</v>
      </c>
      <c r="F33" s="28">
        <f t="shared" si="5"/>
        <v>6060</v>
      </c>
      <c r="G33" s="28">
        <v>97512</v>
      </c>
      <c r="H33" s="28">
        <v>28255</v>
      </c>
      <c r="I33" s="28">
        <v>1700</v>
      </c>
      <c r="J33" s="28">
        <f t="shared" si="6"/>
        <v>67557</v>
      </c>
      <c r="K33" s="28">
        <v>10349</v>
      </c>
      <c r="L33" s="28">
        <v>31</v>
      </c>
      <c r="M33" s="28">
        <v>5577</v>
      </c>
      <c r="N33" s="28">
        <v>1030</v>
      </c>
      <c r="O33" s="28">
        <v>1030</v>
      </c>
    </row>
    <row r="34" spans="1:256" ht="12.75" customHeight="1">
      <c r="A34" s="4" t="s">
        <v>62</v>
      </c>
      <c r="B34" s="5" t="s">
        <v>63</v>
      </c>
      <c r="C34" s="28">
        <v>28904</v>
      </c>
      <c r="D34" s="28">
        <v>9489</v>
      </c>
      <c r="E34" s="28">
        <v>119</v>
      </c>
      <c r="F34" s="28">
        <f t="shared" si="5"/>
        <v>19296</v>
      </c>
      <c r="G34" s="28">
        <v>97838</v>
      </c>
      <c r="H34" s="28">
        <v>24905</v>
      </c>
      <c r="I34" s="28">
        <v>686</v>
      </c>
      <c r="J34" s="28">
        <f t="shared" si="6"/>
        <v>72247</v>
      </c>
      <c r="K34" s="28">
        <v>1122</v>
      </c>
      <c r="L34" s="28">
        <v>37</v>
      </c>
      <c r="M34" s="28">
        <v>8746</v>
      </c>
      <c r="N34" s="28">
        <v>111</v>
      </c>
      <c r="O34" s="28">
        <v>111</v>
      </c>
    </row>
    <row r="35" spans="1:256" ht="12.75" customHeight="1">
      <c r="A35" s="4" t="s">
        <v>64</v>
      </c>
      <c r="B35" s="5" t="s">
        <v>65</v>
      </c>
      <c r="C35" s="28">
        <v>12661</v>
      </c>
      <c r="D35" s="28">
        <v>12335</v>
      </c>
      <c r="E35" s="28">
        <v>0</v>
      </c>
      <c r="F35" s="28">
        <f t="shared" si="5"/>
        <v>326</v>
      </c>
      <c r="G35" s="28">
        <v>23310</v>
      </c>
      <c r="H35" s="28">
        <v>20999</v>
      </c>
      <c r="I35" s="28">
        <v>0</v>
      </c>
      <c r="J35" s="28">
        <f t="shared" si="6"/>
        <v>2311</v>
      </c>
      <c r="K35" s="28">
        <v>845</v>
      </c>
      <c r="L35" s="28">
        <v>0</v>
      </c>
      <c r="M35" s="28">
        <v>160</v>
      </c>
      <c r="N35" s="28">
        <v>1151</v>
      </c>
      <c r="O35" s="28">
        <v>1151</v>
      </c>
    </row>
    <row r="36" spans="1:256" ht="12.75" customHeight="1">
      <c r="A36" s="4" t="s">
        <v>66</v>
      </c>
      <c r="B36" s="5" t="s">
        <v>67</v>
      </c>
      <c r="C36" s="28">
        <v>7528</v>
      </c>
      <c r="D36" s="28">
        <v>6300</v>
      </c>
      <c r="E36" s="28">
        <v>474</v>
      </c>
      <c r="F36" s="28">
        <f t="shared" si="5"/>
        <v>754</v>
      </c>
      <c r="G36" s="28">
        <v>21939</v>
      </c>
      <c r="H36" s="28">
        <v>15874</v>
      </c>
      <c r="I36" s="28">
        <v>3009</v>
      </c>
      <c r="J36" s="28">
        <f t="shared" si="6"/>
        <v>3056</v>
      </c>
      <c r="K36" s="28">
        <v>152</v>
      </c>
      <c r="L36" s="28">
        <v>0</v>
      </c>
      <c r="M36" s="28">
        <v>1257</v>
      </c>
      <c r="N36" s="28">
        <v>5</v>
      </c>
      <c r="O36" s="28">
        <v>5</v>
      </c>
    </row>
    <row r="37" spans="1:256" ht="12.75" customHeight="1">
      <c r="A37" s="4" t="s">
        <v>68</v>
      </c>
      <c r="B37" s="5" t="s">
        <v>69</v>
      </c>
      <c r="C37" s="28">
        <v>12094</v>
      </c>
      <c r="D37" s="28">
        <v>10461</v>
      </c>
      <c r="E37" s="28">
        <v>163</v>
      </c>
      <c r="F37" s="28">
        <f t="shared" si="5"/>
        <v>1470</v>
      </c>
      <c r="G37" s="28">
        <v>46513</v>
      </c>
      <c r="H37" s="28">
        <v>28971</v>
      </c>
      <c r="I37" s="28">
        <v>807</v>
      </c>
      <c r="J37" s="28">
        <f t="shared" si="6"/>
        <v>16735</v>
      </c>
      <c r="K37" s="28">
        <v>483</v>
      </c>
      <c r="L37" s="28">
        <v>0</v>
      </c>
      <c r="M37" s="28">
        <v>2439</v>
      </c>
      <c r="N37" s="28">
        <v>1097</v>
      </c>
      <c r="O37" s="28">
        <v>1097</v>
      </c>
    </row>
    <row r="38" spans="1:256" ht="12.75" customHeight="1">
      <c r="A38" s="4" t="s">
        <v>70</v>
      </c>
      <c r="B38" s="5" t="s">
        <v>71</v>
      </c>
      <c r="C38" s="28">
        <v>176265</v>
      </c>
      <c r="D38" s="28">
        <v>144020</v>
      </c>
      <c r="E38" s="28">
        <v>4826</v>
      </c>
      <c r="F38" s="28">
        <f t="shared" si="5"/>
        <v>27419</v>
      </c>
      <c r="G38" s="28">
        <v>417481</v>
      </c>
      <c r="H38" s="28">
        <v>253748</v>
      </c>
      <c r="I38" s="28">
        <v>20267</v>
      </c>
      <c r="J38" s="28">
        <f t="shared" si="6"/>
        <v>143466</v>
      </c>
      <c r="K38" s="28">
        <v>27276</v>
      </c>
      <c r="L38" s="28">
        <v>0</v>
      </c>
      <c r="M38" s="28">
        <v>14760</v>
      </c>
      <c r="N38" s="28">
        <v>128669</v>
      </c>
      <c r="O38" s="28">
        <v>19345</v>
      </c>
    </row>
    <row r="39" spans="1:256" ht="12.75" customHeight="1">
      <c r="A39" s="4" t="s">
        <v>72</v>
      </c>
      <c r="B39" s="5" t="s">
        <v>73</v>
      </c>
      <c r="C39" s="28">
        <v>26843</v>
      </c>
      <c r="D39" s="28">
        <v>24874</v>
      </c>
      <c r="E39" s="28">
        <v>783</v>
      </c>
      <c r="F39" s="28">
        <f t="shared" si="5"/>
        <v>1186</v>
      </c>
      <c r="G39" s="28">
        <v>50323</v>
      </c>
      <c r="H39" s="28">
        <v>41288</v>
      </c>
      <c r="I39" s="28">
        <v>4596</v>
      </c>
      <c r="J39" s="28">
        <f t="shared" si="6"/>
        <v>4439</v>
      </c>
      <c r="K39" s="28">
        <v>888</v>
      </c>
      <c r="L39" s="28">
        <v>0</v>
      </c>
      <c r="M39" s="28">
        <v>51</v>
      </c>
      <c r="N39" s="28">
        <v>85</v>
      </c>
      <c r="O39" s="28">
        <v>85</v>
      </c>
    </row>
    <row r="40" spans="1:256" ht="12.75" customHeight="1">
      <c r="A40" s="4" t="s">
        <v>74</v>
      </c>
      <c r="B40" s="5" t="s">
        <v>75</v>
      </c>
      <c r="C40" s="28">
        <v>19342</v>
      </c>
      <c r="D40" s="28">
        <v>16742</v>
      </c>
      <c r="E40" s="28">
        <v>648</v>
      </c>
      <c r="F40" s="28">
        <f t="shared" si="5"/>
        <v>1952</v>
      </c>
      <c r="G40" s="28">
        <v>54386</v>
      </c>
      <c r="H40" s="28">
        <v>34955</v>
      </c>
      <c r="I40" s="28">
        <v>3355</v>
      </c>
      <c r="J40" s="28">
        <f t="shared" si="6"/>
        <v>16076</v>
      </c>
      <c r="K40" s="28">
        <v>1924</v>
      </c>
      <c r="L40" s="28">
        <v>27</v>
      </c>
      <c r="M40" s="28">
        <v>10182</v>
      </c>
      <c r="N40" s="28">
        <v>449</v>
      </c>
      <c r="O40" s="28">
        <v>449</v>
      </c>
    </row>
    <row r="41" spans="1:256" ht="12.75" customHeight="1">
      <c r="A41" s="4" t="s">
        <v>76</v>
      </c>
      <c r="B41" s="5" t="s">
        <v>77</v>
      </c>
      <c r="C41" s="28">
        <v>5851</v>
      </c>
      <c r="D41" s="28">
        <v>4766</v>
      </c>
      <c r="E41" s="28">
        <v>0</v>
      </c>
      <c r="F41" s="28">
        <f t="shared" si="5"/>
        <v>1085</v>
      </c>
      <c r="G41" s="28">
        <v>23562</v>
      </c>
      <c r="H41" s="28">
        <v>14749</v>
      </c>
      <c r="I41" s="28">
        <v>0</v>
      </c>
      <c r="J41" s="28">
        <f t="shared" si="6"/>
        <v>8813</v>
      </c>
      <c r="K41" s="28">
        <v>3510</v>
      </c>
      <c r="L41" s="28">
        <v>0</v>
      </c>
      <c r="M41" s="28">
        <v>549</v>
      </c>
      <c r="N41" s="28">
        <v>1503</v>
      </c>
      <c r="O41" s="28">
        <v>1503</v>
      </c>
    </row>
    <row r="42" spans="1:256" ht="12.75" customHeight="1">
      <c r="A42" s="4" t="s">
        <v>78</v>
      </c>
      <c r="B42" s="5" t="s">
        <v>79</v>
      </c>
      <c r="C42" s="28">
        <v>41201</v>
      </c>
      <c r="D42" s="28">
        <v>34901</v>
      </c>
      <c r="E42" s="28">
        <v>897</v>
      </c>
      <c r="F42" s="28">
        <f t="shared" si="5"/>
        <v>5403</v>
      </c>
      <c r="G42" s="28">
        <v>72110</v>
      </c>
      <c r="H42" s="28">
        <v>56268</v>
      </c>
      <c r="I42" s="28">
        <v>2302</v>
      </c>
      <c r="J42" s="28">
        <f t="shared" si="6"/>
        <v>13540</v>
      </c>
      <c r="K42" s="28">
        <v>2501</v>
      </c>
      <c r="L42" s="28">
        <v>0</v>
      </c>
      <c r="M42" s="28">
        <v>206</v>
      </c>
      <c r="N42" s="28">
        <v>394</v>
      </c>
      <c r="O42" s="28">
        <v>394</v>
      </c>
    </row>
    <row r="43" spans="1:256" ht="12.75" customHeight="1">
      <c r="A43" s="8"/>
      <c r="B43" s="9" t="s">
        <v>80</v>
      </c>
      <c r="C43" s="29">
        <f t="shared" ref="C43:O43" si="7">SUM(C31:C42)</f>
        <v>443238</v>
      </c>
      <c r="D43" s="29">
        <f t="shared" si="7"/>
        <v>356867</v>
      </c>
      <c r="E43" s="29">
        <f t="shared" si="7"/>
        <v>10697</v>
      </c>
      <c r="F43" s="29">
        <f t="shared" si="7"/>
        <v>75674</v>
      </c>
      <c r="G43" s="29">
        <f t="shared" si="7"/>
        <v>1200642</v>
      </c>
      <c r="H43" s="29">
        <f t="shared" si="7"/>
        <v>686604</v>
      </c>
      <c r="I43" s="29">
        <f t="shared" si="7"/>
        <v>49728</v>
      </c>
      <c r="J43" s="29">
        <f t="shared" si="7"/>
        <v>464310</v>
      </c>
      <c r="K43" s="29">
        <f t="shared" si="7"/>
        <v>58963</v>
      </c>
      <c r="L43" s="29">
        <f t="shared" si="7"/>
        <v>95</v>
      </c>
      <c r="M43" s="29">
        <f t="shared" si="7"/>
        <v>67685</v>
      </c>
      <c r="N43" s="29">
        <f t="shared" si="7"/>
        <v>136105</v>
      </c>
      <c r="O43" s="29">
        <f t="shared" si="7"/>
        <v>26781</v>
      </c>
    </row>
    <row r="44" spans="1:256" ht="12.75" customHeight="1">
      <c r="A44" s="4" t="s">
        <v>81</v>
      </c>
      <c r="B44" s="5" t="s">
        <v>82</v>
      </c>
      <c r="C44" s="28">
        <v>14148</v>
      </c>
      <c r="D44" s="28">
        <v>12223</v>
      </c>
      <c r="E44" s="28">
        <v>339</v>
      </c>
      <c r="F44" s="28">
        <f>SUM(C44-D44-E44)</f>
        <v>1586</v>
      </c>
      <c r="G44" s="28">
        <v>58310</v>
      </c>
      <c r="H44" s="28">
        <v>33381</v>
      </c>
      <c r="I44" s="28">
        <v>1691</v>
      </c>
      <c r="J44" s="28">
        <f>SUM(G44-H44-I44)</f>
        <v>23238</v>
      </c>
      <c r="K44" s="28">
        <v>4365</v>
      </c>
      <c r="L44" s="28">
        <v>0</v>
      </c>
      <c r="M44" s="28">
        <v>2308</v>
      </c>
      <c r="N44" s="28">
        <v>773</v>
      </c>
      <c r="O44" s="28">
        <v>773</v>
      </c>
    </row>
    <row r="45" spans="1:256" ht="12.75" customHeight="1">
      <c r="A45" s="4" t="s">
        <v>83</v>
      </c>
      <c r="B45" s="5" t="s">
        <v>84</v>
      </c>
      <c r="C45" s="28">
        <v>20615</v>
      </c>
      <c r="D45" s="28">
        <v>15566</v>
      </c>
      <c r="E45" s="28">
        <v>512</v>
      </c>
      <c r="F45" s="28">
        <f>SUM(C45-D45-E45)</f>
        <v>4537</v>
      </c>
      <c r="G45" s="28">
        <v>94841</v>
      </c>
      <c r="H45" s="28">
        <v>39399</v>
      </c>
      <c r="I45" s="28">
        <v>2910</v>
      </c>
      <c r="J45" s="28">
        <f>SUM(G45-H45-I45)</f>
        <v>52532</v>
      </c>
      <c r="K45" s="28">
        <v>21292</v>
      </c>
      <c r="L45" s="28">
        <v>0</v>
      </c>
      <c r="M45" s="28">
        <v>11846</v>
      </c>
      <c r="N45" s="28">
        <v>138</v>
      </c>
      <c r="O45" s="28">
        <v>138</v>
      </c>
    </row>
    <row r="46" spans="1:256" ht="12.75" customHeight="1">
      <c r="A46" s="8"/>
      <c r="B46" s="9" t="s">
        <v>85</v>
      </c>
      <c r="C46" s="29">
        <f t="shared" ref="C46:O46" si="8">SUM(C44:C45)</f>
        <v>34763</v>
      </c>
      <c r="D46" s="29">
        <f t="shared" si="8"/>
        <v>27789</v>
      </c>
      <c r="E46" s="29">
        <f t="shared" si="8"/>
        <v>851</v>
      </c>
      <c r="F46" s="29">
        <f t="shared" si="8"/>
        <v>6123</v>
      </c>
      <c r="G46" s="29">
        <f t="shared" si="8"/>
        <v>153151</v>
      </c>
      <c r="H46" s="29">
        <f t="shared" si="8"/>
        <v>72780</v>
      </c>
      <c r="I46" s="29">
        <f t="shared" si="8"/>
        <v>4601</v>
      </c>
      <c r="J46" s="29">
        <f t="shared" si="8"/>
        <v>75770</v>
      </c>
      <c r="K46" s="29">
        <f t="shared" si="8"/>
        <v>25657</v>
      </c>
      <c r="L46" s="29">
        <f t="shared" si="8"/>
        <v>0</v>
      </c>
      <c r="M46" s="29">
        <f t="shared" si="8"/>
        <v>14154</v>
      </c>
      <c r="N46" s="29">
        <f t="shared" si="8"/>
        <v>911</v>
      </c>
      <c r="O46" s="29">
        <f t="shared" si="8"/>
        <v>911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3803</v>
      </c>
      <c r="D47" s="28">
        <v>3398</v>
      </c>
      <c r="E47" s="28">
        <v>0</v>
      </c>
      <c r="F47" s="28">
        <f>SUM(C47-D47-E47)</f>
        <v>405</v>
      </c>
      <c r="G47" s="28">
        <v>4044</v>
      </c>
      <c r="H47" s="28">
        <v>3089</v>
      </c>
      <c r="I47" s="28">
        <v>0</v>
      </c>
      <c r="J47" s="28">
        <f>SUM(G47-H47-I47)</f>
        <v>955</v>
      </c>
      <c r="K47" s="28">
        <v>2</v>
      </c>
      <c r="L47" s="28">
        <v>0</v>
      </c>
      <c r="M47" s="28">
        <v>26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11431</v>
      </c>
      <c r="D48" s="28">
        <v>9042</v>
      </c>
      <c r="E48" s="28">
        <v>76</v>
      </c>
      <c r="F48" s="28">
        <f>SUM(C48-D48-E48)</f>
        <v>2313</v>
      </c>
      <c r="G48" s="28">
        <v>21221</v>
      </c>
      <c r="H48" s="28">
        <v>16530</v>
      </c>
      <c r="I48" s="28">
        <v>267</v>
      </c>
      <c r="J48" s="28">
        <f>SUM(G48-H48-I48)</f>
        <v>4424</v>
      </c>
      <c r="K48" s="28">
        <v>49</v>
      </c>
      <c r="L48" s="28">
        <v>0</v>
      </c>
      <c r="M48" s="28">
        <v>790</v>
      </c>
      <c r="N48" s="28">
        <v>197</v>
      </c>
      <c r="O48" s="28">
        <v>197</v>
      </c>
    </row>
    <row r="49" spans="1:15" ht="12.75" customHeight="1">
      <c r="A49" s="4" t="s">
        <v>90</v>
      </c>
      <c r="B49" s="5" t="s">
        <v>91</v>
      </c>
      <c r="C49" s="28">
        <v>3719</v>
      </c>
      <c r="D49" s="28">
        <v>3407</v>
      </c>
      <c r="E49" s="28">
        <v>204</v>
      </c>
      <c r="F49" s="28">
        <f>SUM(C49-D49-E49)</f>
        <v>108</v>
      </c>
      <c r="G49" s="28">
        <v>5058</v>
      </c>
      <c r="H49" s="28">
        <v>3989</v>
      </c>
      <c r="I49" s="28">
        <v>568</v>
      </c>
      <c r="J49" s="28">
        <f>SUM(G49-H49-I49)</f>
        <v>501</v>
      </c>
      <c r="K49" s="28">
        <v>2771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35384</v>
      </c>
      <c r="D50" s="28">
        <v>34183</v>
      </c>
      <c r="E50" s="28">
        <v>322</v>
      </c>
      <c r="F50" s="28">
        <f>SUM(C50-D50-E50)</f>
        <v>879</v>
      </c>
      <c r="G50" s="28">
        <v>76932</v>
      </c>
      <c r="H50" s="28">
        <v>56550</v>
      </c>
      <c r="I50" s="28">
        <v>1616</v>
      </c>
      <c r="J50" s="28">
        <f>SUM(G50-H50-I50)</f>
        <v>18766</v>
      </c>
      <c r="K50" s="28">
        <v>11599</v>
      </c>
      <c r="L50" s="28">
        <v>0</v>
      </c>
      <c r="M50" s="28">
        <v>4822</v>
      </c>
      <c r="N50" s="28">
        <v>2723</v>
      </c>
      <c r="O50" s="28">
        <v>2723</v>
      </c>
    </row>
    <row r="51" spans="1:15" ht="12.75" customHeight="1">
      <c r="A51" s="8"/>
      <c r="B51" s="9" t="s">
        <v>94</v>
      </c>
      <c r="C51" s="29">
        <f t="shared" ref="C51:O51" si="9">SUM(C47:C50)</f>
        <v>54337</v>
      </c>
      <c r="D51" s="29">
        <f t="shared" si="9"/>
        <v>50030</v>
      </c>
      <c r="E51" s="29">
        <f t="shared" si="9"/>
        <v>602</v>
      </c>
      <c r="F51" s="29">
        <f t="shared" si="9"/>
        <v>3705</v>
      </c>
      <c r="G51" s="29">
        <f t="shared" si="9"/>
        <v>107255</v>
      </c>
      <c r="H51" s="29">
        <f t="shared" si="9"/>
        <v>80158</v>
      </c>
      <c r="I51" s="29">
        <f t="shared" si="9"/>
        <v>2451</v>
      </c>
      <c r="J51" s="29">
        <f t="shared" si="9"/>
        <v>24646</v>
      </c>
      <c r="K51" s="29">
        <f t="shared" si="9"/>
        <v>14421</v>
      </c>
      <c r="L51" s="29">
        <f t="shared" si="9"/>
        <v>0</v>
      </c>
      <c r="M51" s="29">
        <f t="shared" si="9"/>
        <v>5638</v>
      </c>
      <c r="N51" s="29">
        <f t="shared" si="9"/>
        <v>2920</v>
      </c>
      <c r="O51" s="29">
        <f t="shared" si="9"/>
        <v>2920</v>
      </c>
    </row>
    <row r="52" spans="1:15" ht="12.75" customHeight="1">
      <c r="A52" s="4" t="s">
        <v>95</v>
      </c>
      <c r="B52" s="5" t="s">
        <v>96</v>
      </c>
      <c r="C52" s="28">
        <v>6417</v>
      </c>
      <c r="D52" s="28">
        <v>4467</v>
      </c>
      <c r="E52" s="28">
        <v>34</v>
      </c>
      <c r="F52" s="28">
        <f t="shared" ref="F52:F58" si="10">SUM(C52-D52-E52)</f>
        <v>1916</v>
      </c>
      <c r="G52" s="28">
        <v>21762</v>
      </c>
      <c r="H52" s="28">
        <v>11816</v>
      </c>
      <c r="I52" s="28">
        <v>123</v>
      </c>
      <c r="J52" s="28">
        <f t="shared" ref="J52:J58" si="11">SUM(G52-H52-I52)</f>
        <v>9823</v>
      </c>
      <c r="K52" s="28">
        <v>7013</v>
      </c>
      <c r="L52" s="28">
        <v>0</v>
      </c>
      <c r="M52" s="28">
        <v>200</v>
      </c>
      <c r="N52" s="28">
        <v>407</v>
      </c>
      <c r="O52" s="28">
        <v>407</v>
      </c>
    </row>
    <row r="53" spans="1:15" ht="12.75" customHeight="1">
      <c r="A53" s="4" t="s">
        <v>97</v>
      </c>
      <c r="B53" s="5" t="s">
        <v>98</v>
      </c>
      <c r="C53" s="28">
        <v>33802</v>
      </c>
      <c r="D53" s="28">
        <v>24999</v>
      </c>
      <c r="E53" s="28">
        <v>490</v>
      </c>
      <c r="F53" s="28">
        <f t="shared" si="10"/>
        <v>8313</v>
      </c>
      <c r="G53" s="28">
        <v>109144</v>
      </c>
      <c r="H53" s="28">
        <v>67239</v>
      </c>
      <c r="I53" s="28">
        <v>3397</v>
      </c>
      <c r="J53" s="28">
        <f t="shared" si="11"/>
        <v>38508</v>
      </c>
      <c r="K53" s="28">
        <v>4395</v>
      </c>
      <c r="L53" s="28">
        <v>0</v>
      </c>
      <c r="M53" s="28">
        <v>3354</v>
      </c>
      <c r="N53" s="28">
        <v>1657</v>
      </c>
      <c r="O53" s="28">
        <v>1657</v>
      </c>
    </row>
    <row r="54" spans="1:15" ht="12.75" customHeight="1">
      <c r="A54" s="4" t="s">
        <v>99</v>
      </c>
      <c r="B54" s="5" t="s">
        <v>100</v>
      </c>
      <c r="C54" s="28">
        <v>5872</v>
      </c>
      <c r="D54" s="28">
        <v>3281</v>
      </c>
      <c r="E54" s="28">
        <v>132</v>
      </c>
      <c r="F54" s="28">
        <f t="shared" si="10"/>
        <v>2459</v>
      </c>
      <c r="G54" s="28">
        <v>20363</v>
      </c>
      <c r="H54" s="28">
        <v>11018</v>
      </c>
      <c r="I54" s="28">
        <v>1314</v>
      </c>
      <c r="J54" s="28">
        <f t="shared" si="11"/>
        <v>8031</v>
      </c>
      <c r="K54" s="28">
        <v>285</v>
      </c>
      <c r="L54" s="28">
        <v>0</v>
      </c>
      <c r="M54" s="28">
        <v>1696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25672</v>
      </c>
      <c r="D55" s="28">
        <v>17289</v>
      </c>
      <c r="E55" s="28">
        <v>346</v>
      </c>
      <c r="F55" s="28">
        <f t="shared" si="10"/>
        <v>8037</v>
      </c>
      <c r="G55" s="28">
        <v>93573</v>
      </c>
      <c r="H55" s="28">
        <v>44015</v>
      </c>
      <c r="I55" s="28">
        <v>1668</v>
      </c>
      <c r="J55" s="28">
        <f t="shared" si="11"/>
        <v>47890</v>
      </c>
      <c r="K55" s="28">
        <v>13482</v>
      </c>
      <c r="L55" s="28">
        <v>0</v>
      </c>
      <c r="M55" s="28">
        <v>5828</v>
      </c>
      <c r="N55" s="28">
        <v>7259</v>
      </c>
      <c r="O55" s="28">
        <v>7259</v>
      </c>
    </row>
    <row r="56" spans="1:15" ht="12.75" customHeight="1">
      <c r="A56" s="4" t="s">
        <v>103</v>
      </c>
      <c r="B56" s="5" t="s">
        <v>104</v>
      </c>
      <c r="C56" s="28">
        <v>35460</v>
      </c>
      <c r="D56" s="28">
        <v>14559</v>
      </c>
      <c r="E56" s="28">
        <v>1320</v>
      </c>
      <c r="F56" s="28">
        <f t="shared" si="10"/>
        <v>19581</v>
      </c>
      <c r="G56" s="28">
        <v>123687</v>
      </c>
      <c r="H56" s="28">
        <v>36299</v>
      </c>
      <c r="I56" s="28">
        <v>7777</v>
      </c>
      <c r="J56" s="28">
        <f t="shared" si="11"/>
        <v>79611</v>
      </c>
      <c r="K56" s="28">
        <v>5088</v>
      </c>
      <c r="L56" s="28">
        <v>79</v>
      </c>
      <c r="M56" s="28">
        <v>9569</v>
      </c>
      <c r="N56" s="28">
        <v>18450</v>
      </c>
      <c r="O56" s="28">
        <v>2297</v>
      </c>
    </row>
    <row r="57" spans="1:15" ht="12.75" customHeight="1">
      <c r="A57" s="4" t="s">
        <v>105</v>
      </c>
      <c r="B57" s="5" t="s">
        <v>106</v>
      </c>
      <c r="C57" s="28">
        <v>31896</v>
      </c>
      <c r="D57" s="28">
        <v>17428</v>
      </c>
      <c r="E57" s="28">
        <v>1319</v>
      </c>
      <c r="F57" s="28">
        <f t="shared" si="10"/>
        <v>13149</v>
      </c>
      <c r="G57" s="28">
        <v>129742</v>
      </c>
      <c r="H57" s="28">
        <v>56254</v>
      </c>
      <c r="I57" s="28">
        <v>7450</v>
      </c>
      <c r="J57" s="28">
        <f t="shared" si="11"/>
        <v>66038</v>
      </c>
      <c r="K57" s="28">
        <v>1867</v>
      </c>
      <c r="L57" s="28">
        <v>0</v>
      </c>
      <c r="M57" s="28">
        <v>9783</v>
      </c>
      <c r="N57" s="28">
        <v>153</v>
      </c>
      <c r="O57" s="28">
        <v>153</v>
      </c>
    </row>
    <row r="58" spans="1:15" ht="12.75" customHeight="1">
      <c r="A58" s="4" t="s">
        <v>107</v>
      </c>
      <c r="B58" s="5" t="s">
        <v>108</v>
      </c>
      <c r="C58" s="28">
        <v>33027</v>
      </c>
      <c r="D58" s="28">
        <v>19059</v>
      </c>
      <c r="E58" s="28">
        <v>429</v>
      </c>
      <c r="F58" s="28">
        <f t="shared" si="10"/>
        <v>13539</v>
      </c>
      <c r="G58" s="28">
        <v>119596</v>
      </c>
      <c r="H58" s="28">
        <v>47883</v>
      </c>
      <c r="I58" s="28">
        <v>2578</v>
      </c>
      <c r="J58" s="28">
        <f t="shared" si="11"/>
        <v>69135</v>
      </c>
      <c r="K58" s="28">
        <v>5394</v>
      </c>
      <c r="L58" s="28">
        <v>93</v>
      </c>
      <c r="M58" s="28">
        <v>5959</v>
      </c>
      <c r="N58" s="28">
        <v>10255</v>
      </c>
      <c r="O58" s="28">
        <v>10255</v>
      </c>
    </row>
    <row r="59" spans="1:15" ht="12.75" customHeight="1">
      <c r="A59" s="8"/>
      <c r="B59" s="9" t="s">
        <v>109</v>
      </c>
      <c r="C59" s="29">
        <f t="shared" ref="C59:O59" si="12">SUM(C52:C58)</f>
        <v>172146</v>
      </c>
      <c r="D59" s="29">
        <f t="shared" si="12"/>
        <v>101082</v>
      </c>
      <c r="E59" s="29">
        <f t="shared" si="12"/>
        <v>4070</v>
      </c>
      <c r="F59" s="29">
        <f t="shared" si="12"/>
        <v>66994</v>
      </c>
      <c r="G59" s="29">
        <f t="shared" si="12"/>
        <v>617867</v>
      </c>
      <c r="H59" s="29">
        <f t="shared" si="12"/>
        <v>274524</v>
      </c>
      <c r="I59" s="29">
        <f t="shared" si="12"/>
        <v>24307</v>
      </c>
      <c r="J59" s="29">
        <f t="shared" si="12"/>
        <v>319036</v>
      </c>
      <c r="K59" s="29">
        <f t="shared" si="12"/>
        <v>37524</v>
      </c>
      <c r="L59" s="29">
        <f t="shared" si="12"/>
        <v>172</v>
      </c>
      <c r="M59" s="29">
        <f t="shared" si="12"/>
        <v>36389</v>
      </c>
      <c r="N59" s="29">
        <f t="shared" si="12"/>
        <v>38181</v>
      </c>
      <c r="O59" s="29">
        <f t="shared" si="12"/>
        <v>22028</v>
      </c>
    </row>
    <row r="60" spans="1:15" ht="12.75" customHeight="1">
      <c r="A60" s="4" t="s">
        <v>110</v>
      </c>
      <c r="B60" s="5" t="s">
        <v>111</v>
      </c>
      <c r="C60" s="28">
        <v>36199</v>
      </c>
      <c r="D60" s="28">
        <v>26787</v>
      </c>
      <c r="E60" s="28">
        <v>1968</v>
      </c>
      <c r="F60" s="28">
        <f t="shared" ref="F60:F68" si="13">SUM(C60-D60-E60)</f>
        <v>7444</v>
      </c>
      <c r="G60" s="28">
        <v>114852</v>
      </c>
      <c r="H60" s="28">
        <v>68205</v>
      </c>
      <c r="I60" s="28">
        <v>13825</v>
      </c>
      <c r="J60" s="28">
        <f t="shared" ref="J60:J68" si="14">SUM(G60-H60-I60)</f>
        <v>32822</v>
      </c>
      <c r="K60" s="28">
        <v>1861</v>
      </c>
      <c r="L60" s="28">
        <v>0</v>
      </c>
      <c r="M60" s="28">
        <v>2996</v>
      </c>
      <c r="N60" s="28">
        <v>650</v>
      </c>
      <c r="O60" s="28">
        <v>650</v>
      </c>
    </row>
    <row r="61" spans="1:15" ht="12.75" customHeight="1">
      <c r="A61" s="4" t="s">
        <v>112</v>
      </c>
      <c r="B61" s="5" t="s">
        <v>113</v>
      </c>
      <c r="C61" s="28">
        <v>10382</v>
      </c>
      <c r="D61" s="28">
        <v>7175</v>
      </c>
      <c r="E61" s="28">
        <v>137</v>
      </c>
      <c r="F61" s="28">
        <f t="shared" si="13"/>
        <v>3070</v>
      </c>
      <c r="G61" s="28">
        <v>30329</v>
      </c>
      <c r="H61" s="28">
        <v>18862</v>
      </c>
      <c r="I61" s="28">
        <v>1064</v>
      </c>
      <c r="J61" s="28">
        <f t="shared" si="14"/>
        <v>10403</v>
      </c>
      <c r="K61" s="28">
        <v>99</v>
      </c>
      <c r="L61" s="28">
        <v>0</v>
      </c>
      <c r="M61" s="28">
        <v>3270</v>
      </c>
      <c r="N61" s="28">
        <v>29</v>
      </c>
      <c r="O61" s="28">
        <v>29</v>
      </c>
    </row>
    <row r="62" spans="1:15" ht="12.75" customHeight="1">
      <c r="A62" s="4" t="s">
        <v>114</v>
      </c>
      <c r="B62" s="5" t="s">
        <v>115</v>
      </c>
      <c r="C62" s="28">
        <v>17159</v>
      </c>
      <c r="D62" s="28">
        <v>8698</v>
      </c>
      <c r="E62" s="28">
        <v>511</v>
      </c>
      <c r="F62" s="28">
        <f t="shared" si="13"/>
        <v>7950</v>
      </c>
      <c r="G62" s="28">
        <v>81554</v>
      </c>
      <c r="H62" s="28">
        <v>24757</v>
      </c>
      <c r="I62" s="28">
        <v>4041</v>
      </c>
      <c r="J62" s="28">
        <f t="shared" si="14"/>
        <v>52756</v>
      </c>
      <c r="K62" s="28">
        <v>2350</v>
      </c>
      <c r="L62" s="28">
        <v>46</v>
      </c>
      <c r="M62" s="28">
        <v>5105</v>
      </c>
      <c r="N62" s="28">
        <v>1510</v>
      </c>
      <c r="O62" s="28">
        <v>1510</v>
      </c>
    </row>
    <row r="63" spans="1:15" ht="12.75" customHeight="1">
      <c r="A63" s="4" t="s">
        <v>116</v>
      </c>
      <c r="B63" s="5" t="s">
        <v>117</v>
      </c>
      <c r="C63" s="28">
        <v>24123</v>
      </c>
      <c r="D63" s="28">
        <v>15741</v>
      </c>
      <c r="E63" s="28">
        <v>854</v>
      </c>
      <c r="F63" s="28">
        <f t="shared" si="13"/>
        <v>7528</v>
      </c>
      <c r="G63" s="28">
        <v>81285</v>
      </c>
      <c r="H63" s="28">
        <v>46423</v>
      </c>
      <c r="I63" s="28">
        <v>8209</v>
      </c>
      <c r="J63" s="28">
        <f t="shared" si="14"/>
        <v>26653</v>
      </c>
      <c r="K63" s="28">
        <v>800</v>
      </c>
      <c r="L63" s="28">
        <v>0</v>
      </c>
      <c r="M63" s="28">
        <v>3179</v>
      </c>
      <c r="N63" s="28">
        <v>359</v>
      </c>
      <c r="O63" s="28">
        <v>359</v>
      </c>
    </row>
    <row r="64" spans="1:15" ht="12.75" customHeight="1">
      <c r="A64" s="4" t="s">
        <v>118</v>
      </c>
      <c r="B64" s="5" t="s">
        <v>119</v>
      </c>
      <c r="C64" s="28">
        <v>23121</v>
      </c>
      <c r="D64" s="28">
        <v>11613</v>
      </c>
      <c r="E64" s="28">
        <v>1020</v>
      </c>
      <c r="F64" s="28">
        <f t="shared" si="13"/>
        <v>10488</v>
      </c>
      <c r="G64" s="28">
        <v>89427</v>
      </c>
      <c r="H64" s="28">
        <v>35376</v>
      </c>
      <c r="I64" s="28">
        <v>7079</v>
      </c>
      <c r="J64" s="28">
        <f t="shared" si="14"/>
        <v>46972</v>
      </c>
      <c r="K64" s="28">
        <v>298</v>
      </c>
      <c r="L64" s="28">
        <v>15</v>
      </c>
      <c r="M64" s="28">
        <v>2045</v>
      </c>
      <c r="N64" s="28">
        <v>792</v>
      </c>
      <c r="O64" s="28">
        <v>792</v>
      </c>
    </row>
    <row r="65" spans="1:15" ht="12.75" customHeight="1">
      <c r="A65" s="4" t="s">
        <v>120</v>
      </c>
      <c r="B65" s="5" t="s">
        <v>121</v>
      </c>
      <c r="C65" s="28">
        <v>10700</v>
      </c>
      <c r="D65" s="28">
        <v>7528</v>
      </c>
      <c r="E65" s="28">
        <v>803</v>
      </c>
      <c r="F65" s="28">
        <f t="shared" si="13"/>
        <v>2369</v>
      </c>
      <c r="G65" s="28">
        <v>60133</v>
      </c>
      <c r="H65" s="28">
        <v>22828</v>
      </c>
      <c r="I65" s="28">
        <v>5633</v>
      </c>
      <c r="J65" s="28">
        <f t="shared" si="14"/>
        <v>31672</v>
      </c>
      <c r="K65" s="28">
        <v>3580</v>
      </c>
      <c r="L65" s="28">
        <v>0</v>
      </c>
      <c r="M65" s="28">
        <v>5188</v>
      </c>
      <c r="N65" s="28">
        <v>440</v>
      </c>
      <c r="O65" s="28">
        <v>440</v>
      </c>
    </row>
    <row r="66" spans="1:15" ht="12.75" customHeight="1">
      <c r="A66" s="4" t="s">
        <v>122</v>
      </c>
      <c r="B66" s="5" t="s">
        <v>123</v>
      </c>
      <c r="C66" s="28">
        <v>22763</v>
      </c>
      <c r="D66" s="28">
        <v>7587</v>
      </c>
      <c r="E66" s="28">
        <v>295</v>
      </c>
      <c r="F66" s="28">
        <f t="shared" si="13"/>
        <v>14881</v>
      </c>
      <c r="G66" s="28">
        <v>112965</v>
      </c>
      <c r="H66" s="28">
        <v>23504</v>
      </c>
      <c r="I66" s="28">
        <v>1976</v>
      </c>
      <c r="J66" s="28">
        <f t="shared" si="14"/>
        <v>87485</v>
      </c>
      <c r="K66" s="28">
        <v>9799</v>
      </c>
      <c r="L66" s="28">
        <v>106</v>
      </c>
      <c r="M66" s="28">
        <v>16248</v>
      </c>
      <c r="N66" s="28">
        <v>283</v>
      </c>
      <c r="O66" s="28">
        <v>283</v>
      </c>
    </row>
    <row r="67" spans="1:15" ht="12.75" customHeight="1">
      <c r="A67" s="4" t="s">
        <v>124</v>
      </c>
      <c r="B67" s="5" t="s">
        <v>125</v>
      </c>
      <c r="C67" s="28">
        <v>29596</v>
      </c>
      <c r="D67" s="28">
        <v>8711</v>
      </c>
      <c r="E67" s="28">
        <v>0</v>
      </c>
      <c r="F67" s="28">
        <f t="shared" si="13"/>
        <v>20885</v>
      </c>
      <c r="G67" s="28">
        <v>126543</v>
      </c>
      <c r="H67" s="28">
        <v>24523</v>
      </c>
      <c r="I67" s="28">
        <v>0</v>
      </c>
      <c r="J67" s="28">
        <f t="shared" si="14"/>
        <v>102020</v>
      </c>
      <c r="K67" s="28">
        <v>7586</v>
      </c>
      <c r="L67" s="28">
        <v>0</v>
      </c>
      <c r="M67" s="28">
        <v>20109</v>
      </c>
      <c r="N67" s="28">
        <v>456</v>
      </c>
      <c r="O67" s="28">
        <v>456</v>
      </c>
    </row>
    <row r="68" spans="1:15" ht="12.75" customHeight="1">
      <c r="A68" s="4" t="s">
        <v>126</v>
      </c>
      <c r="B68" s="5" t="s">
        <v>127</v>
      </c>
      <c r="C68" s="28">
        <v>25936</v>
      </c>
      <c r="D68" s="28">
        <v>10406</v>
      </c>
      <c r="E68" s="28">
        <v>221</v>
      </c>
      <c r="F68" s="28">
        <f t="shared" si="13"/>
        <v>15309</v>
      </c>
      <c r="G68" s="28">
        <v>58074</v>
      </c>
      <c r="H68" s="28">
        <v>25105</v>
      </c>
      <c r="I68" s="28">
        <v>2384</v>
      </c>
      <c r="J68" s="28">
        <f t="shared" si="14"/>
        <v>30585</v>
      </c>
      <c r="K68" s="28">
        <v>333</v>
      </c>
      <c r="L68" s="28">
        <v>59</v>
      </c>
      <c r="M68" s="28">
        <v>1123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199979</v>
      </c>
      <c r="D69" s="29">
        <f t="shared" si="15"/>
        <v>104246</v>
      </c>
      <c r="E69" s="29">
        <f t="shared" si="15"/>
        <v>5809</v>
      </c>
      <c r="F69" s="29">
        <f t="shared" si="15"/>
        <v>89924</v>
      </c>
      <c r="G69" s="29">
        <f t="shared" si="15"/>
        <v>755162</v>
      </c>
      <c r="H69" s="29">
        <f t="shared" si="15"/>
        <v>289583</v>
      </c>
      <c r="I69" s="29">
        <f t="shared" si="15"/>
        <v>44211</v>
      </c>
      <c r="J69" s="29">
        <f t="shared" si="15"/>
        <v>421368</v>
      </c>
      <c r="K69" s="29">
        <f t="shared" si="15"/>
        <v>26706</v>
      </c>
      <c r="L69" s="29">
        <f t="shared" si="15"/>
        <v>226</v>
      </c>
      <c r="M69" s="29">
        <f t="shared" si="15"/>
        <v>59263</v>
      </c>
      <c r="N69" s="29">
        <f t="shared" si="15"/>
        <v>4519</v>
      </c>
      <c r="O69" s="29">
        <f t="shared" si="15"/>
        <v>4519</v>
      </c>
    </row>
    <row r="70" spans="1:15" ht="12.75" customHeight="1">
      <c r="A70" s="4" t="s">
        <v>129</v>
      </c>
      <c r="B70" s="5" t="s">
        <v>130</v>
      </c>
      <c r="C70" s="28">
        <v>12859</v>
      </c>
      <c r="D70" s="28">
        <v>9554</v>
      </c>
      <c r="E70" s="28">
        <v>690</v>
      </c>
      <c r="F70" s="28">
        <f t="shared" ref="F70:F79" si="16">SUM(C70-D70-E70)</f>
        <v>2615</v>
      </c>
      <c r="G70" s="28">
        <v>45949</v>
      </c>
      <c r="H70" s="28">
        <v>25881</v>
      </c>
      <c r="I70" s="28">
        <v>6185</v>
      </c>
      <c r="J70" s="28">
        <f t="shared" ref="J70:J79" si="17">SUM(G70-H70-I70)</f>
        <v>13883</v>
      </c>
      <c r="K70" s="28">
        <v>1524</v>
      </c>
      <c r="L70" s="28">
        <v>21</v>
      </c>
      <c r="M70" s="28">
        <v>2903</v>
      </c>
      <c r="N70" s="28">
        <v>112</v>
      </c>
      <c r="O70" s="28">
        <v>112</v>
      </c>
    </row>
    <row r="71" spans="1:15" ht="12.75" customHeight="1">
      <c r="A71" s="4" t="s">
        <v>131</v>
      </c>
      <c r="B71" s="5" t="s">
        <v>132</v>
      </c>
      <c r="C71" s="28">
        <v>48180</v>
      </c>
      <c r="D71" s="28">
        <v>32291</v>
      </c>
      <c r="E71" s="28">
        <v>1389</v>
      </c>
      <c r="F71" s="28">
        <f t="shared" si="16"/>
        <v>14500</v>
      </c>
      <c r="G71" s="28">
        <v>120429</v>
      </c>
      <c r="H71" s="28">
        <v>60276</v>
      </c>
      <c r="I71" s="28">
        <v>8236</v>
      </c>
      <c r="J71" s="28">
        <f t="shared" si="17"/>
        <v>51917</v>
      </c>
      <c r="K71" s="28">
        <v>6848</v>
      </c>
      <c r="L71" s="28">
        <v>0</v>
      </c>
      <c r="M71" s="28">
        <v>3659</v>
      </c>
      <c r="N71" s="28">
        <v>11219</v>
      </c>
      <c r="O71" s="28">
        <v>11219</v>
      </c>
    </row>
    <row r="72" spans="1:15" ht="12.75" customHeight="1">
      <c r="A72" s="4" t="s">
        <v>133</v>
      </c>
      <c r="B72" s="5" t="s">
        <v>134</v>
      </c>
      <c r="C72" s="28">
        <v>8892</v>
      </c>
      <c r="D72" s="28">
        <v>6138</v>
      </c>
      <c r="E72" s="28">
        <v>0</v>
      </c>
      <c r="F72" s="28">
        <f t="shared" si="16"/>
        <v>2754</v>
      </c>
      <c r="G72" s="28">
        <v>29980</v>
      </c>
      <c r="H72" s="28">
        <v>16939</v>
      </c>
      <c r="I72" s="28">
        <v>0</v>
      </c>
      <c r="J72" s="28">
        <f t="shared" si="17"/>
        <v>13041</v>
      </c>
      <c r="K72" s="28">
        <v>2608</v>
      </c>
      <c r="L72" s="28">
        <v>204</v>
      </c>
      <c r="M72" s="28">
        <v>4821</v>
      </c>
      <c r="N72" s="28">
        <v>184</v>
      </c>
      <c r="O72" s="28">
        <v>184</v>
      </c>
    </row>
    <row r="73" spans="1:15" ht="12.75" customHeight="1">
      <c r="A73" s="4" t="s">
        <v>135</v>
      </c>
      <c r="B73" s="5" t="s">
        <v>136</v>
      </c>
      <c r="C73" s="28">
        <v>20514</v>
      </c>
      <c r="D73" s="28">
        <v>15275</v>
      </c>
      <c r="E73" s="28">
        <v>105</v>
      </c>
      <c r="F73" s="28">
        <f t="shared" si="16"/>
        <v>5134</v>
      </c>
      <c r="G73" s="28">
        <v>62289</v>
      </c>
      <c r="H73" s="28">
        <v>36875</v>
      </c>
      <c r="I73" s="28">
        <v>403</v>
      </c>
      <c r="J73" s="28">
        <f t="shared" si="17"/>
        <v>25011</v>
      </c>
      <c r="K73" s="28">
        <v>2952</v>
      </c>
      <c r="L73" s="28">
        <v>36</v>
      </c>
      <c r="M73" s="28">
        <v>2096</v>
      </c>
      <c r="N73" s="28">
        <v>17292</v>
      </c>
      <c r="O73" s="28">
        <v>17292</v>
      </c>
    </row>
    <row r="74" spans="1:15" ht="12.75" customHeight="1">
      <c r="A74" s="4" t="s">
        <v>137</v>
      </c>
      <c r="B74" s="5" t="s">
        <v>138</v>
      </c>
      <c r="C74" s="28">
        <v>18549</v>
      </c>
      <c r="D74" s="28">
        <v>13968</v>
      </c>
      <c r="E74" s="28">
        <v>466</v>
      </c>
      <c r="F74" s="28">
        <f t="shared" si="16"/>
        <v>4115</v>
      </c>
      <c r="G74" s="28">
        <v>43775</v>
      </c>
      <c r="H74" s="28">
        <v>26346</v>
      </c>
      <c r="I74" s="28">
        <v>2316</v>
      </c>
      <c r="J74" s="28">
        <f t="shared" si="17"/>
        <v>15113</v>
      </c>
      <c r="K74" s="28">
        <v>2414</v>
      </c>
      <c r="L74" s="28">
        <v>0</v>
      </c>
      <c r="M74" s="28">
        <v>1064</v>
      </c>
      <c r="N74" s="28">
        <v>1280</v>
      </c>
      <c r="O74" s="28">
        <v>1280</v>
      </c>
    </row>
    <row r="75" spans="1:15" ht="12.75" customHeight="1">
      <c r="A75" s="4" t="s">
        <v>139</v>
      </c>
      <c r="B75" s="5" t="s">
        <v>140</v>
      </c>
      <c r="C75" s="28">
        <v>8642</v>
      </c>
      <c r="D75" s="28">
        <v>7986</v>
      </c>
      <c r="E75" s="28">
        <v>134</v>
      </c>
      <c r="F75" s="28">
        <f t="shared" si="16"/>
        <v>522</v>
      </c>
      <c r="G75" s="28">
        <v>17927</v>
      </c>
      <c r="H75" s="28">
        <v>14450</v>
      </c>
      <c r="I75" s="28">
        <v>1251</v>
      </c>
      <c r="J75" s="28">
        <f t="shared" si="17"/>
        <v>2226</v>
      </c>
      <c r="K75" s="28">
        <v>343</v>
      </c>
      <c r="L75" s="28">
        <v>0</v>
      </c>
      <c r="M75" s="28">
        <v>68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18399</v>
      </c>
      <c r="D76" s="28">
        <v>12999</v>
      </c>
      <c r="E76" s="28">
        <v>204</v>
      </c>
      <c r="F76" s="28">
        <f t="shared" si="16"/>
        <v>5196</v>
      </c>
      <c r="G76" s="28">
        <v>52810</v>
      </c>
      <c r="H76" s="28">
        <v>31223</v>
      </c>
      <c r="I76" s="28">
        <v>1065</v>
      </c>
      <c r="J76" s="28">
        <f t="shared" si="17"/>
        <v>20522</v>
      </c>
      <c r="K76" s="28">
        <v>1527</v>
      </c>
      <c r="L76" s="28">
        <v>325</v>
      </c>
      <c r="M76" s="28">
        <v>1875</v>
      </c>
      <c r="N76" s="28">
        <v>677</v>
      </c>
      <c r="O76" s="28">
        <v>677</v>
      </c>
    </row>
    <row r="77" spans="1:15" ht="12.75" customHeight="1">
      <c r="A77" s="4" t="s">
        <v>143</v>
      </c>
      <c r="B77" s="5" t="s">
        <v>144</v>
      </c>
      <c r="C77" s="28">
        <v>14563</v>
      </c>
      <c r="D77" s="28">
        <v>8590</v>
      </c>
      <c r="E77" s="28">
        <v>190</v>
      </c>
      <c r="F77" s="28">
        <f t="shared" si="16"/>
        <v>5783</v>
      </c>
      <c r="G77" s="28">
        <v>37188</v>
      </c>
      <c r="H77" s="28">
        <v>18690</v>
      </c>
      <c r="I77" s="28">
        <v>748</v>
      </c>
      <c r="J77" s="28">
        <f t="shared" si="17"/>
        <v>17750</v>
      </c>
      <c r="K77" s="28">
        <v>3141</v>
      </c>
      <c r="L77" s="28">
        <v>0</v>
      </c>
      <c r="M77" s="28">
        <v>2461</v>
      </c>
      <c r="N77" s="28">
        <v>365</v>
      </c>
      <c r="O77" s="28">
        <v>365</v>
      </c>
    </row>
    <row r="78" spans="1:15" ht="12.75" customHeight="1">
      <c r="A78" s="4" t="s">
        <v>145</v>
      </c>
      <c r="B78" s="5" t="s">
        <v>146</v>
      </c>
      <c r="C78" s="28">
        <v>11082</v>
      </c>
      <c r="D78" s="28">
        <v>7484</v>
      </c>
      <c r="E78" s="28">
        <v>0</v>
      </c>
      <c r="F78" s="28">
        <f t="shared" si="16"/>
        <v>3598</v>
      </c>
      <c r="G78" s="28">
        <v>24550</v>
      </c>
      <c r="H78" s="28">
        <v>15364</v>
      </c>
      <c r="I78" s="28">
        <v>0</v>
      </c>
      <c r="J78" s="28">
        <f t="shared" si="17"/>
        <v>9186</v>
      </c>
      <c r="K78" s="28">
        <v>753</v>
      </c>
      <c r="L78" s="28">
        <v>0</v>
      </c>
      <c r="M78" s="28">
        <v>32</v>
      </c>
      <c r="N78" s="28">
        <v>426</v>
      </c>
      <c r="O78" s="28">
        <v>426</v>
      </c>
    </row>
    <row r="79" spans="1:15" ht="12.75" customHeight="1">
      <c r="A79" s="4" t="s">
        <v>147</v>
      </c>
      <c r="B79" s="5" t="s">
        <v>148</v>
      </c>
      <c r="C79" s="28">
        <v>10921</v>
      </c>
      <c r="D79" s="28">
        <v>8036</v>
      </c>
      <c r="E79" s="28">
        <v>193</v>
      </c>
      <c r="F79" s="28">
        <f t="shared" si="16"/>
        <v>2692</v>
      </c>
      <c r="G79" s="28">
        <v>38963</v>
      </c>
      <c r="H79" s="28">
        <v>21234</v>
      </c>
      <c r="I79" s="28">
        <v>1427</v>
      </c>
      <c r="J79" s="28">
        <f t="shared" si="17"/>
        <v>16302</v>
      </c>
      <c r="K79" s="28">
        <v>3019</v>
      </c>
      <c r="L79" s="28">
        <v>0</v>
      </c>
      <c r="M79" s="28">
        <v>3766</v>
      </c>
      <c r="N79" s="28">
        <v>277</v>
      </c>
      <c r="O79" s="28">
        <v>277</v>
      </c>
    </row>
    <row r="80" spans="1:15" ht="12.75" customHeight="1">
      <c r="A80" s="8"/>
      <c r="B80" s="9" t="s">
        <v>149</v>
      </c>
      <c r="C80" s="29">
        <f t="shared" ref="C80:O80" si="18">SUM(C70:C79)</f>
        <v>172601</v>
      </c>
      <c r="D80" s="29">
        <f t="shared" si="18"/>
        <v>122321</v>
      </c>
      <c r="E80" s="29">
        <f t="shared" si="18"/>
        <v>3371</v>
      </c>
      <c r="F80" s="29">
        <f t="shared" si="18"/>
        <v>46909</v>
      </c>
      <c r="G80" s="29">
        <f t="shared" si="18"/>
        <v>473860</v>
      </c>
      <c r="H80" s="29">
        <f t="shared" si="18"/>
        <v>267278</v>
      </c>
      <c r="I80" s="29">
        <f t="shared" si="18"/>
        <v>21631</v>
      </c>
      <c r="J80" s="29">
        <f t="shared" si="18"/>
        <v>184951</v>
      </c>
      <c r="K80" s="29">
        <f t="shared" si="18"/>
        <v>25129</v>
      </c>
      <c r="L80" s="29">
        <f t="shared" si="18"/>
        <v>586</v>
      </c>
      <c r="M80" s="29">
        <f t="shared" si="18"/>
        <v>22745</v>
      </c>
      <c r="N80" s="29">
        <f t="shared" si="18"/>
        <v>31832</v>
      </c>
      <c r="O80" s="29">
        <f t="shared" si="18"/>
        <v>31832</v>
      </c>
    </row>
    <row r="81" spans="1:15" ht="12.75" customHeight="1">
      <c r="A81" s="4" t="s">
        <v>150</v>
      </c>
      <c r="B81" s="5" t="s">
        <v>151</v>
      </c>
      <c r="C81" s="28">
        <v>18678</v>
      </c>
      <c r="D81" s="28">
        <v>11779</v>
      </c>
      <c r="E81" s="28">
        <v>317</v>
      </c>
      <c r="F81" s="28">
        <f>SUM(C81-D81-E81)</f>
        <v>6582</v>
      </c>
      <c r="G81" s="28">
        <v>77600</v>
      </c>
      <c r="H81" s="28">
        <v>39781</v>
      </c>
      <c r="I81" s="28">
        <v>3657</v>
      </c>
      <c r="J81" s="28">
        <f>SUM(G81-H81-I81)</f>
        <v>34162</v>
      </c>
      <c r="K81" s="28">
        <v>1356</v>
      </c>
      <c r="L81" s="28">
        <v>580</v>
      </c>
      <c r="M81" s="28">
        <v>3705</v>
      </c>
      <c r="N81" s="28">
        <v>877</v>
      </c>
      <c r="O81" s="28">
        <v>877</v>
      </c>
    </row>
    <row r="82" spans="1:15" ht="12.75" customHeight="1">
      <c r="A82" s="4" t="s">
        <v>152</v>
      </c>
      <c r="B82" s="5" t="s">
        <v>153</v>
      </c>
      <c r="C82" s="28">
        <v>7059</v>
      </c>
      <c r="D82" s="28">
        <v>5050</v>
      </c>
      <c r="E82" s="28">
        <v>85</v>
      </c>
      <c r="F82" s="28">
        <f>SUM(C82-D82-E82)</f>
        <v>1924</v>
      </c>
      <c r="G82" s="28">
        <v>37827</v>
      </c>
      <c r="H82" s="28">
        <v>17053</v>
      </c>
      <c r="I82" s="28">
        <v>815</v>
      </c>
      <c r="J82" s="28">
        <f>SUM(G82-H82-I82)</f>
        <v>19959</v>
      </c>
      <c r="K82" s="28">
        <v>584</v>
      </c>
      <c r="L82" s="28">
        <v>4</v>
      </c>
      <c r="M82" s="28">
        <v>3404</v>
      </c>
      <c r="N82" s="28">
        <v>271</v>
      </c>
      <c r="O82" s="28">
        <v>271</v>
      </c>
    </row>
    <row r="83" spans="1:15" ht="12.75" customHeight="1">
      <c r="A83" s="4" t="s">
        <v>154</v>
      </c>
      <c r="B83" s="5" t="s">
        <v>155</v>
      </c>
      <c r="C83" s="28">
        <v>2306</v>
      </c>
      <c r="D83" s="28">
        <v>2230</v>
      </c>
      <c r="E83" s="28">
        <v>72</v>
      </c>
      <c r="F83" s="28">
        <f>SUM(C83-D83-E83)</f>
        <v>4</v>
      </c>
      <c r="G83" s="28">
        <v>9378</v>
      </c>
      <c r="H83" s="28">
        <v>7592</v>
      </c>
      <c r="I83" s="28">
        <v>868</v>
      </c>
      <c r="J83" s="28">
        <f>SUM(G83-H83-I83)</f>
        <v>918</v>
      </c>
      <c r="K83" s="28">
        <v>1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7580</v>
      </c>
      <c r="D84" s="28">
        <v>6732</v>
      </c>
      <c r="E84" s="28">
        <v>88</v>
      </c>
      <c r="F84" s="28">
        <f>SUM(C84-D84-E84)</f>
        <v>760</v>
      </c>
      <c r="G84" s="28">
        <v>37092</v>
      </c>
      <c r="H84" s="28">
        <v>23086</v>
      </c>
      <c r="I84" s="28">
        <v>836</v>
      </c>
      <c r="J84" s="28">
        <f>SUM(G84-H84-I84)</f>
        <v>13170</v>
      </c>
      <c r="K84" s="28">
        <v>935</v>
      </c>
      <c r="L84" s="28">
        <v>0</v>
      </c>
      <c r="M84" s="28">
        <v>2414</v>
      </c>
      <c r="N84" s="28">
        <v>177</v>
      </c>
      <c r="O84" s="28">
        <v>177</v>
      </c>
    </row>
    <row r="85" spans="1:15" ht="12.75" customHeight="1">
      <c r="A85" s="4" t="s">
        <v>158</v>
      </c>
      <c r="B85" s="5" t="s">
        <v>159</v>
      </c>
      <c r="C85" s="28">
        <v>11373</v>
      </c>
      <c r="D85" s="28">
        <v>9214</v>
      </c>
      <c r="E85" s="28">
        <v>298</v>
      </c>
      <c r="F85" s="28">
        <f>SUM(C85-D85-E85)</f>
        <v>1861</v>
      </c>
      <c r="G85" s="28">
        <v>39117</v>
      </c>
      <c r="H85" s="28">
        <v>25220</v>
      </c>
      <c r="I85" s="28">
        <v>2006</v>
      </c>
      <c r="J85" s="28">
        <f>SUM(G85-H85-I85)</f>
        <v>11891</v>
      </c>
      <c r="K85" s="28">
        <v>1436</v>
      </c>
      <c r="L85" s="28">
        <v>215</v>
      </c>
      <c r="M85" s="28">
        <v>2029</v>
      </c>
      <c r="N85" s="28">
        <v>10887</v>
      </c>
      <c r="O85" s="28">
        <v>10887</v>
      </c>
    </row>
    <row r="86" spans="1:15" ht="12.75" customHeight="1">
      <c r="A86" s="8"/>
      <c r="B86" s="9" t="s">
        <v>160</v>
      </c>
      <c r="C86" s="29">
        <f t="shared" ref="C86:O86" si="19">SUM(C81:C85)</f>
        <v>46996</v>
      </c>
      <c r="D86" s="29">
        <f t="shared" si="19"/>
        <v>35005</v>
      </c>
      <c r="E86" s="29">
        <f t="shared" si="19"/>
        <v>860</v>
      </c>
      <c r="F86" s="29">
        <f t="shared" si="19"/>
        <v>11131</v>
      </c>
      <c r="G86" s="29">
        <f t="shared" si="19"/>
        <v>201014</v>
      </c>
      <c r="H86" s="29">
        <f t="shared" si="19"/>
        <v>112732</v>
      </c>
      <c r="I86" s="29">
        <f t="shared" si="19"/>
        <v>8182</v>
      </c>
      <c r="J86" s="29">
        <f t="shared" si="19"/>
        <v>80100</v>
      </c>
      <c r="K86" s="29">
        <f t="shared" si="19"/>
        <v>4312</v>
      </c>
      <c r="L86" s="29">
        <f t="shared" si="19"/>
        <v>799</v>
      </c>
      <c r="M86" s="29">
        <f t="shared" si="19"/>
        <v>11552</v>
      </c>
      <c r="N86" s="29">
        <f t="shared" si="19"/>
        <v>12212</v>
      </c>
      <c r="O86" s="29">
        <f t="shared" si="19"/>
        <v>12212</v>
      </c>
    </row>
    <row r="87" spans="1:15" ht="12.75" customHeight="1">
      <c r="A87" s="4" t="s">
        <v>161</v>
      </c>
      <c r="B87" s="5" t="s">
        <v>162</v>
      </c>
      <c r="C87" s="28">
        <v>19884</v>
      </c>
      <c r="D87" s="28">
        <v>15136</v>
      </c>
      <c r="E87" s="28">
        <v>0</v>
      </c>
      <c r="F87" s="28">
        <f>SUM(C87-D87-E87)</f>
        <v>4748</v>
      </c>
      <c r="G87" s="28">
        <v>92310</v>
      </c>
      <c r="H87" s="28">
        <v>47018</v>
      </c>
      <c r="I87" s="28">
        <v>0</v>
      </c>
      <c r="J87" s="28">
        <f>SUM(G87-H87-I87)</f>
        <v>45292</v>
      </c>
      <c r="K87" s="28">
        <v>1505</v>
      </c>
      <c r="L87" s="28">
        <v>22</v>
      </c>
      <c r="M87" s="28">
        <v>4957</v>
      </c>
      <c r="N87" s="28">
        <v>621</v>
      </c>
      <c r="O87" s="28">
        <v>621</v>
      </c>
    </row>
    <row r="88" spans="1:15" ht="12.75" customHeight="1">
      <c r="A88" s="4" t="s">
        <v>163</v>
      </c>
      <c r="B88" s="5" t="s">
        <v>164</v>
      </c>
      <c r="C88" s="28">
        <v>15474</v>
      </c>
      <c r="D88" s="28">
        <v>7637</v>
      </c>
      <c r="E88" s="28">
        <v>477</v>
      </c>
      <c r="F88" s="28">
        <f>SUM(C88-D88-E88)</f>
        <v>7360</v>
      </c>
      <c r="G88" s="28">
        <v>46523</v>
      </c>
      <c r="H88" s="28">
        <v>19055</v>
      </c>
      <c r="I88" s="28">
        <v>4125</v>
      </c>
      <c r="J88" s="28">
        <f>SUM(G88-H88-I88)</f>
        <v>23343</v>
      </c>
      <c r="K88" s="28">
        <v>668</v>
      </c>
      <c r="L88" s="28">
        <v>0</v>
      </c>
      <c r="M88" s="28">
        <v>1797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35358</v>
      </c>
      <c r="D89" s="29">
        <f t="shared" si="20"/>
        <v>22773</v>
      </c>
      <c r="E89" s="29">
        <f t="shared" si="20"/>
        <v>477</v>
      </c>
      <c r="F89" s="29">
        <f t="shared" si="20"/>
        <v>12108</v>
      </c>
      <c r="G89" s="29">
        <f t="shared" si="20"/>
        <v>138833</v>
      </c>
      <c r="H89" s="29">
        <f t="shared" si="20"/>
        <v>66073</v>
      </c>
      <c r="I89" s="29">
        <f t="shared" si="20"/>
        <v>4125</v>
      </c>
      <c r="J89" s="29">
        <f t="shared" si="20"/>
        <v>68635</v>
      </c>
      <c r="K89" s="29">
        <f t="shared" si="20"/>
        <v>2173</v>
      </c>
      <c r="L89" s="29">
        <f t="shared" si="20"/>
        <v>22</v>
      </c>
      <c r="M89" s="29">
        <f t="shared" si="20"/>
        <v>6754</v>
      </c>
      <c r="N89" s="29">
        <f t="shared" si="20"/>
        <v>621</v>
      </c>
      <c r="O89" s="29">
        <f t="shared" si="20"/>
        <v>621</v>
      </c>
    </row>
    <row r="90" spans="1:15" ht="12.75" customHeight="1">
      <c r="A90" s="4" t="s">
        <v>166</v>
      </c>
      <c r="B90" s="5" t="s">
        <v>167</v>
      </c>
      <c r="C90" s="28">
        <v>23029</v>
      </c>
      <c r="D90" s="28">
        <v>10847</v>
      </c>
      <c r="E90" s="28">
        <v>920</v>
      </c>
      <c r="F90" s="28">
        <f>SUM(C90-D90-E90)</f>
        <v>11262</v>
      </c>
      <c r="G90" s="28">
        <v>99131</v>
      </c>
      <c r="H90" s="28">
        <v>35640</v>
      </c>
      <c r="I90" s="28">
        <v>7219</v>
      </c>
      <c r="J90" s="28">
        <f>SUM(G90-H90-I90)</f>
        <v>56272</v>
      </c>
      <c r="K90" s="28">
        <v>921</v>
      </c>
      <c r="L90" s="28">
        <v>0</v>
      </c>
      <c r="M90" s="28">
        <v>5239</v>
      </c>
      <c r="N90" s="28">
        <v>152</v>
      </c>
      <c r="O90" s="28">
        <v>152</v>
      </c>
    </row>
    <row r="91" spans="1:15" ht="12.75" customHeight="1">
      <c r="A91" s="4" t="s">
        <v>168</v>
      </c>
      <c r="B91" s="5" t="s">
        <v>169</v>
      </c>
      <c r="C91" s="28">
        <v>20821</v>
      </c>
      <c r="D91" s="28">
        <v>14885</v>
      </c>
      <c r="E91" s="28">
        <v>0</v>
      </c>
      <c r="F91" s="28">
        <f>SUM(C91-D91-E91)</f>
        <v>5936</v>
      </c>
      <c r="G91" s="28">
        <v>90069</v>
      </c>
      <c r="H91" s="28">
        <v>39337</v>
      </c>
      <c r="I91" s="28">
        <v>0</v>
      </c>
      <c r="J91" s="28">
        <f>SUM(G91-H91-I91)</f>
        <v>50732</v>
      </c>
      <c r="K91" s="28">
        <v>536</v>
      </c>
      <c r="L91" s="28">
        <v>64</v>
      </c>
      <c r="M91" s="28">
        <v>8475</v>
      </c>
      <c r="N91" s="28">
        <v>78</v>
      </c>
      <c r="O91" s="28">
        <v>78</v>
      </c>
    </row>
    <row r="92" spans="1:15" ht="12.75" customHeight="1">
      <c r="A92" s="4" t="s">
        <v>170</v>
      </c>
      <c r="B92" s="5" t="s">
        <v>171</v>
      </c>
      <c r="C92" s="28">
        <v>3938</v>
      </c>
      <c r="D92" s="28">
        <v>3075</v>
      </c>
      <c r="E92" s="28">
        <v>418</v>
      </c>
      <c r="F92" s="28">
        <f>SUM(C92-D92-E92)</f>
        <v>445</v>
      </c>
      <c r="G92" s="28">
        <v>15152</v>
      </c>
      <c r="H92" s="28">
        <v>8488</v>
      </c>
      <c r="I92" s="28">
        <v>3984</v>
      </c>
      <c r="J92" s="28">
        <f>SUM(G92-H92-I92)</f>
        <v>2680</v>
      </c>
      <c r="K92" s="28">
        <v>313</v>
      </c>
      <c r="L92" s="28">
        <v>0</v>
      </c>
      <c r="M92" s="28">
        <v>456</v>
      </c>
      <c r="N92" s="28">
        <v>29</v>
      </c>
      <c r="O92" s="28">
        <v>29</v>
      </c>
    </row>
    <row r="93" spans="1:15" ht="12.75" customHeight="1">
      <c r="A93" s="4" t="s">
        <v>172</v>
      </c>
      <c r="B93" s="5" t="s">
        <v>173</v>
      </c>
      <c r="C93" s="28">
        <v>220429</v>
      </c>
      <c r="D93" s="28">
        <v>143743</v>
      </c>
      <c r="E93" s="28">
        <v>8465</v>
      </c>
      <c r="F93" s="28">
        <f>SUM(C93-D93-E93)</f>
        <v>68221</v>
      </c>
      <c r="G93" s="28">
        <v>650804</v>
      </c>
      <c r="H93" s="28">
        <v>253117</v>
      </c>
      <c r="I93" s="28">
        <v>30203</v>
      </c>
      <c r="J93" s="28">
        <f>SUM(G93-H93-I93)</f>
        <v>367484</v>
      </c>
      <c r="K93" s="28">
        <v>62983</v>
      </c>
      <c r="L93" s="28">
        <v>41</v>
      </c>
      <c r="M93" s="28">
        <v>31472</v>
      </c>
      <c r="N93" s="28">
        <v>7702</v>
      </c>
      <c r="O93" s="28">
        <v>7702</v>
      </c>
    </row>
    <row r="94" spans="1:15" ht="12.75" customHeight="1">
      <c r="A94" s="4" t="s">
        <v>174</v>
      </c>
      <c r="B94" s="5" t="s">
        <v>175</v>
      </c>
      <c r="C94" s="28">
        <v>14193</v>
      </c>
      <c r="D94" s="28">
        <v>4260</v>
      </c>
      <c r="E94" s="28">
        <v>241</v>
      </c>
      <c r="F94" s="28">
        <f>SUM(C94-D94-E94)</f>
        <v>9692</v>
      </c>
      <c r="G94" s="28">
        <v>42960</v>
      </c>
      <c r="H94" s="28">
        <v>14057</v>
      </c>
      <c r="I94" s="28">
        <v>2340</v>
      </c>
      <c r="J94" s="28">
        <f>SUM(G94-H94-I94)</f>
        <v>26563</v>
      </c>
      <c r="K94" s="28">
        <v>1045</v>
      </c>
      <c r="L94" s="28">
        <v>290</v>
      </c>
      <c r="M94" s="28">
        <v>4453</v>
      </c>
      <c r="N94" s="28">
        <v>180</v>
      </c>
      <c r="O94" s="28">
        <v>180</v>
      </c>
    </row>
    <row r="95" spans="1:15" ht="12.75" customHeight="1">
      <c r="A95" s="8"/>
      <c r="B95" s="9" t="s">
        <v>176</v>
      </c>
      <c r="C95" s="29">
        <f t="shared" ref="C95:O95" si="21">SUM(C90:C94)</f>
        <v>282410</v>
      </c>
      <c r="D95" s="29">
        <f t="shared" si="21"/>
        <v>176810</v>
      </c>
      <c r="E95" s="29">
        <f t="shared" si="21"/>
        <v>10044</v>
      </c>
      <c r="F95" s="29">
        <f t="shared" si="21"/>
        <v>95556</v>
      </c>
      <c r="G95" s="29">
        <f t="shared" si="21"/>
        <v>898116</v>
      </c>
      <c r="H95" s="29">
        <f t="shared" si="21"/>
        <v>350639</v>
      </c>
      <c r="I95" s="29">
        <f t="shared" si="21"/>
        <v>43746</v>
      </c>
      <c r="J95" s="29">
        <f t="shared" si="21"/>
        <v>503731</v>
      </c>
      <c r="K95" s="29">
        <f t="shared" si="21"/>
        <v>65798</v>
      </c>
      <c r="L95" s="29">
        <f t="shared" si="21"/>
        <v>395</v>
      </c>
      <c r="M95" s="29">
        <f t="shared" si="21"/>
        <v>50095</v>
      </c>
      <c r="N95" s="29">
        <f t="shared" si="21"/>
        <v>8141</v>
      </c>
      <c r="O95" s="29">
        <f t="shared" si="21"/>
        <v>8141</v>
      </c>
    </row>
    <row r="96" spans="1:15" ht="12.75" customHeight="1">
      <c r="A96" s="4" t="s">
        <v>177</v>
      </c>
      <c r="B96" s="5" t="s">
        <v>178</v>
      </c>
      <c r="C96" s="28">
        <v>3987</v>
      </c>
      <c r="D96" s="28">
        <v>2991</v>
      </c>
      <c r="E96" s="28">
        <v>90</v>
      </c>
      <c r="F96" s="28">
        <f>SUM(C96-D96-E96)</f>
        <v>906</v>
      </c>
      <c r="G96" s="28">
        <v>21446</v>
      </c>
      <c r="H96" s="28">
        <v>11729</v>
      </c>
      <c r="I96" s="28">
        <v>916</v>
      </c>
      <c r="J96" s="28">
        <f>SUM(G96-H96-I96)</f>
        <v>8801</v>
      </c>
      <c r="K96" s="28">
        <v>14</v>
      </c>
      <c r="L96" s="28">
        <v>0</v>
      </c>
      <c r="M96" s="28">
        <v>2972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1304</v>
      </c>
      <c r="D97" s="28">
        <v>1185</v>
      </c>
      <c r="E97" s="28">
        <v>0</v>
      </c>
      <c r="F97" s="28">
        <f>SUM(C97-D97-E97)</f>
        <v>119</v>
      </c>
      <c r="G97" s="28">
        <v>5224</v>
      </c>
      <c r="H97" s="28">
        <v>4281</v>
      </c>
      <c r="I97" s="28">
        <v>0</v>
      </c>
      <c r="J97" s="28">
        <f>SUM(G97-H97-I97)</f>
        <v>943</v>
      </c>
      <c r="K97" s="28">
        <v>15</v>
      </c>
      <c r="L97" s="28">
        <v>0</v>
      </c>
      <c r="M97" s="28">
        <v>199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5291</v>
      </c>
      <c r="D98" s="29">
        <f t="shared" si="22"/>
        <v>4176</v>
      </c>
      <c r="E98" s="29">
        <f t="shared" si="22"/>
        <v>90</v>
      </c>
      <c r="F98" s="29">
        <f t="shared" si="22"/>
        <v>1025</v>
      </c>
      <c r="G98" s="29">
        <f t="shared" si="22"/>
        <v>26670</v>
      </c>
      <c r="H98" s="29">
        <f t="shared" si="22"/>
        <v>16010</v>
      </c>
      <c r="I98" s="29">
        <f t="shared" si="22"/>
        <v>916</v>
      </c>
      <c r="J98" s="29">
        <f t="shared" si="22"/>
        <v>9744</v>
      </c>
      <c r="K98" s="29">
        <f t="shared" si="22"/>
        <v>29</v>
      </c>
      <c r="L98" s="29">
        <f t="shared" si="22"/>
        <v>0</v>
      </c>
      <c r="M98" s="29">
        <f t="shared" si="22"/>
        <v>3171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10410</v>
      </c>
      <c r="D99" s="28">
        <v>8600</v>
      </c>
      <c r="E99" s="28">
        <v>222</v>
      </c>
      <c r="F99" s="28">
        <f>SUM(C99-D99-E99)</f>
        <v>1588</v>
      </c>
      <c r="G99" s="28">
        <v>49259</v>
      </c>
      <c r="H99" s="28">
        <v>28221</v>
      </c>
      <c r="I99" s="28">
        <v>2203</v>
      </c>
      <c r="J99" s="28">
        <f>SUM(G99-H99-I99)</f>
        <v>18835</v>
      </c>
      <c r="K99" s="28">
        <v>138</v>
      </c>
      <c r="L99" s="28">
        <v>0</v>
      </c>
      <c r="M99" s="28">
        <v>4023</v>
      </c>
      <c r="N99" s="28">
        <v>80</v>
      </c>
      <c r="O99" s="28">
        <v>80</v>
      </c>
    </row>
    <row r="100" spans="1:15" ht="12.75" customHeight="1">
      <c r="A100" s="4" t="s">
        <v>184</v>
      </c>
      <c r="B100" s="5" t="s">
        <v>185</v>
      </c>
      <c r="C100" s="28">
        <v>9103</v>
      </c>
      <c r="D100" s="28">
        <v>5137</v>
      </c>
      <c r="E100" s="28">
        <v>310</v>
      </c>
      <c r="F100" s="28">
        <f>SUM(C100-D100-E100)</f>
        <v>3656</v>
      </c>
      <c r="G100" s="28">
        <v>38173</v>
      </c>
      <c r="H100" s="28">
        <v>14836</v>
      </c>
      <c r="I100" s="28">
        <v>1857</v>
      </c>
      <c r="J100" s="28">
        <f>SUM(G100-H100-I100)</f>
        <v>21480</v>
      </c>
      <c r="K100" s="28">
        <v>1797</v>
      </c>
      <c r="L100" s="28">
        <v>0</v>
      </c>
      <c r="M100" s="28">
        <v>1409</v>
      </c>
      <c r="N100" s="28">
        <v>105</v>
      </c>
      <c r="O100" s="28">
        <v>105</v>
      </c>
    </row>
    <row r="101" spans="1:15" ht="12.75" customHeight="1">
      <c r="A101" s="4" t="s">
        <v>186</v>
      </c>
      <c r="B101" s="5" t="s">
        <v>187</v>
      </c>
      <c r="C101" s="28">
        <v>5191</v>
      </c>
      <c r="D101" s="28">
        <v>4189</v>
      </c>
      <c r="E101" s="28">
        <v>0</v>
      </c>
      <c r="F101" s="28">
        <f>SUM(C101-D101-E101)</f>
        <v>1002</v>
      </c>
      <c r="G101" s="28">
        <v>18096</v>
      </c>
      <c r="H101" s="28">
        <v>12005</v>
      </c>
      <c r="I101" s="28">
        <v>0</v>
      </c>
      <c r="J101" s="28">
        <f>SUM(G101-H101-I101)</f>
        <v>6091</v>
      </c>
      <c r="K101" s="28">
        <v>64</v>
      </c>
      <c r="L101" s="28">
        <v>0</v>
      </c>
      <c r="M101" s="28">
        <v>1473</v>
      </c>
      <c r="N101" s="28">
        <v>112</v>
      </c>
      <c r="O101" s="28">
        <v>112</v>
      </c>
    </row>
    <row r="102" spans="1:15" ht="12.75" customHeight="1">
      <c r="A102" s="4" t="s">
        <v>188</v>
      </c>
      <c r="B102" s="5" t="s">
        <v>189</v>
      </c>
      <c r="C102" s="28">
        <v>8589</v>
      </c>
      <c r="D102" s="28">
        <v>7265</v>
      </c>
      <c r="E102" s="28">
        <v>355</v>
      </c>
      <c r="F102" s="28">
        <f>SUM(C102-D102-E102)</f>
        <v>969</v>
      </c>
      <c r="G102" s="28">
        <v>32994</v>
      </c>
      <c r="H102" s="28">
        <v>19956</v>
      </c>
      <c r="I102" s="28">
        <v>3705</v>
      </c>
      <c r="J102" s="28">
        <f>SUM(G102-H102-I102)</f>
        <v>9333</v>
      </c>
      <c r="K102" s="28">
        <v>1202</v>
      </c>
      <c r="L102" s="28">
        <v>0</v>
      </c>
      <c r="M102" s="28">
        <v>2043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33293</v>
      </c>
      <c r="D103" s="29">
        <f t="shared" si="23"/>
        <v>25191</v>
      </c>
      <c r="E103" s="29">
        <f t="shared" si="23"/>
        <v>887</v>
      </c>
      <c r="F103" s="29">
        <f t="shared" si="23"/>
        <v>7215</v>
      </c>
      <c r="G103" s="29">
        <f t="shared" si="23"/>
        <v>138522</v>
      </c>
      <c r="H103" s="29">
        <f t="shared" si="23"/>
        <v>75018</v>
      </c>
      <c r="I103" s="29">
        <f t="shared" si="23"/>
        <v>7765</v>
      </c>
      <c r="J103" s="29">
        <f t="shared" si="23"/>
        <v>55739</v>
      </c>
      <c r="K103" s="29">
        <f t="shared" si="23"/>
        <v>3201</v>
      </c>
      <c r="L103" s="29">
        <f t="shared" si="23"/>
        <v>0</v>
      </c>
      <c r="M103" s="29">
        <f t="shared" si="23"/>
        <v>8948</v>
      </c>
      <c r="N103" s="29">
        <f t="shared" si="23"/>
        <v>304</v>
      </c>
      <c r="O103" s="29">
        <f t="shared" si="23"/>
        <v>304</v>
      </c>
    </row>
    <row r="104" spans="1:15" ht="12.75" customHeight="1">
      <c r="A104" s="4" t="s">
        <v>191</v>
      </c>
      <c r="B104" s="5" t="s">
        <v>192</v>
      </c>
      <c r="C104" s="28">
        <v>6270</v>
      </c>
      <c r="D104" s="28">
        <v>5218</v>
      </c>
      <c r="E104" s="28">
        <v>174</v>
      </c>
      <c r="F104" s="28">
        <f>SUM(C104-D104-E104)</f>
        <v>878</v>
      </c>
      <c r="G104" s="28">
        <v>29021</v>
      </c>
      <c r="H104" s="28">
        <v>18082</v>
      </c>
      <c r="I104" s="28">
        <v>1739</v>
      </c>
      <c r="J104" s="28">
        <f>SUM(G104-H104-I104)</f>
        <v>9200</v>
      </c>
      <c r="K104" s="28">
        <v>352</v>
      </c>
      <c r="L104" s="28">
        <v>0</v>
      </c>
      <c r="M104" s="28">
        <v>452</v>
      </c>
      <c r="N104" s="28">
        <v>135</v>
      </c>
      <c r="O104" s="28">
        <v>135</v>
      </c>
    </row>
    <row r="105" spans="1:15" ht="12.75" customHeight="1">
      <c r="A105" s="4" t="s">
        <v>193</v>
      </c>
      <c r="B105" s="5" t="s">
        <v>194</v>
      </c>
      <c r="C105" s="28">
        <v>5171</v>
      </c>
      <c r="D105" s="28">
        <v>3015</v>
      </c>
      <c r="E105" s="28">
        <v>0</v>
      </c>
      <c r="F105" s="28">
        <f>SUM(C105-D105-E105)</f>
        <v>2156</v>
      </c>
      <c r="G105" s="28">
        <v>21306</v>
      </c>
      <c r="H105" s="28">
        <v>10532</v>
      </c>
      <c r="I105" s="28">
        <v>0</v>
      </c>
      <c r="J105" s="28">
        <f>SUM(G105-H105-I105)</f>
        <v>10774</v>
      </c>
      <c r="K105" s="28">
        <v>131</v>
      </c>
      <c r="L105" s="28">
        <v>0</v>
      </c>
      <c r="M105" s="28">
        <v>814</v>
      </c>
      <c r="N105" s="28">
        <v>217</v>
      </c>
      <c r="O105" s="28">
        <v>217</v>
      </c>
    </row>
    <row r="106" spans="1:15" ht="12.75" customHeight="1">
      <c r="A106" s="4" t="s">
        <v>195</v>
      </c>
      <c r="B106" s="5" t="s">
        <v>196</v>
      </c>
      <c r="C106" s="28">
        <v>24347</v>
      </c>
      <c r="D106" s="28">
        <v>15913</v>
      </c>
      <c r="E106" s="28">
        <v>605</v>
      </c>
      <c r="F106" s="28">
        <f>SUM(C106-D106-E106)</f>
        <v>7829</v>
      </c>
      <c r="G106" s="28">
        <v>105728</v>
      </c>
      <c r="H106" s="28">
        <v>47247</v>
      </c>
      <c r="I106" s="28">
        <v>4469</v>
      </c>
      <c r="J106" s="28">
        <f>SUM(G106-H106-I106)</f>
        <v>54012</v>
      </c>
      <c r="K106" s="28">
        <v>360</v>
      </c>
      <c r="L106" s="28">
        <v>0</v>
      </c>
      <c r="M106" s="28">
        <v>15137</v>
      </c>
      <c r="N106" s="28">
        <v>287</v>
      </c>
      <c r="O106" s="28">
        <v>287</v>
      </c>
    </row>
    <row r="107" spans="1:15" ht="12.75" customHeight="1">
      <c r="A107" s="4" t="s">
        <v>197</v>
      </c>
      <c r="B107" s="5" t="s">
        <v>198</v>
      </c>
      <c r="C107" s="28">
        <v>77531</v>
      </c>
      <c r="D107" s="28">
        <v>53546</v>
      </c>
      <c r="E107" s="28">
        <v>2011</v>
      </c>
      <c r="F107" s="28">
        <f>SUM(C107-D107-E107)</f>
        <v>21974</v>
      </c>
      <c r="G107" s="28">
        <v>241361</v>
      </c>
      <c r="H107" s="28">
        <v>106486</v>
      </c>
      <c r="I107" s="28">
        <v>5625</v>
      </c>
      <c r="J107" s="28">
        <f>SUM(G107-H107-I107)</f>
        <v>129250</v>
      </c>
      <c r="K107" s="28">
        <v>8892</v>
      </c>
      <c r="L107" s="28">
        <v>0</v>
      </c>
      <c r="M107" s="28">
        <v>2522</v>
      </c>
      <c r="N107" s="28">
        <v>4882</v>
      </c>
      <c r="O107" s="28">
        <v>4882</v>
      </c>
    </row>
    <row r="108" spans="1:15" ht="12.75" customHeight="1">
      <c r="A108" s="4" t="s">
        <v>199</v>
      </c>
      <c r="B108" s="5" t="s">
        <v>200</v>
      </c>
      <c r="C108" s="28">
        <v>26455</v>
      </c>
      <c r="D108" s="28">
        <v>14348</v>
      </c>
      <c r="E108" s="28">
        <v>568</v>
      </c>
      <c r="F108" s="28">
        <f>SUM(C108-D108-E108)</f>
        <v>11539</v>
      </c>
      <c r="G108" s="28">
        <v>173203</v>
      </c>
      <c r="H108" s="28">
        <v>48676</v>
      </c>
      <c r="I108" s="28">
        <v>4922</v>
      </c>
      <c r="J108" s="28">
        <f>SUM(G108-H108-I108)</f>
        <v>119605</v>
      </c>
      <c r="K108" s="28">
        <v>1282</v>
      </c>
      <c r="L108" s="28">
        <v>0</v>
      </c>
      <c r="M108" s="28">
        <v>3391</v>
      </c>
      <c r="N108" s="28">
        <v>1993</v>
      </c>
      <c r="O108" s="28">
        <v>1993</v>
      </c>
    </row>
    <row r="109" spans="1:15" ht="12.75" customHeight="1">
      <c r="A109" s="8"/>
      <c r="B109" s="9" t="s">
        <v>201</v>
      </c>
      <c r="C109" s="29">
        <f t="shared" ref="C109:O109" si="24">SUM(C104:C108)</f>
        <v>139774</v>
      </c>
      <c r="D109" s="29">
        <f t="shared" si="24"/>
        <v>92040</v>
      </c>
      <c r="E109" s="29">
        <f t="shared" si="24"/>
        <v>3358</v>
      </c>
      <c r="F109" s="29">
        <f t="shared" si="24"/>
        <v>44376</v>
      </c>
      <c r="G109" s="29">
        <f t="shared" si="24"/>
        <v>570619</v>
      </c>
      <c r="H109" s="29">
        <f t="shared" si="24"/>
        <v>231023</v>
      </c>
      <c r="I109" s="29">
        <f t="shared" si="24"/>
        <v>16755</v>
      </c>
      <c r="J109" s="29">
        <f t="shared" si="24"/>
        <v>322841</v>
      </c>
      <c r="K109" s="29">
        <f t="shared" si="24"/>
        <v>11017</v>
      </c>
      <c r="L109" s="29">
        <f t="shared" si="24"/>
        <v>0</v>
      </c>
      <c r="M109" s="29">
        <f t="shared" si="24"/>
        <v>22316</v>
      </c>
      <c r="N109" s="29">
        <f t="shared" si="24"/>
        <v>7514</v>
      </c>
      <c r="O109" s="29">
        <f t="shared" si="24"/>
        <v>7514</v>
      </c>
    </row>
    <row r="110" spans="1:15" ht="12.75" customHeight="1">
      <c r="A110" s="4" t="s">
        <v>202</v>
      </c>
      <c r="B110" s="5" t="s">
        <v>203</v>
      </c>
      <c r="C110" s="28">
        <v>37221</v>
      </c>
      <c r="D110" s="28">
        <v>30517</v>
      </c>
      <c r="E110" s="28">
        <v>181</v>
      </c>
      <c r="F110" s="28">
        <f t="shared" ref="F110:F115" si="25">SUM(C110-D110-E110)</f>
        <v>6523</v>
      </c>
      <c r="G110" s="28">
        <v>171793</v>
      </c>
      <c r="H110" s="28">
        <v>105709</v>
      </c>
      <c r="I110" s="28">
        <v>2133</v>
      </c>
      <c r="J110" s="28">
        <f t="shared" ref="J110:J115" si="26">SUM(G110-H110-I110)</f>
        <v>63951</v>
      </c>
      <c r="K110" s="28">
        <v>2742</v>
      </c>
      <c r="L110" s="28">
        <v>0</v>
      </c>
      <c r="M110" s="28">
        <v>14840</v>
      </c>
      <c r="N110" s="28">
        <v>517</v>
      </c>
      <c r="O110" s="28">
        <v>517</v>
      </c>
    </row>
    <row r="111" spans="1:15" ht="12.75" customHeight="1">
      <c r="A111" s="4" t="s">
        <v>204</v>
      </c>
      <c r="B111" s="5" t="s">
        <v>205</v>
      </c>
      <c r="C111" s="28">
        <v>4858</v>
      </c>
      <c r="D111" s="28">
        <v>4583</v>
      </c>
      <c r="E111" s="28">
        <v>52</v>
      </c>
      <c r="F111" s="28">
        <f t="shared" si="25"/>
        <v>223</v>
      </c>
      <c r="G111" s="28">
        <v>16309</v>
      </c>
      <c r="H111" s="28">
        <v>14711</v>
      </c>
      <c r="I111" s="28">
        <v>635</v>
      </c>
      <c r="J111" s="28">
        <f t="shared" si="26"/>
        <v>963</v>
      </c>
      <c r="K111" s="28">
        <v>5</v>
      </c>
      <c r="L111" s="28">
        <v>0</v>
      </c>
      <c r="M111" s="28">
        <v>472</v>
      </c>
      <c r="N111" s="28">
        <v>131</v>
      </c>
      <c r="O111" s="28">
        <v>131</v>
      </c>
    </row>
    <row r="112" spans="1:15" ht="12.75" customHeight="1">
      <c r="A112" s="4" t="s">
        <v>206</v>
      </c>
      <c r="B112" s="5" t="s">
        <v>207</v>
      </c>
      <c r="C112" s="28">
        <v>11985</v>
      </c>
      <c r="D112" s="28">
        <v>8833</v>
      </c>
      <c r="E112" s="28">
        <v>0</v>
      </c>
      <c r="F112" s="28">
        <f t="shared" si="25"/>
        <v>3152</v>
      </c>
      <c r="G112" s="28">
        <v>44041</v>
      </c>
      <c r="H112" s="28">
        <v>28471</v>
      </c>
      <c r="I112" s="28">
        <v>0</v>
      </c>
      <c r="J112" s="28">
        <f t="shared" si="26"/>
        <v>15570</v>
      </c>
      <c r="K112" s="28">
        <v>16139</v>
      </c>
      <c r="L112" s="28">
        <v>0</v>
      </c>
      <c r="M112" s="28">
        <v>3845</v>
      </c>
      <c r="N112" s="28">
        <v>54</v>
      </c>
      <c r="O112" s="28">
        <v>54</v>
      </c>
    </row>
    <row r="113" spans="1:15" ht="12.75" customHeight="1">
      <c r="A113" s="4" t="s">
        <v>208</v>
      </c>
      <c r="B113" s="5" t="s">
        <v>209</v>
      </c>
      <c r="C113" s="28">
        <v>11264</v>
      </c>
      <c r="D113" s="28">
        <v>7286</v>
      </c>
      <c r="E113" s="28">
        <v>102</v>
      </c>
      <c r="F113" s="28">
        <f t="shared" si="25"/>
        <v>3876</v>
      </c>
      <c r="G113" s="28">
        <v>48568</v>
      </c>
      <c r="H113" s="28">
        <v>23619</v>
      </c>
      <c r="I113" s="28">
        <v>817</v>
      </c>
      <c r="J113" s="28">
        <f t="shared" si="26"/>
        <v>24132</v>
      </c>
      <c r="K113" s="28">
        <v>1370</v>
      </c>
      <c r="L113" s="28">
        <v>0</v>
      </c>
      <c r="M113" s="28">
        <v>8280</v>
      </c>
      <c r="N113" s="28">
        <v>178</v>
      </c>
      <c r="O113" s="28">
        <v>178</v>
      </c>
    </row>
    <row r="114" spans="1:15" ht="12.75" customHeight="1">
      <c r="A114" s="4" t="s">
        <v>210</v>
      </c>
      <c r="B114" s="5" t="s">
        <v>211</v>
      </c>
      <c r="C114" s="28">
        <v>26867</v>
      </c>
      <c r="D114" s="28">
        <v>19177</v>
      </c>
      <c r="E114" s="28">
        <v>0</v>
      </c>
      <c r="F114" s="28">
        <f t="shared" si="25"/>
        <v>7690</v>
      </c>
      <c r="G114" s="28">
        <v>82989</v>
      </c>
      <c r="H114" s="28">
        <v>48121</v>
      </c>
      <c r="I114" s="28">
        <v>0</v>
      </c>
      <c r="J114" s="28">
        <f t="shared" si="26"/>
        <v>34868</v>
      </c>
      <c r="K114" s="28">
        <v>4612</v>
      </c>
      <c r="L114" s="28">
        <v>0</v>
      </c>
      <c r="M114" s="28">
        <v>9440</v>
      </c>
      <c r="N114" s="28">
        <v>796</v>
      </c>
      <c r="O114" s="28">
        <v>796</v>
      </c>
    </row>
    <row r="115" spans="1:15" ht="12.75" customHeight="1">
      <c r="A115" s="4" t="s">
        <v>212</v>
      </c>
      <c r="B115" s="5" t="s">
        <v>213</v>
      </c>
      <c r="C115" s="28">
        <v>18071</v>
      </c>
      <c r="D115" s="28">
        <v>15494</v>
      </c>
      <c r="E115" s="28">
        <v>0</v>
      </c>
      <c r="F115" s="28">
        <f t="shared" si="25"/>
        <v>2577</v>
      </c>
      <c r="G115" s="28">
        <v>65490</v>
      </c>
      <c r="H115" s="28">
        <v>49389</v>
      </c>
      <c r="I115" s="28">
        <v>0</v>
      </c>
      <c r="J115" s="28">
        <f t="shared" si="26"/>
        <v>16101</v>
      </c>
      <c r="K115" s="28">
        <v>3344</v>
      </c>
      <c r="L115" s="28">
        <v>0</v>
      </c>
      <c r="M115" s="28">
        <v>5934</v>
      </c>
      <c r="N115" s="28">
        <v>593</v>
      </c>
      <c r="O115" s="28">
        <v>593</v>
      </c>
    </row>
    <row r="116" spans="1:15" ht="12.75" customHeight="1">
      <c r="A116" s="8"/>
      <c r="B116" s="9" t="s">
        <v>214</v>
      </c>
      <c r="C116" s="29">
        <f t="shared" ref="C116:O116" si="27">SUM(C110:C115)</f>
        <v>110266</v>
      </c>
      <c r="D116" s="29">
        <f t="shared" si="27"/>
        <v>85890</v>
      </c>
      <c r="E116" s="29">
        <f t="shared" si="27"/>
        <v>335</v>
      </c>
      <c r="F116" s="29">
        <f t="shared" si="27"/>
        <v>24041</v>
      </c>
      <c r="G116" s="29">
        <f t="shared" si="27"/>
        <v>429190</v>
      </c>
      <c r="H116" s="29">
        <f t="shared" si="27"/>
        <v>270020</v>
      </c>
      <c r="I116" s="29">
        <f t="shared" si="27"/>
        <v>3585</v>
      </c>
      <c r="J116" s="29">
        <f t="shared" si="27"/>
        <v>155585</v>
      </c>
      <c r="K116" s="29">
        <f t="shared" si="27"/>
        <v>28212</v>
      </c>
      <c r="L116" s="29">
        <f t="shared" si="27"/>
        <v>0</v>
      </c>
      <c r="M116" s="29">
        <f t="shared" si="27"/>
        <v>42811</v>
      </c>
      <c r="N116" s="29">
        <f t="shared" si="27"/>
        <v>2269</v>
      </c>
      <c r="O116" s="29">
        <f t="shared" si="27"/>
        <v>2269</v>
      </c>
    </row>
    <row r="117" spans="1:15" ht="12.75" customHeight="1">
      <c r="A117" s="4" t="s">
        <v>215</v>
      </c>
      <c r="B117" s="5" t="s">
        <v>216</v>
      </c>
      <c r="C117" s="28">
        <v>4190</v>
      </c>
      <c r="D117" s="28">
        <v>2953</v>
      </c>
      <c r="E117" s="28">
        <v>0</v>
      </c>
      <c r="F117" s="28">
        <f>SUM(C117-D117-E117)</f>
        <v>1237</v>
      </c>
      <c r="G117" s="28">
        <v>18664</v>
      </c>
      <c r="H117" s="28">
        <v>11525</v>
      </c>
      <c r="I117" s="28">
        <v>0</v>
      </c>
      <c r="J117" s="28">
        <f>SUM(G117-H117-I117)</f>
        <v>7139</v>
      </c>
      <c r="K117" s="28">
        <v>0</v>
      </c>
      <c r="L117" s="28">
        <v>0</v>
      </c>
      <c r="M117" s="28">
        <v>4271</v>
      </c>
      <c r="N117" s="28">
        <v>175</v>
      </c>
      <c r="O117" s="28">
        <v>175</v>
      </c>
    </row>
    <row r="118" spans="1:15" ht="12.75" customHeight="1">
      <c r="A118" s="4" t="s">
        <v>217</v>
      </c>
      <c r="B118" s="5" t="s">
        <v>218</v>
      </c>
      <c r="C118" s="28">
        <v>9991</v>
      </c>
      <c r="D118" s="28">
        <v>8164</v>
      </c>
      <c r="E118" s="28">
        <v>131</v>
      </c>
      <c r="F118" s="28">
        <f>SUM(C118-D118-E118)</f>
        <v>1696</v>
      </c>
      <c r="G118" s="28">
        <v>39401</v>
      </c>
      <c r="H118" s="28">
        <v>25300</v>
      </c>
      <c r="I118" s="28">
        <v>1299</v>
      </c>
      <c r="J118" s="28">
        <f>SUM(G118-H118-I118)</f>
        <v>12802</v>
      </c>
      <c r="K118" s="28">
        <v>105</v>
      </c>
      <c r="L118" s="28">
        <v>0</v>
      </c>
      <c r="M118" s="28">
        <v>2777</v>
      </c>
      <c r="N118" s="28">
        <v>308</v>
      </c>
      <c r="O118" s="28">
        <v>308</v>
      </c>
    </row>
    <row r="119" spans="1:15" ht="12.75" customHeight="1">
      <c r="A119" s="8"/>
      <c r="B119" s="9" t="s">
        <v>219</v>
      </c>
      <c r="C119" s="29">
        <f t="shared" ref="C119:O119" si="28">SUM(C117:C118)</f>
        <v>14181</v>
      </c>
      <c r="D119" s="29">
        <f t="shared" si="28"/>
        <v>11117</v>
      </c>
      <c r="E119" s="29">
        <f t="shared" si="28"/>
        <v>131</v>
      </c>
      <c r="F119" s="29">
        <f t="shared" si="28"/>
        <v>2933</v>
      </c>
      <c r="G119" s="29">
        <f t="shared" si="28"/>
        <v>58065</v>
      </c>
      <c r="H119" s="29">
        <f t="shared" si="28"/>
        <v>36825</v>
      </c>
      <c r="I119" s="29">
        <f t="shared" si="28"/>
        <v>1299</v>
      </c>
      <c r="J119" s="29">
        <f t="shared" si="28"/>
        <v>19941</v>
      </c>
      <c r="K119" s="29">
        <f t="shared" si="28"/>
        <v>105</v>
      </c>
      <c r="L119" s="29">
        <f t="shared" si="28"/>
        <v>0</v>
      </c>
      <c r="M119" s="29">
        <f t="shared" si="28"/>
        <v>7048</v>
      </c>
      <c r="N119" s="29">
        <f t="shared" si="28"/>
        <v>483</v>
      </c>
      <c r="O119" s="29">
        <f t="shared" si="28"/>
        <v>483</v>
      </c>
    </row>
    <row r="120" spans="1:15" ht="12.75" customHeight="1">
      <c r="A120" s="4" t="s">
        <v>220</v>
      </c>
      <c r="B120" s="5" t="s">
        <v>221</v>
      </c>
      <c r="C120" s="28">
        <v>10978</v>
      </c>
      <c r="D120" s="28">
        <v>9761</v>
      </c>
      <c r="E120" s="28">
        <v>127</v>
      </c>
      <c r="F120" s="28">
        <f>SUM(C120-D120-E120)</f>
        <v>1090</v>
      </c>
      <c r="G120" s="28">
        <v>38733</v>
      </c>
      <c r="H120" s="28">
        <v>29197</v>
      </c>
      <c r="I120" s="28">
        <v>1605</v>
      </c>
      <c r="J120" s="28">
        <f>SUM(G120-H120-I120)</f>
        <v>7931</v>
      </c>
      <c r="K120" s="28">
        <v>2027</v>
      </c>
      <c r="L120" s="28">
        <v>0</v>
      </c>
      <c r="M120" s="28">
        <v>1503</v>
      </c>
      <c r="N120" s="28">
        <v>1819</v>
      </c>
      <c r="O120" s="28">
        <v>1819</v>
      </c>
    </row>
    <row r="121" spans="1:15" ht="12.75" customHeight="1">
      <c r="A121" s="4" t="s">
        <v>222</v>
      </c>
      <c r="B121" s="5" t="s">
        <v>223</v>
      </c>
      <c r="C121" s="28">
        <v>17419</v>
      </c>
      <c r="D121" s="28">
        <v>15882</v>
      </c>
      <c r="E121" s="28">
        <v>340</v>
      </c>
      <c r="F121" s="28">
        <f>SUM(C121-D121-E121)</f>
        <v>1197</v>
      </c>
      <c r="G121" s="28">
        <v>68317</v>
      </c>
      <c r="H121" s="28">
        <v>48652</v>
      </c>
      <c r="I121" s="28">
        <v>2901</v>
      </c>
      <c r="J121" s="28">
        <f>SUM(G121-H121-I121)</f>
        <v>16764</v>
      </c>
      <c r="K121" s="28">
        <v>382</v>
      </c>
      <c r="L121" s="28">
        <v>0</v>
      </c>
      <c r="M121" s="28">
        <v>3572</v>
      </c>
      <c r="N121" s="28">
        <v>246</v>
      </c>
      <c r="O121" s="28">
        <v>246</v>
      </c>
    </row>
    <row r="122" spans="1:15" ht="12.75" customHeight="1">
      <c r="A122" s="4" t="s">
        <v>224</v>
      </c>
      <c r="B122" s="5" t="s">
        <v>225</v>
      </c>
      <c r="C122" s="28">
        <v>3193</v>
      </c>
      <c r="D122" s="28">
        <v>2740</v>
      </c>
      <c r="E122" s="28">
        <v>0</v>
      </c>
      <c r="F122" s="28">
        <f>SUM(C122-D122-E122)</f>
        <v>453</v>
      </c>
      <c r="G122" s="28">
        <v>11378</v>
      </c>
      <c r="H122" s="28">
        <v>7541</v>
      </c>
      <c r="I122" s="28">
        <v>0</v>
      </c>
      <c r="J122" s="28">
        <f>SUM(G122-H122-I122)</f>
        <v>3837</v>
      </c>
      <c r="K122" s="28">
        <v>115</v>
      </c>
      <c r="L122" s="28">
        <v>0</v>
      </c>
      <c r="M122" s="28">
        <v>3384</v>
      </c>
      <c r="N122" s="28">
        <v>101</v>
      </c>
      <c r="O122" s="28">
        <v>101</v>
      </c>
    </row>
    <row r="123" spans="1:15" ht="12.75" customHeight="1">
      <c r="A123" s="4" t="s">
        <v>226</v>
      </c>
      <c r="B123" s="5" t="s">
        <v>227</v>
      </c>
      <c r="C123" s="28">
        <v>16739</v>
      </c>
      <c r="D123" s="28">
        <v>13939</v>
      </c>
      <c r="E123" s="28">
        <v>179</v>
      </c>
      <c r="F123" s="28">
        <f>SUM(C123-D123-E123)</f>
        <v>2621</v>
      </c>
      <c r="G123" s="28">
        <v>57858</v>
      </c>
      <c r="H123" s="28">
        <v>36952</v>
      </c>
      <c r="I123" s="28">
        <v>1522</v>
      </c>
      <c r="J123" s="28">
        <f>SUM(G123-H123-I123)</f>
        <v>19384</v>
      </c>
      <c r="K123" s="28">
        <v>1155</v>
      </c>
      <c r="L123" s="28">
        <v>0</v>
      </c>
      <c r="M123" s="28">
        <v>2359</v>
      </c>
      <c r="N123" s="28">
        <v>785</v>
      </c>
      <c r="O123" s="28">
        <v>785</v>
      </c>
    </row>
    <row r="124" spans="1:15" ht="12.75" customHeight="1">
      <c r="A124" s="4" t="s">
        <v>228</v>
      </c>
      <c r="B124" s="5" t="s">
        <v>229</v>
      </c>
      <c r="C124" s="28">
        <v>5625</v>
      </c>
      <c r="D124" s="28">
        <v>5040</v>
      </c>
      <c r="E124" s="28">
        <v>134</v>
      </c>
      <c r="F124" s="28">
        <f>SUM(C124-D124-E124)</f>
        <v>451</v>
      </c>
      <c r="G124" s="28">
        <v>17703</v>
      </c>
      <c r="H124" s="28">
        <v>13372</v>
      </c>
      <c r="I124" s="28">
        <v>1206</v>
      </c>
      <c r="J124" s="28">
        <f>SUM(G124-H124-I124)</f>
        <v>3125</v>
      </c>
      <c r="K124" s="28">
        <v>290</v>
      </c>
      <c r="L124" s="28">
        <v>0</v>
      </c>
      <c r="M124" s="28">
        <v>62</v>
      </c>
      <c r="N124" s="28">
        <v>353</v>
      </c>
      <c r="O124" s="28">
        <v>353</v>
      </c>
    </row>
    <row r="125" spans="1:15" ht="12.75" customHeight="1">
      <c r="A125" s="8"/>
      <c r="B125" s="9" t="s">
        <v>230</v>
      </c>
      <c r="C125" s="29">
        <f t="shared" ref="C125:O125" si="29">SUM(C120:C124)</f>
        <v>53954</v>
      </c>
      <c r="D125" s="29">
        <f t="shared" si="29"/>
        <v>47362</v>
      </c>
      <c r="E125" s="29">
        <f t="shared" si="29"/>
        <v>780</v>
      </c>
      <c r="F125" s="29">
        <f t="shared" si="29"/>
        <v>5812</v>
      </c>
      <c r="G125" s="29">
        <f t="shared" si="29"/>
        <v>193989</v>
      </c>
      <c r="H125" s="29">
        <f t="shared" si="29"/>
        <v>135714</v>
      </c>
      <c r="I125" s="29">
        <f t="shared" si="29"/>
        <v>7234</v>
      </c>
      <c r="J125" s="29">
        <f t="shared" si="29"/>
        <v>51041</v>
      </c>
      <c r="K125" s="29">
        <f t="shared" si="29"/>
        <v>3969</v>
      </c>
      <c r="L125" s="29">
        <f t="shared" si="29"/>
        <v>0</v>
      </c>
      <c r="M125" s="29">
        <f t="shared" si="29"/>
        <v>10880</v>
      </c>
      <c r="N125" s="29">
        <f t="shared" si="29"/>
        <v>3304</v>
      </c>
      <c r="O125" s="29">
        <f t="shared" si="29"/>
        <v>3304</v>
      </c>
    </row>
    <row r="126" spans="1:15" ht="12.75" customHeight="1">
      <c r="A126" s="4" t="s">
        <v>231</v>
      </c>
      <c r="B126" s="5" t="s">
        <v>232</v>
      </c>
      <c r="C126" s="28">
        <v>10854</v>
      </c>
      <c r="D126" s="28">
        <v>8038</v>
      </c>
      <c r="E126" s="28">
        <v>0</v>
      </c>
      <c r="F126" s="28">
        <f t="shared" ref="F126:F134" si="30">SUM(C126-D126-E126)</f>
        <v>2816</v>
      </c>
      <c r="G126" s="28">
        <v>33626</v>
      </c>
      <c r="H126" s="28">
        <v>19133</v>
      </c>
      <c r="I126" s="28">
        <v>0</v>
      </c>
      <c r="J126" s="28">
        <f t="shared" ref="J126:J134" si="31">SUM(G126-H126-I126)</f>
        <v>14493</v>
      </c>
      <c r="K126" s="28">
        <v>242</v>
      </c>
      <c r="L126" s="28">
        <v>0</v>
      </c>
      <c r="M126" s="28">
        <v>2529</v>
      </c>
      <c r="N126" s="28">
        <v>175</v>
      </c>
      <c r="O126" s="28">
        <v>175</v>
      </c>
    </row>
    <row r="127" spans="1:15" ht="12.75" customHeight="1">
      <c r="A127" s="4" t="s">
        <v>233</v>
      </c>
      <c r="B127" s="5" t="s">
        <v>234</v>
      </c>
      <c r="C127" s="28">
        <v>5428</v>
      </c>
      <c r="D127" s="28">
        <v>4507</v>
      </c>
      <c r="E127" s="28">
        <v>0</v>
      </c>
      <c r="F127" s="28">
        <f t="shared" si="30"/>
        <v>921</v>
      </c>
      <c r="G127" s="28">
        <v>19514</v>
      </c>
      <c r="H127" s="28">
        <v>15320</v>
      </c>
      <c r="I127" s="28">
        <v>0</v>
      </c>
      <c r="J127" s="28">
        <f t="shared" si="31"/>
        <v>4194</v>
      </c>
      <c r="K127" s="28">
        <v>76</v>
      </c>
      <c r="L127" s="28">
        <v>0</v>
      </c>
      <c r="M127" s="28">
        <v>590</v>
      </c>
      <c r="N127" s="28">
        <v>116</v>
      </c>
      <c r="O127" s="28">
        <v>116</v>
      </c>
    </row>
    <row r="128" spans="1:15" ht="12.75" customHeight="1">
      <c r="A128" s="4" t="s">
        <v>235</v>
      </c>
      <c r="B128" s="5" t="s">
        <v>236</v>
      </c>
      <c r="C128" s="28">
        <v>36418</v>
      </c>
      <c r="D128" s="28">
        <v>28152</v>
      </c>
      <c r="E128" s="28">
        <v>641</v>
      </c>
      <c r="F128" s="28">
        <f t="shared" si="30"/>
        <v>7625</v>
      </c>
      <c r="G128" s="28">
        <v>93183</v>
      </c>
      <c r="H128" s="28">
        <v>62092</v>
      </c>
      <c r="I128" s="28">
        <v>3155</v>
      </c>
      <c r="J128" s="28">
        <f t="shared" si="31"/>
        <v>27936</v>
      </c>
      <c r="K128" s="28">
        <v>2163</v>
      </c>
      <c r="L128" s="28">
        <v>0</v>
      </c>
      <c r="M128" s="28">
        <v>4652</v>
      </c>
      <c r="N128" s="28">
        <v>915</v>
      </c>
      <c r="O128" s="28">
        <v>915</v>
      </c>
    </row>
    <row r="129" spans="1:15" ht="12.75" customHeight="1">
      <c r="A129" s="4" t="s">
        <v>237</v>
      </c>
      <c r="B129" s="5" t="s">
        <v>238</v>
      </c>
      <c r="C129" s="28">
        <v>3710</v>
      </c>
      <c r="D129" s="28">
        <v>2934</v>
      </c>
      <c r="E129" s="28">
        <v>157</v>
      </c>
      <c r="F129" s="28">
        <f t="shared" si="30"/>
        <v>619</v>
      </c>
      <c r="G129" s="28">
        <v>15380</v>
      </c>
      <c r="H129" s="28">
        <v>7331</v>
      </c>
      <c r="I129" s="28">
        <v>1733</v>
      </c>
      <c r="J129" s="28">
        <f t="shared" si="31"/>
        <v>6316</v>
      </c>
      <c r="K129" s="28">
        <v>216</v>
      </c>
      <c r="L129" s="28">
        <v>0</v>
      </c>
      <c r="M129" s="28">
        <v>1781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22557</v>
      </c>
      <c r="D130" s="28">
        <v>18826</v>
      </c>
      <c r="E130" s="28">
        <v>1091</v>
      </c>
      <c r="F130" s="28">
        <f t="shared" si="30"/>
        <v>2640</v>
      </c>
      <c r="G130" s="28">
        <v>60441</v>
      </c>
      <c r="H130" s="28">
        <v>32884</v>
      </c>
      <c r="I130" s="28">
        <v>5478</v>
      </c>
      <c r="J130" s="28">
        <f t="shared" si="31"/>
        <v>22079</v>
      </c>
      <c r="K130" s="28">
        <v>1567</v>
      </c>
      <c r="L130" s="28">
        <v>0</v>
      </c>
      <c r="M130" s="28">
        <v>658</v>
      </c>
      <c r="N130" s="28">
        <v>2582</v>
      </c>
      <c r="O130" s="28">
        <v>2582</v>
      </c>
    </row>
    <row r="131" spans="1:15" ht="12.75" customHeight="1">
      <c r="A131" s="4" t="s">
        <v>241</v>
      </c>
      <c r="B131" s="5" t="s">
        <v>242</v>
      </c>
      <c r="C131" s="28">
        <v>40588</v>
      </c>
      <c r="D131" s="28">
        <v>35451</v>
      </c>
      <c r="E131" s="28">
        <v>254</v>
      </c>
      <c r="F131" s="28">
        <f t="shared" si="30"/>
        <v>4883</v>
      </c>
      <c r="G131" s="28">
        <v>113556</v>
      </c>
      <c r="H131" s="28">
        <v>59073</v>
      </c>
      <c r="I131" s="28">
        <v>1709</v>
      </c>
      <c r="J131" s="28">
        <f t="shared" si="31"/>
        <v>52774</v>
      </c>
      <c r="K131" s="28">
        <v>2168</v>
      </c>
      <c r="L131" s="28">
        <v>0</v>
      </c>
      <c r="M131" s="28">
        <v>1735</v>
      </c>
      <c r="N131" s="28">
        <v>704</v>
      </c>
      <c r="O131" s="28">
        <v>704</v>
      </c>
    </row>
    <row r="132" spans="1:15" ht="12.75" customHeight="1">
      <c r="A132" s="4" t="s">
        <v>243</v>
      </c>
      <c r="B132" s="5" t="s">
        <v>244</v>
      </c>
      <c r="C132" s="28">
        <v>20313</v>
      </c>
      <c r="D132" s="28">
        <v>16968</v>
      </c>
      <c r="E132" s="28">
        <v>0</v>
      </c>
      <c r="F132" s="28">
        <f t="shared" si="30"/>
        <v>3345</v>
      </c>
      <c r="G132" s="28">
        <v>61290</v>
      </c>
      <c r="H132" s="28">
        <v>36392</v>
      </c>
      <c r="I132" s="28">
        <v>0</v>
      </c>
      <c r="J132" s="28">
        <f t="shared" si="31"/>
        <v>24898</v>
      </c>
      <c r="K132" s="28">
        <v>2335</v>
      </c>
      <c r="L132" s="28">
        <v>0</v>
      </c>
      <c r="M132" s="28">
        <v>4388</v>
      </c>
      <c r="N132" s="28">
        <v>301</v>
      </c>
      <c r="O132" s="28">
        <v>301</v>
      </c>
    </row>
    <row r="133" spans="1:15" ht="12.75" customHeight="1">
      <c r="A133" s="4" t="s">
        <v>245</v>
      </c>
      <c r="B133" s="5" t="s">
        <v>246</v>
      </c>
      <c r="C133" s="28">
        <v>17938</v>
      </c>
      <c r="D133" s="28">
        <v>15613</v>
      </c>
      <c r="E133" s="28">
        <v>0</v>
      </c>
      <c r="F133" s="28">
        <f t="shared" si="30"/>
        <v>2325</v>
      </c>
      <c r="G133" s="28">
        <v>45169</v>
      </c>
      <c r="H133" s="28">
        <v>34970</v>
      </c>
      <c r="I133" s="28">
        <v>0</v>
      </c>
      <c r="J133" s="28">
        <f t="shared" si="31"/>
        <v>10199</v>
      </c>
      <c r="K133" s="28">
        <v>7522</v>
      </c>
      <c r="L133" s="28">
        <v>0</v>
      </c>
      <c r="M133" s="28">
        <v>3000</v>
      </c>
      <c r="N133" s="28">
        <v>482</v>
      </c>
      <c r="O133" s="28">
        <v>482</v>
      </c>
    </row>
    <row r="134" spans="1:15" ht="12.75" customHeight="1">
      <c r="A134" s="4" t="s">
        <v>247</v>
      </c>
      <c r="B134" s="5" t="s">
        <v>248</v>
      </c>
      <c r="C134" s="28">
        <v>10449</v>
      </c>
      <c r="D134" s="28">
        <v>8335</v>
      </c>
      <c r="E134" s="28">
        <v>0</v>
      </c>
      <c r="F134" s="28">
        <f t="shared" si="30"/>
        <v>2114</v>
      </c>
      <c r="G134" s="28">
        <v>26119</v>
      </c>
      <c r="H134" s="28">
        <v>18504</v>
      </c>
      <c r="I134" s="28">
        <v>0</v>
      </c>
      <c r="J134" s="28">
        <f t="shared" si="31"/>
        <v>7615</v>
      </c>
      <c r="K134" s="28">
        <v>129</v>
      </c>
      <c r="L134" s="28">
        <v>0</v>
      </c>
      <c r="M134" s="28">
        <v>3153</v>
      </c>
      <c r="N134" s="28">
        <v>56</v>
      </c>
      <c r="O134" s="28">
        <v>56</v>
      </c>
    </row>
    <row r="135" spans="1:15" ht="12.75" customHeight="1">
      <c r="A135" s="10"/>
      <c r="B135" s="9" t="s">
        <v>249</v>
      </c>
      <c r="C135" s="29">
        <f t="shared" ref="C135:O135" si="32">SUM(C126:C134)</f>
        <v>168255</v>
      </c>
      <c r="D135" s="29">
        <f t="shared" si="32"/>
        <v>138824</v>
      </c>
      <c r="E135" s="29">
        <f t="shared" si="32"/>
        <v>2143</v>
      </c>
      <c r="F135" s="29">
        <f t="shared" si="32"/>
        <v>27288</v>
      </c>
      <c r="G135" s="29">
        <f t="shared" si="32"/>
        <v>468278</v>
      </c>
      <c r="H135" s="29">
        <f t="shared" si="32"/>
        <v>285699</v>
      </c>
      <c r="I135" s="29">
        <f t="shared" si="32"/>
        <v>12075</v>
      </c>
      <c r="J135" s="29">
        <f t="shared" si="32"/>
        <v>170504</v>
      </c>
      <c r="K135" s="29">
        <f t="shared" si="32"/>
        <v>16418</v>
      </c>
      <c r="L135" s="29">
        <f t="shared" si="32"/>
        <v>0</v>
      </c>
      <c r="M135" s="29">
        <f t="shared" si="32"/>
        <v>22486</v>
      </c>
      <c r="N135" s="29">
        <f t="shared" si="32"/>
        <v>5331</v>
      </c>
      <c r="O135" s="29">
        <f t="shared" si="32"/>
        <v>5331</v>
      </c>
    </row>
    <row r="136" spans="1:15" ht="12.75" customHeight="1">
      <c r="A136" s="4" t="s">
        <v>250</v>
      </c>
      <c r="B136" s="5" t="s">
        <v>251</v>
      </c>
      <c r="C136" s="28">
        <v>25587</v>
      </c>
      <c r="D136" s="28">
        <v>23563</v>
      </c>
      <c r="E136" s="28">
        <v>0</v>
      </c>
      <c r="F136" s="28">
        <f t="shared" ref="F136:F143" si="33">SUM(C136-D136-E136)</f>
        <v>2024</v>
      </c>
      <c r="G136" s="28">
        <v>64036</v>
      </c>
      <c r="H136" s="28">
        <v>48701</v>
      </c>
      <c r="I136" s="28">
        <v>0</v>
      </c>
      <c r="J136" s="28">
        <f t="shared" ref="J136:J143" si="34">SUM(G136-H136-I136)</f>
        <v>15335</v>
      </c>
      <c r="K136" s="28">
        <v>8497</v>
      </c>
      <c r="L136" s="28">
        <v>2875</v>
      </c>
      <c r="M136" s="28">
        <v>1927</v>
      </c>
      <c r="N136" s="28">
        <v>9044</v>
      </c>
      <c r="O136" s="28">
        <v>9044</v>
      </c>
    </row>
    <row r="137" spans="1:15" ht="12.75" customHeight="1">
      <c r="A137" s="4" t="s">
        <v>252</v>
      </c>
      <c r="B137" s="5" t="s">
        <v>253</v>
      </c>
      <c r="C137" s="28">
        <v>3661</v>
      </c>
      <c r="D137" s="28">
        <v>3660</v>
      </c>
      <c r="E137" s="28">
        <v>0</v>
      </c>
      <c r="F137" s="28">
        <f t="shared" si="33"/>
        <v>1</v>
      </c>
      <c r="G137" s="28">
        <v>8341</v>
      </c>
      <c r="H137" s="28">
        <v>8262</v>
      </c>
      <c r="I137" s="28">
        <v>0</v>
      </c>
      <c r="J137" s="28">
        <f t="shared" si="34"/>
        <v>79</v>
      </c>
      <c r="K137" s="28">
        <v>236</v>
      </c>
      <c r="L137" s="28">
        <v>0</v>
      </c>
      <c r="M137" s="28">
        <v>0</v>
      </c>
      <c r="N137" s="28">
        <v>703</v>
      </c>
      <c r="O137" s="28">
        <v>703</v>
      </c>
    </row>
    <row r="138" spans="1:15" ht="12.75" customHeight="1">
      <c r="A138" s="4" t="s">
        <v>254</v>
      </c>
      <c r="B138" s="5" t="s">
        <v>255</v>
      </c>
      <c r="C138" s="28">
        <v>2358</v>
      </c>
      <c r="D138" s="28">
        <v>2345</v>
      </c>
      <c r="E138" s="28">
        <v>0</v>
      </c>
      <c r="F138" s="28">
        <f t="shared" si="33"/>
        <v>13</v>
      </c>
      <c r="G138" s="28">
        <v>8519</v>
      </c>
      <c r="H138" s="28">
        <v>7445</v>
      </c>
      <c r="I138" s="28">
        <v>0</v>
      </c>
      <c r="J138" s="28">
        <f t="shared" si="34"/>
        <v>1074</v>
      </c>
      <c r="K138" s="28">
        <v>1112</v>
      </c>
      <c r="L138" s="28">
        <v>0</v>
      </c>
      <c r="M138" s="28">
        <v>581</v>
      </c>
      <c r="N138" s="28">
        <v>1467</v>
      </c>
      <c r="O138" s="28">
        <v>1467</v>
      </c>
    </row>
    <row r="139" spans="1:15" ht="12.75" customHeight="1">
      <c r="A139" s="4" t="s">
        <v>256</v>
      </c>
      <c r="B139" s="5" t="s">
        <v>257</v>
      </c>
      <c r="C139" s="28">
        <v>6006</v>
      </c>
      <c r="D139" s="28">
        <v>5558</v>
      </c>
      <c r="E139" s="28">
        <v>0</v>
      </c>
      <c r="F139" s="28">
        <f t="shared" si="33"/>
        <v>448</v>
      </c>
      <c r="G139" s="28">
        <v>18985</v>
      </c>
      <c r="H139" s="28">
        <v>15977</v>
      </c>
      <c r="I139" s="28">
        <v>0</v>
      </c>
      <c r="J139" s="28">
        <f t="shared" si="34"/>
        <v>3008</v>
      </c>
      <c r="K139" s="28">
        <v>5204</v>
      </c>
      <c r="L139" s="28">
        <v>93</v>
      </c>
      <c r="M139" s="28">
        <v>2131</v>
      </c>
      <c r="N139" s="28">
        <v>1155</v>
      </c>
      <c r="O139" s="28">
        <v>1155</v>
      </c>
    </row>
    <row r="140" spans="1:15" ht="12.75" customHeight="1">
      <c r="A140" s="4" t="s">
        <v>258</v>
      </c>
      <c r="B140" s="5" t="s">
        <v>259</v>
      </c>
      <c r="C140" s="28">
        <v>1207</v>
      </c>
      <c r="D140" s="28">
        <v>1203</v>
      </c>
      <c r="E140" s="28">
        <v>0</v>
      </c>
      <c r="F140" s="28">
        <f t="shared" si="33"/>
        <v>4</v>
      </c>
      <c r="G140" s="28">
        <v>2782</v>
      </c>
      <c r="H140" s="28">
        <v>2724</v>
      </c>
      <c r="I140" s="28">
        <v>0</v>
      </c>
      <c r="J140" s="28">
        <f t="shared" si="34"/>
        <v>58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6573</v>
      </c>
      <c r="D141" s="28">
        <v>6317</v>
      </c>
      <c r="E141" s="28">
        <v>0</v>
      </c>
      <c r="F141" s="28">
        <f t="shared" si="33"/>
        <v>256</v>
      </c>
      <c r="G141" s="28">
        <v>14357</v>
      </c>
      <c r="H141" s="28">
        <v>13055</v>
      </c>
      <c r="I141" s="28">
        <v>0</v>
      </c>
      <c r="J141" s="28">
        <f t="shared" si="34"/>
        <v>1302</v>
      </c>
      <c r="K141" s="28">
        <v>109</v>
      </c>
      <c r="L141" s="28">
        <v>0</v>
      </c>
      <c r="M141" s="28">
        <v>8</v>
      </c>
      <c r="N141" s="28">
        <v>847</v>
      </c>
      <c r="O141" s="28">
        <v>847</v>
      </c>
    </row>
    <row r="142" spans="1:15" ht="12.75" customHeight="1">
      <c r="A142" s="4" t="s">
        <v>262</v>
      </c>
      <c r="B142" s="5" t="s">
        <v>263</v>
      </c>
      <c r="C142" s="28">
        <v>6045</v>
      </c>
      <c r="D142" s="28">
        <v>4480</v>
      </c>
      <c r="E142" s="28">
        <v>0</v>
      </c>
      <c r="F142" s="28">
        <f t="shared" si="33"/>
        <v>1565</v>
      </c>
      <c r="G142" s="28">
        <v>19672</v>
      </c>
      <c r="H142" s="28">
        <v>15456</v>
      </c>
      <c r="I142" s="28">
        <v>0</v>
      </c>
      <c r="J142" s="28">
        <f t="shared" si="34"/>
        <v>4216</v>
      </c>
      <c r="K142" s="28">
        <v>3448</v>
      </c>
      <c r="L142" s="28">
        <v>0</v>
      </c>
      <c r="M142" s="28">
        <v>2200</v>
      </c>
      <c r="N142" s="28">
        <v>2447</v>
      </c>
      <c r="O142" s="28">
        <v>2447</v>
      </c>
    </row>
    <row r="143" spans="1:15" ht="12.75" customHeight="1">
      <c r="A143" s="4" t="s">
        <v>264</v>
      </c>
      <c r="B143" s="5" t="s">
        <v>265</v>
      </c>
      <c r="C143" s="28">
        <v>15357</v>
      </c>
      <c r="D143" s="28">
        <v>12745</v>
      </c>
      <c r="E143" s="28">
        <v>0</v>
      </c>
      <c r="F143" s="28">
        <f t="shared" si="33"/>
        <v>2612</v>
      </c>
      <c r="G143" s="28">
        <v>51821</v>
      </c>
      <c r="H143" s="28">
        <v>24197</v>
      </c>
      <c r="I143" s="28">
        <v>0</v>
      </c>
      <c r="J143" s="28">
        <f t="shared" si="34"/>
        <v>27624</v>
      </c>
      <c r="K143" s="28">
        <v>21851</v>
      </c>
      <c r="L143" s="28">
        <v>361</v>
      </c>
      <c r="M143" s="28">
        <v>3886</v>
      </c>
      <c r="N143" s="28">
        <v>3390</v>
      </c>
      <c r="O143" s="28">
        <v>3390</v>
      </c>
    </row>
    <row r="144" spans="1:15" ht="12.75" customHeight="1">
      <c r="A144" s="10"/>
      <c r="B144" s="9" t="s">
        <v>266</v>
      </c>
      <c r="C144" s="30">
        <f t="shared" ref="C144:O144" si="35">SUM(C136:C143)</f>
        <v>66794</v>
      </c>
      <c r="D144" s="30">
        <f t="shared" si="35"/>
        <v>59871</v>
      </c>
      <c r="E144" s="30">
        <f t="shared" si="35"/>
        <v>0</v>
      </c>
      <c r="F144" s="30">
        <f t="shared" si="35"/>
        <v>6923</v>
      </c>
      <c r="G144" s="30">
        <f t="shared" si="35"/>
        <v>188513</v>
      </c>
      <c r="H144" s="30">
        <f t="shared" si="35"/>
        <v>135817</v>
      </c>
      <c r="I144" s="30">
        <f t="shared" si="35"/>
        <v>0</v>
      </c>
      <c r="J144" s="30">
        <f t="shared" si="35"/>
        <v>52696</v>
      </c>
      <c r="K144" s="30">
        <f t="shared" si="35"/>
        <v>40457</v>
      </c>
      <c r="L144" s="30">
        <f t="shared" si="35"/>
        <v>3329</v>
      </c>
      <c r="M144" s="30">
        <f t="shared" si="35"/>
        <v>10733</v>
      </c>
      <c r="N144" s="30">
        <f t="shared" si="35"/>
        <v>19053</v>
      </c>
      <c r="O144" s="30">
        <f t="shared" si="35"/>
        <v>19053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2288559</v>
      </c>
      <c r="D145" s="31">
        <f t="shared" si="36"/>
        <v>1646438</v>
      </c>
      <c r="E145" s="31">
        <f t="shared" si="36"/>
        <v>53425</v>
      </c>
      <c r="F145" s="31">
        <f t="shared" si="36"/>
        <v>588696</v>
      </c>
      <c r="G145" s="31">
        <f t="shared" si="36"/>
        <v>7362852</v>
      </c>
      <c r="H145" s="31">
        <f t="shared" si="36"/>
        <v>3788795</v>
      </c>
      <c r="I145" s="31">
        <f t="shared" si="36"/>
        <v>299012</v>
      </c>
      <c r="J145" s="31">
        <f t="shared" si="36"/>
        <v>3275045</v>
      </c>
      <c r="K145" s="31">
        <f t="shared" si="36"/>
        <v>406947</v>
      </c>
      <c r="L145" s="31">
        <f t="shared" si="36"/>
        <v>5624</v>
      </c>
      <c r="M145" s="31">
        <f t="shared" si="36"/>
        <v>433707</v>
      </c>
      <c r="N145" s="31">
        <f t="shared" si="36"/>
        <v>284273</v>
      </c>
      <c r="O145" s="31">
        <f t="shared" si="36"/>
        <v>158070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2017-08-01T13:12:36Z</dcterms:modified>
</cp:coreProperties>
</file>