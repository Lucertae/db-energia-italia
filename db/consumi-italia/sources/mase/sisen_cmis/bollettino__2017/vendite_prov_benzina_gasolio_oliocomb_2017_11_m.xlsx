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F23" s="1"/>
  <c r="J15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J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F30" s="1"/>
  <c r="J26"/>
  <c r="F27"/>
  <c r="J27"/>
  <c r="F28"/>
  <c r="J28"/>
  <c r="F29"/>
  <c r="J29"/>
  <c r="C30"/>
  <c r="D30"/>
  <c r="E30"/>
  <c r="G30"/>
  <c r="H30"/>
  <c r="I30"/>
  <c r="J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F46" s="1"/>
  <c r="J44"/>
  <c r="F45"/>
  <c r="J45"/>
  <c r="C46"/>
  <c r="D46"/>
  <c r="E46"/>
  <c r="G46"/>
  <c r="H46"/>
  <c r="I46"/>
  <c r="J46"/>
  <c r="K46"/>
  <c r="L46"/>
  <c r="M46"/>
  <c r="N46"/>
  <c r="O46"/>
  <c r="F47"/>
  <c r="J47"/>
  <c r="J51" s="1"/>
  <c r="F48"/>
  <c r="J48"/>
  <c r="F49"/>
  <c r="J49"/>
  <c r="F50"/>
  <c r="J50"/>
  <c r="C51"/>
  <c r="D51"/>
  <c r="E51"/>
  <c r="F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F80" s="1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F89" s="1"/>
  <c r="J87"/>
  <c r="F88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F98" s="1"/>
  <c r="J96"/>
  <c r="F97"/>
  <c r="J97"/>
  <c r="C98"/>
  <c r="D98"/>
  <c r="E98"/>
  <c r="G98"/>
  <c r="H98"/>
  <c r="I98"/>
  <c r="J98"/>
  <c r="K98"/>
  <c r="L98"/>
  <c r="M98"/>
  <c r="N98"/>
  <c r="O98"/>
  <c r="F99"/>
  <c r="J99"/>
  <c r="J103" s="1"/>
  <c r="F100"/>
  <c r="J100"/>
  <c r="F101"/>
  <c r="J101"/>
  <c r="F102"/>
  <c r="J102"/>
  <c r="C103"/>
  <c r="D103"/>
  <c r="E103"/>
  <c r="F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J111"/>
  <c r="F112"/>
  <c r="J112"/>
  <c r="F113"/>
  <c r="J113"/>
  <c r="F114"/>
  <c r="J114"/>
  <c r="F115"/>
  <c r="J115"/>
  <c r="C116"/>
  <c r="D116"/>
  <c r="E116"/>
  <c r="F116"/>
  <c r="G116"/>
  <c r="H116"/>
  <c r="I116"/>
  <c r="K116"/>
  <c r="L116"/>
  <c r="M116"/>
  <c r="N116"/>
  <c r="O116"/>
  <c r="F117"/>
  <c r="F119" s="1"/>
  <c r="J117"/>
  <c r="F118"/>
  <c r="J118"/>
  <c r="C119"/>
  <c r="D119"/>
  <c r="E119"/>
  <c r="G119"/>
  <c r="H119"/>
  <c r="I119"/>
  <c r="J119"/>
  <c r="K119"/>
  <c r="L119"/>
  <c r="M119"/>
  <c r="N119"/>
  <c r="O119"/>
  <c r="F120"/>
  <c r="J120"/>
  <c r="F121"/>
  <c r="J121"/>
  <c r="J125" s="1"/>
  <c r="F122"/>
  <c r="J122"/>
  <c r="F123"/>
  <c r="J123"/>
  <c r="F124"/>
  <c r="J124"/>
  <c r="C125"/>
  <c r="D125"/>
  <c r="E125"/>
  <c r="F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O135"/>
  <c r="F136"/>
  <c r="J136"/>
  <c r="J145" s="1"/>
  <c r="F137"/>
  <c r="J137"/>
  <c r="F138"/>
  <c r="J138"/>
  <c r="F139"/>
  <c r="J139"/>
  <c r="F140"/>
  <c r="J140"/>
  <c r="F141"/>
  <c r="J141"/>
  <c r="F142"/>
  <c r="J142"/>
  <c r="F143"/>
  <c r="J143"/>
  <c r="C145"/>
  <c r="D145"/>
  <c r="D146" s="1"/>
  <c r="E145"/>
  <c r="F145"/>
  <c r="F146" s="1"/>
  <c r="G145"/>
  <c r="H145"/>
  <c r="H146" s="1"/>
  <c r="I145"/>
  <c r="K145"/>
  <c r="L145"/>
  <c r="L146" s="1"/>
  <c r="M145"/>
  <c r="N145"/>
  <c r="N146" s="1"/>
  <c r="O145"/>
  <c r="C146"/>
  <c r="E146"/>
  <c r="G146"/>
  <c r="I146"/>
  <c r="K146"/>
  <c r="M146"/>
  <c r="O146"/>
  <c r="F15" i="2"/>
  <c r="J15"/>
  <c r="F16"/>
  <c r="J16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J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F27"/>
  <c r="J27"/>
  <c r="F28"/>
  <c r="J28"/>
  <c r="F29"/>
  <c r="J29"/>
  <c r="C30"/>
  <c r="D30"/>
  <c r="E30"/>
  <c r="F30"/>
  <c r="G30"/>
  <c r="H30"/>
  <c r="I30"/>
  <c r="J30"/>
  <c r="K30"/>
  <c r="L30"/>
  <c r="M30"/>
  <c r="N30"/>
  <c r="O30"/>
  <c r="F31"/>
  <c r="F43" s="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J43"/>
  <c r="K43"/>
  <c r="L43"/>
  <c r="M43"/>
  <c r="N43"/>
  <c r="O43"/>
  <c r="F44"/>
  <c r="J44"/>
  <c r="J46" s="1"/>
  <c r="F45"/>
  <c r="J45"/>
  <c r="C46"/>
  <c r="D46"/>
  <c r="E46"/>
  <c r="F46"/>
  <c r="G46"/>
  <c r="H46"/>
  <c r="I46"/>
  <c r="K46"/>
  <c r="L46"/>
  <c r="M46"/>
  <c r="N46"/>
  <c r="O46"/>
  <c r="F47"/>
  <c r="F51" s="1"/>
  <c r="J47"/>
  <c r="F48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J59" s="1"/>
  <c r="F54"/>
  <c r="J54"/>
  <c r="F55"/>
  <c r="J55"/>
  <c r="F56"/>
  <c r="J56"/>
  <c r="F57"/>
  <c r="J57"/>
  <c r="F58"/>
  <c r="J58"/>
  <c r="C59"/>
  <c r="D59"/>
  <c r="E59"/>
  <c r="F59"/>
  <c r="G59"/>
  <c r="H59"/>
  <c r="I59"/>
  <c r="K59"/>
  <c r="L59"/>
  <c r="M59"/>
  <c r="N59"/>
  <c r="O59"/>
  <c r="F60"/>
  <c r="F69" s="1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J80" s="1"/>
  <c r="F77"/>
  <c r="J77"/>
  <c r="F78"/>
  <c r="J78"/>
  <c r="F79"/>
  <c r="J79"/>
  <c r="C80"/>
  <c r="D80"/>
  <c r="E80"/>
  <c r="F80"/>
  <c r="G80"/>
  <c r="H80"/>
  <c r="I80"/>
  <c r="K80"/>
  <c r="L80"/>
  <c r="M80"/>
  <c r="N80"/>
  <c r="O80"/>
  <c r="F81"/>
  <c r="F86" s="1"/>
  <c r="J81"/>
  <c r="F82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J89" s="1"/>
  <c r="F88"/>
  <c r="J88"/>
  <c r="C89"/>
  <c r="D89"/>
  <c r="E89"/>
  <c r="F89"/>
  <c r="G89"/>
  <c r="H89"/>
  <c r="I89"/>
  <c r="K89"/>
  <c r="L89"/>
  <c r="M89"/>
  <c r="N89"/>
  <c r="O89"/>
  <c r="F90"/>
  <c r="F95" s="1"/>
  <c r="J90"/>
  <c r="F91"/>
  <c r="J91"/>
  <c r="F92"/>
  <c r="J92"/>
  <c r="F93"/>
  <c r="J93"/>
  <c r="F94"/>
  <c r="J94"/>
  <c r="C95"/>
  <c r="D95"/>
  <c r="E95"/>
  <c r="G95"/>
  <c r="H95"/>
  <c r="I95"/>
  <c r="J95"/>
  <c r="K95"/>
  <c r="L95"/>
  <c r="M95"/>
  <c r="N95"/>
  <c r="O95"/>
  <c r="F96"/>
  <c r="J96"/>
  <c r="J98" s="1"/>
  <c r="F97"/>
  <c r="J97"/>
  <c r="C98"/>
  <c r="D98"/>
  <c r="E98"/>
  <c r="F98"/>
  <c r="G98"/>
  <c r="H98"/>
  <c r="I98"/>
  <c r="K98"/>
  <c r="L98"/>
  <c r="M98"/>
  <c r="N98"/>
  <c r="O98"/>
  <c r="F99"/>
  <c r="F103" s="1"/>
  <c r="J99"/>
  <c r="F100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J109" s="1"/>
  <c r="F108"/>
  <c r="J108"/>
  <c r="C109"/>
  <c r="D109"/>
  <c r="E109"/>
  <c r="F109"/>
  <c r="G109"/>
  <c r="H109"/>
  <c r="I109"/>
  <c r="K109"/>
  <c r="L109"/>
  <c r="M109"/>
  <c r="N109"/>
  <c r="O109"/>
  <c r="F110"/>
  <c r="F116" s="1"/>
  <c r="J110"/>
  <c r="F11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F135"/>
  <c r="G135"/>
  <c r="H135"/>
  <c r="I135"/>
  <c r="J135"/>
  <c r="K135"/>
  <c r="L135"/>
  <c r="M135"/>
  <c r="N135"/>
  <c r="O135"/>
  <c r="F136"/>
  <c r="F145" s="1"/>
  <c r="F146" s="1"/>
  <c r="J136"/>
  <c r="F137"/>
  <c r="J137"/>
  <c r="F138"/>
  <c r="J138"/>
  <c r="F139"/>
  <c r="J139"/>
  <c r="F140"/>
  <c r="J140"/>
  <c r="F141"/>
  <c r="J141"/>
  <c r="F142"/>
  <c r="J142"/>
  <c r="F143"/>
  <c r="J143"/>
  <c r="C145"/>
  <c r="C146" s="1"/>
  <c r="D145"/>
  <c r="E145"/>
  <c r="E146" s="1"/>
  <c r="G145"/>
  <c r="G146" s="1"/>
  <c r="H145"/>
  <c r="I145"/>
  <c r="I146" s="1"/>
  <c r="J145"/>
  <c r="K145"/>
  <c r="K146" s="1"/>
  <c r="L145"/>
  <c r="M145"/>
  <c r="M146" s="1"/>
  <c r="N145"/>
  <c r="O145"/>
  <c r="O146" s="1"/>
  <c r="D146"/>
  <c r="H146"/>
  <c r="L146"/>
  <c r="N146"/>
  <c r="J146" i="1" l="1"/>
  <c r="J146" i="2"/>
</calcChain>
</file>

<file path=xl/sharedStrings.xml><?xml version="1.0" encoding="utf-8"?>
<sst xmlns="http://schemas.openxmlformats.org/spreadsheetml/2006/main" count="548" uniqueCount="273">
  <si>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</si>
  <si>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</si>
  <si>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</si>
  <si>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</si>
  <si>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</si>
  <si>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</si>
  <si>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</si>
  <si>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novembre 2017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</si>
  <si>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</si>
  <si>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</si>
  <si>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</si>
  <si>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</si>
  <si>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</si>
  <si>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</si>
  <si>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</si>
  <si>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</si>
  <si>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</si>
  <si>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</si>
  <si>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</si>
  <si>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</si>
  <si>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</si>
  <si>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</si>
  <si>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</si>
  <si>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</si>
  <si>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</si>
  <si>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</si>
  <si>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</si>
  <si>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</si>
  <si>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</si>
  <si>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</si>
  <si>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</si>
  <si>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</si>
  <si>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</si>
  <si>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</si>
  <si>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</si>
  <si>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</si>
  <si>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</si>
  <si>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</si>
  <si>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</si>
  <si>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</si>
  <si>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</si>
  <si>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</si>
  <si>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</si>
  <si>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</si>
  <si>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</si>
  <si>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</si>
  <si>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</si>
  <si>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</si>
  <si>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</si>
  <si>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</si>
  <si>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</si>
  <si>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</si>
  <si>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</si>
  <si>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</si>
  <si>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</si>
  <si>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</si>
  <si>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</si>
  <si>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</si>
  <si>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</si>
  <si>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</si>
  <si>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</si>
  <si>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</si>
  <si>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</si>
  <si>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</si>
  <si>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</si>
  <si>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</si>
  <si>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</si>
  <si>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</si>
  <si>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</si>
  <si>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</si>
  <si>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</si>
  <si>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</si>
  <si>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</si>
  <si>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</si>
  <si>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</si>
  <si>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</si>
  <si>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</si>
  <si>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</si>
  <si>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</si>
  <si>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</si>
  <si>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</si>
  <si>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</si>
  <si>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</si>
  <si>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</si>
  <si>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</si>
  <si>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</si>
  <si>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</si>
  <si>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</si>
  <si>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</si>
  <si>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</si>
  <si>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</si>
  <si>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</si>
  <si>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</si>
  <si>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</si>
  <si>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</si>
  <si>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</si>
  <si>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</si>
  <si>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</si>
  <si>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</si>
  <si>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</si>
  <si>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</si>
  <si>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</si>
  <si>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</si>
  <si>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</si>
  <si>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</si>
  <si>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</si>
  <si>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</si>
  <si>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</si>
  <si>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</si>
  <si>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</si>
  <si>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</si>
  <si>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</si>
  <si>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</si>
  <si>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</si>
  <si>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</si>
  <si>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</si>
  <si>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</si>
  <si>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</si>
  <si>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</si>
  <si>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</si>
  <si>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</si>
  <si>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</si>
  <si>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</si>
  <si>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</si>
  <si>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</si>
  <si>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</si>
  <si>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</si>
  <si>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</si>
  <si>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</si>
  <si>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</si>
  <si>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</si>
  <si>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</si>
  <si>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</si>
  <si>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</si>
  <si>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</si>
  <si>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</si>
  <si>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</si>
  <si>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</si>
  <si>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</si>
  <si>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</si>
  <si>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</si>
  <si>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</si>
  <si>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</si>
  <si>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</si>
  <si>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</si>
  <si>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</si>
  <si>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</si>
  <si>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</si>
  <si>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</si>
  <si>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</si>
  <si>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</si>
  <si>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</si>
  <si>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</si>
  <si>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</si>
  <si>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</si>
  <si>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</si>
  <si>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</si>
  <si>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</si>
  <si>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</si>
  <si>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</si>
  <si>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</si>
  <si>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</si>
  <si>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</si>
  <si>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</si>
  <si>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</si>
  <si>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</si>
  <si>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</si>
  <si>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</si>
  <si>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</si>
  <si>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</si>
  <si>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</si>
  <si>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</si>
  <si>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</si>
  <si>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</si>
  <si>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</si>
  <si>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</si>
  <si>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</si>
  <si>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</si>
  <si>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</si>
  <si>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</si>
  <si>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</si>
  <si>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</si>
  <si>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</si>
  <si>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</si>
  <si>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</si>
  <si>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</si>
  <si>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</si>
  <si>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</si>
  <si>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</si>
  <si>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</si>
  <si>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</si>
  <si>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</si>
  <si>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</si>
  <si>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</si>
  <si>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</si>
  <si>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</si>
  <si>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</si>
  <si>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</si>
  <si>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</si>
  <si>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</si>
  <si>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</si>
  <si>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</si>
  <si>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</si>
  <si>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</si>
  <si>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</si>
  <si>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</si>
  <si>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</si>
  <si>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</si>
  <si>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</si>
  <si>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</si>
  <si>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</si>
  <si>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</si>
  <si>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</si>
  <si>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</si>
  <si>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</si>
  <si>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</si>
  <si>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</si>
  <si>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</si>
  <si>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</si>
  <si>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</si>
  <si>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</si>
  <si>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</si>
  <si>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</si>
  <si>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</si>
  <si>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</si>
  <si>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</si>
  <si>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</si>
  <si>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</si>
  <si>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</si>
  <si>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</si>
  <si>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</si>
  <si>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</si>
  <si>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</si>
  <si>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</si>
  <si>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</si>
  <si>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</si>
  <si>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</si>
  <si>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</si>
  <si>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</si>
  <si>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</si>
  <si>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</si>
  <si>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</si>
  <si>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</si>
  <si>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</si>
  <si>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</si>
  <si>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</si>
  <si>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</si>
  <si>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</si>
  <si>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</si>
  <si>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</si>
  <si>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</si>
  <si>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</si>
  <si>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</si>
  <si>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</si>
  <si>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</si>
  <si>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</si>
  <si>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</si>
  <si>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</si>
  <si>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</si>
  <si>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</si>
  <si>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</si>
  <si>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</si>
  <si>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</si>
  <si>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</si>
  <si>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</si>
  <si>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</si>
  <si>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SU</t>
  </si>
  <si>
    <t>SUD SARDEGNA</t>
  </si>
  <si>
    <t>SARDEGNA</t>
  </si>
  <si>
    <t>TT</t>
  </si>
  <si>
    <t>TOTALE  ITALIA</t>
  </si>
  <si>
    <t>DGSAIE DIV.6</t>
  </si>
  <si>
    <t>Periodo: gennaio-novembre 2017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</si>
</sst>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10"/>
      <color indexed="8"/>
      <name val="Calibri"/>
    </font>
    <font>
      <b/>
      <sz val="10"/>
      <color indexed="10"/>
      <name val="Calibri"/>
    </font>
    <font>
      <b/>
      <sz val="12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3"/>
      <name val="Calibri"/>
    </font>
    <font>
      <b/>
      <sz val="11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0"/>
        <bgColor indexed="16"/>
      </patternFill>
    </fill>
  </fills>
  <borders count="17">
    <border>
      <left/>
      <right/>
      <top/>
      <bottom/>
      <diagonal/>
    </border>
    <border>
      <left style="double">
        <color indexed="15"/>
      </left>
      <right style="thin">
        <color indexed="15"/>
      </right>
      <top style="thin">
        <color indexed="14"/>
      </top>
      <bottom/>
      <diagonal/>
    </border>
    <border>
      <left style="thin">
        <color indexed="15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/>
      <top style="thin">
        <color indexed="14"/>
      </top>
      <bottom style="thin">
        <color indexed="14"/>
      </bottom>
      <diagonal/>
    </border>
    <border>
      <left style="double">
        <color indexed="15"/>
      </left>
      <right/>
      <top style="thin">
        <color indexed="14"/>
      </top>
      <bottom style="thin">
        <color indexed="14"/>
      </bottom>
      <diagonal/>
    </border>
    <border>
      <left style="hair">
        <color indexed="15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 style="hair">
        <color indexed="15"/>
      </right>
      <top style="thin">
        <color indexed="14"/>
      </top>
      <bottom style="thin">
        <color indexed="14"/>
      </bottom>
      <diagonal/>
    </border>
    <border>
      <left style="hair">
        <color indexed="15"/>
      </left>
      <right style="thin">
        <color indexed="15"/>
      </right>
      <top style="thin">
        <color indexed="14"/>
      </top>
      <bottom style="hair">
        <color indexed="15"/>
      </bottom>
      <diagonal/>
    </border>
    <border>
      <left style="hair">
        <color indexed="15"/>
      </left>
      <right style="thin">
        <color indexed="15"/>
      </right>
      <top style="thin">
        <color indexed="14"/>
      </top>
      <bottom/>
      <diagonal/>
    </border>
    <border>
      <left style="hair">
        <color indexed="15"/>
      </left>
      <right style="hair">
        <color indexed="15"/>
      </right>
      <top/>
      <bottom style="thin">
        <color indexed="14"/>
      </bottom>
      <diagonal/>
    </border>
    <border>
      <left style="hair">
        <color indexed="15"/>
      </left>
      <right style="thin">
        <color indexed="15"/>
      </right>
      <top/>
      <bottom style="thin">
        <color indexed="14"/>
      </bottom>
      <diagonal/>
    </border>
    <border>
      <left style="double">
        <color indexed="15"/>
      </left>
      <right style="hair">
        <color indexed="15"/>
      </right>
      <top/>
      <bottom style="thin">
        <color indexed="15"/>
      </bottom>
      <diagonal/>
    </border>
    <border>
      <left style="hair">
        <color indexed="15"/>
      </left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 style="hair">
        <color indexed="15"/>
      </right>
      <top/>
      <bottom style="thin">
        <color indexed="15"/>
      </bottom>
      <diagonal/>
    </border>
    <border>
      <left style="hair">
        <color indexed="15"/>
      </left>
      <right style="hair">
        <color indexed="15"/>
      </right>
      <top/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/>
      <right/>
      <top/>
      <bottom style="double">
        <color indexed="15"/>
      </bottom>
      <diagonal/>
    </border>
  </borders>
  <cellStyleXfs count="1">
    <xf numFmtId="0" fontId="0" fillId="0" borderId="0" applyFill="0" applyProtection="0"/>
  </cellStyleXfs>
  <cellXfs count="59">
    <xf numFmtId="0" fontId="0" fillId="0" borderId="0" xfId="0" applyFill="1" applyProtection="1"/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Protection="1"/>
    <xf numFmtId="0" fontId="4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 vertical="center"/>
    </xf>
    <xf numFmtId="0" fontId="7" fillId="2" borderId="0" xfId="0" applyFont="1" applyFill="1" applyProtection="1"/>
    <xf numFmtId="0" fontId="8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vertical="center"/>
    </xf>
    <xf numFmtId="0" fontId="2" fillId="2" borderId="8" xfId="0" applyFont="1" applyFill="1" applyBorder="1" applyAlignment="1" applyProtection="1">
      <alignment horizontal="center"/>
    </xf>
    <xf numFmtId="0" fontId="2" fillId="2" borderId="9" xfId="0" applyFont="1" applyFill="1" applyBorder="1" applyAlignment="1" applyProtection="1">
      <alignment horizontal="center" vertical="center"/>
    </xf>
    <xf numFmtId="0" fontId="2" fillId="2" borderId="10" xfId="0" applyFont="1" applyFill="1" applyBorder="1" applyAlignment="1" applyProtection="1">
      <alignment horizontal="center" vertical="center"/>
    </xf>
    <xf numFmtId="0" fontId="8" fillId="2" borderId="10" xfId="0" applyFont="1" applyFill="1" applyBorder="1" applyAlignment="1" applyProtection="1">
      <alignment horizontal="center" vertical="center"/>
    </xf>
    <xf numFmtId="0" fontId="9" fillId="2" borderId="11" xfId="0" applyFont="1" applyFill="1" applyBorder="1" applyAlignment="1" applyProtection="1">
      <alignment horizontal="center" vertical="center"/>
    </xf>
    <xf numFmtId="0" fontId="9" fillId="2" borderId="12" xfId="0" applyFont="1" applyFill="1" applyBorder="1" applyAlignment="1" applyProtection="1">
      <alignment horizontal="center" vertical="center"/>
    </xf>
    <xf numFmtId="0" fontId="9" fillId="2" borderId="13" xfId="0" applyFont="1" applyFill="1" applyBorder="1" applyAlignment="1" applyProtection="1">
      <alignment horizontal="center" vertical="center"/>
    </xf>
    <xf numFmtId="0" fontId="9" fillId="2" borderId="14" xfId="0" applyFont="1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10" fillId="0" borderId="15" xfId="0" applyFont="1" applyFill="1" applyBorder="1" applyAlignment="1" applyProtection="1">
      <alignment horizontal="center"/>
    </xf>
    <xf numFmtId="0" fontId="10" fillId="0" borderId="15" xfId="0" applyFont="1" applyFill="1" applyBorder="1" applyProtection="1"/>
    <xf numFmtId="3" fontId="1" fillId="0" borderId="15" xfId="0" applyNumberFormat="1" applyFont="1" applyFill="1" applyBorder="1" applyProtection="1"/>
    <xf numFmtId="0" fontId="11" fillId="3" borderId="15" xfId="0" applyFont="1" applyFill="1" applyBorder="1" applyAlignment="1" applyProtection="1">
      <alignment horizontal="center"/>
    </xf>
    <xf numFmtId="0" fontId="12" fillId="3" borderId="15" xfId="0" applyFont="1" applyFill="1" applyBorder="1" applyProtection="1"/>
    <xf numFmtId="3" fontId="13" fillId="3" borderId="15" xfId="0" applyNumberFormat="1" applyFont="1" applyFill="1" applyBorder="1" applyProtection="1"/>
    <xf numFmtId="0" fontId="12" fillId="3" borderId="15" xfId="0" applyFont="1" applyFill="1" applyBorder="1" applyAlignment="1" applyProtection="1">
      <alignment horizontal="center"/>
    </xf>
    <xf numFmtId="0" fontId="0" fillId="0" borderId="16" xfId="0" applyFill="1" applyBorder="1" applyProtection="1"/>
    <xf numFmtId="3" fontId="14" fillId="3" borderId="15" xfId="0" applyNumberFormat="1" applyFont="1" applyFill="1" applyBorder="1" applyProtection="1"/>
    <xf numFmtId="0" fontId="15" fillId="0" borderId="15" xfId="0" applyFont="1" applyFill="1" applyBorder="1" applyAlignment="1" applyProtection="1">
      <alignment horizontal="center"/>
    </xf>
    <xf numFmtId="0" fontId="15" fillId="0" borderId="15" xfId="0" applyFont="1" applyFill="1" applyBorder="1" applyProtection="1"/>
    <xf numFmtId="3" fontId="15" fillId="0" borderId="15" xfId="0" applyNumberFormat="1" applyFont="1" applyFill="1" applyBorder="1" applyProtection="1"/>
    <xf numFmtId="0" fontId="8" fillId="2" borderId="8" xfId="0" applyFont="1" applyFill="1" applyBorder="1" applyAlignment="1" applyProtection="1">
      <alignment horizontal="center"/>
    </xf>
    <xf numFmtId="0" fontId="8" fillId="2" borderId="9" xfId="0" applyFont="1" applyFill="1" applyBorder="1" applyAlignment="1" applyProtection="1">
      <alignment horizontal="center" vertical="center"/>
    </xf>
    <xf numFmtId="0" fontId="8" fillId="2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 applyProtection="1">
      <alignment horizontal="center" vertical="center"/>
    </xf>
    <xf numFmtId="0" fontId="8" fillId="2" borderId="13" xfId="0" applyFont="1" applyFill="1" applyBorder="1" applyAlignment="1" applyProtection="1">
      <alignment horizontal="center" vertical="center"/>
    </xf>
    <xf numFmtId="0" fontId="8" fillId="2" borderId="14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8" fillId="2" borderId="4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/>
    </xf>
    <xf numFmtId="0" fontId="8" fillId="2" borderId="2" xfId="0" applyFont="1" applyFill="1" applyBorder="1" applyAlignment="1" applyProtection="1">
      <alignment horizontal="center" vertical="center"/>
    </xf>
    <xf numFmtId="0" fontId="8" fillId="2" borderId="3" xfId="0" applyFont="1" applyFill="1" applyBorder="1" applyAlignment="1" applyProtection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</xf>
    <xf numFmtId="0" fontId="8" fillId="2" borderId="6" xfId="0" applyFont="1" applyFill="1" applyBorder="1" applyAlignment="1" applyProtection="1">
      <alignment horizontal="center" vertical="center"/>
    </xf>
    <xf numFmtId="0" fontId="8" fillId="2" borderId="7" xfId="0" applyFont="1" applyFill="1" applyBorder="1" applyAlignment="1" applyProtection="1">
      <alignment horizontal="center" vertical="center"/>
    </xf>
    <xf numFmtId="0" fontId="8" fillId="2" borderId="2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CCFF"/>
      <rgbColor rgb="00FF0000"/>
      <rgbColor rgb="00212121"/>
      <rgbColor rgb="003A3935"/>
      <rgbColor rgb="0000336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6"/>
  <sheetViews>
    <sheetView showGridLines="0" zoomScale="110" workbookViewId="0">
      <selection activeCell="C146" sqref="C146:O146"/>
    </sheetView>
  </sheetViews>
  <sheetFormatPr defaultRowHeight="12.75" customHeight="1"/>
  <cols>
    <col min="1" max="1" width="6" style="1" customWidth="1"/>
    <col min="2" max="2" width="30" style="2" customWidth="1"/>
    <col min="3" max="3" width="11.44140625" style="2" customWidth="1"/>
    <col min="4" max="4" width="10.6640625" style="2" customWidth="1"/>
    <col min="5" max="5" width="11.88671875" style="2" customWidth="1"/>
    <col min="6" max="6" width="11.6640625" style="2" customWidth="1"/>
    <col min="7" max="8" width="10.109375" style="2" customWidth="1"/>
    <col min="9" max="9" width="12.33203125" style="2" customWidth="1"/>
    <col min="10" max="10" width="11" style="2" customWidth="1"/>
    <col min="11" max="11" width="15" style="2" customWidth="1"/>
    <col min="12" max="12" width="15.109375" style="2" customWidth="1"/>
    <col min="13" max="13" width="16" style="2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8" t="s">
        <v>0</v>
      </c>
      <c r="B1" s="38"/>
      <c r="C1" s="38"/>
      <c r="D1" s="38"/>
      <c r="E1" s="39" t="s">
        <v>1</v>
      </c>
      <c r="F1" s="39"/>
      <c r="G1" s="39"/>
      <c r="H1" s="39"/>
      <c r="I1" s="39"/>
      <c r="J1" s="39"/>
      <c r="K1" s="39"/>
      <c r="L1" s="39"/>
      <c r="M1" s="3"/>
      <c r="N1" s="5"/>
      <c r="O1" s="5"/>
    </row>
    <row r="2" spans="1:15" ht="12" customHeight="1">
      <c r="A2" s="40" t="s">
        <v>2</v>
      </c>
      <c r="B2" s="40"/>
      <c r="C2" s="40"/>
      <c r="D2" s="40"/>
      <c r="E2" s="4"/>
      <c r="F2" s="6"/>
      <c r="G2" s="6"/>
      <c r="H2" s="6"/>
      <c r="I2" s="5"/>
      <c r="J2" s="5"/>
      <c r="K2" s="5"/>
      <c r="L2" s="5"/>
      <c r="M2" s="7"/>
      <c r="N2" s="5"/>
      <c r="O2" s="5"/>
    </row>
    <row r="3" spans="1:15" ht="10.5" customHeight="1">
      <c r="A3" s="40"/>
      <c r="B3" s="40"/>
      <c r="C3" s="40"/>
      <c r="D3" s="3"/>
      <c r="E3" s="38" t="s">
        <v>3</v>
      </c>
      <c r="F3" s="38"/>
      <c r="G3" s="38"/>
      <c r="H3" s="38"/>
      <c r="I3" s="38"/>
      <c r="J3" s="38"/>
      <c r="K3" s="38"/>
      <c r="L3" s="38"/>
      <c r="M3" s="5"/>
      <c r="N3" s="5"/>
      <c r="O3" s="5"/>
    </row>
    <row r="4" spans="1:15" ht="12.75" customHeight="1">
      <c r="A4" s="40"/>
      <c r="B4" s="40"/>
      <c r="C4" s="40"/>
      <c r="D4" s="3"/>
      <c r="E4" s="40" t="s">
        <v>4</v>
      </c>
      <c r="F4" s="40"/>
      <c r="G4" s="40"/>
      <c r="H4" s="40"/>
      <c r="I4" s="40"/>
      <c r="J4" s="40"/>
      <c r="K4" s="40"/>
      <c r="L4" s="40"/>
      <c r="M4" s="5"/>
      <c r="N4" s="5"/>
      <c r="O4" s="5"/>
    </row>
    <row r="5" spans="1:15" ht="15" customHeight="1">
      <c r="A5" s="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32.25" customHeight="1">
      <c r="A6" s="41" t="s">
        <v>5</v>
      </c>
      <c r="B6" s="41"/>
      <c r="C6" s="41"/>
      <c r="D6" s="41"/>
      <c r="E6" s="8"/>
      <c r="F6" s="5"/>
      <c r="G6" s="5"/>
      <c r="H6" s="5"/>
      <c r="I6" s="40"/>
      <c r="J6" s="40"/>
      <c r="K6" s="40"/>
      <c r="L6" s="40"/>
      <c r="M6" s="40"/>
      <c r="N6" s="5"/>
      <c r="O6" s="5"/>
    </row>
    <row r="7" spans="1:15" ht="15" customHeight="1">
      <c r="A7" s="9"/>
      <c r="B7" s="9"/>
      <c r="C7" s="9"/>
      <c r="D7" s="9"/>
      <c r="E7" s="8"/>
      <c r="F7" s="5"/>
      <c r="G7" s="5"/>
      <c r="H7" s="5"/>
      <c r="I7" s="5"/>
      <c r="J7" s="5"/>
      <c r="K7" s="5"/>
      <c r="L7" s="40" t="s">
        <v>6</v>
      </c>
      <c r="M7" s="40"/>
      <c r="N7" s="40"/>
      <c r="O7" s="40"/>
    </row>
    <row r="8" spans="1:15" ht="15" customHeight="1">
      <c r="A8" s="9"/>
      <c r="B8" s="9"/>
      <c r="C8" s="9"/>
      <c r="D8" s="9"/>
      <c r="E8" s="8"/>
      <c r="F8" s="5"/>
      <c r="G8" s="5"/>
      <c r="H8" s="5"/>
      <c r="I8" s="5"/>
      <c r="J8" s="5"/>
      <c r="K8" s="5"/>
      <c r="L8" s="40" t="s">
        <v>7</v>
      </c>
      <c r="M8" s="40"/>
      <c r="N8" s="40"/>
      <c r="O8" s="40"/>
    </row>
    <row r="9" spans="1:15" ht="15" customHeight="1">
      <c r="A9" s="9"/>
      <c r="B9" s="9"/>
      <c r="C9" s="9"/>
      <c r="D9" s="9"/>
      <c r="E9" s="8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6.75" customHeight="1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s="10" customFormat="1" ht="17.25" customHeight="1">
      <c r="A11" s="42" t="s">
        <v>8</v>
      </c>
      <c r="B11" s="42"/>
      <c r="C11" s="43" t="s">
        <v>9</v>
      </c>
      <c r="D11" s="43"/>
      <c r="E11" s="43"/>
      <c r="F11" s="43"/>
      <c r="G11" s="43" t="s">
        <v>10</v>
      </c>
      <c r="H11" s="43"/>
      <c r="I11" s="43"/>
      <c r="J11" s="43"/>
      <c r="K11" s="44" t="s">
        <v>11</v>
      </c>
      <c r="L11" s="44"/>
      <c r="M11" s="44"/>
      <c r="N11" s="43" t="s">
        <v>12</v>
      </c>
      <c r="O11" s="43"/>
    </row>
    <row r="12" spans="1:15" ht="12.75" customHeight="1">
      <c r="A12" s="45" t="s">
        <v>13</v>
      </c>
      <c r="B12" s="46" t="s">
        <v>14</v>
      </c>
      <c r="C12" s="47" t="s">
        <v>15</v>
      </c>
      <c r="D12" s="48" t="s">
        <v>16</v>
      </c>
      <c r="E12" s="48"/>
      <c r="F12" s="47" t="s">
        <v>17</v>
      </c>
      <c r="G12" s="43" t="s">
        <v>15</v>
      </c>
      <c r="H12" s="49" t="s">
        <v>18</v>
      </c>
      <c r="I12" s="43" t="s">
        <v>19</v>
      </c>
      <c r="J12" s="43" t="s">
        <v>20</v>
      </c>
      <c r="K12" s="49" t="s">
        <v>21</v>
      </c>
      <c r="L12" s="49" t="s">
        <v>22</v>
      </c>
      <c r="M12" s="49" t="s">
        <v>23</v>
      </c>
      <c r="N12" s="50" t="s">
        <v>15</v>
      </c>
      <c r="O12" s="11" t="s">
        <v>24</v>
      </c>
    </row>
    <row r="13" spans="1:15" ht="12.75" customHeight="1">
      <c r="A13" s="45"/>
      <c r="B13" s="46"/>
      <c r="C13" s="47"/>
      <c r="D13" s="12" t="s">
        <v>25</v>
      </c>
      <c r="E13" s="13" t="s">
        <v>19</v>
      </c>
      <c r="F13" s="47"/>
      <c r="G13" s="43"/>
      <c r="H13" s="49"/>
      <c r="I13" s="43"/>
      <c r="J13" s="43"/>
      <c r="K13" s="49"/>
      <c r="L13" s="49"/>
      <c r="M13" s="49"/>
      <c r="N13" s="50"/>
      <c r="O13" s="14" t="s">
        <v>26</v>
      </c>
    </row>
    <row r="14" spans="1:15" s="19" customFormat="1" ht="10.5" customHeight="1">
      <c r="A14" s="15">
        <v>1</v>
      </c>
      <c r="B14" s="16">
        <v>2</v>
      </c>
      <c r="C14" s="17">
        <v>3</v>
      </c>
      <c r="D14" s="18">
        <v>4</v>
      </c>
      <c r="E14" s="17">
        <v>5</v>
      </c>
      <c r="F14" s="17">
        <v>6</v>
      </c>
      <c r="G14" s="17">
        <v>7</v>
      </c>
      <c r="H14" s="17">
        <v>8</v>
      </c>
      <c r="I14" s="17">
        <v>9</v>
      </c>
      <c r="J14" s="17">
        <v>10</v>
      </c>
      <c r="K14" s="17">
        <v>11</v>
      </c>
      <c r="L14" s="17">
        <v>12</v>
      </c>
      <c r="M14" s="17">
        <v>13</v>
      </c>
      <c r="N14" s="17">
        <v>14</v>
      </c>
      <c r="O14" s="16">
        <v>15</v>
      </c>
    </row>
    <row r="15" spans="1:15" ht="12.75" customHeight="1">
      <c r="A15" s="20" t="s">
        <v>27</v>
      </c>
      <c r="B15" s="21" t="s">
        <v>28</v>
      </c>
      <c r="C15" s="22">
        <v>4081</v>
      </c>
      <c r="D15" s="22">
        <v>3231</v>
      </c>
      <c r="E15" s="22">
        <v>242</v>
      </c>
      <c r="F15" s="22">
        <f t="shared" ref="F15:F22" si="0">SUM(C15-D15-E15)</f>
        <v>608</v>
      </c>
      <c r="G15" s="22">
        <v>22753</v>
      </c>
      <c r="H15" s="22">
        <v>9838</v>
      </c>
      <c r="I15" s="22">
        <v>2183</v>
      </c>
      <c r="J15" s="22">
        <f t="shared" ref="J15:J22" si="1">SUM(G15-H15-I15)</f>
        <v>10732</v>
      </c>
      <c r="K15" s="22">
        <v>1544</v>
      </c>
      <c r="L15" s="22">
        <v>0</v>
      </c>
      <c r="M15" s="22">
        <v>2959</v>
      </c>
      <c r="N15" s="22">
        <v>860</v>
      </c>
      <c r="O15" s="22">
        <v>860</v>
      </c>
    </row>
    <row r="16" spans="1:15" ht="12.75" customHeight="1">
      <c r="A16" s="20" t="s">
        <v>29</v>
      </c>
      <c r="B16" s="21" t="s">
        <v>30</v>
      </c>
      <c r="C16" s="22">
        <v>2995</v>
      </c>
      <c r="D16" s="22">
        <v>1388</v>
      </c>
      <c r="E16" s="22">
        <v>57</v>
      </c>
      <c r="F16" s="22">
        <f t="shared" si="0"/>
        <v>1550</v>
      </c>
      <c r="G16" s="22">
        <v>23617</v>
      </c>
      <c r="H16" s="22">
        <v>3826</v>
      </c>
      <c r="I16" s="22">
        <v>494</v>
      </c>
      <c r="J16" s="22">
        <f t="shared" si="1"/>
        <v>19297</v>
      </c>
      <c r="K16" s="22">
        <v>1246</v>
      </c>
      <c r="L16" s="22">
        <v>0</v>
      </c>
      <c r="M16" s="22">
        <v>2437</v>
      </c>
      <c r="N16" s="22">
        <v>57</v>
      </c>
      <c r="O16" s="22">
        <v>57</v>
      </c>
    </row>
    <row r="17" spans="1:15" ht="12.75" customHeight="1">
      <c r="A17" s="20" t="s">
        <v>31</v>
      </c>
      <c r="B17" s="21" t="s">
        <v>32</v>
      </c>
      <c r="C17" s="22">
        <v>1650</v>
      </c>
      <c r="D17" s="22">
        <v>1490</v>
      </c>
      <c r="E17" s="22">
        <v>0</v>
      </c>
      <c r="F17" s="22">
        <f t="shared" si="0"/>
        <v>160</v>
      </c>
      <c r="G17" s="22">
        <v>3934</v>
      </c>
      <c r="H17" s="22">
        <v>2902</v>
      </c>
      <c r="I17" s="22">
        <v>0</v>
      </c>
      <c r="J17" s="22">
        <f t="shared" si="1"/>
        <v>1032</v>
      </c>
      <c r="K17" s="22">
        <v>309</v>
      </c>
      <c r="L17" s="22">
        <v>0</v>
      </c>
      <c r="M17" s="22">
        <v>163</v>
      </c>
      <c r="N17" s="22">
        <v>125</v>
      </c>
      <c r="O17" s="22">
        <v>125</v>
      </c>
    </row>
    <row r="18" spans="1:15" ht="12.75" customHeight="1">
      <c r="A18" s="20" t="s">
        <v>33</v>
      </c>
      <c r="B18" s="21" t="s">
        <v>34</v>
      </c>
      <c r="C18" s="22">
        <v>5243</v>
      </c>
      <c r="D18" s="22">
        <v>3613</v>
      </c>
      <c r="E18" s="22">
        <v>42</v>
      </c>
      <c r="F18" s="22">
        <f t="shared" si="0"/>
        <v>1588</v>
      </c>
      <c r="G18" s="22">
        <v>15206</v>
      </c>
      <c r="H18" s="22">
        <v>10505</v>
      </c>
      <c r="I18" s="22">
        <v>262</v>
      </c>
      <c r="J18" s="22">
        <f t="shared" si="1"/>
        <v>4439</v>
      </c>
      <c r="K18" s="22">
        <v>1048</v>
      </c>
      <c r="L18" s="22">
        <v>0</v>
      </c>
      <c r="M18" s="22">
        <v>954</v>
      </c>
      <c r="N18" s="22">
        <v>306</v>
      </c>
      <c r="O18" s="22">
        <v>306</v>
      </c>
    </row>
    <row r="19" spans="1:15" ht="12.75" customHeight="1">
      <c r="A19" s="20" t="s">
        <v>35</v>
      </c>
      <c r="B19" s="21" t="s">
        <v>36</v>
      </c>
      <c r="C19" s="22">
        <v>3397</v>
      </c>
      <c r="D19" s="22">
        <v>3218</v>
      </c>
      <c r="E19" s="22">
        <v>115</v>
      </c>
      <c r="F19" s="22">
        <f t="shared" si="0"/>
        <v>64</v>
      </c>
      <c r="G19" s="22">
        <v>9783</v>
      </c>
      <c r="H19" s="22">
        <v>7877</v>
      </c>
      <c r="I19" s="22">
        <v>630</v>
      </c>
      <c r="J19" s="22">
        <f t="shared" si="1"/>
        <v>1276</v>
      </c>
      <c r="K19" s="22">
        <v>201</v>
      </c>
      <c r="L19" s="22">
        <v>0</v>
      </c>
      <c r="M19" s="22">
        <v>48</v>
      </c>
      <c r="N19" s="22">
        <v>404</v>
      </c>
      <c r="O19" s="22">
        <v>404</v>
      </c>
    </row>
    <row r="20" spans="1:15" ht="12.75" customHeight="1">
      <c r="A20" s="20" t="s">
        <v>37</v>
      </c>
      <c r="B20" s="21" t="s">
        <v>38</v>
      </c>
      <c r="C20" s="22">
        <v>19431</v>
      </c>
      <c r="D20" s="22">
        <v>17836</v>
      </c>
      <c r="E20" s="22">
        <v>387</v>
      </c>
      <c r="F20" s="22">
        <f t="shared" si="0"/>
        <v>1208</v>
      </c>
      <c r="G20" s="22">
        <v>52590</v>
      </c>
      <c r="H20" s="22">
        <v>38369</v>
      </c>
      <c r="I20" s="22">
        <v>2305</v>
      </c>
      <c r="J20" s="22">
        <f t="shared" si="1"/>
        <v>11916</v>
      </c>
      <c r="K20" s="22">
        <v>2282</v>
      </c>
      <c r="L20" s="22">
        <v>22</v>
      </c>
      <c r="M20" s="22">
        <v>2728</v>
      </c>
      <c r="N20" s="22">
        <v>469</v>
      </c>
      <c r="O20" s="22">
        <v>469</v>
      </c>
    </row>
    <row r="21" spans="1:15" ht="12.75" customHeight="1">
      <c r="A21" s="20" t="s">
        <v>39</v>
      </c>
      <c r="B21" s="21" t="s">
        <v>40</v>
      </c>
      <c r="C21" s="22">
        <v>1420</v>
      </c>
      <c r="D21" s="22">
        <v>1411</v>
      </c>
      <c r="E21" s="22">
        <v>0</v>
      </c>
      <c r="F21" s="22">
        <f t="shared" si="0"/>
        <v>9</v>
      </c>
      <c r="G21" s="22">
        <v>2702</v>
      </c>
      <c r="H21" s="22">
        <v>2625</v>
      </c>
      <c r="I21" s="22">
        <v>0</v>
      </c>
      <c r="J21" s="22">
        <f t="shared" si="1"/>
        <v>77</v>
      </c>
      <c r="K21" s="22">
        <v>17</v>
      </c>
      <c r="L21" s="22">
        <v>0</v>
      </c>
      <c r="M21" s="22">
        <v>0</v>
      </c>
      <c r="N21" s="22">
        <v>16</v>
      </c>
      <c r="O21" s="22">
        <v>16</v>
      </c>
    </row>
    <row r="22" spans="1:15" ht="12.75" customHeight="1">
      <c r="A22" s="20" t="s">
        <v>41</v>
      </c>
      <c r="B22" s="21" t="s">
        <v>42</v>
      </c>
      <c r="C22" s="22">
        <v>1540</v>
      </c>
      <c r="D22" s="22">
        <v>1291</v>
      </c>
      <c r="E22" s="22">
        <v>116</v>
      </c>
      <c r="F22" s="22">
        <f t="shared" si="0"/>
        <v>133</v>
      </c>
      <c r="G22" s="22">
        <v>4620</v>
      </c>
      <c r="H22" s="22">
        <v>2926</v>
      </c>
      <c r="I22" s="22">
        <v>588</v>
      </c>
      <c r="J22" s="22">
        <f t="shared" si="1"/>
        <v>1106</v>
      </c>
      <c r="K22" s="22">
        <v>541</v>
      </c>
      <c r="L22" s="22">
        <v>0</v>
      </c>
      <c r="M22" s="22">
        <v>1199</v>
      </c>
      <c r="N22" s="22">
        <v>44</v>
      </c>
      <c r="O22" s="22">
        <v>44</v>
      </c>
    </row>
    <row r="23" spans="1:15" ht="12.75" customHeight="1">
      <c r="A23" s="23"/>
      <c r="B23" s="24" t="s">
        <v>43</v>
      </c>
      <c r="C23" s="25">
        <f t="shared" ref="C23:O23" si="2">SUM(C15:C22)</f>
        <v>39757</v>
      </c>
      <c r="D23" s="25">
        <f t="shared" si="2"/>
        <v>33478</v>
      </c>
      <c r="E23" s="25">
        <f t="shared" si="2"/>
        <v>959</v>
      </c>
      <c r="F23" s="25">
        <f t="shared" si="2"/>
        <v>5320</v>
      </c>
      <c r="G23" s="25">
        <f t="shared" si="2"/>
        <v>135205</v>
      </c>
      <c r="H23" s="25">
        <f t="shared" si="2"/>
        <v>78868</v>
      </c>
      <c r="I23" s="25">
        <f t="shared" si="2"/>
        <v>6462</v>
      </c>
      <c r="J23" s="25">
        <f t="shared" si="2"/>
        <v>49875</v>
      </c>
      <c r="K23" s="25">
        <f t="shared" si="2"/>
        <v>7188</v>
      </c>
      <c r="L23" s="25">
        <f t="shared" si="2"/>
        <v>22</v>
      </c>
      <c r="M23" s="25">
        <f t="shared" si="2"/>
        <v>10488</v>
      </c>
      <c r="N23" s="25">
        <f t="shared" si="2"/>
        <v>2281</v>
      </c>
      <c r="O23" s="25">
        <f t="shared" si="2"/>
        <v>2281</v>
      </c>
    </row>
    <row r="24" spans="1:15" ht="14.25" customHeight="1">
      <c r="A24" s="20" t="s">
        <v>44</v>
      </c>
      <c r="B24" s="21" t="s">
        <v>45</v>
      </c>
      <c r="C24" s="22">
        <v>1432</v>
      </c>
      <c r="D24" s="22">
        <v>1095</v>
      </c>
      <c r="E24" s="22">
        <v>59</v>
      </c>
      <c r="F24" s="22">
        <f>SUM(C24-D24-E24)</f>
        <v>278</v>
      </c>
      <c r="G24" s="22">
        <v>4018</v>
      </c>
      <c r="H24" s="22">
        <v>2050</v>
      </c>
      <c r="I24" s="22">
        <v>239</v>
      </c>
      <c r="J24" s="22">
        <f>SUM(G24-H24-I24)</f>
        <v>1729</v>
      </c>
      <c r="K24" s="22">
        <v>1621</v>
      </c>
      <c r="L24" s="22">
        <v>0</v>
      </c>
      <c r="M24" s="22">
        <v>478</v>
      </c>
      <c r="N24" s="22">
        <v>15</v>
      </c>
      <c r="O24" s="22">
        <v>15</v>
      </c>
    </row>
    <row r="25" spans="1:15" ht="14.25" customHeight="1">
      <c r="A25" s="26"/>
      <c r="B25" s="24" t="s">
        <v>46</v>
      </c>
      <c r="C25" s="25">
        <f t="shared" ref="C25:O25" si="3">SUM(C24)</f>
        <v>1432</v>
      </c>
      <c r="D25" s="25">
        <f t="shared" si="3"/>
        <v>1095</v>
      </c>
      <c r="E25" s="25">
        <f t="shared" si="3"/>
        <v>59</v>
      </c>
      <c r="F25" s="25">
        <f t="shared" si="3"/>
        <v>278</v>
      </c>
      <c r="G25" s="25">
        <f t="shared" si="3"/>
        <v>4018</v>
      </c>
      <c r="H25" s="25">
        <f t="shared" si="3"/>
        <v>2050</v>
      </c>
      <c r="I25" s="25">
        <f t="shared" si="3"/>
        <v>239</v>
      </c>
      <c r="J25" s="25">
        <f t="shared" si="3"/>
        <v>1729</v>
      </c>
      <c r="K25" s="25">
        <f t="shared" si="3"/>
        <v>1621</v>
      </c>
      <c r="L25" s="25">
        <f t="shared" si="3"/>
        <v>0</v>
      </c>
      <c r="M25" s="25">
        <f t="shared" si="3"/>
        <v>478</v>
      </c>
      <c r="N25" s="25">
        <f t="shared" si="3"/>
        <v>15</v>
      </c>
      <c r="O25" s="25">
        <f t="shared" si="3"/>
        <v>15</v>
      </c>
    </row>
    <row r="26" spans="1:15" ht="12.75" customHeight="1">
      <c r="A26" s="20" t="s">
        <v>47</v>
      </c>
      <c r="B26" s="21" t="s">
        <v>48</v>
      </c>
      <c r="C26" s="22">
        <v>8958</v>
      </c>
      <c r="D26" s="22">
        <v>5965</v>
      </c>
      <c r="E26" s="22">
        <v>306</v>
      </c>
      <c r="F26" s="22">
        <f>SUM(C26-D26-E26)</f>
        <v>2687</v>
      </c>
      <c r="G26" s="22">
        <v>25669</v>
      </c>
      <c r="H26" s="22">
        <v>10995</v>
      </c>
      <c r="I26" s="22">
        <v>1254</v>
      </c>
      <c r="J26" s="22">
        <f>SUM(G26-H26-I26)</f>
        <v>13420</v>
      </c>
      <c r="K26" s="22">
        <v>1671</v>
      </c>
      <c r="L26" s="22">
        <v>0</v>
      </c>
      <c r="M26" s="22">
        <v>1308</v>
      </c>
      <c r="N26" s="22">
        <v>254</v>
      </c>
      <c r="O26" s="22">
        <v>254</v>
      </c>
    </row>
    <row r="27" spans="1:15" ht="12.75" customHeight="1">
      <c r="A27" s="20" t="s">
        <v>49</v>
      </c>
      <c r="B27" s="21" t="s">
        <v>50</v>
      </c>
      <c r="C27" s="22">
        <v>2240</v>
      </c>
      <c r="D27" s="22">
        <v>1878</v>
      </c>
      <c r="E27" s="22">
        <v>86</v>
      </c>
      <c r="F27" s="22">
        <f>SUM(C27-D27-E27)</f>
        <v>276</v>
      </c>
      <c r="G27" s="22">
        <v>4785</v>
      </c>
      <c r="H27" s="22">
        <v>3077</v>
      </c>
      <c r="I27" s="22">
        <v>240</v>
      </c>
      <c r="J27" s="22">
        <f>SUM(G27-H27-I27)</f>
        <v>1468</v>
      </c>
      <c r="K27" s="22">
        <v>755</v>
      </c>
      <c r="L27" s="22">
        <v>0</v>
      </c>
      <c r="M27" s="22">
        <v>302</v>
      </c>
      <c r="N27" s="22">
        <v>53</v>
      </c>
      <c r="O27" s="22">
        <v>53</v>
      </c>
    </row>
    <row r="28" spans="1:15" ht="12.75" customHeight="1">
      <c r="A28" s="20" t="s">
        <v>51</v>
      </c>
      <c r="B28" s="21" t="s">
        <v>52</v>
      </c>
      <c r="C28" s="22">
        <v>2117</v>
      </c>
      <c r="D28" s="22">
        <v>1405</v>
      </c>
      <c r="E28" s="22">
        <v>123</v>
      </c>
      <c r="F28" s="22">
        <f>SUM(C28-D28-E28)</f>
        <v>589</v>
      </c>
      <c r="G28" s="22">
        <v>6193</v>
      </c>
      <c r="H28" s="22">
        <v>3372</v>
      </c>
      <c r="I28" s="22">
        <v>832</v>
      </c>
      <c r="J28" s="22">
        <f>SUM(G28-H28-I28)</f>
        <v>1989</v>
      </c>
      <c r="K28" s="22">
        <v>149</v>
      </c>
      <c r="L28" s="22">
        <v>0</v>
      </c>
      <c r="M28" s="22">
        <v>15</v>
      </c>
      <c r="N28" s="22">
        <v>29</v>
      </c>
      <c r="O28" s="22">
        <v>29</v>
      </c>
    </row>
    <row r="29" spans="1:15" ht="12.75" customHeight="1">
      <c r="A29" s="20" t="s">
        <v>53</v>
      </c>
      <c r="B29" s="21" t="s">
        <v>54</v>
      </c>
      <c r="C29" s="22">
        <v>2433</v>
      </c>
      <c r="D29" s="22">
        <v>2230</v>
      </c>
      <c r="E29" s="22">
        <v>171</v>
      </c>
      <c r="F29" s="22">
        <f>SUM(C29-D29-E29)</f>
        <v>32</v>
      </c>
      <c r="G29" s="22">
        <v>6148</v>
      </c>
      <c r="H29" s="22">
        <v>5011</v>
      </c>
      <c r="I29" s="22">
        <v>1009</v>
      </c>
      <c r="J29" s="22">
        <f>SUM(G29-H29-I29)</f>
        <v>128</v>
      </c>
      <c r="K29" s="22">
        <v>26</v>
      </c>
      <c r="L29" s="22">
        <v>0</v>
      </c>
      <c r="M29" s="22">
        <v>0</v>
      </c>
      <c r="N29" s="22">
        <v>56</v>
      </c>
      <c r="O29" s="22">
        <v>56</v>
      </c>
    </row>
    <row r="30" spans="1:15" ht="12.75" customHeight="1">
      <c r="A30" s="23"/>
      <c r="B30" s="24" t="s">
        <v>55</v>
      </c>
      <c r="C30" s="25">
        <f t="shared" ref="C30:O30" si="4">SUM(C26:C29)</f>
        <v>15748</v>
      </c>
      <c r="D30" s="25">
        <f t="shared" si="4"/>
        <v>11478</v>
      </c>
      <c r="E30" s="25">
        <f t="shared" si="4"/>
        <v>686</v>
      </c>
      <c r="F30" s="25">
        <f t="shared" si="4"/>
        <v>3584</v>
      </c>
      <c r="G30" s="25">
        <f t="shared" si="4"/>
        <v>42795</v>
      </c>
      <c r="H30" s="25">
        <f t="shared" si="4"/>
        <v>22455</v>
      </c>
      <c r="I30" s="25">
        <f t="shared" si="4"/>
        <v>3335</v>
      </c>
      <c r="J30" s="25">
        <f t="shared" si="4"/>
        <v>17005</v>
      </c>
      <c r="K30" s="25">
        <f t="shared" si="4"/>
        <v>2601</v>
      </c>
      <c r="L30" s="25">
        <f t="shared" si="4"/>
        <v>0</v>
      </c>
      <c r="M30" s="25">
        <f t="shared" si="4"/>
        <v>1625</v>
      </c>
      <c r="N30" s="25">
        <f t="shared" si="4"/>
        <v>392</v>
      </c>
      <c r="O30" s="25">
        <f t="shared" si="4"/>
        <v>392</v>
      </c>
    </row>
    <row r="31" spans="1:15" ht="12.75" customHeight="1">
      <c r="A31" s="20" t="s">
        <v>56</v>
      </c>
      <c r="B31" s="21" t="s">
        <v>57</v>
      </c>
      <c r="C31" s="22">
        <v>9597</v>
      </c>
      <c r="D31" s="22">
        <v>7943</v>
      </c>
      <c r="E31" s="22">
        <v>134</v>
      </c>
      <c r="F31" s="22">
        <f t="shared" ref="F31:F42" si="5">SUM(C31-D31-E31)</f>
        <v>1520</v>
      </c>
      <c r="G31" s="22">
        <v>30827</v>
      </c>
      <c r="H31" s="22">
        <v>16864</v>
      </c>
      <c r="I31" s="22">
        <v>794</v>
      </c>
      <c r="J31" s="22">
        <f t="shared" ref="J31:J42" si="6">SUM(G31-H31-I31)</f>
        <v>13169</v>
      </c>
      <c r="K31" s="22">
        <v>1189</v>
      </c>
      <c r="L31" s="22">
        <v>0</v>
      </c>
      <c r="M31" s="22">
        <v>645</v>
      </c>
      <c r="N31" s="22">
        <v>116</v>
      </c>
      <c r="O31" s="22">
        <v>116</v>
      </c>
    </row>
    <row r="32" spans="1:15" ht="12.75" customHeight="1">
      <c r="A32" s="20" t="s">
        <v>58</v>
      </c>
      <c r="B32" s="21" t="s">
        <v>59</v>
      </c>
      <c r="C32" s="22">
        <v>14386</v>
      </c>
      <c r="D32" s="22">
        <v>13427</v>
      </c>
      <c r="E32" s="22">
        <v>328</v>
      </c>
      <c r="F32" s="22">
        <f t="shared" si="5"/>
        <v>631</v>
      </c>
      <c r="G32" s="22">
        <v>52655</v>
      </c>
      <c r="H32" s="22">
        <v>34578</v>
      </c>
      <c r="I32" s="22">
        <v>2242</v>
      </c>
      <c r="J32" s="22">
        <f t="shared" si="6"/>
        <v>15835</v>
      </c>
      <c r="K32" s="22">
        <v>2479</v>
      </c>
      <c r="L32" s="22">
        <v>0</v>
      </c>
      <c r="M32" s="22">
        <v>4298</v>
      </c>
      <c r="N32" s="22">
        <v>383</v>
      </c>
      <c r="O32" s="22">
        <v>383</v>
      </c>
    </row>
    <row r="33" spans="1:256" ht="12.75" customHeight="1">
      <c r="A33" s="20" t="s">
        <v>60</v>
      </c>
      <c r="B33" s="21" t="s">
        <v>61</v>
      </c>
      <c r="C33" s="22">
        <v>6563</v>
      </c>
      <c r="D33" s="22">
        <v>5387</v>
      </c>
      <c r="E33" s="22">
        <v>115</v>
      </c>
      <c r="F33" s="22">
        <f t="shared" si="5"/>
        <v>1061</v>
      </c>
      <c r="G33" s="22">
        <v>24259</v>
      </c>
      <c r="H33" s="22">
        <v>7239</v>
      </c>
      <c r="I33" s="22">
        <v>399</v>
      </c>
      <c r="J33" s="22">
        <f t="shared" si="6"/>
        <v>16621</v>
      </c>
      <c r="K33" s="22">
        <v>3489</v>
      </c>
      <c r="L33" s="22">
        <v>0</v>
      </c>
      <c r="M33" s="22">
        <v>2262</v>
      </c>
      <c r="N33" s="22">
        <v>202</v>
      </c>
      <c r="O33" s="22">
        <v>202</v>
      </c>
    </row>
    <row r="34" spans="1:256" ht="12.75" customHeight="1">
      <c r="A34" s="20" t="s">
        <v>62</v>
      </c>
      <c r="B34" s="21" t="s">
        <v>63</v>
      </c>
      <c r="C34" s="22">
        <v>9003</v>
      </c>
      <c r="D34" s="22">
        <v>2307</v>
      </c>
      <c r="E34" s="22">
        <v>22</v>
      </c>
      <c r="F34" s="22">
        <f t="shared" si="5"/>
        <v>6674</v>
      </c>
      <c r="G34" s="22">
        <v>24042</v>
      </c>
      <c r="H34" s="22">
        <v>6197</v>
      </c>
      <c r="I34" s="22">
        <v>139</v>
      </c>
      <c r="J34" s="22">
        <f t="shared" si="6"/>
        <v>17706</v>
      </c>
      <c r="K34" s="22">
        <v>385</v>
      </c>
      <c r="L34" s="22">
        <v>0</v>
      </c>
      <c r="M34" s="22">
        <v>1359</v>
      </c>
      <c r="N34" s="22">
        <v>2</v>
      </c>
      <c r="O34" s="22">
        <v>2</v>
      </c>
    </row>
    <row r="35" spans="1:256" ht="12.75" customHeight="1">
      <c r="A35" s="20" t="s">
        <v>64</v>
      </c>
      <c r="B35" s="21" t="s">
        <v>65</v>
      </c>
      <c r="C35" s="22">
        <v>3282</v>
      </c>
      <c r="D35" s="22">
        <v>3248</v>
      </c>
      <c r="E35" s="22">
        <v>0</v>
      </c>
      <c r="F35" s="22">
        <f t="shared" si="5"/>
        <v>34</v>
      </c>
      <c r="G35" s="22">
        <v>6419</v>
      </c>
      <c r="H35" s="22">
        <v>5682</v>
      </c>
      <c r="I35" s="22">
        <v>0</v>
      </c>
      <c r="J35" s="22">
        <f t="shared" si="6"/>
        <v>737</v>
      </c>
      <c r="K35" s="22">
        <v>212</v>
      </c>
      <c r="L35" s="22">
        <v>0</v>
      </c>
      <c r="M35" s="22">
        <v>34</v>
      </c>
      <c r="N35" s="22">
        <v>350</v>
      </c>
      <c r="O35" s="22">
        <v>350</v>
      </c>
    </row>
    <row r="36" spans="1:256" ht="12.75" customHeight="1">
      <c r="A36" s="20" t="s">
        <v>66</v>
      </c>
      <c r="B36" s="21" t="s">
        <v>67</v>
      </c>
      <c r="C36" s="22">
        <v>1774</v>
      </c>
      <c r="D36" s="22">
        <v>1563</v>
      </c>
      <c r="E36" s="22">
        <v>113</v>
      </c>
      <c r="F36" s="22">
        <f t="shared" si="5"/>
        <v>98</v>
      </c>
      <c r="G36" s="22">
        <v>5888</v>
      </c>
      <c r="H36" s="22">
        <v>4126</v>
      </c>
      <c r="I36" s="22">
        <v>873</v>
      </c>
      <c r="J36" s="22">
        <f t="shared" si="6"/>
        <v>889</v>
      </c>
      <c r="K36" s="22">
        <v>72</v>
      </c>
      <c r="L36" s="22">
        <v>0</v>
      </c>
      <c r="M36" s="22">
        <v>563</v>
      </c>
      <c r="N36" s="22">
        <v>5</v>
      </c>
      <c r="O36" s="22">
        <v>5</v>
      </c>
    </row>
    <row r="37" spans="1:256" ht="12.75" customHeight="1">
      <c r="A37" s="20" t="s">
        <v>68</v>
      </c>
      <c r="B37" s="21" t="s">
        <v>69</v>
      </c>
      <c r="C37" s="22">
        <v>3142</v>
      </c>
      <c r="D37" s="22">
        <v>2736</v>
      </c>
      <c r="E37" s="22">
        <v>0</v>
      </c>
      <c r="F37" s="22">
        <f t="shared" si="5"/>
        <v>406</v>
      </c>
      <c r="G37" s="22">
        <v>11227</v>
      </c>
      <c r="H37" s="22">
        <v>7988</v>
      </c>
      <c r="I37" s="22">
        <v>0</v>
      </c>
      <c r="J37" s="22">
        <f t="shared" si="6"/>
        <v>3239</v>
      </c>
      <c r="K37" s="22">
        <v>105</v>
      </c>
      <c r="L37" s="22">
        <v>0</v>
      </c>
      <c r="M37" s="22">
        <v>553</v>
      </c>
      <c r="N37" s="22">
        <v>167</v>
      </c>
      <c r="O37" s="22">
        <v>167</v>
      </c>
    </row>
    <row r="38" spans="1:256" ht="12.75" customHeight="1">
      <c r="A38" s="20" t="s">
        <v>70</v>
      </c>
      <c r="B38" s="21" t="s">
        <v>71</v>
      </c>
      <c r="C38" s="22">
        <v>50260</v>
      </c>
      <c r="D38" s="22">
        <v>36144</v>
      </c>
      <c r="E38" s="22">
        <v>1200</v>
      </c>
      <c r="F38" s="22">
        <f t="shared" si="5"/>
        <v>12916</v>
      </c>
      <c r="G38" s="22">
        <v>118127</v>
      </c>
      <c r="H38" s="22">
        <v>64791</v>
      </c>
      <c r="I38" s="22">
        <v>5626</v>
      </c>
      <c r="J38" s="22">
        <f t="shared" si="6"/>
        <v>47710</v>
      </c>
      <c r="K38" s="22">
        <v>7693</v>
      </c>
      <c r="L38" s="22">
        <v>0</v>
      </c>
      <c r="M38" s="22">
        <v>3265</v>
      </c>
      <c r="N38" s="22">
        <v>42632</v>
      </c>
      <c r="O38" s="22">
        <v>5765</v>
      </c>
    </row>
    <row r="39" spans="1:256" ht="12.75" customHeight="1">
      <c r="A39" s="20" t="s">
        <v>72</v>
      </c>
      <c r="B39" s="21" t="s">
        <v>73</v>
      </c>
      <c r="C39" s="22">
        <v>7570</v>
      </c>
      <c r="D39" s="22">
        <v>7115</v>
      </c>
      <c r="E39" s="22">
        <v>186</v>
      </c>
      <c r="F39" s="22">
        <f t="shared" si="5"/>
        <v>269</v>
      </c>
      <c r="G39" s="22">
        <v>14140</v>
      </c>
      <c r="H39" s="22">
        <v>11527</v>
      </c>
      <c r="I39" s="22">
        <v>1135</v>
      </c>
      <c r="J39" s="22">
        <f t="shared" si="6"/>
        <v>1478</v>
      </c>
      <c r="K39" s="22">
        <v>1159</v>
      </c>
      <c r="L39" s="22">
        <v>0</v>
      </c>
      <c r="M39" s="22">
        <v>13</v>
      </c>
      <c r="N39" s="22">
        <v>0</v>
      </c>
      <c r="O39" s="22">
        <v>0</v>
      </c>
    </row>
    <row r="40" spans="1:256" ht="12.75" customHeight="1">
      <c r="A40" s="20" t="s">
        <v>74</v>
      </c>
      <c r="B40" s="21" t="s">
        <v>75</v>
      </c>
      <c r="C40" s="22">
        <v>4821</v>
      </c>
      <c r="D40" s="22">
        <v>4207</v>
      </c>
      <c r="E40" s="22">
        <v>142</v>
      </c>
      <c r="F40" s="22">
        <f t="shared" si="5"/>
        <v>472</v>
      </c>
      <c r="G40" s="22">
        <v>14155</v>
      </c>
      <c r="H40" s="22">
        <v>8949</v>
      </c>
      <c r="I40" s="22">
        <v>837</v>
      </c>
      <c r="J40" s="22">
        <f t="shared" si="6"/>
        <v>4369</v>
      </c>
      <c r="K40" s="22">
        <v>639</v>
      </c>
      <c r="L40" s="22">
        <v>0</v>
      </c>
      <c r="M40" s="22">
        <v>3756</v>
      </c>
      <c r="N40" s="22">
        <v>37</v>
      </c>
      <c r="O40" s="22">
        <v>37</v>
      </c>
    </row>
    <row r="41" spans="1:256" ht="12.75" customHeight="1">
      <c r="A41" s="20" t="s">
        <v>76</v>
      </c>
      <c r="B41" s="21" t="s">
        <v>77</v>
      </c>
      <c r="C41" s="22">
        <v>1300</v>
      </c>
      <c r="D41" s="22">
        <v>1097</v>
      </c>
      <c r="E41" s="22">
        <v>0</v>
      </c>
      <c r="F41" s="22">
        <f t="shared" si="5"/>
        <v>203</v>
      </c>
      <c r="G41" s="22">
        <v>6382</v>
      </c>
      <c r="H41" s="22">
        <v>3823</v>
      </c>
      <c r="I41" s="22">
        <v>0</v>
      </c>
      <c r="J41" s="22">
        <f t="shared" si="6"/>
        <v>2559</v>
      </c>
      <c r="K41" s="22">
        <v>838</v>
      </c>
      <c r="L41" s="22">
        <v>0</v>
      </c>
      <c r="M41" s="22">
        <v>149</v>
      </c>
      <c r="N41" s="22">
        <v>309</v>
      </c>
      <c r="O41" s="22">
        <v>309</v>
      </c>
    </row>
    <row r="42" spans="1:256" ht="12.75" customHeight="1">
      <c r="A42" s="20" t="s">
        <v>78</v>
      </c>
      <c r="B42" s="21" t="s">
        <v>79</v>
      </c>
      <c r="C42" s="22">
        <v>10095</v>
      </c>
      <c r="D42" s="22">
        <v>8765</v>
      </c>
      <c r="E42" s="22">
        <v>214</v>
      </c>
      <c r="F42" s="22">
        <f t="shared" si="5"/>
        <v>1116</v>
      </c>
      <c r="G42" s="22">
        <v>18261</v>
      </c>
      <c r="H42" s="22">
        <v>14199</v>
      </c>
      <c r="I42" s="22">
        <v>610</v>
      </c>
      <c r="J42" s="22">
        <f t="shared" si="6"/>
        <v>3452</v>
      </c>
      <c r="K42" s="22">
        <v>947</v>
      </c>
      <c r="L42" s="22">
        <v>0</v>
      </c>
      <c r="M42" s="22">
        <v>74</v>
      </c>
      <c r="N42" s="22">
        <v>88</v>
      </c>
      <c r="O42" s="22">
        <v>88</v>
      </c>
    </row>
    <row r="43" spans="1:256" ht="12.75" customHeight="1">
      <c r="A43" s="23"/>
      <c r="B43" s="24" t="s">
        <v>80</v>
      </c>
      <c r="C43" s="25">
        <f t="shared" ref="C43:O43" si="7">SUM(C31:C42)</f>
        <v>121793</v>
      </c>
      <c r="D43" s="25">
        <f t="shared" si="7"/>
        <v>93939</v>
      </c>
      <c r="E43" s="25">
        <f t="shared" si="7"/>
        <v>2454</v>
      </c>
      <c r="F43" s="25">
        <f t="shared" si="7"/>
        <v>25400</v>
      </c>
      <c r="G43" s="25">
        <f t="shared" si="7"/>
        <v>326382</v>
      </c>
      <c r="H43" s="25">
        <f t="shared" si="7"/>
        <v>185963</v>
      </c>
      <c r="I43" s="25">
        <f t="shared" si="7"/>
        <v>12655</v>
      </c>
      <c r="J43" s="25">
        <f t="shared" si="7"/>
        <v>127764</v>
      </c>
      <c r="K43" s="25">
        <f t="shared" si="7"/>
        <v>19207</v>
      </c>
      <c r="L43" s="25">
        <f t="shared" si="7"/>
        <v>0</v>
      </c>
      <c r="M43" s="25">
        <f t="shared" si="7"/>
        <v>16971</v>
      </c>
      <c r="N43" s="25">
        <f t="shared" si="7"/>
        <v>44291</v>
      </c>
      <c r="O43" s="25">
        <f t="shared" si="7"/>
        <v>7424</v>
      </c>
    </row>
    <row r="44" spans="1:256" ht="12.75" customHeight="1">
      <c r="A44" s="20" t="s">
        <v>81</v>
      </c>
      <c r="B44" s="21" t="s">
        <v>82</v>
      </c>
      <c r="C44" s="22">
        <v>3376</v>
      </c>
      <c r="D44" s="22">
        <v>2960</v>
      </c>
      <c r="E44" s="22">
        <v>62</v>
      </c>
      <c r="F44" s="22">
        <f>SUM(C44-D44-E44)</f>
        <v>354</v>
      </c>
      <c r="G44" s="22">
        <v>14848</v>
      </c>
      <c r="H44" s="22">
        <v>8381</v>
      </c>
      <c r="I44" s="22">
        <v>286</v>
      </c>
      <c r="J44" s="22">
        <f>SUM(G44-H44-I44)</f>
        <v>6181</v>
      </c>
      <c r="K44" s="22">
        <v>1426</v>
      </c>
      <c r="L44" s="22">
        <v>0</v>
      </c>
      <c r="M44" s="22">
        <v>249</v>
      </c>
      <c r="N44" s="22">
        <v>171</v>
      </c>
      <c r="O44" s="22">
        <v>171</v>
      </c>
    </row>
    <row r="45" spans="1:256" ht="12.75" customHeight="1">
      <c r="A45" s="20" t="s">
        <v>83</v>
      </c>
      <c r="B45" s="21" t="s">
        <v>84</v>
      </c>
      <c r="C45" s="22">
        <v>4840</v>
      </c>
      <c r="D45" s="22">
        <v>3620</v>
      </c>
      <c r="E45" s="22">
        <v>96</v>
      </c>
      <c r="F45" s="22">
        <f>SUM(C45-D45-E45)</f>
        <v>1124</v>
      </c>
      <c r="G45" s="22">
        <v>24182</v>
      </c>
      <c r="H45" s="22">
        <v>9239</v>
      </c>
      <c r="I45" s="22">
        <v>577</v>
      </c>
      <c r="J45" s="22">
        <f>SUM(G45-H45-I45)</f>
        <v>14366</v>
      </c>
      <c r="K45" s="22">
        <v>9287</v>
      </c>
      <c r="L45" s="22">
        <v>0</v>
      </c>
      <c r="M45" s="22">
        <v>2209</v>
      </c>
      <c r="N45" s="22">
        <v>0</v>
      </c>
      <c r="O45" s="22">
        <v>0</v>
      </c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</row>
    <row r="46" spans="1:256" ht="12.75" customHeight="1">
      <c r="A46" s="23"/>
      <c r="B46" s="24" t="s">
        <v>85</v>
      </c>
      <c r="C46" s="25">
        <f t="shared" ref="C46:O46" si="8">SUM(C44:C45)</f>
        <v>8216</v>
      </c>
      <c r="D46" s="25">
        <f t="shared" si="8"/>
        <v>6580</v>
      </c>
      <c r="E46" s="25">
        <f t="shared" si="8"/>
        <v>158</v>
      </c>
      <c r="F46" s="25">
        <f t="shared" si="8"/>
        <v>1478</v>
      </c>
      <c r="G46" s="25">
        <f t="shared" si="8"/>
        <v>39030</v>
      </c>
      <c r="H46" s="25">
        <f t="shared" si="8"/>
        <v>17620</v>
      </c>
      <c r="I46" s="25">
        <f t="shared" si="8"/>
        <v>863</v>
      </c>
      <c r="J46" s="25">
        <f t="shared" si="8"/>
        <v>20547</v>
      </c>
      <c r="K46" s="25">
        <f t="shared" si="8"/>
        <v>10713</v>
      </c>
      <c r="L46" s="25">
        <f t="shared" si="8"/>
        <v>0</v>
      </c>
      <c r="M46" s="25">
        <f t="shared" si="8"/>
        <v>2458</v>
      </c>
      <c r="N46" s="25">
        <f t="shared" si="8"/>
        <v>171</v>
      </c>
      <c r="O46" s="25">
        <f t="shared" si="8"/>
        <v>171</v>
      </c>
    </row>
    <row r="47" spans="1:256" ht="12.75" customHeight="1">
      <c r="A47" s="20" t="s">
        <v>86</v>
      </c>
      <c r="B47" s="21" t="s">
        <v>87</v>
      </c>
      <c r="C47" s="22">
        <v>989</v>
      </c>
      <c r="D47" s="22">
        <v>832</v>
      </c>
      <c r="E47" s="22">
        <v>0</v>
      </c>
      <c r="F47" s="22">
        <f>SUM(C47-D47-E47)</f>
        <v>157</v>
      </c>
      <c r="G47" s="22">
        <v>1113</v>
      </c>
      <c r="H47" s="22">
        <v>827</v>
      </c>
      <c r="I47" s="22">
        <v>0</v>
      </c>
      <c r="J47" s="22">
        <f>SUM(G47-H47-I47)</f>
        <v>286</v>
      </c>
      <c r="K47" s="22">
        <v>0</v>
      </c>
      <c r="L47" s="22">
        <v>0</v>
      </c>
      <c r="M47" s="22">
        <v>21</v>
      </c>
      <c r="N47" s="22">
        <v>0</v>
      </c>
      <c r="O47" s="22">
        <v>0</v>
      </c>
    </row>
    <row r="48" spans="1:256" ht="12.75" customHeight="1">
      <c r="A48" s="20" t="s">
        <v>88</v>
      </c>
      <c r="B48" s="21" t="s">
        <v>89</v>
      </c>
      <c r="C48" s="22">
        <v>2963</v>
      </c>
      <c r="D48" s="22">
        <v>2320</v>
      </c>
      <c r="E48" s="22">
        <v>2</v>
      </c>
      <c r="F48" s="22">
        <f>SUM(C48-D48-E48)</f>
        <v>641</v>
      </c>
      <c r="G48" s="22">
        <v>5966</v>
      </c>
      <c r="H48" s="22">
        <v>4552</v>
      </c>
      <c r="I48" s="22">
        <v>5</v>
      </c>
      <c r="J48" s="22">
        <f>SUM(G48-H48-I48)</f>
        <v>1409</v>
      </c>
      <c r="K48" s="22">
        <v>47</v>
      </c>
      <c r="L48" s="22">
        <v>0</v>
      </c>
      <c r="M48" s="22">
        <v>174</v>
      </c>
      <c r="N48" s="22">
        <v>56</v>
      </c>
      <c r="O48" s="22">
        <v>56</v>
      </c>
    </row>
    <row r="49" spans="1:15" ht="12.75" customHeight="1">
      <c r="A49" s="20" t="s">
        <v>90</v>
      </c>
      <c r="B49" s="21" t="s">
        <v>91</v>
      </c>
      <c r="C49" s="22">
        <v>939</v>
      </c>
      <c r="D49" s="22">
        <v>880</v>
      </c>
      <c r="E49" s="22">
        <v>18</v>
      </c>
      <c r="F49" s="22">
        <f>SUM(C49-D49-E49)</f>
        <v>41</v>
      </c>
      <c r="G49" s="22">
        <v>2900</v>
      </c>
      <c r="H49" s="22">
        <v>1105</v>
      </c>
      <c r="I49" s="22">
        <v>47</v>
      </c>
      <c r="J49" s="22">
        <f>SUM(G49-H49-I49)</f>
        <v>1748</v>
      </c>
      <c r="K49" s="22">
        <v>175</v>
      </c>
      <c r="L49" s="22">
        <v>103</v>
      </c>
      <c r="M49" s="22">
        <v>0</v>
      </c>
      <c r="N49" s="22">
        <v>0</v>
      </c>
      <c r="O49" s="22">
        <v>0</v>
      </c>
    </row>
    <row r="50" spans="1:15" ht="12.75" customHeight="1">
      <c r="A50" s="20" t="s">
        <v>92</v>
      </c>
      <c r="B50" s="21" t="s">
        <v>93</v>
      </c>
      <c r="C50" s="22">
        <v>8900</v>
      </c>
      <c r="D50" s="22">
        <v>8575</v>
      </c>
      <c r="E50" s="22">
        <v>48</v>
      </c>
      <c r="F50" s="22">
        <f>SUM(C50-D50-E50)</f>
        <v>277</v>
      </c>
      <c r="G50" s="22">
        <v>22463</v>
      </c>
      <c r="H50" s="22">
        <v>15781</v>
      </c>
      <c r="I50" s="22">
        <v>253</v>
      </c>
      <c r="J50" s="22">
        <f>SUM(G50-H50-I50)</f>
        <v>6429</v>
      </c>
      <c r="K50" s="22">
        <v>3752</v>
      </c>
      <c r="L50" s="22">
        <v>0</v>
      </c>
      <c r="M50" s="22">
        <v>1027</v>
      </c>
      <c r="N50" s="22">
        <v>767</v>
      </c>
      <c r="O50" s="22">
        <v>767</v>
      </c>
    </row>
    <row r="51" spans="1:15" ht="12.75" customHeight="1">
      <c r="A51" s="23"/>
      <c r="B51" s="24" t="s">
        <v>94</v>
      </c>
      <c r="C51" s="25">
        <f t="shared" ref="C51:O51" si="9">SUM(C47:C50)</f>
        <v>13791</v>
      </c>
      <c r="D51" s="25">
        <f t="shared" si="9"/>
        <v>12607</v>
      </c>
      <c r="E51" s="25">
        <f t="shared" si="9"/>
        <v>68</v>
      </c>
      <c r="F51" s="25">
        <f t="shared" si="9"/>
        <v>1116</v>
      </c>
      <c r="G51" s="25">
        <f t="shared" si="9"/>
        <v>32442</v>
      </c>
      <c r="H51" s="25">
        <f t="shared" si="9"/>
        <v>22265</v>
      </c>
      <c r="I51" s="25">
        <f t="shared" si="9"/>
        <v>305</v>
      </c>
      <c r="J51" s="25">
        <f t="shared" si="9"/>
        <v>9872</v>
      </c>
      <c r="K51" s="25">
        <f t="shared" si="9"/>
        <v>3974</v>
      </c>
      <c r="L51" s="25">
        <f t="shared" si="9"/>
        <v>103</v>
      </c>
      <c r="M51" s="25">
        <f t="shared" si="9"/>
        <v>1222</v>
      </c>
      <c r="N51" s="25">
        <f t="shared" si="9"/>
        <v>823</v>
      </c>
      <c r="O51" s="25">
        <f t="shared" si="9"/>
        <v>823</v>
      </c>
    </row>
    <row r="52" spans="1:15" ht="12.75" customHeight="1">
      <c r="A52" s="20" t="s">
        <v>95</v>
      </c>
      <c r="B52" s="21" t="s">
        <v>96</v>
      </c>
      <c r="C52" s="22">
        <v>1443</v>
      </c>
      <c r="D52" s="22">
        <v>1033</v>
      </c>
      <c r="E52" s="22">
        <v>4</v>
      </c>
      <c r="F52" s="22">
        <f t="shared" ref="F52:F58" si="10">SUM(C52-D52-E52)</f>
        <v>406</v>
      </c>
      <c r="G52" s="22">
        <v>5699</v>
      </c>
      <c r="H52" s="22">
        <v>2679</v>
      </c>
      <c r="I52" s="22">
        <v>24</v>
      </c>
      <c r="J52" s="22">
        <f t="shared" ref="J52:J58" si="11">SUM(G52-H52-I52)</f>
        <v>2996</v>
      </c>
      <c r="K52" s="22">
        <v>2812</v>
      </c>
      <c r="L52" s="22">
        <v>0</v>
      </c>
      <c r="M52" s="22">
        <v>101</v>
      </c>
      <c r="N52" s="22">
        <v>58</v>
      </c>
      <c r="O52" s="22">
        <v>58</v>
      </c>
    </row>
    <row r="53" spans="1:15" ht="12.75" customHeight="1">
      <c r="A53" s="20" t="s">
        <v>97</v>
      </c>
      <c r="B53" s="21" t="s">
        <v>98</v>
      </c>
      <c r="C53" s="22">
        <v>7896</v>
      </c>
      <c r="D53" s="22">
        <v>5797</v>
      </c>
      <c r="E53" s="22">
        <v>105</v>
      </c>
      <c r="F53" s="22">
        <f t="shared" si="10"/>
        <v>1994</v>
      </c>
      <c r="G53" s="22">
        <v>27357</v>
      </c>
      <c r="H53" s="22">
        <v>16632</v>
      </c>
      <c r="I53" s="22">
        <v>800</v>
      </c>
      <c r="J53" s="22">
        <f t="shared" si="11"/>
        <v>9925</v>
      </c>
      <c r="K53" s="22">
        <v>912</v>
      </c>
      <c r="L53" s="22">
        <v>24</v>
      </c>
      <c r="M53" s="22">
        <v>1398</v>
      </c>
      <c r="N53" s="22">
        <v>245</v>
      </c>
      <c r="O53" s="22">
        <v>245</v>
      </c>
    </row>
    <row r="54" spans="1:15" ht="12.75" customHeight="1">
      <c r="A54" s="20" t="s">
        <v>99</v>
      </c>
      <c r="B54" s="21" t="s">
        <v>100</v>
      </c>
      <c r="C54" s="22">
        <v>1451</v>
      </c>
      <c r="D54" s="22">
        <v>797</v>
      </c>
      <c r="E54" s="22">
        <v>25</v>
      </c>
      <c r="F54" s="22">
        <f t="shared" si="10"/>
        <v>629</v>
      </c>
      <c r="G54" s="22">
        <v>5434</v>
      </c>
      <c r="H54" s="22">
        <v>2943</v>
      </c>
      <c r="I54" s="22">
        <v>277</v>
      </c>
      <c r="J54" s="22">
        <f t="shared" si="11"/>
        <v>2214</v>
      </c>
      <c r="K54" s="22">
        <v>112</v>
      </c>
      <c r="L54" s="22">
        <v>0</v>
      </c>
      <c r="M54" s="22">
        <v>599</v>
      </c>
      <c r="N54" s="22">
        <v>0</v>
      </c>
      <c r="O54" s="22">
        <v>0</v>
      </c>
    </row>
    <row r="55" spans="1:15" ht="12.75" customHeight="1">
      <c r="A55" s="20" t="s">
        <v>101</v>
      </c>
      <c r="B55" s="21" t="s">
        <v>102</v>
      </c>
      <c r="C55" s="22">
        <v>6190</v>
      </c>
      <c r="D55" s="22">
        <v>4189</v>
      </c>
      <c r="E55" s="22">
        <v>74</v>
      </c>
      <c r="F55" s="22">
        <f t="shared" si="10"/>
        <v>1927</v>
      </c>
      <c r="G55" s="22">
        <v>23342</v>
      </c>
      <c r="H55" s="22">
        <v>11304</v>
      </c>
      <c r="I55" s="22">
        <v>305</v>
      </c>
      <c r="J55" s="22">
        <f t="shared" si="11"/>
        <v>11733</v>
      </c>
      <c r="K55" s="22">
        <v>3118</v>
      </c>
      <c r="L55" s="22">
        <v>0</v>
      </c>
      <c r="M55" s="22">
        <v>1268</v>
      </c>
      <c r="N55" s="22">
        <v>1654</v>
      </c>
      <c r="O55" s="22">
        <v>1654</v>
      </c>
    </row>
    <row r="56" spans="1:15" ht="12.75" customHeight="1">
      <c r="A56" s="20" t="s">
        <v>103</v>
      </c>
      <c r="B56" s="21" t="s">
        <v>104</v>
      </c>
      <c r="C56" s="22">
        <v>7057</v>
      </c>
      <c r="D56" s="22">
        <v>3675</v>
      </c>
      <c r="E56" s="22">
        <v>253</v>
      </c>
      <c r="F56" s="22">
        <f t="shared" si="10"/>
        <v>3129</v>
      </c>
      <c r="G56" s="22">
        <v>28633</v>
      </c>
      <c r="H56" s="22">
        <v>9421</v>
      </c>
      <c r="I56" s="22">
        <v>1681</v>
      </c>
      <c r="J56" s="22">
        <f t="shared" si="11"/>
        <v>17531</v>
      </c>
      <c r="K56" s="22">
        <v>1757</v>
      </c>
      <c r="L56" s="22">
        <v>40</v>
      </c>
      <c r="M56" s="22">
        <v>2885</v>
      </c>
      <c r="N56" s="22">
        <v>6610</v>
      </c>
      <c r="O56" s="22">
        <v>54</v>
      </c>
    </row>
    <row r="57" spans="1:15" ht="12.75" customHeight="1">
      <c r="A57" s="20" t="s">
        <v>105</v>
      </c>
      <c r="B57" s="21" t="s">
        <v>106</v>
      </c>
      <c r="C57" s="22">
        <v>7662</v>
      </c>
      <c r="D57" s="22">
        <v>4337</v>
      </c>
      <c r="E57" s="22">
        <v>229</v>
      </c>
      <c r="F57" s="22">
        <f t="shared" si="10"/>
        <v>3096</v>
      </c>
      <c r="G57" s="22">
        <v>34722</v>
      </c>
      <c r="H57" s="22">
        <v>14896</v>
      </c>
      <c r="I57" s="22">
        <v>1598</v>
      </c>
      <c r="J57" s="22">
        <f t="shared" si="11"/>
        <v>18228</v>
      </c>
      <c r="K57" s="22">
        <v>797</v>
      </c>
      <c r="L57" s="22">
        <v>0</v>
      </c>
      <c r="M57" s="22">
        <v>2195</v>
      </c>
      <c r="N57" s="22">
        <v>13</v>
      </c>
      <c r="O57" s="22">
        <v>13</v>
      </c>
    </row>
    <row r="58" spans="1:15" ht="12.75" customHeight="1">
      <c r="A58" s="20" t="s">
        <v>107</v>
      </c>
      <c r="B58" s="21" t="s">
        <v>108</v>
      </c>
      <c r="C58" s="22">
        <v>8473</v>
      </c>
      <c r="D58" s="22">
        <v>4784</v>
      </c>
      <c r="E58" s="22">
        <v>88</v>
      </c>
      <c r="F58" s="22">
        <f t="shared" si="10"/>
        <v>3601</v>
      </c>
      <c r="G58" s="22">
        <v>31082</v>
      </c>
      <c r="H58" s="22">
        <v>12924</v>
      </c>
      <c r="I58" s="22">
        <v>579</v>
      </c>
      <c r="J58" s="22">
        <f t="shared" si="11"/>
        <v>17579</v>
      </c>
      <c r="K58" s="22">
        <v>1729</v>
      </c>
      <c r="L58" s="22">
        <v>16</v>
      </c>
      <c r="M58" s="22">
        <v>1069</v>
      </c>
      <c r="N58" s="22">
        <v>3008</v>
      </c>
      <c r="O58" s="22">
        <v>3008</v>
      </c>
    </row>
    <row r="59" spans="1:15" ht="12.75" customHeight="1">
      <c r="A59" s="23"/>
      <c r="B59" s="24" t="s">
        <v>109</v>
      </c>
      <c r="C59" s="25">
        <f t="shared" ref="C59:O59" si="12">SUM(C52:C58)</f>
        <v>40172</v>
      </c>
      <c r="D59" s="25">
        <f t="shared" si="12"/>
        <v>24612</v>
      </c>
      <c r="E59" s="25">
        <f t="shared" si="12"/>
        <v>778</v>
      </c>
      <c r="F59" s="25">
        <f t="shared" si="12"/>
        <v>14782</v>
      </c>
      <c r="G59" s="25">
        <f t="shared" si="12"/>
        <v>156269</v>
      </c>
      <c r="H59" s="25">
        <f t="shared" si="12"/>
        <v>70799</v>
      </c>
      <c r="I59" s="25">
        <f t="shared" si="12"/>
        <v>5264</v>
      </c>
      <c r="J59" s="25">
        <f t="shared" si="12"/>
        <v>80206</v>
      </c>
      <c r="K59" s="25">
        <f t="shared" si="12"/>
        <v>11237</v>
      </c>
      <c r="L59" s="25">
        <f t="shared" si="12"/>
        <v>80</v>
      </c>
      <c r="M59" s="25">
        <f t="shared" si="12"/>
        <v>9515</v>
      </c>
      <c r="N59" s="25">
        <f t="shared" si="12"/>
        <v>11588</v>
      </c>
      <c r="O59" s="25">
        <f t="shared" si="12"/>
        <v>5032</v>
      </c>
    </row>
    <row r="60" spans="1:15" ht="12.75" customHeight="1">
      <c r="A60" s="20" t="s">
        <v>110</v>
      </c>
      <c r="B60" s="21" t="s">
        <v>111</v>
      </c>
      <c r="C60" s="22">
        <v>8780</v>
      </c>
      <c r="D60" s="22">
        <v>6380</v>
      </c>
      <c r="E60" s="22">
        <v>453</v>
      </c>
      <c r="F60" s="22">
        <f t="shared" ref="F60:F68" si="13">SUM(C60-D60-E60)</f>
        <v>1947</v>
      </c>
      <c r="G60" s="22">
        <v>30720</v>
      </c>
      <c r="H60" s="22">
        <v>17377</v>
      </c>
      <c r="I60" s="22">
        <v>3208</v>
      </c>
      <c r="J60" s="22">
        <f t="shared" ref="J60:J68" si="14">SUM(G60-H60-I60)</f>
        <v>10135</v>
      </c>
      <c r="K60" s="22">
        <v>733</v>
      </c>
      <c r="L60" s="22">
        <v>0</v>
      </c>
      <c r="M60" s="22">
        <v>1057</v>
      </c>
      <c r="N60" s="22">
        <v>130</v>
      </c>
      <c r="O60" s="22">
        <v>130</v>
      </c>
    </row>
    <row r="61" spans="1:15" ht="12.75" customHeight="1">
      <c r="A61" s="20" t="s">
        <v>112</v>
      </c>
      <c r="B61" s="21" t="s">
        <v>113</v>
      </c>
      <c r="C61" s="22">
        <v>2521</v>
      </c>
      <c r="D61" s="22">
        <v>1717</v>
      </c>
      <c r="E61" s="22">
        <v>17</v>
      </c>
      <c r="F61" s="22">
        <f t="shared" si="13"/>
        <v>787</v>
      </c>
      <c r="G61" s="22">
        <v>8488</v>
      </c>
      <c r="H61" s="22">
        <v>4914</v>
      </c>
      <c r="I61" s="22">
        <v>299</v>
      </c>
      <c r="J61" s="22">
        <f t="shared" si="14"/>
        <v>3275</v>
      </c>
      <c r="K61" s="22">
        <v>59</v>
      </c>
      <c r="L61" s="22">
        <v>0</v>
      </c>
      <c r="M61" s="22">
        <v>1127</v>
      </c>
      <c r="N61" s="22">
        <v>0</v>
      </c>
      <c r="O61" s="22">
        <v>0</v>
      </c>
    </row>
    <row r="62" spans="1:15" ht="12.75" customHeight="1">
      <c r="A62" s="20" t="s">
        <v>114</v>
      </c>
      <c r="B62" s="21" t="s">
        <v>115</v>
      </c>
      <c r="C62" s="22">
        <v>4305</v>
      </c>
      <c r="D62" s="22">
        <v>2097</v>
      </c>
      <c r="E62" s="22">
        <v>107</v>
      </c>
      <c r="F62" s="22">
        <f t="shared" si="13"/>
        <v>2101</v>
      </c>
      <c r="G62" s="22">
        <v>21387</v>
      </c>
      <c r="H62" s="22">
        <v>6452</v>
      </c>
      <c r="I62" s="22">
        <v>994</v>
      </c>
      <c r="J62" s="22">
        <f t="shared" si="14"/>
        <v>13941</v>
      </c>
      <c r="K62" s="22">
        <v>540</v>
      </c>
      <c r="L62" s="22">
        <v>30</v>
      </c>
      <c r="M62" s="22">
        <v>1447</v>
      </c>
      <c r="N62" s="22">
        <v>544</v>
      </c>
      <c r="O62" s="22">
        <v>544</v>
      </c>
    </row>
    <row r="63" spans="1:15" ht="12.75" customHeight="1">
      <c r="A63" s="20" t="s">
        <v>116</v>
      </c>
      <c r="B63" s="21" t="s">
        <v>117</v>
      </c>
      <c r="C63" s="22">
        <v>6610</v>
      </c>
      <c r="D63" s="22">
        <v>3921</v>
      </c>
      <c r="E63" s="22">
        <v>183</v>
      </c>
      <c r="F63" s="22">
        <f t="shared" si="13"/>
        <v>2506</v>
      </c>
      <c r="G63" s="22">
        <v>22711</v>
      </c>
      <c r="H63" s="22">
        <v>12455</v>
      </c>
      <c r="I63" s="22">
        <v>1999</v>
      </c>
      <c r="J63" s="22">
        <f t="shared" si="14"/>
        <v>8257</v>
      </c>
      <c r="K63" s="22">
        <v>254</v>
      </c>
      <c r="L63" s="22">
        <v>0</v>
      </c>
      <c r="M63" s="22">
        <v>966</v>
      </c>
      <c r="N63" s="22">
        <v>51</v>
      </c>
      <c r="O63" s="22">
        <v>51</v>
      </c>
    </row>
    <row r="64" spans="1:15" ht="12.75" customHeight="1">
      <c r="A64" s="20" t="s">
        <v>118</v>
      </c>
      <c r="B64" s="21" t="s">
        <v>119</v>
      </c>
      <c r="C64" s="22">
        <v>5875</v>
      </c>
      <c r="D64" s="22">
        <v>2862</v>
      </c>
      <c r="E64" s="22">
        <v>194</v>
      </c>
      <c r="F64" s="22">
        <f t="shared" si="13"/>
        <v>2819</v>
      </c>
      <c r="G64" s="22">
        <v>22551</v>
      </c>
      <c r="H64" s="22">
        <v>9319</v>
      </c>
      <c r="I64" s="22">
        <v>1429</v>
      </c>
      <c r="J64" s="22">
        <f t="shared" si="14"/>
        <v>11803</v>
      </c>
      <c r="K64" s="22">
        <v>180</v>
      </c>
      <c r="L64" s="22">
        <v>0</v>
      </c>
      <c r="M64" s="22">
        <v>723</v>
      </c>
      <c r="N64" s="22">
        <v>57</v>
      </c>
      <c r="O64" s="22">
        <v>57</v>
      </c>
    </row>
    <row r="65" spans="1:15" ht="12.75" customHeight="1">
      <c r="A65" s="20" t="s">
        <v>120</v>
      </c>
      <c r="B65" s="21" t="s">
        <v>121</v>
      </c>
      <c r="C65" s="22">
        <v>2430</v>
      </c>
      <c r="D65" s="22">
        <v>1903</v>
      </c>
      <c r="E65" s="22">
        <v>149</v>
      </c>
      <c r="F65" s="22">
        <f t="shared" si="13"/>
        <v>378</v>
      </c>
      <c r="G65" s="22">
        <v>15444</v>
      </c>
      <c r="H65" s="22">
        <v>6143</v>
      </c>
      <c r="I65" s="22">
        <v>1496</v>
      </c>
      <c r="J65" s="22">
        <f t="shared" si="14"/>
        <v>7805</v>
      </c>
      <c r="K65" s="22">
        <v>893</v>
      </c>
      <c r="L65" s="22">
        <v>0</v>
      </c>
      <c r="M65" s="22">
        <v>2238</v>
      </c>
      <c r="N65" s="22">
        <v>164</v>
      </c>
      <c r="O65" s="22">
        <v>164</v>
      </c>
    </row>
    <row r="66" spans="1:15" ht="12.75" customHeight="1">
      <c r="A66" s="20" t="s">
        <v>122</v>
      </c>
      <c r="B66" s="21" t="s">
        <v>123</v>
      </c>
      <c r="C66" s="22">
        <v>4478</v>
      </c>
      <c r="D66" s="22">
        <v>1854</v>
      </c>
      <c r="E66" s="22">
        <v>59</v>
      </c>
      <c r="F66" s="22">
        <f t="shared" si="13"/>
        <v>2565</v>
      </c>
      <c r="G66" s="22">
        <v>26158</v>
      </c>
      <c r="H66" s="22">
        <v>6174</v>
      </c>
      <c r="I66" s="22">
        <v>509</v>
      </c>
      <c r="J66" s="22">
        <f t="shared" si="14"/>
        <v>19475</v>
      </c>
      <c r="K66" s="22">
        <v>3310</v>
      </c>
      <c r="L66" s="22">
        <v>0</v>
      </c>
      <c r="M66" s="22">
        <v>4232</v>
      </c>
      <c r="N66" s="22">
        <v>107</v>
      </c>
      <c r="O66" s="22">
        <v>107</v>
      </c>
    </row>
    <row r="67" spans="1:15" ht="12.75" customHeight="1">
      <c r="A67" s="20" t="s">
        <v>124</v>
      </c>
      <c r="B67" s="21" t="s">
        <v>125</v>
      </c>
      <c r="C67" s="22">
        <v>9066</v>
      </c>
      <c r="D67" s="22">
        <v>2123</v>
      </c>
      <c r="E67" s="22">
        <v>0</v>
      </c>
      <c r="F67" s="22">
        <f t="shared" si="13"/>
        <v>6943</v>
      </c>
      <c r="G67" s="22">
        <v>35096</v>
      </c>
      <c r="H67" s="22">
        <v>6433</v>
      </c>
      <c r="I67" s="22">
        <v>0</v>
      </c>
      <c r="J67" s="22">
        <f t="shared" si="14"/>
        <v>28663</v>
      </c>
      <c r="K67" s="22">
        <v>4354</v>
      </c>
      <c r="L67" s="22">
        <v>0</v>
      </c>
      <c r="M67" s="22">
        <v>6837</v>
      </c>
      <c r="N67" s="22">
        <v>82</v>
      </c>
      <c r="O67" s="22">
        <v>82</v>
      </c>
    </row>
    <row r="68" spans="1:15" ht="12.75" customHeight="1">
      <c r="A68" s="20" t="s">
        <v>126</v>
      </c>
      <c r="B68" s="21" t="s">
        <v>127</v>
      </c>
      <c r="C68" s="22">
        <v>4759</v>
      </c>
      <c r="D68" s="22">
        <v>2500</v>
      </c>
      <c r="E68" s="22">
        <v>14</v>
      </c>
      <c r="F68" s="22">
        <f t="shared" si="13"/>
        <v>2245</v>
      </c>
      <c r="G68" s="22">
        <v>15498</v>
      </c>
      <c r="H68" s="22">
        <v>6658</v>
      </c>
      <c r="I68" s="22">
        <v>424</v>
      </c>
      <c r="J68" s="22">
        <f t="shared" si="14"/>
        <v>8416</v>
      </c>
      <c r="K68" s="22">
        <v>133</v>
      </c>
      <c r="L68" s="22">
        <v>0</v>
      </c>
      <c r="M68" s="22">
        <v>380</v>
      </c>
      <c r="N68" s="22">
        <v>0</v>
      </c>
      <c r="O68" s="22">
        <v>0</v>
      </c>
    </row>
    <row r="69" spans="1:15" ht="12.75" customHeight="1">
      <c r="A69" s="23"/>
      <c r="B69" s="24" t="s">
        <v>128</v>
      </c>
      <c r="C69" s="25">
        <f t="shared" ref="C69:O69" si="15">SUM(C60:C68)</f>
        <v>48824</v>
      </c>
      <c r="D69" s="25">
        <f t="shared" si="15"/>
        <v>25357</v>
      </c>
      <c r="E69" s="25">
        <f t="shared" si="15"/>
        <v>1176</v>
      </c>
      <c r="F69" s="25">
        <f t="shared" si="15"/>
        <v>22291</v>
      </c>
      <c r="G69" s="25">
        <f t="shared" si="15"/>
        <v>198053</v>
      </c>
      <c r="H69" s="25">
        <f t="shared" si="15"/>
        <v>75925</v>
      </c>
      <c r="I69" s="25">
        <f t="shared" si="15"/>
        <v>10358</v>
      </c>
      <c r="J69" s="25">
        <f t="shared" si="15"/>
        <v>111770</v>
      </c>
      <c r="K69" s="25">
        <f t="shared" si="15"/>
        <v>10456</v>
      </c>
      <c r="L69" s="25">
        <f t="shared" si="15"/>
        <v>30</v>
      </c>
      <c r="M69" s="25">
        <f t="shared" si="15"/>
        <v>19007</v>
      </c>
      <c r="N69" s="25">
        <f t="shared" si="15"/>
        <v>1135</v>
      </c>
      <c r="O69" s="25">
        <f t="shared" si="15"/>
        <v>1135</v>
      </c>
    </row>
    <row r="70" spans="1:15" ht="12.75" customHeight="1">
      <c r="A70" s="20" t="s">
        <v>129</v>
      </c>
      <c r="B70" s="21" t="s">
        <v>130</v>
      </c>
      <c r="C70" s="22">
        <v>2549</v>
      </c>
      <c r="D70" s="22">
        <v>1837</v>
      </c>
      <c r="E70" s="22">
        <v>129</v>
      </c>
      <c r="F70" s="22">
        <f t="shared" ref="F70:F79" si="16">SUM(C70-D70-E70)</f>
        <v>583</v>
      </c>
      <c r="G70" s="22">
        <v>10455</v>
      </c>
      <c r="H70" s="22">
        <v>5526</v>
      </c>
      <c r="I70" s="22">
        <v>1454</v>
      </c>
      <c r="J70" s="22">
        <f t="shared" ref="J70:J79" si="17">SUM(G70-H70-I70)</f>
        <v>3475</v>
      </c>
      <c r="K70" s="22">
        <v>592</v>
      </c>
      <c r="L70" s="22">
        <v>4</v>
      </c>
      <c r="M70" s="22">
        <v>861</v>
      </c>
      <c r="N70" s="22">
        <v>0</v>
      </c>
      <c r="O70" s="22">
        <v>0</v>
      </c>
    </row>
    <row r="71" spans="1:15" ht="12.75" customHeight="1">
      <c r="A71" s="20" t="s">
        <v>131</v>
      </c>
      <c r="B71" s="21" t="s">
        <v>132</v>
      </c>
      <c r="C71" s="22">
        <v>10795</v>
      </c>
      <c r="D71" s="22">
        <v>7050</v>
      </c>
      <c r="E71" s="22">
        <v>283</v>
      </c>
      <c r="F71" s="22">
        <f t="shared" si="16"/>
        <v>3462</v>
      </c>
      <c r="G71" s="22">
        <v>28870</v>
      </c>
      <c r="H71" s="22">
        <v>13252</v>
      </c>
      <c r="I71" s="22">
        <v>1908</v>
      </c>
      <c r="J71" s="22">
        <f t="shared" si="17"/>
        <v>13710</v>
      </c>
      <c r="K71" s="22">
        <v>2106</v>
      </c>
      <c r="L71" s="22">
        <v>0</v>
      </c>
      <c r="M71" s="22">
        <v>895</v>
      </c>
      <c r="N71" s="22">
        <v>3439</v>
      </c>
      <c r="O71" s="22">
        <v>3439</v>
      </c>
    </row>
    <row r="72" spans="1:15" ht="12.75" customHeight="1">
      <c r="A72" s="20" t="s">
        <v>133</v>
      </c>
      <c r="B72" s="21" t="s">
        <v>134</v>
      </c>
      <c r="C72" s="22">
        <v>1747</v>
      </c>
      <c r="D72" s="22">
        <v>1031</v>
      </c>
      <c r="E72" s="22">
        <v>0</v>
      </c>
      <c r="F72" s="22">
        <f t="shared" si="16"/>
        <v>716</v>
      </c>
      <c r="G72" s="22">
        <v>6570</v>
      </c>
      <c r="H72" s="22">
        <v>3036</v>
      </c>
      <c r="I72" s="22">
        <v>0</v>
      </c>
      <c r="J72" s="22">
        <f t="shared" si="17"/>
        <v>3534</v>
      </c>
      <c r="K72" s="22">
        <v>817</v>
      </c>
      <c r="L72" s="22">
        <v>17</v>
      </c>
      <c r="M72" s="22">
        <v>2274</v>
      </c>
      <c r="N72" s="22">
        <v>30</v>
      </c>
      <c r="O72" s="22">
        <v>30</v>
      </c>
    </row>
    <row r="73" spans="1:15" ht="12.75" customHeight="1">
      <c r="A73" s="20" t="s">
        <v>135</v>
      </c>
      <c r="B73" s="21" t="s">
        <v>136</v>
      </c>
      <c r="C73" s="22">
        <v>4141</v>
      </c>
      <c r="D73" s="22">
        <v>3211</v>
      </c>
      <c r="E73" s="22">
        <v>7</v>
      </c>
      <c r="F73" s="22">
        <f t="shared" si="16"/>
        <v>923</v>
      </c>
      <c r="G73" s="22">
        <v>13584</v>
      </c>
      <c r="H73" s="22">
        <v>8287</v>
      </c>
      <c r="I73" s="22">
        <v>57</v>
      </c>
      <c r="J73" s="22">
        <f t="shared" si="17"/>
        <v>5240</v>
      </c>
      <c r="K73" s="22">
        <v>1165</v>
      </c>
      <c r="L73" s="22">
        <v>0</v>
      </c>
      <c r="M73" s="22">
        <v>700</v>
      </c>
      <c r="N73" s="22">
        <v>2050</v>
      </c>
      <c r="O73" s="22">
        <v>2050</v>
      </c>
    </row>
    <row r="74" spans="1:15" ht="12.75" customHeight="1">
      <c r="A74" s="20" t="s">
        <v>137</v>
      </c>
      <c r="B74" s="21" t="s">
        <v>138</v>
      </c>
      <c r="C74" s="22">
        <v>4289</v>
      </c>
      <c r="D74" s="22">
        <v>3075</v>
      </c>
      <c r="E74" s="22">
        <v>94</v>
      </c>
      <c r="F74" s="22">
        <f t="shared" si="16"/>
        <v>1120</v>
      </c>
      <c r="G74" s="22">
        <v>10463</v>
      </c>
      <c r="H74" s="22">
        <v>5921</v>
      </c>
      <c r="I74" s="22">
        <v>505</v>
      </c>
      <c r="J74" s="22">
        <f t="shared" si="17"/>
        <v>4037</v>
      </c>
      <c r="K74" s="22">
        <v>911</v>
      </c>
      <c r="L74" s="22">
        <v>0</v>
      </c>
      <c r="M74" s="22">
        <v>205</v>
      </c>
      <c r="N74" s="22">
        <v>326</v>
      </c>
      <c r="O74" s="22">
        <v>326</v>
      </c>
    </row>
    <row r="75" spans="1:15" ht="12.75" customHeight="1">
      <c r="A75" s="20" t="s">
        <v>139</v>
      </c>
      <c r="B75" s="21" t="s">
        <v>140</v>
      </c>
      <c r="C75" s="22">
        <v>1668</v>
      </c>
      <c r="D75" s="22">
        <v>1493</v>
      </c>
      <c r="E75" s="22">
        <v>20</v>
      </c>
      <c r="F75" s="22">
        <f t="shared" si="16"/>
        <v>155</v>
      </c>
      <c r="G75" s="22">
        <v>3836</v>
      </c>
      <c r="H75" s="22">
        <v>2949</v>
      </c>
      <c r="I75" s="22">
        <v>256</v>
      </c>
      <c r="J75" s="22">
        <f t="shared" si="17"/>
        <v>631</v>
      </c>
      <c r="K75" s="22">
        <v>118</v>
      </c>
      <c r="L75" s="22">
        <v>0</v>
      </c>
      <c r="M75" s="22">
        <v>16</v>
      </c>
      <c r="N75" s="22">
        <v>0</v>
      </c>
      <c r="O75" s="22">
        <v>0</v>
      </c>
    </row>
    <row r="76" spans="1:15" ht="12.75" customHeight="1">
      <c r="A76" s="20" t="s">
        <v>141</v>
      </c>
      <c r="B76" s="21" t="s">
        <v>142</v>
      </c>
      <c r="C76" s="22">
        <v>4069</v>
      </c>
      <c r="D76" s="22">
        <v>2849</v>
      </c>
      <c r="E76" s="22">
        <v>36</v>
      </c>
      <c r="F76" s="22">
        <f t="shared" si="16"/>
        <v>1184</v>
      </c>
      <c r="G76" s="22">
        <v>12374</v>
      </c>
      <c r="H76" s="22">
        <v>7562</v>
      </c>
      <c r="I76" s="22">
        <v>226</v>
      </c>
      <c r="J76" s="22">
        <f t="shared" si="17"/>
        <v>4586</v>
      </c>
      <c r="K76" s="22">
        <v>471</v>
      </c>
      <c r="L76" s="22">
        <v>14</v>
      </c>
      <c r="M76" s="22">
        <v>411</v>
      </c>
      <c r="N76" s="22">
        <v>184</v>
      </c>
      <c r="O76" s="22">
        <v>184</v>
      </c>
    </row>
    <row r="77" spans="1:15" ht="12.75" customHeight="1">
      <c r="A77" s="20" t="s">
        <v>143</v>
      </c>
      <c r="B77" s="21" t="s">
        <v>144</v>
      </c>
      <c r="C77" s="22">
        <v>4270</v>
      </c>
      <c r="D77" s="22">
        <v>2775</v>
      </c>
      <c r="E77" s="22">
        <v>50</v>
      </c>
      <c r="F77" s="22">
        <f t="shared" si="16"/>
        <v>1445</v>
      </c>
      <c r="G77" s="22">
        <v>9049</v>
      </c>
      <c r="H77" s="22">
        <v>5488</v>
      </c>
      <c r="I77" s="22">
        <v>215</v>
      </c>
      <c r="J77" s="22">
        <f t="shared" si="17"/>
        <v>3346</v>
      </c>
      <c r="K77" s="22">
        <v>1275</v>
      </c>
      <c r="L77" s="22">
        <v>0</v>
      </c>
      <c r="M77" s="22">
        <v>768</v>
      </c>
      <c r="N77" s="22">
        <v>151</v>
      </c>
      <c r="O77" s="22">
        <v>151</v>
      </c>
    </row>
    <row r="78" spans="1:15" ht="12.75" customHeight="1">
      <c r="A78" s="20" t="s">
        <v>145</v>
      </c>
      <c r="B78" s="21" t="s">
        <v>146</v>
      </c>
      <c r="C78" s="22">
        <v>2483</v>
      </c>
      <c r="D78" s="22">
        <v>1677</v>
      </c>
      <c r="E78" s="22">
        <v>0</v>
      </c>
      <c r="F78" s="22">
        <f t="shared" si="16"/>
        <v>806</v>
      </c>
      <c r="G78" s="22">
        <v>5601</v>
      </c>
      <c r="H78" s="22">
        <v>3514</v>
      </c>
      <c r="I78" s="22">
        <v>0</v>
      </c>
      <c r="J78" s="22">
        <f t="shared" si="17"/>
        <v>2087</v>
      </c>
      <c r="K78" s="22">
        <v>282</v>
      </c>
      <c r="L78" s="22">
        <v>0</v>
      </c>
      <c r="M78" s="22">
        <v>0</v>
      </c>
      <c r="N78" s="22">
        <v>35</v>
      </c>
      <c r="O78" s="22">
        <v>35</v>
      </c>
    </row>
    <row r="79" spans="1:15" ht="12.75" customHeight="1">
      <c r="A79" s="20" t="s">
        <v>147</v>
      </c>
      <c r="B79" s="21" t="s">
        <v>148</v>
      </c>
      <c r="C79" s="22">
        <v>2335</v>
      </c>
      <c r="D79" s="22">
        <v>1682</v>
      </c>
      <c r="E79" s="22">
        <v>46</v>
      </c>
      <c r="F79" s="22">
        <f t="shared" si="16"/>
        <v>607</v>
      </c>
      <c r="G79" s="22">
        <v>9285</v>
      </c>
      <c r="H79" s="22">
        <v>4612</v>
      </c>
      <c r="I79" s="22">
        <v>328</v>
      </c>
      <c r="J79" s="22">
        <f t="shared" si="17"/>
        <v>4345</v>
      </c>
      <c r="K79" s="22">
        <v>1156</v>
      </c>
      <c r="L79" s="22">
        <v>10</v>
      </c>
      <c r="M79" s="22">
        <v>1294</v>
      </c>
      <c r="N79" s="22">
        <v>87</v>
      </c>
      <c r="O79" s="22">
        <v>87</v>
      </c>
    </row>
    <row r="80" spans="1:15" ht="12.75" customHeight="1">
      <c r="A80" s="23"/>
      <c r="B80" s="24" t="s">
        <v>149</v>
      </c>
      <c r="C80" s="25">
        <f t="shared" ref="C80:O80" si="18">SUM(C70:C79)</f>
        <v>38346</v>
      </c>
      <c r="D80" s="25">
        <f t="shared" si="18"/>
        <v>26680</v>
      </c>
      <c r="E80" s="25">
        <f t="shared" si="18"/>
        <v>665</v>
      </c>
      <c r="F80" s="25">
        <f t="shared" si="18"/>
        <v>11001</v>
      </c>
      <c r="G80" s="25">
        <f t="shared" si="18"/>
        <v>110087</v>
      </c>
      <c r="H80" s="25">
        <f t="shared" si="18"/>
        <v>60147</v>
      </c>
      <c r="I80" s="25">
        <f t="shared" si="18"/>
        <v>4949</v>
      </c>
      <c r="J80" s="25">
        <f t="shared" si="18"/>
        <v>44991</v>
      </c>
      <c r="K80" s="25">
        <f t="shared" si="18"/>
        <v>8893</v>
      </c>
      <c r="L80" s="25">
        <f t="shared" si="18"/>
        <v>45</v>
      </c>
      <c r="M80" s="25">
        <f t="shared" si="18"/>
        <v>7424</v>
      </c>
      <c r="N80" s="25">
        <f t="shared" si="18"/>
        <v>6302</v>
      </c>
      <c r="O80" s="25">
        <f t="shared" si="18"/>
        <v>6302</v>
      </c>
    </row>
    <row r="81" spans="1:15" ht="12.75" customHeight="1">
      <c r="A81" s="20" t="s">
        <v>150</v>
      </c>
      <c r="B81" s="21" t="s">
        <v>151</v>
      </c>
      <c r="C81" s="22">
        <v>4418</v>
      </c>
      <c r="D81" s="22">
        <v>2701</v>
      </c>
      <c r="E81" s="22">
        <v>55</v>
      </c>
      <c r="F81" s="22">
        <f>SUM(C81-D81-E81)</f>
        <v>1662</v>
      </c>
      <c r="G81" s="22">
        <v>19719</v>
      </c>
      <c r="H81" s="22">
        <v>9480</v>
      </c>
      <c r="I81" s="22">
        <v>891</v>
      </c>
      <c r="J81" s="22">
        <f>SUM(G81-H81-I81)</f>
        <v>9348</v>
      </c>
      <c r="K81" s="22">
        <v>436</v>
      </c>
      <c r="L81" s="22">
        <v>0</v>
      </c>
      <c r="M81" s="22">
        <v>1626</v>
      </c>
      <c r="N81" s="22">
        <v>206</v>
      </c>
      <c r="O81" s="22">
        <v>206</v>
      </c>
    </row>
    <row r="82" spans="1:15" ht="12.75" customHeight="1">
      <c r="A82" s="20" t="s">
        <v>152</v>
      </c>
      <c r="B82" s="21" t="s">
        <v>153</v>
      </c>
      <c r="C82" s="22">
        <v>1498</v>
      </c>
      <c r="D82" s="22">
        <v>1127</v>
      </c>
      <c r="E82" s="22">
        <v>19</v>
      </c>
      <c r="F82" s="22">
        <f>SUM(C82-D82-E82)</f>
        <v>352</v>
      </c>
      <c r="G82" s="22">
        <v>7836</v>
      </c>
      <c r="H82" s="22">
        <v>3917</v>
      </c>
      <c r="I82" s="22">
        <v>175</v>
      </c>
      <c r="J82" s="22">
        <f>SUM(G82-H82-I82)</f>
        <v>3744</v>
      </c>
      <c r="K82" s="22">
        <v>157</v>
      </c>
      <c r="L82" s="22">
        <v>0</v>
      </c>
      <c r="M82" s="22">
        <v>1209</v>
      </c>
      <c r="N82" s="22">
        <v>3</v>
      </c>
      <c r="O82" s="22">
        <v>3</v>
      </c>
    </row>
    <row r="83" spans="1:15" ht="12.75" customHeight="1">
      <c r="A83" s="20" t="s">
        <v>154</v>
      </c>
      <c r="B83" s="21" t="s">
        <v>155</v>
      </c>
      <c r="C83" s="22">
        <v>786</v>
      </c>
      <c r="D83" s="22">
        <v>693</v>
      </c>
      <c r="E83" s="22">
        <v>31</v>
      </c>
      <c r="F83" s="22">
        <f>SUM(C83-D83-E83)</f>
        <v>62</v>
      </c>
      <c r="G83" s="22">
        <v>4444</v>
      </c>
      <c r="H83" s="22">
        <v>2685</v>
      </c>
      <c r="I83" s="22">
        <v>369</v>
      </c>
      <c r="J83" s="22">
        <f>SUM(G83-H83-I83)</f>
        <v>1390</v>
      </c>
      <c r="K83" s="22">
        <v>46</v>
      </c>
      <c r="L83" s="22">
        <v>0</v>
      </c>
      <c r="M83" s="22">
        <v>296</v>
      </c>
      <c r="N83" s="22">
        <v>0</v>
      </c>
      <c r="O83" s="22">
        <v>0</v>
      </c>
    </row>
    <row r="84" spans="1:15" ht="12.75" customHeight="1">
      <c r="A84" s="20" t="s">
        <v>156</v>
      </c>
      <c r="B84" s="21" t="s">
        <v>157</v>
      </c>
      <c r="C84" s="22">
        <v>1658</v>
      </c>
      <c r="D84" s="22">
        <v>1505</v>
      </c>
      <c r="E84" s="22">
        <v>0</v>
      </c>
      <c r="F84" s="22">
        <f>SUM(C84-D84-E84)</f>
        <v>153</v>
      </c>
      <c r="G84" s="22">
        <v>9149</v>
      </c>
      <c r="H84" s="22">
        <v>5765</v>
      </c>
      <c r="I84" s="22">
        <v>0</v>
      </c>
      <c r="J84" s="22">
        <f>SUM(G84-H84-I84)</f>
        <v>3384</v>
      </c>
      <c r="K84" s="22">
        <v>322</v>
      </c>
      <c r="L84" s="22">
        <v>0</v>
      </c>
      <c r="M84" s="22">
        <v>1344</v>
      </c>
      <c r="N84" s="22">
        <v>107</v>
      </c>
      <c r="O84" s="22">
        <v>107</v>
      </c>
    </row>
    <row r="85" spans="1:15" ht="12.75" customHeight="1">
      <c r="A85" s="20" t="s">
        <v>158</v>
      </c>
      <c r="B85" s="21" t="s">
        <v>159</v>
      </c>
      <c r="C85" s="22">
        <v>2659</v>
      </c>
      <c r="D85" s="22">
        <v>2081</v>
      </c>
      <c r="E85" s="22">
        <v>26</v>
      </c>
      <c r="F85" s="22">
        <f>SUM(C85-D85-E85)</f>
        <v>552</v>
      </c>
      <c r="G85" s="22">
        <v>10645</v>
      </c>
      <c r="H85" s="22">
        <v>6076</v>
      </c>
      <c r="I85" s="22">
        <v>364</v>
      </c>
      <c r="J85" s="22">
        <f>SUM(G85-H85-I85)</f>
        <v>4205</v>
      </c>
      <c r="K85" s="22">
        <v>532</v>
      </c>
      <c r="L85" s="22">
        <v>0</v>
      </c>
      <c r="M85" s="22">
        <v>1226</v>
      </c>
      <c r="N85" s="22">
        <v>1646</v>
      </c>
      <c r="O85" s="22">
        <v>1646</v>
      </c>
    </row>
    <row r="86" spans="1:15" ht="12.75" customHeight="1">
      <c r="A86" s="23"/>
      <c r="B86" s="24" t="s">
        <v>160</v>
      </c>
      <c r="C86" s="25">
        <f t="shared" ref="C86:O86" si="19">SUM(C81:C85)</f>
        <v>11019</v>
      </c>
      <c r="D86" s="25">
        <f t="shared" si="19"/>
        <v>8107</v>
      </c>
      <c r="E86" s="25">
        <f t="shared" si="19"/>
        <v>131</v>
      </c>
      <c r="F86" s="25">
        <f t="shared" si="19"/>
        <v>2781</v>
      </c>
      <c r="G86" s="25">
        <f t="shared" si="19"/>
        <v>51793</v>
      </c>
      <c r="H86" s="25">
        <f t="shared" si="19"/>
        <v>27923</v>
      </c>
      <c r="I86" s="25">
        <f t="shared" si="19"/>
        <v>1799</v>
      </c>
      <c r="J86" s="25">
        <f t="shared" si="19"/>
        <v>22071</v>
      </c>
      <c r="K86" s="25">
        <f t="shared" si="19"/>
        <v>1493</v>
      </c>
      <c r="L86" s="25">
        <f t="shared" si="19"/>
        <v>0</v>
      </c>
      <c r="M86" s="25">
        <f t="shared" si="19"/>
        <v>5701</v>
      </c>
      <c r="N86" s="25">
        <f t="shared" si="19"/>
        <v>1962</v>
      </c>
      <c r="O86" s="25">
        <f t="shared" si="19"/>
        <v>1962</v>
      </c>
    </row>
    <row r="87" spans="1:15" ht="12.75" customHeight="1">
      <c r="A87" s="20" t="s">
        <v>161</v>
      </c>
      <c r="B87" s="21" t="s">
        <v>162</v>
      </c>
      <c r="C87" s="22">
        <v>4987</v>
      </c>
      <c r="D87" s="22">
        <v>3467</v>
      </c>
      <c r="E87" s="22">
        <v>0</v>
      </c>
      <c r="F87" s="22">
        <f>SUM(C87-D87-E87)</f>
        <v>1520</v>
      </c>
      <c r="G87" s="22">
        <v>24841</v>
      </c>
      <c r="H87" s="22">
        <v>11625</v>
      </c>
      <c r="I87" s="22">
        <v>0</v>
      </c>
      <c r="J87" s="22">
        <f>SUM(G87-H87-I87)</f>
        <v>13216</v>
      </c>
      <c r="K87" s="22">
        <v>585</v>
      </c>
      <c r="L87" s="22">
        <v>0</v>
      </c>
      <c r="M87" s="22">
        <v>2623</v>
      </c>
      <c r="N87" s="22">
        <v>135</v>
      </c>
      <c r="O87" s="22">
        <v>135</v>
      </c>
    </row>
    <row r="88" spans="1:15" ht="12.75" customHeight="1">
      <c r="A88" s="20" t="s">
        <v>163</v>
      </c>
      <c r="B88" s="21" t="s">
        <v>164</v>
      </c>
      <c r="C88" s="22">
        <v>3708</v>
      </c>
      <c r="D88" s="22">
        <v>1846</v>
      </c>
      <c r="E88" s="22">
        <v>105</v>
      </c>
      <c r="F88" s="22">
        <f>SUM(C88-D88-E88)</f>
        <v>1757</v>
      </c>
      <c r="G88" s="22">
        <v>11133</v>
      </c>
      <c r="H88" s="22">
        <v>4762</v>
      </c>
      <c r="I88" s="22">
        <v>930</v>
      </c>
      <c r="J88" s="22">
        <f>SUM(G88-H88-I88)</f>
        <v>5441</v>
      </c>
      <c r="K88" s="22">
        <v>268</v>
      </c>
      <c r="L88" s="22">
        <v>0</v>
      </c>
      <c r="M88" s="22">
        <v>725</v>
      </c>
      <c r="N88" s="22">
        <v>0</v>
      </c>
      <c r="O88" s="22">
        <v>0</v>
      </c>
    </row>
    <row r="89" spans="1:15" ht="12.75" customHeight="1">
      <c r="A89" s="23"/>
      <c r="B89" s="24" t="s">
        <v>165</v>
      </c>
      <c r="C89" s="25">
        <f t="shared" ref="C89:O89" si="20">SUM(C87:C88)</f>
        <v>8695</v>
      </c>
      <c r="D89" s="25">
        <f t="shared" si="20"/>
        <v>5313</v>
      </c>
      <c r="E89" s="25">
        <f t="shared" si="20"/>
        <v>105</v>
      </c>
      <c r="F89" s="25">
        <f t="shared" si="20"/>
        <v>3277</v>
      </c>
      <c r="G89" s="25">
        <f t="shared" si="20"/>
        <v>35974</v>
      </c>
      <c r="H89" s="25">
        <f t="shared" si="20"/>
        <v>16387</v>
      </c>
      <c r="I89" s="25">
        <f t="shared" si="20"/>
        <v>930</v>
      </c>
      <c r="J89" s="25">
        <f t="shared" si="20"/>
        <v>18657</v>
      </c>
      <c r="K89" s="25">
        <f t="shared" si="20"/>
        <v>853</v>
      </c>
      <c r="L89" s="25">
        <f t="shared" si="20"/>
        <v>0</v>
      </c>
      <c r="M89" s="25">
        <f t="shared" si="20"/>
        <v>3348</v>
      </c>
      <c r="N89" s="25">
        <f t="shared" si="20"/>
        <v>135</v>
      </c>
      <c r="O89" s="25">
        <f t="shared" si="20"/>
        <v>135</v>
      </c>
    </row>
    <row r="90" spans="1:15" ht="12.75" customHeight="1">
      <c r="A90" s="20" t="s">
        <v>166</v>
      </c>
      <c r="B90" s="21" t="s">
        <v>167</v>
      </c>
      <c r="C90" s="22">
        <v>5180</v>
      </c>
      <c r="D90" s="22">
        <v>2583</v>
      </c>
      <c r="E90" s="22">
        <v>195</v>
      </c>
      <c r="F90" s="22">
        <f>SUM(C90-D90-E90)</f>
        <v>2402</v>
      </c>
      <c r="G90" s="22">
        <v>24565</v>
      </c>
      <c r="H90" s="22">
        <v>9267</v>
      </c>
      <c r="I90" s="22">
        <v>1581</v>
      </c>
      <c r="J90" s="22">
        <f>SUM(G90-H90-I90)</f>
        <v>13717</v>
      </c>
      <c r="K90" s="22">
        <v>400</v>
      </c>
      <c r="L90" s="22">
        <v>0</v>
      </c>
      <c r="M90" s="22">
        <v>2916</v>
      </c>
      <c r="N90" s="22">
        <v>34</v>
      </c>
      <c r="O90" s="22">
        <v>34</v>
      </c>
    </row>
    <row r="91" spans="1:15" ht="12.75" customHeight="1">
      <c r="A91" s="20" t="s">
        <v>168</v>
      </c>
      <c r="B91" s="21" t="s">
        <v>169</v>
      </c>
      <c r="C91" s="22">
        <v>4596</v>
      </c>
      <c r="D91" s="22">
        <v>3348</v>
      </c>
      <c r="E91" s="22">
        <v>0</v>
      </c>
      <c r="F91" s="22">
        <f>SUM(C91-D91-E91)</f>
        <v>1248</v>
      </c>
      <c r="G91" s="22">
        <v>20803</v>
      </c>
      <c r="H91" s="22">
        <v>9202</v>
      </c>
      <c r="I91" s="22">
        <v>0</v>
      </c>
      <c r="J91" s="22">
        <f>SUM(G91-H91-I91)</f>
        <v>11601</v>
      </c>
      <c r="K91" s="22">
        <v>255</v>
      </c>
      <c r="L91" s="22">
        <v>32</v>
      </c>
      <c r="M91" s="22">
        <v>3846</v>
      </c>
      <c r="N91" s="22">
        <v>12</v>
      </c>
      <c r="O91" s="22">
        <v>12</v>
      </c>
    </row>
    <row r="92" spans="1:15" ht="12.75" customHeight="1">
      <c r="A92" s="20" t="s">
        <v>170</v>
      </c>
      <c r="B92" s="21" t="s">
        <v>171</v>
      </c>
      <c r="C92" s="22">
        <v>1036</v>
      </c>
      <c r="D92" s="22">
        <v>772</v>
      </c>
      <c r="E92" s="22">
        <v>74</v>
      </c>
      <c r="F92" s="22">
        <f>SUM(C92-D92-E92)</f>
        <v>190</v>
      </c>
      <c r="G92" s="22">
        <v>3861</v>
      </c>
      <c r="H92" s="22">
        <v>2037</v>
      </c>
      <c r="I92" s="22">
        <v>944</v>
      </c>
      <c r="J92" s="22">
        <f>SUM(G92-H92-I92)</f>
        <v>880</v>
      </c>
      <c r="K92" s="22">
        <v>111</v>
      </c>
      <c r="L92" s="22">
        <v>0</v>
      </c>
      <c r="M92" s="22">
        <v>160</v>
      </c>
      <c r="N92" s="22">
        <v>0</v>
      </c>
      <c r="O92" s="22">
        <v>0</v>
      </c>
    </row>
    <row r="93" spans="1:15" ht="12.75" customHeight="1">
      <c r="A93" s="20" t="s">
        <v>172</v>
      </c>
      <c r="B93" s="21" t="s">
        <v>173</v>
      </c>
      <c r="C93" s="22">
        <v>54534</v>
      </c>
      <c r="D93" s="22">
        <v>32909</v>
      </c>
      <c r="E93" s="22">
        <v>1774</v>
      </c>
      <c r="F93" s="22">
        <f>SUM(C93-D93-E93)</f>
        <v>19851</v>
      </c>
      <c r="G93" s="22">
        <v>170482</v>
      </c>
      <c r="H93" s="22">
        <v>59927</v>
      </c>
      <c r="I93" s="22">
        <v>6594</v>
      </c>
      <c r="J93" s="22">
        <f>SUM(G93-H93-I93)</f>
        <v>103961</v>
      </c>
      <c r="K93" s="22">
        <v>21862</v>
      </c>
      <c r="L93" s="22">
        <v>0</v>
      </c>
      <c r="M93" s="22">
        <v>11949</v>
      </c>
      <c r="N93" s="22">
        <v>996</v>
      </c>
      <c r="O93" s="22">
        <v>996</v>
      </c>
    </row>
    <row r="94" spans="1:15" ht="12.75" customHeight="1">
      <c r="A94" s="20" t="s">
        <v>174</v>
      </c>
      <c r="B94" s="21" t="s">
        <v>175</v>
      </c>
      <c r="C94" s="22">
        <v>3314</v>
      </c>
      <c r="D94" s="22">
        <v>1033</v>
      </c>
      <c r="E94" s="22">
        <v>51</v>
      </c>
      <c r="F94" s="22">
        <f>SUM(C94-D94-E94)</f>
        <v>2230</v>
      </c>
      <c r="G94" s="22">
        <v>10605</v>
      </c>
      <c r="H94" s="22">
        <v>3628</v>
      </c>
      <c r="I94" s="22">
        <v>612</v>
      </c>
      <c r="J94" s="22">
        <f>SUM(G94-H94-I94)</f>
        <v>6365</v>
      </c>
      <c r="K94" s="22">
        <v>343</v>
      </c>
      <c r="L94" s="22">
        <v>47</v>
      </c>
      <c r="M94" s="22">
        <v>2257</v>
      </c>
      <c r="N94" s="22">
        <v>42</v>
      </c>
      <c r="O94" s="22">
        <v>42</v>
      </c>
    </row>
    <row r="95" spans="1:15" ht="12.75" customHeight="1">
      <c r="A95" s="23"/>
      <c r="B95" s="24" t="s">
        <v>176</v>
      </c>
      <c r="C95" s="25">
        <f t="shared" ref="C95:O95" si="21">SUM(C90:C94)</f>
        <v>68660</v>
      </c>
      <c r="D95" s="25">
        <f t="shared" si="21"/>
        <v>40645</v>
      </c>
      <c r="E95" s="25">
        <f t="shared" si="21"/>
        <v>2094</v>
      </c>
      <c r="F95" s="25">
        <f t="shared" si="21"/>
        <v>25921</v>
      </c>
      <c r="G95" s="25">
        <f t="shared" si="21"/>
        <v>230316</v>
      </c>
      <c r="H95" s="25">
        <f t="shared" si="21"/>
        <v>84061</v>
      </c>
      <c r="I95" s="25">
        <f t="shared" si="21"/>
        <v>9731</v>
      </c>
      <c r="J95" s="25">
        <f t="shared" si="21"/>
        <v>136524</v>
      </c>
      <c r="K95" s="25">
        <f t="shared" si="21"/>
        <v>22971</v>
      </c>
      <c r="L95" s="25">
        <f t="shared" si="21"/>
        <v>79</v>
      </c>
      <c r="M95" s="25">
        <f t="shared" si="21"/>
        <v>21128</v>
      </c>
      <c r="N95" s="25">
        <f t="shared" si="21"/>
        <v>1084</v>
      </c>
      <c r="O95" s="25">
        <f t="shared" si="21"/>
        <v>1084</v>
      </c>
    </row>
    <row r="96" spans="1:15" ht="12.75" customHeight="1">
      <c r="A96" s="20" t="s">
        <v>177</v>
      </c>
      <c r="B96" s="21" t="s">
        <v>178</v>
      </c>
      <c r="C96" s="22">
        <v>905</v>
      </c>
      <c r="D96" s="22">
        <v>675</v>
      </c>
      <c r="E96" s="22">
        <v>15</v>
      </c>
      <c r="F96" s="22">
        <f>SUM(C96-D96-E96)</f>
        <v>215</v>
      </c>
      <c r="G96" s="22">
        <v>5218</v>
      </c>
      <c r="H96" s="22">
        <v>2691</v>
      </c>
      <c r="I96" s="22">
        <v>176</v>
      </c>
      <c r="J96" s="22">
        <f>SUM(G96-H96-I96)</f>
        <v>2351</v>
      </c>
      <c r="K96" s="22">
        <v>0</v>
      </c>
      <c r="L96" s="22">
        <v>0</v>
      </c>
      <c r="M96" s="22">
        <v>2016</v>
      </c>
      <c r="N96" s="22">
        <v>0</v>
      </c>
      <c r="O96" s="22">
        <v>0</v>
      </c>
    </row>
    <row r="97" spans="1:15" ht="12.75" customHeight="1">
      <c r="A97" s="20" t="s">
        <v>179</v>
      </c>
      <c r="B97" s="21" t="s">
        <v>180</v>
      </c>
      <c r="C97" s="22">
        <v>312</v>
      </c>
      <c r="D97" s="22">
        <v>295</v>
      </c>
      <c r="E97" s="22">
        <v>0</v>
      </c>
      <c r="F97" s="22">
        <f>SUM(C97-D97-E97)</f>
        <v>17</v>
      </c>
      <c r="G97" s="22">
        <v>1439</v>
      </c>
      <c r="H97" s="22">
        <v>1221</v>
      </c>
      <c r="I97" s="22">
        <v>0</v>
      </c>
      <c r="J97" s="22">
        <f>SUM(G97-H97-I97)</f>
        <v>218</v>
      </c>
      <c r="K97" s="22">
        <v>0</v>
      </c>
      <c r="L97" s="22">
        <v>0</v>
      </c>
      <c r="M97" s="22">
        <v>93</v>
      </c>
      <c r="N97" s="22">
        <v>0</v>
      </c>
      <c r="O97" s="22">
        <v>0</v>
      </c>
    </row>
    <row r="98" spans="1:15" ht="12.75" customHeight="1">
      <c r="A98" s="23"/>
      <c r="B98" s="24" t="s">
        <v>181</v>
      </c>
      <c r="C98" s="25">
        <f t="shared" ref="C98:O98" si="22">SUM(C96:C97)</f>
        <v>1217</v>
      </c>
      <c r="D98" s="25">
        <f t="shared" si="22"/>
        <v>970</v>
      </c>
      <c r="E98" s="25">
        <f t="shared" si="22"/>
        <v>15</v>
      </c>
      <c r="F98" s="25">
        <f t="shared" si="22"/>
        <v>232</v>
      </c>
      <c r="G98" s="25">
        <f t="shared" si="22"/>
        <v>6657</v>
      </c>
      <c r="H98" s="25">
        <f t="shared" si="22"/>
        <v>3912</v>
      </c>
      <c r="I98" s="25">
        <f t="shared" si="22"/>
        <v>176</v>
      </c>
      <c r="J98" s="25">
        <f t="shared" si="22"/>
        <v>2569</v>
      </c>
      <c r="K98" s="25">
        <f t="shared" si="22"/>
        <v>0</v>
      </c>
      <c r="L98" s="25">
        <f t="shared" si="22"/>
        <v>0</v>
      </c>
      <c r="M98" s="25">
        <f t="shared" si="22"/>
        <v>2109</v>
      </c>
      <c r="N98" s="25">
        <f t="shared" si="22"/>
        <v>0</v>
      </c>
      <c r="O98" s="25">
        <f t="shared" si="22"/>
        <v>0</v>
      </c>
    </row>
    <row r="99" spans="1:15" ht="12.75" customHeight="1">
      <c r="A99" s="20" t="s">
        <v>182</v>
      </c>
      <c r="B99" s="21" t="s">
        <v>183</v>
      </c>
      <c r="C99" s="22">
        <v>2499</v>
      </c>
      <c r="D99" s="22">
        <v>1998</v>
      </c>
      <c r="E99" s="22">
        <v>63</v>
      </c>
      <c r="F99" s="22">
        <f>SUM(C99-D99-E99)</f>
        <v>438</v>
      </c>
      <c r="G99" s="22">
        <v>12365</v>
      </c>
      <c r="H99" s="22">
        <v>6627</v>
      </c>
      <c r="I99" s="22">
        <v>640</v>
      </c>
      <c r="J99" s="22">
        <f>SUM(G99-H99-I99)</f>
        <v>5098</v>
      </c>
      <c r="K99" s="22">
        <v>101</v>
      </c>
      <c r="L99" s="22">
        <v>0</v>
      </c>
      <c r="M99" s="22">
        <v>1635</v>
      </c>
      <c r="N99" s="22">
        <v>0</v>
      </c>
      <c r="O99" s="22">
        <v>0</v>
      </c>
    </row>
    <row r="100" spans="1:15" ht="12.75" customHeight="1">
      <c r="A100" s="20" t="s">
        <v>184</v>
      </c>
      <c r="B100" s="21" t="s">
        <v>185</v>
      </c>
      <c r="C100" s="22">
        <v>1996</v>
      </c>
      <c r="D100" s="22">
        <v>1145</v>
      </c>
      <c r="E100" s="22">
        <v>39</v>
      </c>
      <c r="F100" s="22">
        <f>SUM(C100-D100-E100)</f>
        <v>812</v>
      </c>
      <c r="G100" s="22">
        <v>9177</v>
      </c>
      <c r="H100" s="22">
        <v>3603</v>
      </c>
      <c r="I100" s="22">
        <v>252</v>
      </c>
      <c r="J100" s="22">
        <f>SUM(G100-H100-I100)</f>
        <v>5322</v>
      </c>
      <c r="K100" s="22">
        <v>346</v>
      </c>
      <c r="L100" s="22">
        <v>0</v>
      </c>
      <c r="M100" s="22">
        <v>851</v>
      </c>
      <c r="N100" s="22">
        <v>6</v>
      </c>
      <c r="O100" s="22">
        <v>6</v>
      </c>
    </row>
    <row r="101" spans="1:15" ht="12.75" customHeight="1">
      <c r="A101" s="20" t="s">
        <v>186</v>
      </c>
      <c r="B101" s="21" t="s">
        <v>187</v>
      </c>
      <c r="C101" s="22">
        <v>1346</v>
      </c>
      <c r="D101" s="22">
        <v>969</v>
      </c>
      <c r="E101" s="22">
        <v>0</v>
      </c>
      <c r="F101" s="22">
        <f>SUM(C101-D101-E101)</f>
        <v>377</v>
      </c>
      <c r="G101" s="22">
        <v>4837</v>
      </c>
      <c r="H101" s="22">
        <v>2998</v>
      </c>
      <c r="I101" s="22">
        <v>0</v>
      </c>
      <c r="J101" s="22">
        <f>SUM(G101-H101-I101)</f>
        <v>1839</v>
      </c>
      <c r="K101" s="22">
        <v>25</v>
      </c>
      <c r="L101" s="22">
        <v>0</v>
      </c>
      <c r="M101" s="22">
        <v>688</v>
      </c>
      <c r="N101" s="22">
        <v>111</v>
      </c>
      <c r="O101" s="22">
        <v>111</v>
      </c>
    </row>
    <row r="102" spans="1:15" ht="12.75" customHeight="1">
      <c r="A102" s="20" t="s">
        <v>188</v>
      </c>
      <c r="B102" s="21" t="s">
        <v>189</v>
      </c>
      <c r="C102" s="22">
        <v>1797</v>
      </c>
      <c r="D102" s="22">
        <v>1607</v>
      </c>
      <c r="E102" s="22">
        <v>53</v>
      </c>
      <c r="F102" s="22">
        <f>SUM(C102-D102-E102)</f>
        <v>137</v>
      </c>
      <c r="G102" s="22">
        <v>8010</v>
      </c>
      <c r="H102" s="22">
        <v>4834</v>
      </c>
      <c r="I102" s="22">
        <v>758</v>
      </c>
      <c r="J102" s="22">
        <f>SUM(G102-H102-I102)</f>
        <v>2418</v>
      </c>
      <c r="K102" s="22">
        <v>125</v>
      </c>
      <c r="L102" s="22">
        <v>0</v>
      </c>
      <c r="M102" s="22">
        <v>780</v>
      </c>
      <c r="N102" s="22">
        <v>0</v>
      </c>
      <c r="O102" s="22">
        <v>0</v>
      </c>
    </row>
    <row r="103" spans="1:15" ht="12.75" customHeight="1">
      <c r="A103" s="23"/>
      <c r="B103" s="24" t="s">
        <v>190</v>
      </c>
      <c r="C103" s="25">
        <f t="shared" ref="C103:O103" si="23">SUM(C99:C102)</f>
        <v>7638</v>
      </c>
      <c r="D103" s="25">
        <f t="shared" si="23"/>
        <v>5719</v>
      </c>
      <c r="E103" s="25">
        <f t="shared" si="23"/>
        <v>155</v>
      </c>
      <c r="F103" s="25">
        <f t="shared" si="23"/>
        <v>1764</v>
      </c>
      <c r="G103" s="25">
        <f t="shared" si="23"/>
        <v>34389</v>
      </c>
      <c r="H103" s="25">
        <f t="shared" si="23"/>
        <v>18062</v>
      </c>
      <c r="I103" s="25">
        <f t="shared" si="23"/>
        <v>1650</v>
      </c>
      <c r="J103" s="25">
        <f t="shared" si="23"/>
        <v>14677</v>
      </c>
      <c r="K103" s="25">
        <f t="shared" si="23"/>
        <v>597</v>
      </c>
      <c r="L103" s="25">
        <f t="shared" si="23"/>
        <v>0</v>
      </c>
      <c r="M103" s="25">
        <f t="shared" si="23"/>
        <v>3954</v>
      </c>
      <c r="N103" s="25">
        <f t="shared" si="23"/>
        <v>117</v>
      </c>
      <c r="O103" s="25">
        <f t="shared" si="23"/>
        <v>117</v>
      </c>
    </row>
    <row r="104" spans="1:15" ht="12.75" customHeight="1">
      <c r="A104" s="20" t="s">
        <v>191</v>
      </c>
      <c r="B104" s="21" t="s">
        <v>192</v>
      </c>
      <c r="C104" s="22">
        <v>1434</v>
      </c>
      <c r="D104" s="22">
        <v>1188</v>
      </c>
      <c r="E104" s="22">
        <v>38</v>
      </c>
      <c r="F104" s="22">
        <f>SUM(C104-D104-E104)</f>
        <v>208</v>
      </c>
      <c r="G104" s="22">
        <v>7109</v>
      </c>
      <c r="H104" s="22">
        <v>4361</v>
      </c>
      <c r="I104" s="22">
        <v>455</v>
      </c>
      <c r="J104" s="22">
        <f>SUM(G104-H104-I104)</f>
        <v>2293</v>
      </c>
      <c r="K104" s="22">
        <v>139</v>
      </c>
      <c r="L104" s="22">
        <v>0</v>
      </c>
      <c r="M104" s="22">
        <v>479</v>
      </c>
      <c r="N104" s="22">
        <v>58</v>
      </c>
      <c r="O104" s="22">
        <v>58</v>
      </c>
    </row>
    <row r="105" spans="1:15" ht="12.75" customHeight="1">
      <c r="A105" s="20" t="s">
        <v>193</v>
      </c>
      <c r="B105" s="21" t="s">
        <v>194</v>
      </c>
      <c r="C105" s="22">
        <v>1278</v>
      </c>
      <c r="D105" s="22">
        <v>731</v>
      </c>
      <c r="E105" s="22">
        <v>0</v>
      </c>
      <c r="F105" s="22">
        <f>SUM(C105-D105-E105)</f>
        <v>547</v>
      </c>
      <c r="G105" s="22">
        <v>5306</v>
      </c>
      <c r="H105" s="22">
        <v>3013</v>
      </c>
      <c r="I105" s="22">
        <v>0</v>
      </c>
      <c r="J105" s="22">
        <f>SUM(G105-H105-I105)</f>
        <v>2293</v>
      </c>
      <c r="K105" s="22">
        <v>50</v>
      </c>
      <c r="L105" s="22">
        <v>0</v>
      </c>
      <c r="M105" s="22">
        <v>1088</v>
      </c>
      <c r="N105" s="22">
        <v>28</v>
      </c>
      <c r="O105" s="22">
        <v>28</v>
      </c>
    </row>
    <row r="106" spans="1:15" ht="12.75" customHeight="1">
      <c r="A106" s="20" t="s">
        <v>195</v>
      </c>
      <c r="B106" s="21" t="s">
        <v>196</v>
      </c>
      <c r="C106" s="22">
        <v>4545</v>
      </c>
      <c r="D106" s="22">
        <v>2971</v>
      </c>
      <c r="E106" s="22">
        <v>105</v>
      </c>
      <c r="F106" s="22">
        <f>SUM(C106-D106-E106)</f>
        <v>1469</v>
      </c>
      <c r="G106" s="22">
        <v>23044</v>
      </c>
      <c r="H106" s="22">
        <v>9567</v>
      </c>
      <c r="I106" s="22">
        <v>934</v>
      </c>
      <c r="J106" s="22">
        <f>SUM(G106-H106-I106)</f>
        <v>12543</v>
      </c>
      <c r="K106" s="22">
        <v>105</v>
      </c>
      <c r="L106" s="22">
        <v>0</v>
      </c>
      <c r="M106" s="22">
        <v>8740</v>
      </c>
      <c r="N106" s="22">
        <v>81</v>
      </c>
      <c r="O106" s="22">
        <v>81</v>
      </c>
    </row>
    <row r="107" spans="1:15" ht="12.75" customHeight="1">
      <c r="A107" s="20" t="s">
        <v>197</v>
      </c>
      <c r="B107" s="21" t="s">
        <v>198</v>
      </c>
      <c r="C107" s="22">
        <v>19016</v>
      </c>
      <c r="D107" s="22">
        <v>13389</v>
      </c>
      <c r="E107" s="22">
        <v>443</v>
      </c>
      <c r="F107" s="22">
        <f>SUM(C107-D107-E107)</f>
        <v>5184</v>
      </c>
      <c r="G107" s="22">
        <v>59109</v>
      </c>
      <c r="H107" s="22">
        <v>27550</v>
      </c>
      <c r="I107" s="22">
        <v>1223</v>
      </c>
      <c r="J107" s="22">
        <f>SUM(G107-H107-I107)</f>
        <v>30336</v>
      </c>
      <c r="K107" s="22">
        <v>1348</v>
      </c>
      <c r="L107" s="22">
        <v>0</v>
      </c>
      <c r="M107" s="22">
        <v>1298</v>
      </c>
      <c r="N107" s="22">
        <v>907</v>
      </c>
      <c r="O107" s="22">
        <v>907</v>
      </c>
    </row>
    <row r="108" spans="1:15" ht="12.75" customHeight="1">
      <c r="A108" s="20" t="s">
        <v>199</v>
      </c>
      <c r="B108" s="21" t="s">
        <v>200</v>
      </c>
      <c r="C108" s="22">
        <v>4922</v>
      </c>
      <c r="D108" s="22">
        <v>3282</v>
      </c>
      <c r="E108" s="22">
        <v>107</v>
      </c>
      <c r="F108" s="22">
        <f>SUM(C108-D108-E108)</f>
        <v>1533</v>
      </c>
      <c r="G108" s="22">
        <v>34224</v>
      </c>
      <c r="H108" s="22">
        <v>10606</v>
      </c>
      <c r="I108" s="22">
        <v>1071</v>
      </c>
      <c r="J108" s="22">
        <f>SUM(G108-H108-I108)</f>
        <v>22547</v>
      </c>
      <c r="K108" s="22">
        <v>322</v>
      </c>
      <c r="L108" s="22">
        <v>0</v>
      </c>
      <c r="M108" s="22">
        <v>1702</v>
      </c>
      <c r="N108" s="22">
        <v>307</v>
      </c>
      <c r="O108" s="22">
        <v>307</v>
      </c>
    </row>
    <row r="109" spans="1:15" ht="12.75" customHeight="1">
      <c r="A109" s="23"/>
      <c r="B109" s="24" t="s">
        <v>201</v>
      </c>
      <c r="C109" s="25">
        <f t="shared" ref="C109:O109" si="24">SUM(C104:C108)</f>
        <v>31195</v>
      </c>
      <c r="D109" s="25">
        <f t="shared" si="24"/>
        <v>21561</v>
      </c>
      <c r="E109" s="25">
        <f t="shared" si="24"/>
        <v>693</v>
      </c>
      <c r="F109" s="25">
        <f t="shared" si="24"/>
        <v>8941</v>
      </c>
      <c r="G109" s="25">
        <f t="shared" si="24"/>
        <v>128792</v>
      </c>
      <c r="H109" s="25">
        <f t="shared" si="24"/>
        <v>55097</v>
      </c>
      <c r="I109" s="25">
        <f t="shared" si="24"/>
        <v>3683</v>
      </c>
      <c r="J109" s="25">
        <f t="shared" si="24"/>
        <v>70012</v>
      </c>
      <c r="K109" s="25">
        <f t="shared" si="24"/>
        <v>1964</v>
      </c>
      <c r="L109" s="25">
        <f t="shared" si="24"/>
        <v>0</v>
      </c>
      <c r="M109" s="25">
        <f t="shared" si="24"/>
        <v>13307</v>
      </c>
      <c r="N109" s="25">
        <f t="shared" si="24"/>
        <v>1381</v>
      </c>
      <c r="O109" s="25">
        <f t="shared" si="24"/>
        <v>1381</v>
      </c>
    </row>
    <row r="110" spans="1:15" ht="12.75" customHeight="1">
      <c r="A110" s="20" t="s">
        <v>202</v>
      </c>
      <c r="B110" s="21" t="s">
        <v>203</v>
      </c>
      <c r="C110" s="22">
        <v>9285</v>
      </c>
      <c r="D110" s="22">
        <v>6901</v>
      </c>
      <c r="E110" s="22">
        <v>21</v>
      </c>
      <c r="F110" s="22">
        <f t="shared" ref="F110:F115" si="25">SUM(C110-D110-E110)</f>
        <v>2363</v>
      </c>
      <c r="G110" s="22">
        <v>41833</v>
      </c>
      <c r="H110" s="22">
        <v>25107</v>
      </c>
      <c r="I110" s="22">
        <v>504</v>
      </c>
      <c r="J110" s="22">
        <f t="shared" ref="J110:J115" si="26">SUM(G110-H110-I110)</f>
        <v>16222</v>
      </c>
      <c r="K110" s="22">
        <v>1778</v>
      </c>
      <c r="L110" s="22">
        <v>0</v>
      </c>
      <c r="M110" s="22">
        <v>11289</v>
      </c>
      <c r="N110" s="22">
        <v>135</v>
      </c>
      <c r="O110" s="22">
        <v>135</v>
      </c>
    </row>
    <row r="111" spans="1:15" ht="12.75" customHeight="1">
      <c r="A111" s="20" t="s">
        <v>204</v>
      </c>
      <c r="B111" s="21" t="s">
        <v>205</v>
      </c>
      <c r="C111" s="22">
        <v>1670</v>
      </c>
      <c r="D111" s="22">
        <v>1526</v>
      </c>
      <c r="E111" s="22">
        <v>13</v>
      </c>
      <c r="F111" s="22">
        <f t="shared" si="25"/>
        <v>131</v>
      </c>
      <c r="G111" s="22">
        <v>5916</v>
      </c>
      <c r="H111" s="22">
        <v>4679</v>
      </c>
      <c r="I111" s="22">
        <v>164</v>
      </c>
      <c r="J111" s="22">
        <f t="shared" si="26"/>
        <v>1073</v>
      </c>
      <c r="K111" s="22">
        <v>14</v>
      </c>
      <c r="L111" s="22">
        <v>0</v>
      </c>
      <c r="M111" s="22">
        <v>721</v>
      </c>
      <c r="N111" s="22">
        <v>0</v>
      </c>
      <c r="O111" s="22">
        <v>0</v>
      </c>
    </row>
    <row r="112" spans="1:15" ht="12.75" customHeight="1">
      <c r="A112" s="20" t="s">
        <v>206</v>
      </c>
      <c r="B112" s="21" t="s">
        <v>207</v>
      </c>
      <c r="C112" s="22">
        <v>3278</v>
      </c>
      <c r="D112" s="22">
        <v>2113</v>
      </c>
      <c r="E112" s="22">
        <v>0</v>
      </c>
      <c r="F112" s="22">
        <f t="shared" si="25"/>
        <v>1165</v>
      </c>
      <c r="G112" s="22">
        <v>12231</v>
      </c>
      <c r="H112" s="22">
        <v>6782</v>
      </c>
      <c r="I112" s="22">
        <v>0</v>
      </c>
      <c r="J112" s="22">
        <f t="shared" si="26"/>
        <v>5449</v>
      </c>
      <c r="K112" s="22">
        <v>3010</v>
      </c>
      <c r="L112" s="22">
        <v>0</v>
      </c>
      <c r="M112" s="22">
        <v>2222</v>
      </c>
      <c r="N112" s="22">
        <v>53</v>
      </c>
      <c r="O112" s="22">
        <v>53</v>
      </c>
    </row>
    <row r="113" spans="1:15" ht="12.75" customHeight="1">
      <c r="A113" s="20" t="s">
        <v>208</v>
      </c>
      <c r="B113" s="21" t="s">
        <v>209</v>
      </c>
      <c r="C113" s="22">
        <v>2678</v>
      </c>
      <c r="D113" s="22">
        <v>1764</v>
      </c>
      <c r="E113" s="22">
        <v>17</v>
      </c>
      <c r="F113" s="22">
        <f t="shared" si="25"/>
        <v>897</v>
      </c>
      <c r="G113" s="22">
        <v>12059</v>
      </c>
      <c r="H113" s="22">
        <v>5794</v>
      </c>
      <c r="I113" s="22">
        <v>183</v>
      </c>
      <c r="J113" s="22">
        <f t="shared" si="26"/>
        <v>6082</v>
      </c>
      <c r="K113" s="22">
        <v>432</v>
      </c>
      <c r="L113" s="22">
        <v>0</v>
      </c>
      <c r="M113" s="22">
        <v>8789</v>
      </c>
      <c r="N113" s="22">
        <v>50</v>
      </c>
      <c r="O113" s="22">
        <v>50</v>
      </c>
    </row>
    <row r="114" spans="1:15" ht="12.75" customHeight="1">
      <c r="A114" s="20" t="s">
        <v>210</v>
      </c>
      <c r="B114" s="21" t="s">
        <v>211</v>
      </c>
      <c r="C114" s="22">
        <v>6430</v>
      </c>
      <c r="D114" s="22">
        <v>4570</v>
      </c>
      <c r="E114" s="22">
        <v>0</v>
      </c>
      <c r="F114" s="22">
        <f t="shared" si="25"/>
        <v>1860</v>
      </c>
      <c r="G114" s="22">
        <v>20413</v>
      </c>
      <c r="H114" s="22">
        <v>11880</v>
      </c>
      <c r="I114" s="22">
        <v>0</v>
      </c>
      <c r="J114" s="22">
        <f t="shared" si="26"/>
        <v>8533</v>
      </c>
      <c r="K114" s="22">
        <v>2136</v>
      </c>
      <c r="L114" s="22">
        <v>0</v>
      </c>
      <c r="M114" s="22">
        <v>4455</v>
      </c>
      <c r="N114" s="22">
        <v>182</v>
      </c>
      <c r="O114" s="22">
        <v>182</v>
      </c>
    </row>
    <row r="115" spans="1:15" ht="12.75" customHeight="1">
      <c r="A115" s="20" t="s">
        <v>212</v>
      </c>
      <c r="B115" s="21" t="s">
        <v>213</v>
      </c>
      <c r="C115" s="22">
        <v>4404</v>
      </c>
      <c r="D115" s="22">
        <v>3701</v>
      </c>
      <c r="E115" s="22">
        <v>0</v>
      </c>
      <c r="F115" s="22">
        <f t="shared" si="25"/>
        <v>703</v>
      </c>
      <c r="G115" s="22">
        <v>15732</v>
      </c>
      <c r="H115" s="22">
        <v>11493</v>
      </c>
      <c r="I115" s="22">
        <v>0</v>
      </c>
      <c r="J115" s="22">
        <f t="shared" si="26"/>
        <v>4239</v>
      </c>
      <c r="K115" s="22">
        <v>777</v>
      </c>
      <c r="L115" s="22">
        <v>0</v>
      </c>
      <c r="M115" s="22">
        <v>3630</v>
      </c>
      <c r="N115" s="22">
        <v>382</v>
      </c>
      <c r="O115" s="22">
        <v>382</v>
      </c>
    </row>
    <row r="116" spans="1:15" ht="12.75" customHeight="1">
      <c r="A116" s="23"/>
      <c r="B116" s="24" t="s">
        <v>214</v>
      </c>
      <c r="C116" s="25">
        <f t="shared" ref="C116:O116" si="27">SUM(C110:C115)</f>
        <v>27745</v>
      </c>
      <c r="D116" s="25">
        <f t="shared" si="27"/>
        <v>20575</v>
      </c>
      <c r="E116" s="25">
        <f t="shared" si="27"/>
        <v>51</v>
      </c>
      <c r="F116" s="25">
        <f t="shared" si="27"/>
        <v>7119</v>
      </c>
      <c r="G116" s="25">
        <f t="shared" si="27"/>
        <v>108184</v>
      </c>
      <c r="H116" s="25">
        <f t="shared" si="27"/>
        <v>65735</v>
      </c>
      <c r="I116" s="25">
        <f t="shared" si="27"/>
        <v>851</v>
      </c>
      <c r="J116" s="25">
        <f t="shared" si="27"/>
        <v>41598</v>
      </c>
      <c r="K116" s="25">
        <f t="shared" si="27"/>
        <v>8147</v>
      </c>
      <c r="L116" s="25">
        <f t="shared" si="27"/>
        <v>0</v>
      </c>
      <c r="M116" s="25">
        <f t="shared" si="27"/>
        <v>31106</v>
      </c>
      <c r="N116" s="25">
        <f t="shared" si="27"/>
        <v>802</v>
      </c>
      <c r="O116" s="25">
        <f t="shared" si="27"/>
        <v>802</v>
      </c>
    </row>
    <row r="117" spans="1:15" ht="12.75" customHeight="1">
      <c r="A117" s="20" t="s">
        <v>215</v>
      </c>
      <c r="B117" s="21" t="s">
        <v>216</v>
      </c>
      <c r="C117" s="22">
        <v>1095</v>
      </c>
      <c r="D117" s="22">
        <v>758</v>
      </c>
      <c r="E117" s="22">
        <v>0</v>
      </c>
      <c r="F117" s="22">
        <f>SUM(C117-D117-E117)</f>
        <v>337</v>
      </c>
      <c r="G117" s="22">
        <v>4847</v>
      </c>
      <c r="H117" s="22">
        <v>2804</v>
      </c>
      <c r="I117" s="22">
        <v>0</v>
      </c>
      <c r="J117" s="22">
        <f>SUM(G117-H117-I117)</f>
        <v>2043</v>
      </c>
      <c r="K117" s="22">
        <v>12</v>
      </c>
      <c r="L117" s="22">
        <v>0</v>
      </c>
      <c r="M117" s="22">
        <v>3818</v>
      </c>
      <c r="N117" s="22">
        <v>90</v>
      </c>
      <c r="O117" s="22">
        <v>90</v>
      </c>
    </row>
    <row r="118" spans="1:15" ht="12.75" customHeight="1">
      <c r="A118" s="20" t="s">
        <v>217</v>
      </c>
      <c r="B118" s="21" t="s">
        <v>218</v>
      </c>
      <c r="C118" s="22">
        <v>2444</v>
      </c>
      <c r="D118" s="22">
        <v>1982</v>
      </c>
      <c r="E118" s="22">
        <v>28</v>
      </c>
      <c r="F118" s="22">
        <f>SUM(C118-D118-E118)</f>
        <v>434</v>
      </c>
      <c r="G118" s="22">
        <v>10359</v>
      </c>
      <c r="H118" s="22">
        <v>6043</v>
      </c>
      <c r="I118" s="22">
        <v>307</v>
      </c>
      <c r="J118" s="22">
        <f>SUM(G118-H118-I118)</f>
        <v>4009</v>
      </c>
      <c r="K118" s="22">
        <v>28</v>
      </c>
      <c r="L118" s="22">
        <v>0</v>
      </c>
      <c r="M118" s="22">
        <v>3018</v>
      </c>
      <c r="N118" s="22">
        <v>95</v>
      </c>
      <c r="O118" s="22">
        <v>95</v>
      </c>
    </row>
    <row r="119" spans="1:15" ht="12.75" customHeight="1">
      <c r="A119" s="23"/>
      <c r="B119" s="24" t="s">
        <v>219</v>
      </c>
      <c r="C119" s="25">
        <f t="shared" ref="C119:O119" si="28">SUM(C117:C118)</f>
        <v>3539</v>
      </c>
      <c r="D119" s="25">
        <f t="shared" si="28"/>
        <v>2740</v>
      </c>
      <c r="E119" s="25">
        <f t="shared" si="28"/>
        <v>28</v>
      </c>
      <c r="F119" s="25">
        <f t="shared" si="28"/>
        <v>771</v>
      </c>
      <c r="G119" s="25">
        <f t="shared" si="28"/>
        <v>15206</v>
      </c>
      <c r="H119" s="25">
        <f t="shared" si="28"/>
        <v>8847</v>
      </c>
      <c r="I119" s="25">
        <f t="shared" si="28"/>
        <v>307</v>
      </c>
      <c r="J119" s="25">
        <f t="shared" si="28"/>
        <v>6052</v>
      </c>
      <c r="K119" s="25">
        <f t="shared" si="28"/>
        <v>40</v>
      </c>
      <c r="L119" s="25">
        <f t="shared" si="28"/>
        <v>0</v>
      </c>
      <c r="M119" s="25">
        <f t="shared" si="28"/>
        <v>6836</v>
      </c>
      <c r="N119" s="25">
        <f t="shared" si="28"/>
        <v>185</v>
      </c>
      <c r="O119" s="25">
        <f t="shared" si="28"/>
        <v>185</v>
      </c>
    </row>
    <row r="120" spans="1:15" ht="12.75" customHeight="1">
      <c r="A120" s="20" t="s">
        <v>220</v>
      </c>
      <c r="B120" s="21" t="s">
        <v>221</v>
      </c>
      <c r="C120" s="22">
        <v>2598</v>
      </c>
      <c r="D120" s="22">
        <v>2297</v>
      </c>
      <c r="E120" s="22">
        <v>25</v>
      </c>
      <c r="F120" s="22">
        <f>SUM(C120-D120-E120)</f>
        <v>276</v>
      </c>
      <c r="G120" s="22">
        <v>9034</v>
      </c>
      <c r="H120" s="22">
        <v>7013</v>
      </c>
      <c r="I120" s="22">
        <v>288</v>
      </c>
      <c r="J120" s="22">
        <f>SUM(G120-H120-I120)</f>
        <v>1733</v>
      </c>
      <c r="K120" s="22">
        <v>578</v>
      </c>
      <c r="L120" s="22">
        <v>0</v>
      </c>
      <c r="M120" s="22">
        <v>900</v>
      </c>
      <c r="N120" s="22">
        <v>461</v>
      </c>
      <c r="O120" s="22">
        <v>461</v>
      </c>
    </row>
    <row r="121" spans="1:15" ht="12.75" customHeight="1">
      <c r="A121" s="20" t="s">
        <v>222</v>
      </c>
      <c r="B121" s="21" t="s">
        <v>223</v>
      </c>
      <c r="C121" s="22">
        <v>4247</v>
      </c>
      <c r="D121" s="22">
        <v>3905</v>
      </c>
      <c r="E121" s="22">
        <v>64</v>
      </c>
      <c r="F121" s="22">
        <f>SUM(C121-D121-E121)</f>
        <v>278</v>
      </c>
      <c r="G121" s="22">
        <v>16651</v>
      </c>
      <c r="H121" s="22">
        <v>12099</v>
      </c>
      <c r="I121" s="22">
        <v>574</v>
      </c>
      <c r="J121" s="22">
        <f>SUM(G121-H121-I121)</f>
        <v>3978</v>
      </c>
      <c r="K121" s="22">
        <v>99</v>
      </c>
      <c r="L121" s="22">
        <v>0</v>
      </c>
      <c r="M121" s="22">
        <v>1896</v>
      </c>
      <c r="N121" s="22">
        <v>12</v>
      </c>
      <c r="O121" s="22">
        <v>12</v>
      </c>
    </row>
    <row r="122" spans="1:15" ht="12.75" customHeight="1">
      <c r="A122" s="20" t="s">
        <v>224</v>
      </c>
      <c r="B122" s="21" t="s">
        <v>225</v>
      </c>
      <c r="C122" s="22">
        <v>734</v>
      </c>
      <c r="D122" s="22">
        <v>658</v>
      </c>
      <c r="E122" s="22">
        <v>0</v>
      </c>
      <c r="F122" s="22">
        <f>SUM(C122-D122-E122)</f>
        <v>76</v>
      </c>
      <c r="G122" s="22">
        <v>2694</v>
      </c>
      <c r="H122" s="22">
        <v>1823</v>
      </c>
      <c r="I122" s="22">
        <v>0</v>
      </c>
      <c r="J122" s="22">
        <f>SUM(G122-H122-I122)</f>
        <v>871</v>
      </c>
      <c r="K122" s="22">
        <v>23</v>
      </c>
      <c r="L122" s="22">
        <v>0</v>
      </c>
      <c r="M122" s="22">
        <v>1629</v>
      </c>
      <c r="N122" s="22">
        <v>12</v>
      </c>
      <c r="O122" s="22">
        <v>12</v>
      </c>
    </row>
    <row r="123" spans="1:15" ht="12.75" customHeight="1">
      <c r="A123" s="20" t="s">
        <v>226</v>
      </c>
      <c r="B123" s="21" t="s">
        <v>227</v>
      </c>
      <c r="C123" s="22">
        <v>4012</v>
      </c>
      <c r="D123" s="22">
        <v>3361</v>
      </c>
      <c r="E123" s="22">
        <v>33</v>
      </c>
      <c r="F123" s="22">
        <f>SUM(C123-D123-E123)</f>
        <v>618</v>
      </c>
      <c r="G123" s="22">
        <v>16344</v>
      </c>
      <c r="H123" s="22">
        <v>8943</v>
      </c>
      <c r="I123" s="22">
        <v>276</v>
      </c>
      <c r="J123" s="22">
        <f>SUM(G123-H123-I123)</f>
        <v>7125</v>
      </c>
      <c r="K123" s="22">
        <v>219</v>
      </c>
      <c r="L123" s="22">
        <v>0</v>
      </c>
      <c r="M123" s="22">
        <v>955</v>
      </c>
      <c r="N123" s="22">
        <v>54</v>
      </c>
      <c r="O123" s="22">
        <v>54</v>
      </c>
    </row>
    <row r="124" spans="1:15" ht="12.75" customHeight="1">
      <c r="A124" s="20" t="s">
        <v>228</v>
      </c>
      <c r="B124" s="21" t="s">
        <v>229</v>
      </c>
      <c r="C124" s="22">
        <v>1392</v>
      </c>
      <c r="D124" s="22">
        <v>1247</v>
      </c>
      <c r="E124" s="22">
        <v>38</v>
      </c>
      <c r="F124" s="22">
        <f>SUM(C124-D124-E124)</f>
        <v>107</v>
      </c>
      <c r="G124" s="22">
        <v>4444</v>
      </c>
      <c r="H124" s="22">
        <v>3169</v>
      </c>
      <c r="I124" s="22">
        <v>357</v>
      </c>
      <c r="J124" s="22">
        <f>SUM(G124-H124-I124)</f>
        <v>918</v>
      </c>
      <c r="K124" s="22">
        <v>80</v>
      </c>
      <c r="L124" s="22">
        <v>0</v>
      </c>
      <c r="M124" s="22">
        <v>94</v>
      </c>
      <c r="N124" s="22">
        <v>109</v>
      </c>
      <c r="O124" s="22">
        <v>109</v>
      </c>
    </row>
    <row r="125" spans="1:15" ht="12.75" customHeight="1">
      <c r="A125" s="23"/>
      <c r="B125" s="24" t="s">
        <v>230</v>
      </c>
      <c r="C125" s="25">
        <f t="shared" ref="C125:O125" si="29">SUM(C120:C124)</f>
        <v>12983</v>
      </c>
      <c r="D125" s="25">
        <f t="shared" si="29"/>
        <v>11468</v>
      </c>
      <c r="E125" s="25">
        <f t="shared" si="29"/>
        <v>160</v>
      </c>
      <c r="F125" s="25">
        <f t="shared" si="29"/>
        <v>1355</v>
      </c>
      <c r="G125" s="25">
        <f t="shared" si="29"/>
        <v>49167</v>
      </c>
      <c r="H125" s="25">
        <f t="shared" si="29"/>
        <v>33047</v>
      </c>
      <c r="I125" s="25">
        <f t="shared" si="29"/>
        <v>1495</v>
      </c>
      <c r="J125" s="25">
        <f t="shared" si="29"/>
        <v>14625</v>
      </c>
      <c r="K125" s="25">
        <f t="shared" si="29"/>
        <v>999</v>
      </c>
      <c r="L125" s="25">
        <f t="shared" si="29"/>
        <v>0</v>
      </c>
      <c r="M125" s="25">
        <f t="shared" si="29"/>
        <v>5474</v>
      </c>
      <c r="N125" s="25">
        <f t="shared" si="29"/>
        <v>648</v>
      </c>
      <c r="O125" s="25">
        <f t="shared" si="29"/>
        <v>648</v>
      </c>
    </row>
    <row r="126" spans="1:15" ht="12.75" customHeight="1">
      <c r="A126" s="20" t="s">
        <v>231</v>
      </c>
      <c r="B126" s="21" t="s">
        <v>232</v>
      </c>
      <c r="C126" s="22">
        <v>2982</v>
      </c>
      <c r="D126" s="22">
        <v>1993</v>
      </c>
      <c r="E126" s="22">
        <v>0</v>
      </c>
      <c r="F126" s="22">
        <f t="shared" ref="F126:F134" si="30">SUM(C126-D126-E126)</f>
        <v>989</v>
      </c>
      <c r="G126" s="22">
        <v>9838</v>
      </c>
      <c r="H126" s="22">
        <v>4923</v>
      </c>
      <c r="I126" s="22">
        <v>0</v>
      </c>
      <c r="J126" s="22">
        <f t="shared" ref="J126:J134" si="31">SUM(G126-H126-I126)</f>
        <v>4915</v>
      </c>
      <c r="K126" s="22">
        <v>84</v>
      </c>
      <c r="L126" s="22">
        <v>0</v>
      </c>
      <c r="M126" s="22">
        <v>1515</v>
      </c>
      <c r="N126" s="22">
        <v>371</v>
      </c>
      <c r="O126" s="22">
        <v>371</v>
      </c>
    </row>
    <row r="127" spans="1:15" ht="12.75" customHeight="1">
      <c r="A127" s="20" t="s">
        <v>233</v>
      </c>
      <c r="B127" s="21" t="s">
        <v>234</v>
      </c>
      <c r="C127" s="22">
        <v>1413</v>
      </c>
      <c r="D127" s="22">
        <v>1051</v>
      </c>
      <c r="E127" s="22">
        <v>0</v>
      </c>
      <c r="F127" s="22">
        <f t="shared" si="30"/>
        <v>362</v>
      </c>
      <c r="G127" s="22">
        <v>4934</v>
      </c>
      <c r="H127" s="22">
        <v>3227</v>
      </c>
      <c r="I127" s="22">
        <v>0</v>
      </c>
      <c r="J127" s="22">
        <f t="shared" si="31"/>
        <v>1707</v>
      </c>
      <c r="K127" s="22">
        <v>56</v>
      </c>
      <c r="L127" s="22">
        <v>0</v>
      </c>
      <c r="M127" s="22">
        <v>941</v>
      </c>
      <c r="N127" s="22">
        <v>27</v>
      </c>
      <c r="O127" s="22">
        <v>27</v>
      </c>
    </row>
    <row r="128" spans="1:15" ht="12.75" customHeight="1">
      <c r="A128" s="20" t="s">
        <v>235</v>
      </c>
      <c r="B128" s="21" t="s">
        <v>236</v>
      </c>
      <c r="C128" s="22">
        <v>8484</v>
      </c>
      <c r="D128" s="22">
        <v>5543</v>
      </c>
      <c r="E128" s="22">
        <v>147</v>
      </c>
      <c r="F128" s="22">
        <f t="shared" si="30"/>
        <v>2794</v>
      </c>
      <c r="G128" s="22">
        <v>21093</v>
      </c>
      <c r="H128" s="22">
        <v>12631</v>
      </c>
      <c r="I128" s="22">
        <v>714</v>
      </c>
      <c r="J128" s="22">
        <f t="shared" si="31"/>
        <v>7748</v>
      </c>
      <c r="K128" s="22">
        <v>492</v>
      </c>
      <c r="L128" s="22">
        <v>0</v>
      </c>
      <c r="M128" s="22">
        <v>2138</v>
      </c>
      <c r="N128" s="22">
        <v>182</v>
      </c>
      <c r="O128" s="22">
        <v>182</v>
      </c>
    </row>
    <row r="129" spans="1:15" ht="12.75" customHeight="1">
      <c r="A129" s="20" t="s">
        <v>237</v>
      </c>
      <c r="B129" s="21" t="s">
        <v>238</v>
      </c>
      <c r="C129" s="22">
        <v>1114</v>
      </c>
      <c r="D129" s="22">
        <v>637</v>
      </c>
      <c r="E129" s="22">
        <v>38</v>
      </c>
      <c r="F129" s="22">
        <f t="shared" si="30"/>
        <v>439</v>
      </c>
      <c r="G129" s="22">
        <v>4114</v>
      </c>
      <c r="H129" s="22">
        <v>1657</v>
      </c>
      <c r="I129" s="22">
        <v>347</v>
      </c>
      <c r="J129" s="22">
        <f t="shared" si="31"/>
        <v>2110</v>
      </c>
      <c r="K129" s="22">
        <v>55</v>
      </c>
      <c r="L129" s="22">
        <v>0</v>
      </c>
      <c r="M129" s="22">
        <v>2463</v>
      </c>
      <c r="N129" s="22">
        <v>0</v>
      </c>
      <c r="O129" s="22">
        <v>0</v>
      </c>
    </row>
    <row r="130" spans="1:15" ht="12.75" customHeight="1">
      <c r="A130" s="20" t="s">
        <v>239</v>
      </c>
      <c r="B130" s="21" t="s">
        <v>240</v>
      </c>
      <c r="C130" s="22">
        <v>5539</v>
      </c>
      <c r="D130" s="22">
        <v>4379</v>
      </c>
      <c r="E130" s="22">
        <v>266</v>
      </c>
      <c r="F130" s="22">
        <f t="shared" si="30"/>
        <v>894</v>
      </c>
      <c r="G130" s="22">
        <v>15355</v>
      </c>
      <c r="H130" s="22">
        <v>7858</v>
      </c>
      <c r="I130" s="22">
        <v>1282</v>
      </c>
      <c r="J130" s="22">
        <f t="shared" si="31"/>
        <v>6215</v>
      </c>
      <c r="K130" s="22">
        <v>275</v>
      </c>
      <c r="L130" s="22">
        <v>0</v>
      </c>
      <c r="M130" s="22">
        <v>108</v>
      </c>
      <c r="N130" s="22">
        <v>475</v>
      </c>
      <c r="O130" s="22">
        <v>475</v>
      </c>
    </row>
    <row r="131" spans="1:15" ht="12.75" customHeight="1">
      <c r="A131" s="20" t="s">
        <v>241</v>
      </c>
      <c r="B131" s="21" t="s">
        <v>242</v>
      </c>
      <c r="C131" s="22">
        <v>10293</v>
      </c>
      <c r="D131" s="22">
        <v>8507</v>
      </c>
      <c r="E131" s="22">
        <v>48</v>
      </c>
      <c r="F131" s="22">
        <f t="shared" si="30"/>
        <v>1738</v>
      </c>
      <c r="G131" s="22">
        <v>33921</v>
      </c>
      <c r="H131" s="22">
        <v>14758</v>
      </c>
      <c r="I131" s="22">
        <v>343</v>
      </c>
      <c r="J131" s="22">
        <f t="shared" si="31"/>
        <v>18820</v>
      </c>
      <c r="K131" s="22">
        <v>828</v>
      </c>
      <c r="L131" s="22">
        <v>668</v>
      </c>
      <c r="M131" s="22">
        <v>1593</v>
      </c>
      <c r="N131" s="22">
        <v>470</v>
      </c>
      <c r="O131" s="22">
        <v>470</v>
      </c>
    </row>
    <row r="132" spans="1:15" ht="12.75" customHeight="1">
      <c r="A132" s="20" t="s">
        <v>243</v>
      </c>
      <c r="B132" s="21" t="s">
        <v>244</v>
      </c>
      <c r="C132" s="22">
        <v>4488</v>
      </c>
      <c r="D132" s="22">
        <v>3659</v>
      </c>
      <c r="E132" s="22">
        <v>0</v>
      </c>
      <c r="F132" s="22">
        <f t="shared" si="30"/>
        <v>829</v>
      </c>
      <c r="G132" s="22">
        <v>13520</v>
      </c>
      <c r="H132" s="22">
        <v>7910</v>
      </c>
      <c r="I132" s="22">
        <v>0</v>
      </c>
      <c r="J132" s="22">
        <f t="shared" si="31"/>
        <v>5610</v>
      </c>
      <c r="K132" s="22">
        <v>777</v>
      </c>
      <c r="L132" s="22">
        <v>0</v>
      </c>
      <c r="M132" s="22">
        <v>1386</v>
      </c>
      <c r="N132" s="22">
        <v>33</v>
      </c>
      <c r="O132" s="22">
        <v>33</v>
      </c>
    </row>
    <row r="133" spans="1:15" ht="12.75" customHeight="1">
      <c r="A133" s="20" t="s">
        <v>245</v>
      </c>
      <c r="B133" s="21" t="s">
        <v>246</v>
      </c>
      <c r="C133" s="22">
        <v>4597</v>
      </c>
      <c r="D133" s="22">
        <v>3962</v>
      </c>
      <c r="E133" s="22">
        <v>12</v>
      </c>
      <c r="F133" s="22">
        <f t="shared" si="30"/>
        <v>623</v>
      </c>
      <c r="G133" s="22">
        <v>14097</v>
      </c>
      <c r="H133" s="22">
        <v>9490</v>
      </c>
      <c r="I133" s="22">
        <v>17</v>
      </c>
      <c r="J133" s="22">
        <f t="shared" si="31"/>
        <v>4590</v>
      </c>
      <c r="K133" s="22">
        <v>325</v>
      </c>
      <c r="L133" s="22">
        <v>0</v>
      </c>
      <c r="M133" s="22">
        <v>1188</v>
      </c>
      <c r="N133" s="22">
        <v>80</v>
      </c>
      <c r="O133" s="22">
        <v>80</v>
      </c>
    </row>
    <row r="134" spans="1:15" ht="12.75" customHeight="1">
      <c r="A134" s="20" t="s">
        <v>247</v>
      </c>
      <c r="B134" s="21" t="s">
        <v>248</v>
      </c>
      <c r="C134" s="22">
        <v>2485</v>
      </c>
      <c r="D134" s="22">
        <v>1918</v>
      </c>
      <c r="E134" s="22">
        <v>0</v>
      </c>
      <c r="F134" s="22">
        <f t="shared" si="30"/>
        <v>567</v>
      </c>
      <c r="G134" s="22">
        <v>7443</v>
      </c>
      <c r="H134" s="22">
        <v>4098</v>
      </c>
      <c r="I134" s="22">
        <v>0</v>
      </c>
      <c r="J134" s="22">
        <f t="shared" si="31"/>
        <v>3345</v>
      </c>
      <c r="K134" s="22">
        <v>32</v>
      </c>
      <c r="L134" s="22">
        <v>0</v>
      </c>
      <c r="M134" s="22">
        <v>1736</v>
      </c>
      <c r="N134" s="22">
        <v>75</v>
      </c>
      <c r="O134" s="22">
        <v>75</v>
      </c>
    </row>
    <row r="135" spans="1:15" ht="12.75" customHeight="1">
      <c r="A135" s="26"/>
      <c r="B135" s="24" t="s">
        <v>249</v>
      </c>
      <c r="C135" s="25">
        <f t="shared" ref="C135:O135" si="32">SUM(C126:C134)</f>
        <v>41395</v>
      </c>
      <c r="D135" s="25">
        <f t="shared" si="32"/>
        <v>31649</v>
      </c>
      <c r="E135" s="25">
        <f t="shared" si="32"/>
        <v>511</v>
      </c>
      <c r="F135" s="25">
        <f t="shared" si="32"/>
        <v>9235</v>
      </c>
      <c r="G135" s="25">
        <f t="shared" si="32"/>
        <v>124315</v>
      </c>
      <c r="H135" s="25">
        <f t="shared" si="32"/>
        <v>66552</v>
      </c>
      <c r="I135" s="25">
        <f t="shared" si="32"/>
        <v>2703</v>
      </c>
      <c r="J135" s="25">
        <f t="shared" si="32"/>
        <v>55060</v>
      </c>
      <c r="K135" s="25">
        <f t="shared" si="32"/>
        <v>2924</v>
      </c>
      <c r="L135" s="25">
        <f t="shared" si="32"/>
        <v>668</v>
      </c>
      <c r="M135" s="25">
        <f t="shared" si="32"/>
        <v>13068</v>
      </c>
      <c r="N135" s="25">
        <f t="shared" si="32"/>
        <v>1713</v>
      </c>
      <c r="O135" s="25">
        <f t="shared" si="32"/>
        <v>1713</v>
      </c>
    </row>
    <row r="136" spans="1:15" ht="12.75" customHeight="1">
      <c r="A136" s="20" t="s">
        <v>250</v>
      </c>
      <c r="B136" s="21" t="s">
        <v>251</v>
      </c>
      <c r="C136" s="22">
        <v>6186</v>
      </c>
      <c r="D136" s="22">
        <v>5640</v>
      </c>
      <c r="E136" s="22">
        <v>0</v>
      </c>
      <c r="F136" s="22">
        <f t="shared" ref="F136:F143" si="33">SUM(C136-D136-E136)</f>
        <v>546</v>
      </c>
      <c r="G136" s="22">
        <v>15806</v>
      </c>
      <c r="H136" s="22">
        <v>12166</v>
      </c>
      <c r="I136" s="22">
        <v>0</v>
      </c>
      <c r="J136" s="22">
        <f t="shared" ref="J136:J143" si="34">SUM(G136-H136-I136)</f>
        <v>3640</v>
      </c>
      <c r="K136" s="22">
        <v>3185</v>
      </c>
      <c r="L136" s="22">
        <v>1097</v>
      </c>
      <c r="M136" s="22">
        <v>2144</v>
      </c>
      <c r="N136" s="22">
        <v>2117</v>
      </c>
      <c r="O136" s="22">
        <v>2117</v>
      </c>
    </row>
    <row r="137" spans="1:15" ht="12.75" customHeight="1">
      <c r="A137" s="20" t="s">
        <v>252</v>
      </c>
      <c r="B137" s="21" t="s">
        <v>253</v>
      </c>
      <c r="C137" s="22">
        <v>821</v>
      </c>
      <c r="D137" s="22">
        <v>821</v>
      </c>
      <c r="E137" s="22">
        <v>0</v>
      </c>
      <c r="F137" s="22">
        <f t="shared" si="33"/>
        <v>0</v>
      </c>
      <c r="G137" s="22">
        <v>2087</v>
      </c>
      <c r="H137" s="22">
        <v>2084</v>
      </c>
      <c r="I137" s="22">
        <v>0</v>
      </c>
      <c r="J137" s="22">
        <f t="shared" si="34"/>
        <v>3</v>
      </c>
      <c r="K137" s="22">
        <v>47</v>
      </c>
      <c r="L137" s="22">
        <v>0</v>
      </c>
      <c r="M137" s="22">
        <v>0</v>
      </c>
      <c r="N137" s="22">
        <v>147</v>
      </c>
      <c r="O137" s="22">
        <v>147</v>
      </c>
    </row>
    <row r="138" spans="1:15" ht="12.75" customHeight="1">
      <c r="A138" s="20" t="s">
        <v>254</v>
      </c>
      <c r="B138" s="21" t="s">
        <v>255</v>
      </c>
      <c r="C138" s="22">
        <v>585</v>
      </c>
      <c r="D138" s="22">
        <v>585</v>
      </c>
      <c r="E138" s="22">
        <v>0</v>
      </c>
      <c r="F138" s="22">
        <f t="shared" si="33"/>
        <v>0</v>
      </c>
      <c r="G138" s="22">
        <v>1920</v>
      </c>
      <c r="H138" s="22">
        <v>1889</v>
      </c>
      <c r="I138" s="22">
        <v>0</v>
      </c>
      <c r="J138" s="22">
        <f t="shared" si="34"/>
        <v>31</v>
      </c>
      <c r="K138" s="22">
        <v>359</v>
      </c>
      <c r="L138" s="22">
        <v>0</v>
      </c>
      <c r="M138" s="22">
        <v>933</v>
      </c>
      <c r="N138" s="22">
        <v>339</v>
      </c>
      <c r="O138" s="22">
        <v>339</v>
      </c>
    </row>
    <row r="139" spans="1:15" ht="12.75" customHeight="1">
      <c r="A139" s="20" t="s">
        <v>256</v>
      </c>
      <c r="B139" s="21" t="s">
        <v>257</v>
      </c>
      <c r="C139" s="22">
        <v>1481</v>
      </c>
      <c r="D139" s="22">
        <v>1334</v>
      </c>
      <c r="E139" s="22">
        <v>0</v>
      </c>
      <c r="F139" s="22">
        <f t="shared" si="33"/>
        <v>147</v>
      </c>
      <c r="G139" s="22">
        <v>4725</v>
      </c>
      <c r="H139" s="22">
        <v>3886</v>
      </c>
      <c r="I139" s="22">
        <v>0</v>
      </c>
      <c r="J139" s="22">
        <f t="shared" si="34"/>
        <v>839</v>
      </c>
      <c r="K139" s="22">
        <v>2026</v>
      </c>
      <c r="L139" s="22">
        <v>601</v>
      </c>
      <c r="M139" s="22">
        <v>1435</v>
      </c>
      <c r="N139" s="22">
        <v>96</v>
      </c>
      <c r="O139" s="22">
        <v>96</v>
      </c>
    </row>
    <row r="140" spans="1:15" ht="12.75" customHeight="1">
      <c r="A140" s="20" t="s">
        <v>258</v>
      </c>
      <c r="B140" s="21" t="s">
        <v>259</v>
      </c>
      <c r="C140" s="22">
        <v>304</v>
      </c>
      <c r="D140" s="22">
        <v>302</v>
      </c>
      <c r="E140" s="22">
        <v>0</v>
      </c>
      <c r="F140" s="22">
        <f t="shared" si="33"/>
        <v>2</v>
      </c>
      <c r="G140" s="22">
        <v>724</v>
      </c>
      <c r="H140" s="22">
        <v>715</v>
      </c>
      <c r="I140" s="22">
        <v>0</v>
      </c>
      <c r="J140" s="22">
        <f t="shared" si="34"/>
        <v>9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</row>
    <row r="141" spans="1:15" ht="12.75" customHeight="1">
      <c r="A141" s="20" t="s">
        <v>260</v>
      </c>
      <c r="B141" s="21" t="s">
        <v>261</v>
      </c>
      <c r="C141" s="22">
        <v>1486</v>
      </c>
      <c r="D141" s="22">
        <v>1428</v>
      </c>
      <c r="E141" s="22">
        <v>0</v>
      </c>
      <c r="F141" s="22">
        <f t="shared" si="33"/>
        <v>58</v>
      </c>
      <c r="G141" s="22">
        <v>3661</v>
      </c>
      <c r="H141" s="22">
        <v>3363</v>
      </c>
      <c r="I141" s="22">
        <v>0</v>
      </c>
      <c r="J141" s="22">
        <f t="shared" si="34"/>
        <v>298</v>
      </c>
      <c r="K141" s="22">
        <v>18</v>
      </c>
      <c r="L141" s="22">
        <v>0</v>
      </c>
      <c r="M141" s="22">
        <v>70</v>
      </c>
      <c r="N141" s="22">
        <v>206</v>
      </c>
      <c r="O141" s="22">
        <v>206</v>
      </c>
    </row>
    <row r="142" spans="1:15" ht="12.75" customHeight="1">
      <c r="A142" s="20" t="s">
        <v>262</v>
      </c>
      <c r="B142" s="21" t="s">
        <v>263</v>
      </c>
      <c r="C142" s="22">
        <v>1453</v>
      </c>
      <c r="D142" s="22">
        <v>1114</v>
      </c>
      <c r="E142" s="22">
        <v>0</v>
      </c>
      <c r="F142" s="22">
        <f t="shared" si="33"/>
        <v>339</v>
      </c>
      <c r="G142" s="22">
        <v>4959</v>
      </c>
      <c r="H142" s="22">
        <v>3974</v>
      </c>
      <c r="I142" s="22">
        <v>0</v>
      </c>
      <c r="J142" s="22">
        <f t="shared" si="34"/>
        <v>985</v>
      </c>
      <c r="K142" s="22">
        <v>1385</v>
      </c>
      <c r="L142" s="22">
        <v>0</v>
      </c>
      <c r="M142" s="22">
        <v>1706</v>
      </c>
      <c r="N142" s="22">
        <v>732</v>
      </c>
      <c r="O142" s="22">
        <v>732</v>
      </c>
    </row>
    <row r="143" spans="1:15" ht="12.75" customHeight="1">
      <c r="A143" s="20" t="s">
        <v>264</v>
      </c>
      <c r="B143" s="21" t="s">
        <v>265</v>
      </c>
      <c r="C143" s="22">
        <v>3707</v>
      </c>
      <c r="D143" s="22">
        <v>3016</v>
      </c>
      <c r="E143" s="22">
        <v>0</v>
      </c>
      <c r="F143" s="22">
        <f t="shared" si="33"/>
        <v>691</v>
      </c>
      <c r="G143" s="22">
        <v>13094</v>
      </c>
      <c r="H143" s="22">
        <v>6034</v>
      </c>
      <c r="I143" s="22">
        <v>0</v>
      </c>
      <c r="J143" s="22">
        <f t="shared" si="34"/>
        <v>7060</v>
      </c>
      <c r="K143" s="22">
        <v>7926</v>
      </c>
      <c r="L143" s="22">
        <v>0</v>
      </c>
      <c r="M143" s="22">
        <v>2597</v>
      </c>
      <c r="N143" s="22">
        <v>580</v>
      </c>
      <c r="O143" s="22">
        <v>580</v>
      </c>
    </row>
    <row r="144" spans="1:15" ht="14.7" customHeight="1">
      <c r="A144" s="20" t="s">
        <v>266</v>
      </c>
      <c r="B144" s="21" t="s">
        <v>267</v>
      </c>
      <c r="C144" s="22">
        <v>0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</row>
    <row r="145" spans="1:15" ht="14.7" customHeight="1">
      <c r="A145" s="26"/>
      <c r="B145" s="24" t="s">
        <v>268</v>
      </c>
      <c r="C145" s="28">
        <f t="shared" ref="C145:O145" si="35">SUM(C136:C144)</f>
        <v>16023</v>
      </c>
      <c r="D145" s="28">
        <f t="shared" si="35"/>
        <v>14240</v>
      </c>
      <c r="E145" s="28">
        <f t="shared" si="35"/>
        <v>0</v>
      </c>
      <c r="F145" s="28">
        <f t="shared" si="35"/>
        <v>1783</v>
      </c>
      <c r="G145" s="28">
        <f t="shared" si="35"/>
        <v>46976</v>
      </c>
      <c r="H145" s="28">
        <f t="shared" si="35"/>
        <v>34111</v>
      </c>
      <c r="I145" s="28">
        <f t="shared" si="35"/>
        <v>0</v>
      </c>
      <c r="J145" s="28">
        <f t="shared" si="35"/>
        <v>12865</v>
      </c>
      <c r="K145" s="28">
        <f t="shared" si="35"/>
        <v>14946</v>
      </c>
      <c r="L145" s="28">
        <f t="shared" si="35"/>
        <v>1698</v>
      </c>
      <c r="M145" s="28">
        <f t="shared" si="35"/>
        <v>8885</v>
      </c>
      <c r="N145" s="28">
        <f t="shared" si="35"/>
        <v>4217</v>
      </c>
      <c r="O145" s="28">
        <f t="shared" si="35"/>
        <v>4217</v>
      </c>
    </row>
    <row r="146" spans="1:15" ht="14.7" customHeight="1">
      <c r="A146" s="29" t="s">
        <v>269</v>
      </c>
      <c r="B146" s="30" t="s">
        <v>270</v>
      </c>
      <c r="C146" s="31">
        <f t="shared" ref="C146:O146" si="36">C145+C135+C125+C119+C116+C109+C103+C98+C95+C89+C86+C80+C69+C59+C51+C46+C43+C30+C25+C23</f>
        <v>558188</v>
      </c>
      <c r="D146" s="31">
        <f t="shared" si="36"/>
        <v>398813</v>
      </c>
      <c r="E146" s="31">
        <f t="shared" si="36"/>
        <v>10946</v>
      </c>
      <c r="F146" s="31">
        <f t="shared" si="36"/>
        <v>148429</v>
      </c>
      <c r="G146" s="31">
        <f t="shared" si="36"/>
        <v>1876050</v>
      </c>
      <c r="H146" s="31">
        <f t="shared" si="36"/>
        <v>949826</v>
      </c>
      <c r="I146" s="31">
        <f t="shared" si="36"/>
        <v>67755</v>
      </c>
      <c r="J146" s="31">
        <f t="shared" si="36"/>
        <v>858469</v>
      </c>
      <c r="K146" s="31">
        <f t="shared" si="36"/>
        <v>130824</v>
      </c>
      <c r="L146" s="31">
        <f t="shared" si="36"/>
        <v>2725</v>
      </c>
      <c r="M146" s="31">
        <f t="shared" si="36"/>
        <v>184104</v>
      </c>
      <c r="N146" s="31">
        <f t="shared" si="36"/>
        <v>79242</v>
      </c>
      <c r="O146" s="31">
        <f t="shared" si="36"/>
        <v>35819</v>
      </c>
    </row>
  </sheetData>
  <sheetProtection selectLockedCells="1" selectUnlockedCells="1"/>
  <mergeCells count="29">
    <mergeCell ref="N12:N13"/>
    <mergeCell ref="H12:H13"/>
    <mergeCell ref="I12:I13"/>
    <mergeCell ref="J12:J13"/>
    <mergeCell ref="K12:K13"/>
    <mergeCell ref="L12:L13"/>
    <mergeCell ref="M12:M13"/>
    <mergeCell ref="A12:A13"/>
    <mergeCell ref="B12:B13"/>
    <mergeCell ref="C12:C13"/>
    <mergeCell ref="D12:E12"/>
    <mergeCell ref="F12:F13"/>
    <mergeCell ref="G12:G13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:D1"/>
    <mergeCell ref="E1:L1"/>
    <mergeCell ref="A2:D2"/>
    <mergeCell ref="A3:C3"/>
    <mergeCell ref="E3:L3"/>
    <mergeCell ref="A4:C4"/>
    <mergeCell ref="E4:L4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6"/>
  <sheetViews>
    <sheetView tabSelected="1" workbookViewId="0">
      <selection activeCell="C146" sqref="C146:O146"/>
    </sheetView>
  </sheetViews>
  <sheetFormatPr defaultRowHeight="12.75" customHeight="1"/>
  <cols>
    <col min="1" max="1" width="8.77734375" style="1" customWidth="1"/>
    <col min="2" max="2" width="26.44140625" style="2" customWidth="1"/>
    <col min="3" max="3" width="11.44140625" style="2" customWidth="1"/>
    <col min="4" max="4" width="10.6640625" style="2" customWidth="1"/>
    <col min="5" max="5" width="13" style="2" customWidth="1"/>
    <col min="6" max="6" width="11.6640625" style="2" customWidth="1"/>
    <col min="7" max="7" width="10.109375" style="2" customWidth="1"/>
    <col min="8" max="8" width="13.88671875" style="2" customWidth="1"/>
    <col min="9" max="9" width="12.33203125" style="2" customWidth="1"/>
    <col min="10" max="10" width="12.5546875" style="2" customWidth="1"/>
    <col min="11" max="11" width="18.33203125" style="2" customWidth="1"/>
    <col min="12" max="12" width="17.44140625" style="2" customWidth="1"/>
    <col min="13" max="13" width="16" style="2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8" t="s">
        <v>0</v>
      </c>
      <c r="B1" s="38"/>
      <c r="C1" s="38"/>
      <c r="D1" s="38"/>
      <c r="E1" s="39" t="s">
        <v>1</v>
      </c>
      <c r="F1" s="39"/>
      <c r="G1" s="39"/>
      <c r="H1" s="39"/>
      <c r="I1" s="39"/>
      <c r="J1" s="39"/>
      <c r="K1" s="39"/>
      <c r="L1" s="39"/>
      <c r="M1" s="3"/>
      <c r="N1" s="5"/>
      <c r="O1" s="5"/>
    </row>
    <row r="2" spans="1:15" ht="12" customHeight="1">
      <c r="A2" s="40" t="s">
        <v>271</v>
      </c>
      <c r="B2" s="40"/>
      <c r="C2" s="40"/>
      <c r="D2" s="40"/>
      <c r="E2" s="4"/>
      <c r="F2" s="6"/>
      <c r="G2" s="6"/>
      <c r="H2" s="6"/>
      <c r="I2" s="5"/>
      <c r="J2" s="5"/>
      <c r="K2" s="5"/>
      <c r="L2" s="5"/>
      <c r="M2" s="7"/>
      <c r="N2" s="5"/>
      <c r="O2" s="5"/>
    </row>
    <row r="3" spans="1:15" ht="10.5" customHeight="1">
      <c r="A3" s="40"/>
      <c r="B3" s="40"/>
      <c r="C3" s="40"/>
      <c r="D3" s="3"/>
      <c r="E3" s="38" t="s">
        <v>3</v>
      </c>
      <c r="F3" s="38"/>
      <c r="G3" s="38"/>
      <c r="H3" s="38"/>
      <c r="I3" s="38"/>
      <c r="J3" s="38"/>
      <c r="K3" s="38"/>
      <c r="L3" s="38"/>
      <c r="M3" s="5"/>
      <c r="N3" s="5"/>
      <c r="O3" s="5"/>
    </row>
    <row r="4" spans="1:15" ht="12.75" customHeight="1">
      <c r="A4" s="40"/>
      <c r="B4" s="40"/>
      <c r="C4" s="40"/>
      <c r="D4" s="3"/>
      <c r="E4" s="40" t="s">
        <v>4</v>
      </c>
      <c r="F4" s="40"/>
      <c r="G4" s="40"/>
      <c r="H4" s="40"/>
      <c r="I4" s="40"/>
      <c r="J4" s="40"/>
      <c r="K4" s="40"/>
      <c r="L4" s="40"/>
      <c r="M4" s="5"/>
      <c r="N4" s="5"/>
      <c r="O4" s="5"/>
    </row>
    <row r="5" spans="1:15" ht="15" customHeight="1">
      <c r="A5" s="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32.25" customHeight="1">
      <c r="A6" s="41" t="s">
        <v>5</v>
      </c>
      <c r="B6" s="41"/>
      <c r="C6" s="41"/>
      <c r="D6" s="41"/>
      <c r="E6" s="8"/>
      <c r="F6" s="5"/>
      <c r="G6" s="5"/>
      <c r="H6" s="5"/>
      <c r="I6" s="40"/>
      <c r="J6" s="40"/>
      <c r="K6" s="40"/>
      <c r="L6" s="40"/>
      <c r="M6" s="40"/>
      <c r="N6" s="5"/>
      <c r="O6" s="5"/>
    </row>
    <row r="7" spans="1:15" ht="15" customHeight="1">
      <c r="A7" s="9"/>
      <c r="B7" s="9"/>
      <c r="C7" s="9"/>
      <c r="D7" s="9"/>
      <c r="E7" s="8"/>
      <c r="F7" s="5"/>
      <c r="G7" s="5"/>
      <c r="H7" s="5"/>
      <c r="I7" s="5"/>
      <c r="J7" s="5"/>
      <c r="K7" s="5"/>
      <c r="L7" s="40" t="s">
        <v>6</v>
      </c>
      <c r="M7" s="40"/>
      <c r="N7" s="40"/>
      <c r="O7" s="40"/>
    </row>
    <row r="8" spans="1:15" ht="15" customHeight="1">
      <c r="A8" s="9"/>
      <c r="B8" s="9"/>
      <c r="C8" s="9"/>
      <c r="D8" s="9"/>
      <c r="E8" s="8"/>
      <c r="F8" s="5"/>
      <c r="G8" s="5"/>
      <c r="H8" s="5"/>
      <c r="I8" s="5"/>
      <c r="J8" s="5"/>
      <c r="K8" s="5"/>
      <c r="L8" s="40" t="s">
        <v>272</v>
      </c>
      <c r="M8" s="40"/>
      <c r="N8" s="40"/>
      <c r="O8" s="40"/>
    </row>
    <row r="9" spans="1:15" ht="15" customHeight="1">
      <c r="A9" s="9"/>
      <c r="B9" s="9"/>
      <c r="C9" s="9"/>
      <c r="D9" s="9"/>
      <c r="E9" s="8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6.75" customHeight="1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s="10" customFormat="1" ht="17.25" customHeight="1">
      <c r="A11" s="51" t="s">
        <v>8</v>
      </c>
      <c r="B11" s="51"/>
      <c r="C11" s="52" t="s">
        <v>9</v>
      </c>
      <c r="D11" s="52"/>
      <c r="E11" s="52"/>
      <c r="F11" s="52"/>
      <c r="G11" s="52" t="s">
        <v>10</v>
      </c>
      <c r="H11" s="52"/>
      <c r="I11" s="52"/>
      <c r="J11" s="52"/>
      <c r="K11" s="53" t="s">
        <v>11</v>
      </c>
      <c r="L11" s="53"/>
      <c r="M11" s="53"/>
      <c r="N11" s="52" t="s">
        <v>12</v>
      </c>
      <c r="O11" s="52"/>
    </row>
    <row r="12" spans="1:15" ht="12.75" customHeight="1">
      <c r="A12" s="45" t="s">
        <v>13</v>
      </c>
      <c r="B12" s="54" t="s">
        <v>14</v>
      </c>
      <c r="C12" s="55" t="s">
        <v>15</v>
      </c>
      <c r="D12" s="56" t="s">
        <v>16</v>
      </c>
      <c r="E12" s="56"/>
      <c r="F12" s="55" t="s">
        <v>17</v>
      </c>
      <c r="G12" s="52" t="s">
        <v>15</v>
      </c>
      <c r="H12" s="57" t="s">
        <v>18</v>
      </c>
      <c r="I12" s="52" t="s">
        <v>19</v>
      </c>
      <c r="J12" s="52" t="s">
        <v>20</v>
      </c>
      <c r="K12" s="57" t="s">
        <v>21</v>
      </c>
      <c r="L12" s="57" t="s">
        <v>22</v>
      </c>
      <c r="M12" s="57" t="s">
        <v>23</v>
      </c>
      <c r="N12" s="58" t="s">
        <v>15</v>
      </c>
      <c r="O12" s="32" t="s">
        <v>24</v>
      </c>
    </row>
    <row r="13" spans="1:15" ht="12.75" customHeight="1">
      <c r="A13" s="45"/>
      <c r="B13" s="54"/>
      <c r="C13" s="55"/>
      <c r="D13" s="33" t="s">
        <v>25</v>
      </c>
      <c r="E13" s="14" t="s">
        <v>19</v>
      </c>
      <c r="F13" s="55"/>
      <c r="G13" s="52"/>
      <c r="H13" s="57"/>
      <c r="I13" s="52"/>
      <c r="J13" s="52"/>
      <c r="K13" s="57"/>
      <c r="L13" s="57"/>
      <c r="M13" s="57"/>
      <c r="N13" s="58"/>
      <c r="O13" s="14" t="s">
        <v>26</v>
      </c>
    </row>
    <row r="14" spans="1:15" s="19" customFormat="1" ht="10.5" customHeight="1">
      <c r="A14" s="34">
        <v>1</v>
      </c>
      <c r="B14" s="35">
        <v>2</v>
      </c>
      <c r="C14" s="36">
        <v>3</v>
      </c>
      <c r="D14" s="37">
        <v>4</v>
      </c>
      <c r="E14" s="36">
        <v>5</v>
      </c>
      <c r="F14" s="36">
        <v>6</v>
      </c>
      <c r="G14" s="36">
        <v>7</v>
      </c>
      <c r="H14" s="36">
        <v>8</v>
      </c>
      <c r="I14" s="36">
        <v>9</v>
      </c>
      <c r="J14" s="36">
        <v>10</v>
      </c>
      <c r="K14" s="36">
        <v>11</v>
      </c>
      <c r="L14" s="36">
        <v>12</v>
      </c>
      <c r="M14" s="36">
        <v>13</v>
      </c>
      <c r="N14" s="36">
        <v>14</v>
      </c>
      <c r="O14" s="35">
        <v>15</v>
      </c>
    </row>
    <row r="15" spans="1:15" ht="12.75" customHeight="1">
      <c r="A15" s="20" t="s">
        <v>27</v>
      </c>
      <c r="B15" s="21" t="s">
        <v>28</v>
      </c>
      <c r="C15" s="22">
        <v>52425</v>
      </c>
      <c r="D15" s="22">
        <v>37314</v>
      </c>
      <c r="E15" s="22">
        <v>5551</v>
      </c>
      <c r="F15" s="22">
        <f t="shared" ref="F15:F22" si="0">SUM(C15-D15-E15)</f>
        <v>9560</v>
      </c>
      <c r="G15" s="22">
        <v>254118</v>
      </c>
      <c r="H15" s="22">
        <v>104259</v>
      </c>
      <c r="I15" s="22">
        <v>29625</v>
      </c>
      <c r="J15" s="22">
        <f t="shared" ref="J15:J22" si="1">SUM(G15-H15-I15)</f>
        <v>120234</v>
      </c>
      <c r="K15" s="22">
        <v>12106</v>
      </c>
      <c r="L15" s="22">
        <v>0</v>
      </c>
      <c r="M15" s="22">
        <v>33390</v>
      </c>
      <c r="N15" s="22">
        <v>8603</v>
      </c>
      <c r="O15" s="22">
        <v>7877</v>
      </c>
    </row>
    <row r="16" spans="1:15" ht="12.75" customHeight="1">
      <c r="A16" s="20" t="s">
        <v>29</v>
      </c>
      <c r="B16" s="21" t="s">
        <v>30</v>
      </c>
      <c r="C16" s="22">
        <v>34458</v>
      </c>
      <c r="D16" s="22">
        <v>15434</v>
      </c>
      <c r="E16" s="22">
        <v>800</v>
      </c>
      <c r="F16" s="22">
        <f t="shared" si="0"/>
        <v>18224</v>
      </c>
      <c r="G16" s="22">
        <v>239876</v>
      </c>
      <c r="H16" s="22">
        <v>40878</v>
      </c>
      <c r="I16" s="22">
        <v>5273</v>
      </c>
      <c r="J16" s="22">
        <f t="shared" si="1"/>
        <v>193725</v>
      </c>
      <c r="K16" s="22">
        <v>5627</v>
      </c>
      <c r="L16" s="22">
        <v>0</v>
      </c>
      <c r="M16" s="22">
        <v>20765</v>
      </c>
      <c r="N16" s="22">
        <v>495</v>
      </c>
      <c r="O16" s="22">
        <v>495</v>
      </c>
    </row>
    <row r="17" spans="1:15" ht="12.75" customHeight="1">
      <c r="A17" s="20" t="s">
        <v>31</v>
      </c>
      <c r="B17" s="21" t="s">
        <v>32</v>
      </c>
      <c r="C17" s="22">
        <v>20321</v>
      </c>
      <c r="D17" s="22">
        <v>16540</v>
      </c>
      <c r="E17" s="22">
        <v>0</v>
      </c>
      <c r="F17" s="22">
        <f t="shared" si="0"/>
        <v>3781</v>
      </c>
      <c r="G17" s="22">
        <v>41869</v>
      </c>
      <c r="H17" s="22">
        <v>30027</v>
      </c>
      <c r="I17" s="22">
        <v>0</v>
      </c>
      <c r="J17" s="22">
        <f t="shared" si="1"/>
        <v>11842</v>
      </c>
      <c r="K17" s="22">
        <v>2362</v>
      </c>
      <c r="L17" s="22">
        <v>0</v>
      </c>
      <c r="M17" s="22">
        <v>1487</v>
      </c>
      <c r="N17" s="22">
        <v>1349</v>
      </c>
      <c r="O17" s="22">
        <v>1349</v>
      </c>
    </row>
    <row r="18" spans="1:15" ht="12.75" customHeight="1">
      <c r="A18" s="20" t="s">
        <v>33</v>
      </c>
      <c r="B18" s="21" t="s">
        <v>34</v>
      </c>
      <c r="C18" s="22">
        <v>65089</v>
      </c>
      <c r="D18" s="22">
        <v>43183</v>
      </c>
      <c r="E18" s="22">
        <v>961</v>
      </c>
      <c r="F18" s="22">
        <f t="shared" si="0"/>
        <v>20945</v>
      </c>
      <c r="G18" s="22">
        <v>168461</v>
      </c>
      <c r="H18" s="22">
        <v>113169</v>
      </c>
      <c r="I18" s="22">
        <v>3962</v>
      </c>
      <c r="J18" s="22">
        <f t="shared" si="1"/>
        <v>51330</v>
      </c>
      <c r="K18" s="22">
        <v>7594</v>
      </c>
      <c r="L18" s="22">
        <v>0</v>
      </c>
      <c r="M18" s="22">
        <v>16866</v>
      </c>
      <c r="N18" s="22">
        <v>1428</v>
      </c>
      <c r="O18" s="22">
        <v>1428</v>
      </c>
    </row>
    <row r="19" spans="1:15" ht="12.75" customHeight="1">
      <c r="A19" s="20" t="s">
        <v>35</v>
      </c>
      <c r="B19" s="21" t="s">
        <v>36</v>
      </c>
      <c r="C19" s="22">
        <v>38719</v>
      </c>
      <c r="D19" s="22">
        <v>36523</v>
      </c>
      <c r="E19" s="22">
        <v>1570</v>
      </c>
      <c r="F19" s="22">
        <f t="shared" si="0"/>
        <v>626</v>
      </c>
      <c r="G19" s="22">
        <v>108568</v>
      </c>
      <c r="H19" s="22">
        <v>87425</v>
      </c>
      <c r="I19" s="22">
        <v>7199</v>
      </c>
      <c r="J19" s="22">
        <f t="shared" si="1"/>
        <v>13944</v>
      </c>
      <c r="K19" s="22">
        <v>1094</v>
      </c>
      <c r="L19" s="22">
        <v>0</v>
      </c>
      <c r="M19" s="22">
        <v>501</v>
      </c>
      <c r="N19" s="22">
        <v>1345</v>
      </c>
      <c r="O19" s="22">
        <v>1345</v>
      </c>
    </row>
    <row r="20" spans="1:15" ht="12.75" customHeight="1">
      <c r="A20" s="20" t="s">
        <v>37</v>
      </c>
      <c r="B20" s="21" t="s">
        <v>38</v>
      </c>
      <c r="C20" s="22">
        <v>220498</v>
      </c>
      <c r="D20" s="22">
        <v>196926</v>
      </c>
      <c r="E20" s="22">
        <v>5814</v>
      </c>
      <c r="F20" s="22">
        <f t="shared" si="0"/>
        <v>17758</v>
      </c>
      <c r="G20" s="22">
        <v>576861</v>
      </c>
      <c r="H20" s="22">
        <v>415316</v>
      </c>
      <c r="I20" s="22">
        <v>29168</v>
      </c>
      <c r="J20" s="22">
        <f t="shared" si="1"/>
        <v>132377</v>
      </c>
      <c r="K20" s="22">
        <v>17489</v>
      </c>
      <c r="L20" s="22">
        <v>30</v>
      </c>
      <c r="M20" s="22">
        <v>29477</v>
      </c>
      <c r="N20" s="22">
        <v>4434</v>
      </c>
      <c r="O20" s="22">
        <v>4434</v>
      </c>
    </row>
    <row r="21" spans="1:15" ht="12.75" customHeight="1">
      <c r="A21" s="20" t="s">
        <v>39</v>
      </c>
      <c r="B21" s="21" t="s">
        <v>40</v>
      </c>
      <c r="C21" s="22">
        <v>18056</v>
      </c>
      <c r="D21" s="22">
        <v>17708</v>
      </c>
      <c r="E21" s="22">
        <v>0</v>
      </c>
      <c r="F21" s="22">
        <f t="shared" si="0"/>
        <v>348</v>
      </c>
      <c r="G21" s="22">
        <v>32759</v>
      </c>
      <c r="H21" s="22">
        <v>30591</v>
      </c>
      <c r="I21" s="22">
        <v>0</v>
      </c>
      <c r="J21" s="22">
        <f t="shared" si="1"/>
        <v>2168</v>
      </c>
      <c r="K21" s="22">
        <v>141</v>
      </c>
      <c r="L21" s="22">
        <v>0</v>
      </c>
      <c r="M21" s="22">
        <v>0</v>
      </c>
      <c r="N21" s="22">
        <v>143</v>
      </c>
      <c r="O21" s="22">
        <v>143</v>
      </c>
    </row>
    <row r="22" spans="1:15" ht="12.75" customHeight="1">
      <c r="A22" s="20" t="s">
        <v>41</v>
      </c>
      <c r="B22" s="21" t="s">
        <v>42</v>
      </c>
      <c r="C22" s="22">
        <v>17278</v>
      </c>
      <c r="D22" s="22">
        <v>13951</v>
      </c>
      <c r="E22" s="22">
        <v>1749</v>
      </c>
      <c r="F22" s="22">
        <f t="shared" si="0"/>
        <v>1578</v>
      </c>
      <c r="G22" s="22">
        <v>49229</v>
      </c>
      <c r="H22" s="22">
        <v>30239</v>
      </c>
      <c r="I22" s="22">
        <v>7041</v>
      </c>
      <c r="J22" s="22">
        <f t="shared" si="1"/>
        <v>11949</v>
      </c>
      <c r="K22" s="22">
        <v>3147</v>
      </c>
      <c r="L22" s="22">
        <v>0</v>
      </c>
      <c r="M22" s="22">
        <v>11075</v>
      </c>
      <c r="N22" s="22">
        <v>809</v>
      </c>
      <c r="O22" s="22">
        <v>809</v>
      </c>
    </row>
    <row r="23" spans="1:15" ht="12.75" customHeight="1">
      <c r="A23" s="23"/>
      <c r="B23" s="24" t="s">
        <v>43</v>
      </c>
      <c r="C23" s="25">
        <f t="shared" ref="C23:O23" si="2">SUM(C15:C22)</f>
        <v>466844</v>
      </c>
      <c r="D23" s="25">
        <f t="shared" si="2"/>
        <v>377579</v>
      </c>
      <c r="E23" s="25">
        <f t="shared" si="2"/>
        <v>16445</v>
      </c>
      <c r="F23" s="25">
        <f t="shared" si="2"/>
        <v>72820</v>
      </c>
      <c r="G23" s="25">
        <f t="shared" si="2"/>
        <v>1471741</v>
      </c>
      <c r="H23" s="25">
        <f t="shared" si="2"/>
        <v>851904</v>
      </c>
      <c r="I23" s="25">
        <f t="shared" si="2"/>
        <v>82268</v>
      </c>
      <c r="J23" s="25">
        <f t="shared" si="2"/>
        <v>537569</v>
      </c>
      <c r="K23" s="25">
        <f t="shared" si="2"/>
        <v>49560</v>
      </c>
      <c r="L23" s="25">
        <f t="shared" si="2"/>
        <v>30</v>
      </c>
      <c r="M23" s="25">
        <f t="shared" si="2"/>
        <v>113561</v>
      </c>
      <c r="N23" s="25">
        <f t="shared" si="2"/>
        <v>18606</v>
      </c>
      <c r="O23" s="25">
        <f t="shared" si="2"/>
        <v>17880</v>
      </c>
    </row>
    <row r="24" spans="1:15" ht="14.25" customHeight="1">
      <c r="A24" s="20" t="s">
        <v>44</v>
      </c>
      <c r="B24" s="21" t="s">
        <v>45</v>
      </c>
      <c r="C24" s="22">
        <v>19788</v>
      </c>
      <c r="D24" s="22">
        <v>13920</v>
      </c>
      <c r="E24" s="22">
        <v>1368</v>
      </c>
      <c r="F24" s="22">
        <f>SUM(C24-D24-E24)</f>
        <v>4500</v>
      </c>
      <c r="G24" s="22">
        <v>48294</v>
      </c>
      <c r="H24" s="22">
        <v>24872</v>
      </c>
      <c r="I24" s="22">
        <v>4497</v>
      </c>
      <c r="J24" s="22">
        <f>SUM(G24-H24-I24)</f>
        <v>18925</v>
      </c>
      <c r="K24" s="22">
        <v>12810</v>
      </c>
      <c r="L24" s="22">
        <v>0</v>
      </c>
      <c r="M24" s="22">
        <v>3704</v>
      </c>
      <c r="N24" s="22">
        <v>468</v>
      </c>
      <c r="O24" s="22">
        <v>468</v>
      </c>
    </row>
    <row r="25" spans="1:15" ht="14.25" customHeight="1">
      <c r="A25" s="26"/>
      <c r="B25" s="24" t="s">
        <v>46</v>
      </c>
      <c r="C25" s="25">
        <f t="shared" ref="C25:O25" si="3">SUM(C24)</f>
        <v>19788</v>
      </c>
      <c r="D25" s="25">
        <f t="shared" si="3"/>
        <v>13920</v>
      </c>
      <c r="E25" s="25">
        <f t="shared" si="3"/>
        <v>1368</v>
      </c>
      <c r="F25" s="25">
        <f t="shared" si="3"/>
        <v>4500</v>
      </c>
      <c r="G25" s="25">
        <f t="shared" si="3"/>
        <v>48294</v>
      </c>
      <c r="H25" s="25">
        <f t="shared" si="3"/>
        <v>24872</v>
      </c>
      <c r="I25" s="25">
        <f t="shared" si="3"/>
        <v>4497</v>
      </c>
      <c r="J25" s="25">
        <f t="shared" si="3"/>
        <v>18925</v>
      </c>
      <c r="K25" s="25">
        <f t="shared" si="3"/>
        <v>12810</v>
      </c>
      <c r="L25" s="25">
        <f t="shared" si="3"/>
        <v>0</v>
      </c>
      <c r="M25" s="25">
        <f t="shared" si="3"/>
        <v>3704</v>
      </c>
      <c r="N25" s="25">
        <f t="shared" si="3"/>
        <v>468</v>
      </c>
      <c r="O25" s="25">
        <f t="shared" si="3"/>
        <v>468</v>
      </c>
    </row>
    <row r="26" spans="1:15" ht="12.75" customHeight="1">
      <c r="A26" s="20" t="s">
        <v>47</v>
      </c>
      <c r="B26" s="21" t="s">
        <v>48</v>
      </c>
      <c r="C26" s="22">
        <v>126579</v>
      </c>
      <c r="D26" s="22">
        <v>71707</v>
      </c>
      <c r="E26" s="22">
        <v>5211</v>
      </c>
      <c r="F26" s="22">
        <f>SUM(C26-D26-E26)</f>
        <v>49661</v>
      </c>
      <c r="G26" s="22">
        <v>323126</v>
      </c>
      <c r="H26" s="22">
        <v>122250</v>
      </c>
      <c r="I26" s="22">
        <v>16378</v>
      </c>
      <c r="J26" s="22">
        <f>SUM(G26-H26-I26)</f>
        <v>184498</v>
      </c>
      <c r="K26" s="22">
        <v>19445</v>
      </c>
      <c r="L26" s="22">
        <v>0</v>
      </c>
      <c r="M26" s="22">
        <v>10542</v>
      </c>
      <c r="N26" s="22">
        <v>5365</v>
      </c>
      <c r="O26" s="22">
        <v>5365</v>
      </c>
    </row>
    <row r="27" spans="1:15" ht="12.75" customHeight="1">
      <c r="A27" s="20" t="s">
        <v>49</v>
      </c>
      <c r="B27" s="21" t="s">
        <v>50</v>
      </c>
      <c r="C27" s="22">
        <v>28751</v>
      </c>
      <c r="D27" s="22">
        <v>24129</v>
      </c>
      <c r="E27" s="22">
        <v>1274</v>
      </c>
      <c r="F27" s="22">
        <f>SUM(C27-D27-E27)</f>
        <v>3348</v>
      </c>
      <c r="G27" s="22">
        <v>56051</v>
      </c>
      <c r="H27" s="22">
        <v>36829</v>
      </c>
      <c r="I27" s="22">
        <v>3849</v>
      </c>
      <c r="J27" s="22">
        <f>SUM(G27-H27-I27)</f>
        <v>15373</v>
      </c>
      <c r="K27" s="22">
        <v>4042</v>
      </c>
      <c r="L27" s="22">
        <v>0</v>
      </c>
      <c r="M27" s="22">
        <v>1888</v>
      </c>
      <c r="N27" s="22">
        <v>785</v>
      </c>
      <c r="O27" s="22">
        <v>785</v>
      </c>
    </row>
    <row r="28" spans="1:15" ht="12.75" customHeight="1">
      <c r="A28" s="20" t="s">
        <v>51</v>
      </c>
      <c r="B28" s="21" t="s">
        <v>52</v>
      </c>
      <c r="C28" s="22">
        <v>28997</v>
      </c>
      <c r="D28" s="22">
        <v>18659</v>
      </c>
      <c r="E28" s="22">
        <v>2427</v>
      </c>
      <c r="F28" s="22">
        <f>SUM(C28-D28-E28)</f>
        <v>7911</v>
      </c>
      <c r="G28" s="22">
        <v>78957</v>
      </c>
      <c r="H28" s="22">
        <v>40405</v>
      </c>
      <c r="I28" s="22">
        <v>11797</v>
      </c>
      <c r="J28" s="22">
        <f>SUM(G28-H28-I28)</f>
        <v>26755</v>
      </c>
      <c r="K28" s="22">
        <v>985</v>
      </c>
      <c r="L28" s="22">
        <v>0</v>
      </c>
      <c r="M28" s="22">
        <v>1195</v>
      </c>
      <c r="N28" s="22">
        <v>282</v>
      </c>
      <c r="O28" s="22">
        <v>282</v>
      </c>
    </row>
    <row r="29" spans="1:15" ht="12.75" customHeight="1">
      <c r="A29" s="20" t="s">
        <v>53</v>
      </c>
      <c r="B29" s="21" t="s">
        <v>54</v>
      </c>
      <c r="C29" s="22">
        <v>34082</v>
      </c>
      <c r="D29" s="22">
        <v>29186</v>
      </c>
      <c r="E29" s="22">
        <v>3860</v>
      </c>
      <c r="F29" s="22">
        <f>SUM(C29-D29-E29)</f>
        <v>1036</v>
      </c>
      <c r="G29" s="22">
        <v>75117</v>
      </c>
      <c r="H29" s="22">
        <v>58742</v>
      </c>
      <c r="I29" s="22">
        <v>13884</v>
      </c>
      <c r="J29" s="22">
        <f>SUM(G29-H29-I29)</f>
        <v>2491</v>
      </c>
      <c r="K29" s="22">
        <v>112</v>
      </c>
      <c r="L29" s="22">
        <v>0</v>
      </c>
      <c r="M29" s="22">
        <v>89</v>
      </c>
      <c r="N29" s="22">
        <v>145</v>
      </c>
      <c r="O29" s="22">
        <v>145</v>
      </c>
    </row>
    <row r="30" spans="1:15" ht="12.75" customHeight="1">
      <c r="A30" s="23"/>
      <c r="B30" s="24" t="s">
        <v>55</v>
      </c>
      <c r="C30" s="25">
        <f t="shared" ref="C30:O30" si="4">SUM(C26:C29)</f>
        <v>218409</v>
      </c>
      <c r="D30" s="25">
        <f t="shared" si="4"/>
        <v>143681</v>
      </c>
      <c r="E30" s="25">
        <f t="shared" si="4"/>
        <v>12772</v>
      </c>
      <c r="F30" s="25">
        <f t="shared" si="4"/>
        <v>61956</v>
      </c>
      <c r="G30" s="25">
        <f t="shared" si="4"/>
        <v>533251</v>
      </c>
      <c r="H30" s="25">
        <f t="shared" si="4"/>
        <v>258226</v>
      </c>
      <c r="I30" s="25">
        <f t="shared" si="4"/>
        <v>45908</v>
      </c>
      <c r="J30" s="25">
        <f t="shared" si="4"/>
        <v>229117</v>
      </c>
      <c r="K30" s="25">
        <f t="shared" si="4"/>
        <v>24584</v>
      </c>
      <c r="L30" s="25">
        <f t="shared" si="4"/>
        <v>0</v>
      </c>
      <c r="M30" s="25">
        <f t="shared" si="4"/>
        <v>13714</v>
      </c>
      <c r="N30" s="25">
        <f t="shared" si="4"/>
        <v>6577</v>
      </c>
      <c r="O30" s="25">
        <f t="shared" si="4"/>
        <v>6577</v>
      </c>
    </row>
    <row r="31" spans="1:15" ht="12.75" customHeight="1">
      <c r="A31" s="20" t="s">
        <v>56</v>
      </c>
      <c r="B31" s="21" t="s">
        <v>57</v>
      </c>
      <c r="C31" s="22">
        <v>110593</v>
      </c>
      <c r="D31" s="22">
        <v>90517</v>
      </c>
      <c r="E31" s="22">
        <v>2136</v>
      </c>
      <c r="F31" s="22">
        <f t="shared" ref="F31:F42" si="5">SUM(C31-D31-E31)</f>
        <v>17940</v>
      </c>
      <c r="G31" s="22">
        <v>324783</v>
      </c>
      <c r="H31" s="22">
        <v>182474</v>
      </c>
      <c r="I31" s="22">
        <v>9378</v>
      </c>
      <c r="J31" s="22">
        <f t="shared" ref="J31:J42" si="6">SUM(G31-H31-I31)</f>
        <v>132931</v>
      </c>
      <c r="K31" s="22">
        <v>6746</v>
      </c>
      <c r="L31" s="22">
        <v>0</v>
      </c>
      <c r="M31" s="22">
        <v>6955</v>
      </c>
      <c r="N31" s="22">
        <v>1140</v>
      </c>
      <c r="O31" s="22">
        <v>1140</v>
      </c>
    </row>
    <row r="32" spans="1:15" ht="12.75" customHeight="1">
      <c r="A32" s="20" t="s">
        <v>58</v>
      </c>
      <c r="B32" s="21" t="s">
        <v>59</v>
      </c>
      <c r="C32" s="22">
        <v>163530</v>
      </c>
      <c r="D32" s="22">
        <v>147088</v>
      </c>
      <c r="E32" s="22">
        <v>5400</v>
      </c>
      <c r="F32" s="22">
        <f t="shared" si="5"/>
        <v>11042</v>
      </c>
      <c r="G32" s="22">
        <v>581755</v>
      </c>
      <c r="H32" s="22">
        <v>349555</v>
      </c>
      <c r="I32" s="22">
        <v>27346</v>
      </c>
      <c r="J32" s="22">
        <f t="shared" si="6"/>
        <v>204854</v>
      </c>
      <c r="K32" s="22">
        <v>16197</v>
      </c>
      <c r="L32" s="22">
        <v>0</v>
      </c>
      <c r="M32" s="22">
        <v>92293</v>
      </c>
      <c r="N32" s="22">
        <v>3460</v>
      </c>
      <c r="O32" s="22">
        <v>3460</v>
      </c>
    </row>
    <row r="33" spans="1:256" ht="12.75" customHeight="1">
      <c r="A33" s="20" t="s">
        <v>60</v>
      </c>
      <c r="B33" s="21" t="s">
        <v>61</v>
      </c>
      <c r="C33" s="22">
        <v>80046</v>
      </c>
      <c r="D33" s="22">
        <v>61622</v>
      </c>
      <c r="E33" s="22">
        <v>2111</v>
      </c>
      <c r="F33" s="22">
        <f t="shared" si="5"/>
        <v>16313</v>
      </c>
      <c r="G33" s="22">
        <v>278135</v>
      </c>
      <c r="H33" s="22">
        <v>80692</v>
      </c>
      <c r="I33" s="22">
        <v>5483</v>
      </c>
      <c r="J33" s="22">
        <f t="shared" si="6"/>
        <v>191960</v>
      </c>
      <c r="K33" s="22">
        <v>19924</v>
      </c>
      <c r="L33" s="22">
        <v>205</v>
      </c>
      <c r="M33" s="22">
        <v>21180</v>
      </c>
      <c r="N33" s="22">
        <v>1928</v>
      </c>
      <c r="O33" s="22">
        <v>1928</v>
      </c>
    </row>
    <row r="34" spans="1:256" ht="12.75" customHeight="1">
      <c r="A34" s="20" t="s">
        <v>62</v>
      </c>
      <c r="B34" s="21" t="s">
        <v>63</v>
      </c>
      <c r="C34" s="22">
        <v>91582</v>
      </c>
      <c r="D34" s="22">
        <v>26450</v>
      </c>
      <c r="E34" s="22">
        <v>446</v>
      </c>
      <c r="F34" s="22">
        <f t="shared" si="5"/>
        <v>64686</v>
      </c>
      <c r="G34" s="22">
        <v>289301</v>
      </c>
      <c r="H34" s="22">
        <v>68631</v>
      </c>
      <c r="I34" s="22">
        <v>1964</v>
      </c>
      <c r="J34" s="22">
        <f t="shared" si="6"/>
        <v>218706</v>
      </c>
      <c r="K34" s="22">
        <v>2549</v>
      </c>
      <c r="L34" s="22">
        <v>127</v>
      </c>
      <c r="M34" s="22">
        <v>34902</v>
      </c>
      <c r="N34" s="22">
        <v>340</v>
      </c>
      <c r="O34" s="22">
        <v>340</v>
      </c>
    </row>
    <row r="35" spans="1:256" ht="12.75" customHeight="1">
      <c r="A35" s="20" t="s">
        <v>64</v>
      </c>
      <c r="B35" s="21" t="s">
        <v>65</v>
      </c>
      <c r="C35" s="22">
        <v>37095</v>
      </c>
      <c r="D35" s="22">
        <v>36388</v>
      </c>
      <c r="E35" s="22">
        <v>0</v>
      </c>
      <c r="F35" s="22">
        <f t="shared" si="5"/>
        <v>707</v>
      </c>
      <c r="G35" s="22">
        <v>66420</v>
      </c>
      <c r="H35" s="22">
        <v>60303</v>
      </c>
      <c r="I35" s="22">
        <v>0</v>
      </c>
      <c r="J35" s="22">
        <f t="shared" si="6"/>
        <v>6117</v>
      </c>
      <c r="K35" s="22">
        <v>1589</v>
      </c>
      <c r="L35" s="22">
        <v>0</v>
      </c>
      <c r="M35" s="22">
        <v>264</v>
      </c>
      <c r="N35" s="22">
        <v>3250</v>
      </c>
      <c r="O35" s="22">
        <v>3250</v>
      </c>
    </row>
    <row r="36" spans="1:256" ht="12.75" customHeight="1">
      <c r="A36" s="20" t="s">
        <v>66</v>
      </c>
      <c r="B36" s="21" t="s">
        <v>67</v>
      </c>
      <c r="C36" s="22">
        <v>21659</v>
      </c>
      <c r="D36" s="22">
        <v>17315</v>
      </c>
      <c r="E36" s="22">
        <v>2037</v>
      </c>
      <c r="F36" s="22">
        <f t="shared" si="5"/>
        <v>2307</v>
      </c>
      <c r="G36" s="22">
        <v>62472</v>
      </c>
      <c r="H36" s="22">
        <v>43766</v>
      </c>
      <c r="I36" s="22">
        <v>9984</v>
      </c>
      <c r="J36" s="22">
        <f t="shared" si="6"/>
        <v>8722</v>
      </c>
      <c r="K36" s="22">
        <v>410</v>
      </c>
      <c r="L36" s="22">
        <v>0</v>
      </c>
      <c r="M36" s="22">
        <v>4761</v>
      </c>
      <c r="N36" s="22">
        <v>14</v>
      </c>
      <c r="O36" s="22">
        <v>14</v>
      </c>
    </row>
    <row r="37" spans="1:256" ht="12.75" customHeight="1">
      <c r="A37" s="20" t="s">
        <v>68</v>
      </c>
      <c r="B37" s="21" t="s">
        <v>69</v>
      </c>
      <c r="C37" s="22">
        <v>34927</v>
      </c>
      <c r="D37" s="22">
        <v>30453</v>
      </c>
      <c r="E37" s="22">
        <v>294</v>
      </c>
      <c r="F37" s="22">
        <f t="shared" si="5"/>
        <v>4180</v>
      </c>
      <c r="G37" s="22">
        <v>124968</v>
      </c>
      <c r="H37" s="22">
        <v>83470</v>
      </c>
      <c r="I37" s="22">
        <v>1156</v>
      </c>
      <c r="J37" s="22">
        <f t="shared" si="6"/>
        <v>40342</v>
      </c>
      <c r="K37" s="22">
        <v>892</v>
      </c>
      <c r="L37" s="22">
        <v>0</v>
      </c>
      <c r="M37" s="22">
        <v>11545</v>
      </c>
      <c r="N37" s="22">
        <v>2685</v>
      </c>
      <c r="O37" s="22">
        <v>2685</v>
      </c>
    </row>
    <row r="38" spans="1:256" ht="12.75" customHeight="1">
      <c r="A38" s="20" t="s">
        <v>70</v>
      </c>
      <c r="B38" s="21" t="s">
        <v>71</v>
      </c>
      <c r="C38" s="22">
        <v>535066</v>
      </c>
      <c r="D38" s="22">
        <v>402247</v>
      </c>
      <c r="E38" s="22">
        <v>15115</v>
      </c>
      <c r="F38" s="22">
        <f t="shared" si="5"/>
        <v>117704</v>
      </c>
      <c r="G38" s="22">
        <v>1237121</v>
      </c>
      <c r="H38" s="22">
        <v>707878</v>
      </c>
      <c r="I38" s="22">
        <v>60835</v>
      </c>
      <c r="J38" s="22">
        <f t="shared" si="6"/>
        <v>468408</v>
      </c>
      <c r="K38" s="22">
        <v>54336</v>
      </c>
      <c r="L38" s="22">
        <v>0</v>
      </c>
      <c r="M38" s="22">
        <v>53946</v>
      </c>
      <c r="N38" s="22">
        <v>398157</v>
      </c>
      <c r="O38" s="22">
        <v>49038</v>
      </c>
    </row>
    <row r="39" spans="1:256" ht="12.75" customHeight="1">
      <c r="A39" s="20" t="s">
        <v>72</v>
      </c>
      <c r="B39" s="21" t="s">
        <v>73</v>
      </c>
      <c r="C39" s="22">
        <v>77298</v>
      </c>
      <c r="D39" s="22">
        <v>71560</v>
      </c>
      <c r="E39" s="22">
        <v>2337</v>
      </c>
      <c r="F39" s="22">
        <f t="shared" si="5"/>
        <v>3401</v>
      </c>
      <c r="G39" s="22">
        <v>141965</v>
      </c>
      <c r="H39" s="22">
        <v>115721</v>
      </c>
      <c r="I39" s="22">
        <v>12647</v>
      </c>
      <c r="J39" s="22">
        <f t="shared" si="6"/>
        <v>13597</v>
      </c>
      <c r="K39" s="22">
        <v>3701</v>
      </c>
      <c r="L39" s="22">
        <v>0</v>
      </c>
      <c r="M39" s="22">
        <v>172</v>
      </c>
      <c r="N39" s="22">
        <v>165</v>
      </c>
      <c r="O39" s="22">
        <v>165</v>
      </c>
    </row>
    <row r="40" spans="1:256" ht="12.75" customHeight="1">
      <c r="A40" s="20" t="s">
        <v>74</v>
      </c>
      <c r="B40" s="21" t="s">
        <v>75</v>
      </c>
      <c r="C40" s="22">
        <v>54193</v>
      </c>
      <c r="D40" s="22">
        <v>46927</v>
      </c>
      <c r="E40" s="22">
        <v>2401</v>
      </c>
      <c r="F40" s="22">
        <f t="shared" si="5"/>
        <v>4865</v>
      </c>
      <c r="G40" s="22">
        <v>152300</v>
      </c>
      <c r="H40" s="22">
        <v>96600</v>
      </c>
      <c r="I40" s="22">
        <v>10113</v>
      </c>
      <c r="J40" s="22">
        <f t="shared" si="6"/>
        <v>45587</v>
      </c>
      <c r="K40" s="22">
        <v>3723</v>
      </c>
      <c r="L40" s="22">
        <v>27</v>
      </c>
      <c r="M40" s="22">
        <v>43484</v>
      </c>
      <c r="N40" s="22">
        <v>727</v>
      </c>
      <c r="O40" s="22">
        <v>727</v>
      </c>
    </row>
    <row r="41" spans="1:256" ht="12.75" customHeight="1">
      <c r="A41" s="20" t="s">
        <v>76</v>
      </c>
      <c r="B41" s="21" t="s">
        <v>77</v>
      </c>
      <c r="C41" s="22">
        <v>18377</v>
      </c>
      <c r="D41" s="22">
        <v>15609</v>
      </c>
      <c r="E41" s="22">
        <v>0</v>
      </c>
      <c r="F41" s="22">
        <f t="shared" si="5"/>
        <v>2768</v>
      </c>
      <c r="G41" s="22">
        <v>64836</v>
      </c>
      <c r="H41" s="22">
        <v>42809</v>
      </c>
      <c r="I41" s="22">
        <v>0</v>
      </c>
      <c r="J41" s="22">
        <f t="shared" si="6"/>
        <v>22027</v>
      </c>
      <c r="K41" s="22">
        <v>6660</v>
      </c>
      <c r="L41" s="22">
        <v>0</v>
      </c>
      <c r="M41" s="22">
        <v>1356</v>
      </c>
      <c r="N41" s="22">
        <v>3073</v>
      </c>
      <c r="O41" s="22">
        <v>3073</v>
      </c>
    </row>
    <row r="42" spans="1:256" ht="12.75" customHeight="1">
      <c r="A42" s="20" t="s">
        <v>78</v>
      </c>
      <c r="B42" s="21" t="s">
        <v>79</v>
      </c>
      <c r="C42" s="22">
        <v>121841</v>
      </c>
      <c r="D42" s="22">
        <v>97112</v>
      </c>
      <c r="E42" s="22">
        <v>2848</v>
      </c>
      <c r="F42" s="22">
        <f t="shared" si="5"/>
        <v>21881</v>
      </c>
      <c r="G42" s="22">
        <v>207043</v>
      </c>
      <c r="H42" s="22">
        <v>154289</v>
      </c>
      <c r="I42" s="22">
        <v>7019</v>
      </c>
      <c r="J42" s="22">
        <f t="shared" si="6"/>
        <v>45735</v>
      </c>
      <c r="K42" s="22">
        <v>5812</v>
      </c>
      <c r="L42" s="22">
        <v>0</v>
      </c>
      <c r="M42" s="22">
        <v>549</v>
      </c>
      <c r="N42" s="22">
        <v>796</v>
      </c>
      <c r="O42" s="22">
        <v>796</v>
      </c>
    </row>
    <row r="43" spans="1:256" ht="12.75" customHeight="1">
      <c r="A43" s="23"/>
      <c r="B43" s="24" t="s">
        <v>80</v>
      </c>
      <c r="C43" s="25">
        <f t="shared" ref="C43:O43" si="7">SUM(C31:C42)</f>
        <v>1346207</v>
      </c>
      <c r="D43" s="25">
        <f t="shared" si="7"/>
        <v>1043288</v>
      </c>
      <c r="E43" s="25">
        <f t="shared" si="7"/>
        <v>35125</v>
      </c>
      <c r="F43" s="25">
        <f t="shared" si="7"/>
        <v>267794</v>
      </c>
      <c r="G43" s="25">
        <f t="shared" si="7"/>
        <v>3531099</v>
      </c>
      <c r="H43" s="25">
        <f t="shared" si="7"/>
        <v>1986188</v>
      </c>
      <c r="I43" s="25">
        <f t="shared" si="7"/>
        <v>145925</v>
      </c>
      <c r="J43" s="25">
        <f t="shared" si="7"/>
        <v>1398986</v>
      </c>
      <c r="K43" s="25">
        <f t="shared" si="7"/>
        <v>122539</v>
      </c>
      <c r="L43" s="25">
        <f t="shared" si="7"/>
        <v>359</v>
      </c>
      <c r="M43" s="25">
        <f t="shared" si="7"/>
        <v>271407</v>
      </c>
      <c r="N43" s="25">
        <f t="shared" si="7"/>
        <v>415735</v>
      </c>
      <c r="O43" s="25">
        <f t="shared" si="7"/>
        <v>66616</v>
      </c>
    </row>
    <row r="44" spans="1:256" ht="12.75" customHeight="1">
      <c r="A44" s="20" t="s">
        <v>81</v>
      </c>
      <c r="B44" s="21" t="s">
        <v>82</v>
      </c>
      <c r="C44" s="22">
        <v>47685</v>
      </c>
      <c r="D44" s="22">
        <v>40426</v>
      </c>
      <c r="E44" s="22">
        <v>1549</v>
      </c>
      <c r="F44" s="22">
        <f>SUM(C44-D44-E44)</f>
        <v>5710</v>
      </c>
      <c r="G44" s="22">
        <v>172938</v>
      </c>
      <c r="H44" s="22">
        <v>98439</v>
      </c>
      <c r="I44" s="22">
        <v>5039</v>
      </c>
      <c r="J44" s="22">
        <f>SUM(G44-H44-I44)</f>
        <v>69460</v>
      </c>
      <c r="K44" s="22">
        <v>11725</v>
      </c>
      <c r="L44" s="22">
        <v>1953</v>
      </c>
      <c r="M44" s="22">
        <v>6736</v>
      </c>
      <c r="N44" s="22">
        <v>2029</v>
      </c>
      <c r="O44" s="22">
        <v>2029</v>
      </c>
    </row>
    <row r="45" spans="1:256" ht="12.75" customHeight="1">
      <c r="A45" s="20" t="s">
        <v>83</v>
      </c>
      <c r="B45" s="21" t="s">
        <v>84</v>
      </c>
      <c r="C45" s="22">
        <v>64610</v>
      </c>
      <c r="D45" s="22">
        <v>48943</v>
      </c>
      <c r="E45" s="22">
        <v>2351</v>
      </c>
      <c r="F45" s="22">
        <f>SUM(C45-D45-E45)</f>
        <v>13316</v>
      </c>
      <c r="G45" s="22">
        <v>274270</v>
      </c>
      <c r="H45" s="22">
        <v>112289</v>
      </c>
      <c r="I45" s="22">
        <v>8431</v>
      </c>
      <c r="J45" s="22">
        <f>SUM(G45-H45-I45)</f>
        <v>153550</v>
      </c>
      <c r="K45" s="22">
        <v>60088</v>
      </c>
      <c r="L45" s="22">
        <v>0</v>
      </c>
      <c r="M45" s="22">
        <v>32860</v>
      </c>
      <c r="N45" s="22">
        <v>138</v>
      </c>
      <c r="O45" s="22">
        <v>138</v>
      </c>
    </row>
    <row r="46" spans="1:256" ht="12.75" customHeight="1">
      <c r="A46" s="23"/>
      <c r="B46" s="24" t="s">
        <v>85</v>
      </c>
      <c r="C46" s="25">
        <f t="shared" ref="C46:O46" si="8">SUM(C44:C45)</f>
        <v>112295</v>
      </c>
      <c r="D46" s="25">
        <f t="shared" si="8"/>
        <v>89369</v>
      </c>
      <c r="E46" s="25">
        <f t="shared" si="8"/>
        <v>3900</v>
      </c>
      <c r="F46" s="25">
        <f t="shared" si="8"/>
        <v>19026</v>
      </c>
      <c r="G46" s="25">
        <f t="shared" si="8"/>
        <v>447208</v>
      </c>
      <c r="H46" s="25">
        <f t="shared" si="8"/>
        <v>210728</v>
      </c>
      <c r="I46" s="25">
        <f t="shared" si="8"/>
        <v>13470</v>
      </c>
      <c r="J46" s="25">
        <f t="shared" si="8"/>
        <v>223010</v>
      </c>
      <c r="K46" s="25">
        <f t="shared" si="8"/>
        <v>71813</v>
      </c>
      <c r="L46" s="25">
        <f t="shared" si="8"/>
        <v>1953</v>
      </c>
      <c r="M46" s="25">
        <f t="shared" si="8"/>
        <v>39596</v>
      </c>
      <c r="N46" s="25">
        <f t="shared" si="8"/>
        <v>2167</v>
      </c>
      <c r="O46" s="25">
        <f t="shared" si="8"/>
        <v>2167</v>
      </c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</row>
    <row r="47" spans="1:256" ht="13.5" customHeight="1">
      <c r="A47" s="20" t="s">
        <v>86</v>
      </c>
      <c r="B47" s="21" t="s">
        <v>87</v>
      </c>
      <c r="C47" s="22">
        <v>11341</v>
      </c>
      <c r="D47" s="22">
        <v>9866</v>
      </c>
      <c r="E47" s="22">
        <v>0</v>
      </c>
      <c r="F47" s="22">
        <f>SUM(C47-D47-E47)</f>
        <v>1475</v>
      </c>
      <c r="G47" s="22">
        <v>11853</v>
      </c>
      <c r="H47" s="22">
        <v>9113</v>
      </c>
      <c r="I47" s="22">
        <v>0</v>
      </c>
      <c r="J47" s="22">
        <f>SUM(G47-H47-I47)</f>
        <v>2740</v>
      </c>
      <c r="K47" s="22">
        <v>2</v>
      </c>
      <c r="L47" s="22">
        <v>0</v>
      </c>
      <c r="M47" s="22">
        <v>145</v>
      </c>
      <c r="N47" s="22">
        <v>0</v>
      </c>
      <c r="O47" s="22">
        <v>0</v>
      </c>
    </row>
    <row r="48" spans="1:256" ht="12.75" customHeight="1">
      <c r="A48" s="20" t="s">
        <v>88</v>
      </c>
      <c r="B48" s="21" t="s">
        <v>89</v>
      </c>
      <c r="C48" s="22">
        <v>32819</v>
      </c>
      <c r="D48" s="22">
        <v>26069</v>
      </c>
      <c r="E48" s="22">
        <v>205</v>
      </c>
      <c r="F48" s="22">
        <f>SUM(C48-D48-E48)</f>
        <v>6545</v>
      </c>
      <c r="G48" s="22">
        <v>61524</v>
      </c>
      <c r="H48" s="22">
        <v>47541</v>
      </c>
      <c r="I48" s="22">
        <v>698</v>
      </c>
      <c r="J48" s="22">
        <f>SUM(G48-H48-I48)</f>
        <v>13285</v>
      </c>
      <c r="K48" s="22">
        <v>127</v>
      </c>
      <c r="L48" s="22">
        <v>0</v>
      </c>
      <c r="M48" s="22">
        <v>1753</v>
      </c>
      <c r="N48" s="22">
        <v>393</v>
      </c>
      <c r="O48" s="22">
        <v>393</v>
      </c>
    </row>
    <row r="49" spans="1:15" ht="12.75" customHeight="1">
      <c r="A49" s="20" t="s">
        <v>90</v>
      </c>
      <c r="B49" s="21" t="s">
        <v>91</v>
      </c>
      <c r="C49" s="22">
        <v>11298</v>
      </c>
      <c r="D49" s="22">
        <v>10255</v>
      </c>
      <c r="E49" s="22">
        <v>672</v>
      </c>
      <c r="F49" s="22">
        <f>SUM(C49-D49-E49)</f>
        <v>371</v>
      </c>
      <c r="G49" s="22">
        <v>18365</v>
      </c>
      <c r="H49" s="22">
        <v>11643</v>
      </c>
      <c r="I49" s="22">
        <v>1780</v>
      </c>
      <c r="J49" s="22">
        <f>SUM(G49-H49-I49)</f>
        <v>4942</v>
      </c>
      <c r="K49" s="22">
        <v>3437</v>
      </c>
      <c r="L49" s="22">
        <v>831</v>
      </c>
      <c r="M49" s="22">
        <v>0</v>
      </c>
      <c r="N49" s="22">
        <v>83</v>
      </c>
      <c r="O49" s="22">
        <v>0</v>
      </c>
    </row>
    <row r="50" spans="1:15" ht="12.75" customHeight="1">
      <c r="A50" s="20" t="s">
        <v>92</v>
      </c>
      <c r="B50" s="21" t="s">
        <v>93</v>
      </c>
      <c r="C50" s="22">
        <v>104715</v>
      </c>
      <c r="D50" s="22">
        <v>100720</v>
      </c>
      <c r="E50" s="22">
        <v>1423</v>
      </c>
      <c r="F50" s="22">
        <f>SUM(C50-D50-E50)</f>
        <v>2572</v>
      </c>
      <c r="G50" s="22">
        <v>235571</v>
      </c>
      <c r="H50" s="22">
        <v>168242</v>
      </c>
      <c r="I50" s="22">
        <v>5204</v>
      </c>
      <c r="J50" s="22">
        <f>SUM(G50-H50-I50)</f>
        <v>62125</v>
      </c>
      <c r="K50" s="22">
        <v>25457</v>
      </c>
      <c r="L50" s="22">
        <v>0</v>
      </c>
      <c r="M50" s="22">
        <v>19169</v>
      </c>
      <c r="N50" s="22">
        <v>6192</v>
      </c>
      <c r="O50" s="22">
        <v>5687</v>
      </c>
    </row>
    <row r="51" spans="1:15" ht="12.75" customHeight="1">
      <c r="A51" s="23"/>
      <c r="B51" s="24" t="s">
        <v>94</v>
      </c>
      <c r="C51" s="25">
        <f t="shared" ref="C51:O51" si="9">SUM(C47:C50)</f>
        <v>160173</v>
      </c>
      <c r="D51" s="25">
        <f t="shared" si="9"/>
        <v>146910</v>
      </c>
      <c r="E51" s="25">
        <f t="shared" si="9"/>
        <v>2300</v>
      </c>
      <c r="F51" s="25">
        <f t="shared" si="9"/>
        <v>10963</v>
      </c>
      <c r="G51" s="25">
        <f t="shared" si="9"/>
        <v>327313</v>
      </c>
      <c r="H51" s="25">
        <f t="shared" si="9"/>
        <v>236539</v>
      </c>
      <c r="I51" s="25">
        <f t="shared" si="9"/>
        <v>7682</v>
      </c>
      <c r="J51" s="25">
        <f t="shared" si="9"/>
        <v>83092</v>
      </c>
      <c r="K51" s="25">
        <f t="shared" si="9"/>
        <v>29023</v>
      </c>
      <c r="L51" s="25">
        <f t="shared" si="9"/>
        <v>831</v>
      </c>
      <c r="M51" s="25">
        <f t="shared" si="9"/>
        <v>21067</v>
      </c>
      <c r="N51" s="25">
        <f t="shared" si="9"/>
        <v>6668</v>
      </c>
      <c r="O51" s="25">
        <f t="shared" si="9"/>
        <v>6080</v>
      </c>
    </row>
    <row r="52" spans="1:15" ht="12.75" customHeight="1">
      <c r="A52" s="20" t="s">
        <v>95</v>
      </c>
      <c r="B52" s="21" t="s">
        <v>96</v>
      </c>
      <c r="C52" s="22">
        <v>18211</v>
      </c>
      <c r="D52" s="22">
        <v>13587</v>
      </c>
      <c r="E52" s="22">
        <v>96</v>
      </c>
      <c r="F52" s="22">
        <f t="shared" ref="F52:F58" si="10">SUM(C52-D52-E52)</f>
        <v>4528</v>
      </c>
      <c r="G52" s="22">
        <v>58795</v>
      </c>
      <c r="H52" s="22">
        <v>32281</v>
      </c>
      <c r="I52" s="22">
        <v>311</v>
      </c>
      <c r="J52" s="22">
        <f t="shared" ref="J52:J58" si="11">SUM(G52-H52-I52)</f>
        <v>26203</v>
      </c>
      <c r="K52" s="22">
        <v>19441</v>
      </c>
      <c r="L52" s="22">
        <v>9</v>
      </c>
      <c r="M52" s="22">
        <v>714</v>
      </c>
      <c r="N52" s="22">
        <v>649</v>
      </c>
      <c r="O52" s="22">
        <v>649</v>
      </c>
    </row>
    <row r="53" spans="1:15" ht="12.75" customHeight="1">
      <c r="A53" s="20" t="s">
        <v>97</v>
      </c>
      <c r="B53" s="21" t="s">
        <v>98</v>
      </c>
      <c r="C53" s="22">
        <v>94726</v>
      </c>
      <c r="D53" s="22">
        <v>67869</v>
      </c>
      <c r="E53" s="22">
        <v>1792</v>
      </c>
      <c r="F53" s="22">
        <f t="shared" si="10"/>
        <v>25065</v>
      </c>
      <c r="G53" s="22">
        <v>302701</v>
      </c>
      <c r="H53" s="22">
        <v>182065</v>
      </c>
      <c r="I53" s="22">
        <v>10272</v>
      </c>
      <c r="J53" s="22">
        <f t="shared" si="11"/>
        <v>110364</v>
      </c>
      <c r="K53" s="22">
        <v>8758</v>
      </c>
      <c r="L53" s="22">
        <v>24</v>
      </c>
      <c r="M53" s="22">
        <v>17367</v>
      </c>
      <c r="N53" s="22">
        <v>3542</v>
      </c>
      <c r="O53" s="22">
        <v>3542</v>
      </c>
    </row>
    <row r="54" spans="1:15" ht="12.75" customHeight="1">
      <c r="A54" s="20" t="s">
        <v>99</v>
      </c>
      <c r="B54" s="21" t="s">
        <v>100</v>
      </c>
      <c r="C54" s="22">
        <v>16825</v>
      </c>
      <c r="D54" s="22">
        <v>9489</v>
      </c>
      <c r="E54" s="22">
        <v>532</v>
      </c>
      <c r="F54" s="22">
        <f t="shared" si="10"/>
        <v>6804</v>
      </c>
      <c r="G54" s="22">
        <v>57601</v>
      </c>
      <c r="H54" s="22">
        <v>31612</v>
      </c>
      <c r="I54" s="22">
        <v>3807</v>
      </c>
      <c r="J54" s="22">
        <f t="shared" si="11"/>
        <v>22182</v>
      </c>
      <c r="K54" s="22">
        <v>705</v>
      </c>
      <c r="L54" s="22">
        <v>0</v>
      </c>
      <c r="M54" s="22">
        <v>9645</v>
      </c>
      <c r="N54" s="22">
        <v>0</v>
      </c>
      <c r="O54" s="22">
        <v>0</v>
      </c>
    </row>
    <row r="55" spans="1:15" ht="12.75" customHeight="1">
      <c r="A55" s="20" t="s">
        <v>101</v>
      </c>
      <c r="B55" s="21" t="s">
        <v>102</v>
      </c>
      <c r="C55" s="22">
        <v>72728</v>
      </c>
      <c r="D55" s="22">
        <v>47578</v>
      </c>
      <c r="E55" s="22">
        <v>1389</v>
      </c>
      <c r="F55" s="22">
        <f t="shared" si="10"/>
        <v>23761</v>
      </c>
      <c r="G55" s="22">
        <v>261013</v>
      </c>
      <c r="H55" s="22">
        <v>121822</v>
      </c>
      <c r="I55" s="22">
        <v>5123</v>
      </c>
      <c r="J55" s="22">
        <f t="shared" si="11"/>
        <v>134068</v>
      </c>
      <c r="K55" s="22">
        <v>27031</v>
      </c>
      <c r="L55" s="22">
        <v>21</v>
      </c>
      <c r="M55" s="22">
        <v>18753</v>
      </c>
      <c r="N55" s="22">
        <v>16865</v>
      </c>
      <c r="O55" s="22">
        <v>16865</v>
      </c>
    </row>
    <row r="56" spans="1:15" ht="12.75" customHeight="1">
      <c r="A56" s="20" t="s">
        <v>103</v>
      </c>
      <c r="B56" s="21" t="s">
        <v>104</v>
      </c>
      <c r="C56" s="22">
        <v>96506</v>
      </c>
      <c r="D56" s="22">
        <v>45570</v>
      </c>
      <c r="E56" s="22">
        <v>4722</v>
      </c>
      <c r="F56" s="22">
        <f t="shared" si="10"/>
        <v>46214</v>
      </c>
      <c r="G56" s="22">
        <v>339916</v>
      </c>
      <c r="H56" s="22">
        <v>110125</v>
      </c>
      <c r="I56" s="22">
        <v>23026</v>
      </c>
      <c r="J56" s="22">
        <f t="shared" si="11"/>
        <v>206765</v>
      </c>
      <c r="K56" s="22">
        <v>17258</v>
      </c>
      <c r="L56" s="22">
        <v>209</v>
      </c>
      <c r="M56" s="22">
        <v>38298</v>
      </c>
      <c r="N56" s="22">
        <v>72095</v>
      </c>
      <c r="O56" s="22">
        <v>3804</v>
      </c>
    </row>
    <row r="57" spans="1:15" ht="12.75" customHeight="1">
      <c r="A57" s="20" t="s">
        <v>105</v>
      </c>
      <c r="B57" s="21" t="s">
        <v>106</v>
      </c>
      <c r="C57" s="22">
        <v>94085</v>
      </c>
      <c r="D57" s="22">
        <v>54000</v>
      </c>
      <c r="E57" s="22">
        <v>4725</v>
      </c>
      <c r="F57" s="22">
        <f t="shared" si="10"/>
        <v>35360</v>
      </c>
      <c r="G57" s="22">
        <v>362674</v>
      </c>
      <c r="H57" s="22">
        <v>163535</v>
      </c>
      <c r="I57" s="22">
        <v>20433</v>
      </c>
      <c r="J57" s="22">
        <f t="shared" si="11"/>
        <v>178706</v>
      </c>
      <c r="K57" s="22">
        <v>5006</v>
      </c>
      <c r="L57" s="22">
        <v>0</v>
      </c>
      <c r="M57" s="22">
        <v>36684</v>
      </c>
      <c r="N57" s="22">
        <v>317</v>
      </c>
      <c r="O57" s="22">
        <v>317</v>
      </c>
    </row>
    <row r="58" spans="1:15" ht="12.75" customHeight="1">
      <c r="A58" s="20" t="s">
        <v>107</v>
      </c>
      <c r="B58" s="21" t="s">
        <v>108</v>
      </c>
      <c r="C58" s="22">
        <v>98881</v>
      </c>
      <c r="D58" s="22">
        <v>54928</v>
      </c>
      <c r="E58" s="22">
        <v>1467</v>
      </c>
      <c r="F58" s="22">
        <f t="shared" si="10"/>
        <v>42486</v>
      </c>
      <c r="G58" s="22">
        <v>344190</v>
      </c>
      <c r="H58" s="22">
        <v>137075</v>
      </c>
      <c r="I58" s="22">
        <v>7015</v>
      </c>
      <c r="J58" s="22">
        <f t="shared" si="11"/>
        <v>200100</v>
      </c>
      <c r="K58" s="22">
        <v>11731</v>
      </c>
      <c r="L58" s="22">
        <v>232</v>
      </c>
      <c r="M58" s="22">
        <v>19997</v>
      </c>
      <c r="N58" s="22">
        <v>29199</v>
      </c>
      <c r="O58" s="22">
        <v>29199</v>
      </c>
    </row>
    <row r="59" spans="1:15" ht="12.75" customHeight="1">
      <c r="A59" s="23"/>
      <c r="B59" s="24" t="s">
        <v>109</v>
      </c>
      <c r="C59" s="25">
        <f t="shared" ref="C59:O59" si="12">SUM(C52:C58)</f>
        <v>491962</v>
      </c>
      <c r="D59" s="25">
        <f t="shared" si="12"/>
        <v>293021</v>
      </c>
      <c r="E59" s="25">
        <f t="shared" si="12"/>
        <v>14723</v>
      </c>
      <c r="F59" s="25">
        <f t="shared" si="12"/>
        <v>184218</v>
      </c>
      <c r="G59" s="25">
        <f t="shared" si="12"/>
        <v>1726890</v>
      </c>
      <c r="H59" s="25">
        <f t="shared" si="12"/>
        <v>778515</v>
      </c>
      <c r="I59" s="25">
        <f t="shared" si="12"/>
        <v>69987</v>
      </c>
      <c r="J59" s="25">
        <f t="shared" si="12"/>
        <v>878388</v>
      </c>
      <c r="K59" s="25">
        <f t="shared" si="12"/>
        <v>89930</v>
      </c>
      <c r="L59" s="25">
        <f t="shared" si="12"/>
        <v>495</v>
      </c>
      <c r="M59" s="25">
        <f t="shared" si="12"/>
        <v>141458</v>
      </c>
      <c r="N59" s="25">
        <f t="shared" si="12"/>
        <v>122667</v>
      </c>
      <c r="O59" s="25">
        <f t="shared" si="12"/>
        <v>54376</v>
      </c>
    </row>
    <row r="60" spans="1:15" ht="12.75" customHeight="1">
      <c r="A60" s="20" t="s">
        <v>110</v>
      </c>
      <c r="B60" s="21" t="s">
        <v>111</v>
      </c>
      <c r="C60" s="22">
        <v>103838</v>
      </c>
      <c r="D60" s="22">
        <v>73338</v>
      </c>
      <c r="E60" s="22">
        <v>8027</v>
      </c>
      <c r="F60" s="22">
        <f t="shared" ref="F60:F68" si="13">SUM(C60-D60-E60)</f>
        <v>22473</v>
      </c>
      <c r="G60" s="22">
        <v>329819</v>
      </c>
      <c r="H60" s="22">
        <v>187278</v>
      </c>
      <c r="I60" s="22">
        <v>41394</v>
      </c>
      <c r="J60" s="22">
        <f t="shared" ref="J60:J68" si="14">SUM(G60-H60-I60)</f>
        <v>101147</v>
      </c>
      <c r="K60" s="22">
        <v>3475</v>
      </c>
      <c r="L60" s="22">
        <v>0</v>
      </c>
      <c r="M60" s="22">
        <v>16889</v>
      </c>
      <c r="N60" s="22">
        <v>2118</v>
      </c>
      <c r="O60" s="22">
        <v>2118</v>
      </c>
    </row>
    <row r="61" spans="1:15" ht="12.75" customHeight="1">
      <c r="A61" s="20" t="s">
        <v>112</v>
      </c>
      <c r="B61" s="21" t="s">
        <v>113</v>
      </c>
      <c r="C61" s="22">
        <v>30514</v>
      </c>
      <c r="D61" s="22">
        <v>21041</v>
      </c>
      <c r="E61" s="22">
        <v>667</v>
      </c>
      <c r="F61" s="22">
        <f t="shared" si="13"/>
        <v>8806</v>
      </c>
      <c r="G61" s="22">
        <v>87694</v>
      </c>
      <c r="H61" s="22">
        <v>54978</v>
      </c>
      <c r="I61" s="22">
        <v>3513</v>
      </c>
      <c r="J61" s="22">
        <f t="shared" si="14"/>
        <v>29203</v>
      </c>
      <c r="K61" s="22">
        <v>182</v>
      </c>
      <c r="L61" s="22">
        <v>0</v>
      </c>
      <c r="M61" s="22">
        <v>15116</v>
      </c>
      <c r="N61" s="22">
        <v>61</v>
      </c>
      <c r="O61" s="22">
        <v>61</v>
      </c>
    </row>
    <row r="62" spans="1:15" ht="12.75" customHeight="1">
      <c r="A62" s="20" t="s">
        <v>114</v>
      </c>
      <c r="B62" s="21" t="s">
        <v>115</v>
      </c>
      <c r="C62" s="22">
        <v>51805</v>
      </c>
      <c r="D62" s="22">
        <v>25489</v>
      </c>
      <c r="E62" s="22">
        <v>2366</v>
      </c>
      <c r="F62" s="22">
        <f t="shared" si="13"/>
        <v>23950</v>
      </c>
      <c r="G62" s="22">
        <v>238537</v>
      </c>
      <c r="H62" s="22">
        <v>70654</v>
      </c>
      <c r="I62" s="22">
        <v>12874</v>
      </c>
      <c r="J62" s="22">
        <f t="shared" si="14"/>
        <v>155009</v>
      </c>
      <c r="K62" s="22">
        <v>3674</v>
      </c>
      <c r="L62" s="22">
        <v>239</v>
      </c>
      <c r="M62" s="22">
        <v>19664</v>
      </c>
      <c r="N62" s="22">
        <v>3640</v>
      </c>
      <c r="O62" s="22">
        <v>3640</v>
      </c>
    </row>
    <row r="63" spans="1:15" ht="12.75" customHeight="1">
      <c r="A63" s="20" t="s">
        <v>116</v>
      </c>
      <c r="B63" s="21" t="s">
        <v>117</v>
      </c>
      <c r="C63" s="22">
        <v>71640</v>
      </c>
      <c r="D63" s="22">
        <v>42797</v>
      </c>
      <c r="E63" s="22">
        <v>3761</v>
      </c>
      <c r="F63" s="22">
        <f t="shared" si="13"/>
        <v>25082</v>
      </c>
      <c r="G63" s="22">
        <v>238329</v>
      </c>
      <c r="H63" s="22">
        <v>128713</v>
      </c>
      <c r="I63" s="22">
        <v>24321</v>
      </c>
      <c r="J63" s="22">
        <f t="shared" si="14"/>
        <v>85295</v>
      </c>
      <c r="K63" s="22">
        <v>1555</v>
      </c>
      <c r="L63" s="22">
        <v>0</v>
      </c>
      <c r="M63" s="22">
        <v>19064</v>
      </c>
      <c r="N63" s="22">
        <v>925</v>
      </c>
      <c r="O63" s="22">
        <v>925</v>
      </c>
    </row>
    <row r="64" spans="1:15" ht="12.75" customHeight="1">
      <c r="A64" s="20" t="s">
        <v>118</v>
      </c>
      <c r="B64" s="21" t="s">
        <v>119</v>
      </c>
      <c r="C64" s="22">
        <v>67381</v>
      </c>
      <c r="D64" s="22">
        <v>32845</v>
      </c>
      <c r="E64" s="22">
        <v>4556</v>
      </c>
      <c r="F64" s="22">
        <f t="shared" si="13"/>
        <v>29980</v>
      </c>
      <c r="G64" s="22">
        <v>250918</v>
      </c>
      <c r="H64" s="22">
        <v>99793</v>
      </c>
      <c r="I64" s="22">
        <v>20710</v>
      </c>
      <c r="J64" s="22">
        <f t="shared" si="14"/>
        <v>130415</v>
      </c>
      <c r="K64" s="22">
        <v>846</v>
      </c>
      <c r="L64" s="22">
        <v>22</v>
      </c>
      <c r="M64" s="22">
        <v>10869</v>
      </c>
      <c r="N64" s="22">
        <v>1363</v>
      </c>
      <c r="O64" s="22">
        <v>1363</v>
      </c>
    </row>
    <row r="65" spans="1:15" ht="12.75" customHeight="1">
      <c r="A65" s="20" t="s">
        <v>120</v>
      </c>
      <c r="B65" s="21" t="s">
        <v>121</v>
      </c>
      <c r="C65" s="22">
        <v>31711</v>
      </c>
      <c r="D65" s="22">
        <v>21586</v>
      </c>
      <c r="E65" s="22">
        <v>3131</v>
      </c>
      <c r="F65" s="22">
        <f t="shared" si="13"/>
        <v>6994</v>
      </c>
      <c r="G65" s="22">
        <v>172115</v>
      </c>
      <c r="H65" s="22">
        <v>64557</v>
      </c>
      <c r="I65" s="22">
        <v>17932</v>
      </c>
      <c r="J65" s="22">
        <f t="shared" si="14"/>
        <v>89626</v>
      </c>
      <c r="K65" s="22">
        <v>7786</v>
      </c>
      <c r="L65" s="22">
        <v>0</v>
      </c>
      <c r="M65" s="22">
        <v>26776</v>
      </c>
      <c r="N65" s="22">
        <v>5310</v>
      </c>
      <c r="O65" s="22">
        <v>5310</v>
      </c>
    </row>
    <row r="66" spans="1:15" ht="12.75" customHeight="1">
      <c r="A66" s="20" t="s">
        <v>122</v>
      </c>
      <c r="B66" s="21" t="s">
        <v>123</v>
      </c>
      <c r="C66" s="22">
        <v>63613</v>
      </c>
      <c r="D66" s="22">
        <v>23204</v>
      </c>
      <c r="E66" s="22">
        <v>1346</v>
      </c>
      <c r="F66" s="22">
        <f t="shared" si="13"/>
        <v>39063</v>
      </c>
      <c r="G66" s="22">
        <v>315194</v>
      </c>
      <c r="H66" s="22">
        <v>68651</v>
      </c>
      <c r="I66" s="22">
        <v>6536</v>
      </c>
      <c r="J66" s="22">
        <f t="shared" si="14"/>
        <v>240007</v>
      </c>
      <c r="K66" s="22">
        <v>26644</v>
      </c>
      <c r="L66" s="22">
        <v>195</v>
      </c>
      <c r="M66" s="22">
        <v>67464</v>
      </c>
      <c r="N66" s="22">
        <v>486</v>
      </c>
      <c r="O66" s="22">
        <v>486</v>
      </c>
    </row>
    <row r="67" spans="1:15" ht="12.75" customHeight="1">
      <c r="A67" s="20" t="s">
        <v>124</v>
      </c>
      <c r="B67" s="21" t="s">
        <v>125</v>
      </c>
      <c r="C67" s="22">
        <v>90209</v>
      </c>
      <c r="D67" s="22">
        <v>23897</v>
      </c>
      <c r="E67" s="22">
        <v>0</v>
      </c>
      <c r="F67" s="22">
        <f t="shared" si="13"/>
        <v>66312</v>
      </c>
      <c r="G67" s="22">
        <v>373192</v>
      </c>
      <c r="H67" s="22">
        <v>67578</v>
      </c>
      <c r="I67" s="22">
        <v>0</v>
      </c>
      <c r="J67" s="22">
        <f t="shared" si="14"/>
        <v>305614</v>
      </c>
      <c r="K67" s="22">
        <v>21544</v>
      </c>
      <c r="L67" s="22">
        <v>0</v>
      </c>
      <c r="M67" s="22">
        <v>95305</v>
      </c>
      <c r="N67" s="22">
        <v>1106</v>
      </c>
      <c r="O67" s="22">
        <v>1106</v>
      </c>
    </row>
    <row r="68" spans="1:15" ht="12.75" customHeight="1">
      <c r="A68" s="20" t="s">
        <v>126</v>
      </c>
      <c r="B68" s="21" t="s">
        <v>127</v>
      </c>
      <c r="C68" s="22">
        <v>69541</v>
      </c>
      <c r="D68" s="22">
        <v>31911</v>
      </c>
      <c r="E68" s="22">
        <v>1074</v>
      </c>
      <c r="F68" s="22">
        <f t="shared" si="13"/>
        <v>36556</v>
      </c>
      <c r="G68" s="22">
        <v>166167</v>
      </c>
      <c r="H68" s="22">
        <v>74987</v>
      </c>
      <c r="I68" s="22">
        <v>7320</v>
      </c>
      <c r="J68" s="22">
        <f t="shared" si="14"/>
        <v>83860</v>
      </c>
      <c r="K68" s="22">
        <v>614</v>
      </c>
      <c r="L68" s="22">
        <v>311</v>
      </c>
      <c r="M68" s="22">
        <v>5555</v>
      </c>
      <c r="N68" s="22">
        <v>0</v>
      </c>
      <c r="O68" s="22">
        <v>0</v>
      </c>
    </row>
    <row r="69" spans="1:15" ht="12.75" customHeight="1">
      <c r="A69" s="23"/>
      <c r="B69" s="24" t="s">
        <v>128</v>
      </c>
      <c r="C69" s="25">
        <f t="shared" ref="C69:O69" si="15">SUM(C60:C68)</f>
        <v>580252</v>
      </c>
      <c r="D69" s="25">
        <f t="shared" si="15"/>
        <v>296108</v>
      </c>
      <c r="E69" s="25">
        <f t="shared" si="15"/>
        <v>24928</v>
      </c>
      <c r="F69" s="25">
        <f t="shared" si="15"/>
        <v>259216</v>
      </c>
      <c r="G69" s="25">
        <f t="shared" si="15"/>
        <v>2171965</v>
      </c>
      <c r="H69" s="25">
        <f t="shared" si="15"/>
        <v>817189</v>
      </c>
      <c r="I69" s="25">
        <f t="shared" si="15"/>
        <v>134600</v>
      </c>
      <c r="J69" s="25">
        <f t="shared" si="15"/>
        <v>1220176</v>
      </c>
      <c r="K69" s="25">
        <f t="shared" si="15"/>
        <v>66320</v>
      </c>
      <c r="L69" s="25">
        <f t="shared" si="15"/>
        <v>767</v>
      </c>
      <c r="M69" s="25">
        <f t="shared" si="15"/>
        <v>276702</v>
      </c>
      <c r="N69" s="25">
        <f t="shared" si="15"/>
        <v>15009</v>
      </c>
      <c r="O69" s="25">
        <f t="shared" si="15"/>
        <v>15009</v>
      </c>
    </row>
    <row r="70" spans="1:15" ht="12.75" customHeight="1">
      <c r="A70" s="20" t="s">
        <v>129</v>
      </c>
      <c r="B70" s="21" t="s">
        <v>130</v>
      </c>
      <c r="C70" s="22">
        <v>34106</v>
      </c>
      <c r="D70" s="22">
        <v>23859</v>
      </c>
      <c r="E70" s="22">
        <v>2690</v>
      </c>
      <c r="F70" s="22">
        <f t="shared" ref="F70:F79" si="16">SUM(C70-D70-E70)</f>
        <v>7557</v>
      </c>
      <c r="G70" s="22">
        <v>123834</v>
      </c>
      <c r="H70" s="22">
        <v>65640</v>
      </c>
      <c r="I70" s="22">
        <v>18514</v>
      </c>
      <c r="J70" s="22">
        <f t="shared" ref="J70:J79" si="17">SUM(G70-H70-I70)</f>
        <v>39680</v>
      </c>
      <c r="K70" s="22">
        <v>3114</v>
      </c>
      <c r="L70" s="22">
        <v>33</v>
      </c>
      <c r="M70" s="22">
        <v>9082</v>
      </c>
      <c r="N70" s="22">
        <v>190</v>
      </c>
      <c r="O70" s="22">
        <v>190</v>
      </c>
    </row>
    <row r="71" spans="1:15" ht="12.75" customHeight="1">
      <c r="A71" s="20" t="s">
        <v>131</v>
      </c>
      <c r="B71" s="21" t="s">
        <v>132</v>
      </c>
      <c r="C71" s="22">
        <v>131507</v>
      </c>
      <c r="D71" s="22">
        <v>84766</v>
      </c>
      <c r="E71" s="22">
        <v>5147</v>
      </c>
      <c r="F71" s="22">
        <f t="shared" si="16"/>
        <v>41594</v>
      </c>
      <c r="G71" s="22">
        <v>330456</v>
      </c>
      <c r="H71" s="22">
        <v>155023</v>
      </c>
      <c r="I71" s="22">
        <v>24494</v>
      </c>
      <c r="J71" s="22">
        <f t="shared" si="17"/>
        <v>150939</v>
      </c>
      <c r="K71" s="22">
        <v>11776</v>
      </c>
      <c r="L71" s="22">
        <v>0</v>
      </c>
      <c r="M71" s="22">
        <v>11132</v>
      </c>
      <c r="N71" s="22">
        <v>34584</v>
      </c>
      <c r="O71" s="22">
        <v>34584</v>
      </c>
    </row>
    <row r="72" spans="1:15" ht="12.75" customHeight="1">
      <c r="A72" s="20" t="s">
        <v>133</v>
      </c>
      <c r="B72" s="21" t="s">
        <v>134</v>
      </c>
      <c r="C72" s="22">
        <v>27393</v>
      </c>
      <c r="D72" s="22">
        <v>18189</v>
      </c>
      <c r="E72" s="22">
        <v>0</v>
      </c>
      <c r="F72" s="22">
        <f t="shared" si="16"/>
        <v>9204</v>
      </c>
      <c r="G72" s="22">
        <v>87279</v>
      </c>
      <c r="H72" s="22">
        <v>47205</v>
      </c>
      <c r="I72" s="22">
        <v>0</v>
      </c>
      <c r="J72" s="22">
        <f t="shared" si="17"/>
        <v>40074</v>
      </c>
      <c r="K72" s="22">
        <v>4701</v>
      </c>
      <c r="L72" s="22">
        <v>1248</v>
      </c>
      <c r="M72" s="22">
        <v>19961</v>
      </c>
      <c r="N72" s="22">
        <v>518</v>
      </c>
      <c r="O72" s="22">
        <v>518</v>
      </c>
    </row>
    <row r="73" spans="1:15" ht="12.75" customHeight="1">
      <c r="A73" s="20" t="s">
        <v>135</v>
      </c>
      <c r="B73" s="21" t="s">
        <v>136</v>
      </c>
      <c r="C73" s="22">
        <v>63288</v>
      </c>
      <c r="D73" s="22">
        <v>44844</v>
      </c>
      <c r="E73" s="22">
        <v>580</v>
      </c>
      <c r="F73" s="22">
        <f t="shared" si="16"/>
        <v>17864</v>
      </c>
      <c r="G73" s="22">
        <v>178524</v>
      </c>
      <c r="H73" s="22">
        <v>105430</v>
      </c>
      <c r="I73" s="22">
        <v>1651</v>
      </c>
      <c r="J73" s="22">
        <f t="shared" si="17"/>
        <v>71443</v>
      </c>
      <c r="K73" s="22">
        <v>9146</v>
      </c>
      <c r="L73" s="22">
        <v>36</v>
      </c>
      <c r="M73" s="22">
        <v>7965</v>
      </c>
      <c r="N73" s="22">
        <v>56375</v>
      </c>
      <c r="O73" s="22">
        <v>56375</v>
      </c>
    </row>
    <row r="74" spans="1:15" ht="12.75" customHeight="1">
      <c r="A74" s="20" t="s">
        <v>137</v>
      </c>
      <c r="B74" s="21" t="s">
        <v>138</v>
      </c>
      <c r="C74" s="22">
        <v>54070</v>
      </c>
      <c r="D74" s="22">
        <v>39064</v>
      </c>
      <c r="E74" s="22">
        <v>1883</v>
      </c>
      <c r="F74" s="22">
        <f t="shared" si="16"/>
        <v>13123</v>
      </c>
      <c r="G74" s="22">
        <v>123992</v>
      </c>
      <c r="H74" s="22">
        <v>70568</v>
      </c>
      <c r="I74" s="22">
        <v>7500</v>
      </c>
      <c r="J74" s="22">
        <f t="shared" si="17"/>
        <v>45924</v>
      </c>
      <c r="K74" s="22">
        <v>5132</v>
      </c>
      <c r="L74" s="22">
        <v>0</v>
      </c>
      <c r="M74" s="22">
        <v>2352</v>
      </c>
      <c r="N74" s="22">
        <v>3479</v>
      </c>
      <c r="O74" s="22">
        <v>3479</v>
      </c>
    </row>
    <row r="75" spans="1:15" ht="12.75" customHeight="1">
      <c r="A75" s="20" t="s">
        <v>139</v>
      </c>
      <c r="B75" s="21" t="s">
        <v>140</v>
      </c>
      <c r="C75" s="22">
        <v>23033</v>
      </c>
      <c r="D75" s="22">
        <v>20803</v>
      </c>
      <c r="E75" s="22">
        <v>520</v>
      </c>
      <c r="F75" s="22">
        <f t="shared" si="16"/>
        <v>1710</v>
      </c>
      <c r="G75" s="22">
        <v>46107</v>
      </c>
      <c r="H75" s="22">
        <v>36728</v>
      </c>
      <c r="I75" s="22">
        <v>3102</v>
      </c>
      <c r="J75" s="22">
        <f t="shared" si="17"/>
        <v>6277</v>
      </c>
      <c r="K75" s="22">
        <v>577</v>
      </c>
      <c r="L75" s="22">
        <v>6</v>
      </c>
      <c r="M75" s="22">
        <v>191</v>
      </c>
      <c r="N75" s="22">
        <v>0</v>
      </c>
      <c r="O75" s="22">
        <v>0</v>
      </c>
    </row>
    <row r="76" spans="1:15" ht="12.75" customHeight="1">
      <c r="A76" s="20" t="s">
        <v>141</v>
      </c>
      <c r="B76" s="21" t="s">
        <v>142</v>
      </c>
      <c r="C76" s="22">
        <v>51060</v>
      </c>
      <c r="D76" s="22">
        <v>35908</v>
      </c>
      <c r="E76" s="22">
        <v>877</v>
      </c>
      <c r="F76" s="22">
        <f t="shared" si="16"/>
        <v>14275</v>
      </c>
      <c r="G76" s="22">
        <v>143581</v>
      </c>
      <c r="H76" s="22">
        <v>87168</v>
      </c>
      <c r="I76" s="22">
        <v>3318</v>
      </c>
      <c r="J76" s="22">
        <f t="shared" si="17"/>
        <v>53095</v>
      </c>
      <c r="K76" s="22">
        <v>2538</v>
      </c>
      <c r="L76" s="22">
        <v>425</v>
      </c>
      <c r="M76" s="22">
        <v>5326</v>
      </c>
      <c r="N76" s="22">
        <v>1239</v>
      </c>
      <c r="O76" s="22">
        <v>1239</v>
      </c>
    </row>
    <row r="77" spans="1:15" ht="12.75" customHeight="1">
      <c r="A77" s="20" t="s">
        <v>143</v>
      </c>
      <c r="B77" s="21" t="s">
        <v>144</v>
      </c>
      <c r="C77" s="22">
        <v>42521</v>
      </c>
      <c r="D77" s="22">
        <v>24588</v>
      </c>
      <c r="E77" s="22">
        <v>699</v>
      </c>
      <c r="F77" s="22">
        <f t="shared" si="16"/>
        <v>17234</v>
      </c>
      <c r="G77" s="22">
        <v>98752</v>
      </c>
      <c r="H77" s="22">
        <v>50391</v>
      </c>
      <c r="I77" s="22">
        <v>2546</v>
      </c>
      <c r="J77" s="22">
        <f t="shared" si="17"/>
        <v>45815</v>
      </c>
      <c r="K77" s="22">
        <v>6619</v>
      </c>
      <c r="L77" s="22">
        <v>0</v>
      </c>
      <c r="M77" s="22">
        <v>5792</v>
      </c>
      <c r="N77" s="22">
        <v>788</v>
      </c>
      <c r="O77" s="22">
        <v>788</v>
      </c>
    </row>
    <row r="78" spans="1:15" ht="12.75" customHeight="1">
      <c r="A78" s="20" t="s">
        <v>145</v>
      </c>
      <c r="B78" s="21" t="s">
        <v>146</v>
      </c>
      <c r="C78" s="22">
        <v>29372</v>
      </c>
      <c r="D78" s="22">
        <v>19423</v>
      </c>
      <c r="E78" s="22">
        <v>0</v>
      </c>
      <c r="F78" s="22">
        <f t="shared" si="16"/>
        <v>9949</v>
      </c>
      <c r="G78" s="22">
        <v>67132</v>
      </c>
      <c r="H78" s="22">
        <v>40627</v>
      </c>
      <c r="I78" s="22">
        <v>0</v>
      </c>
      <c r="J78" s="22">
        <f t="shared" si="17"/>
        <v>26505</v>
      </c>
      <c r="K78" s="22">
        <v>1489</v>
      </c>
      <c r="L78" s="22">
        <v>0</v>
      </c>
      <c r="M78" s="22">
        <v>119</v>
      </c>
      <c r="N78" s="22">
        <v>1163</v>
      </c>
      <c r="O78" s="22">
        <v>1163</v>
      </c>
    </row>
    <row r="79" spans="1:15" ht="12.75" customHeight="1">
      <c r="A79" s="20" t="s">
        <v>147</v>
      </c>
      <c r="B79" s="21" t="s">
        <v>148</v>
      </c>
      <c r="C79" s="22">
        <v>30730</v>
      </c>
      <c r="D79" s="22">
        <v>22130</v>
      </c>
      <c r="E79" s="22">
        <v>816</v>
      </c>
      <c r="F79" s="22">
        <f t="shared" si="16"/>
        <v>7784</v>
      </c>
      <c r="G79" s="22">
        <v>109281</v>
      </c>
      <c r="H79" s="22">
        <v>56863</v>
      </c>
      <c r="I79" s="22">
        <v>4478</v>
      </c>
      <c r="J79" s="22">
        <f t="shared" si="17"/>
        <v>47940</v>
      </c>
      <c r="K79" s="22">
        <v>6194</v>
      </c>
      <c r="L79" s="22">
        <v>37</v>
      </c>
      <c r="M79" s="22">
        <v>15593</v>
      </c>
      <c r="N79" s="22">
        <v>727</v>
      </c>
      <c r="O79" s="22">
        <v>727</v>
      </c>
    </row>
    <row r="80" spans="1:15" ht="12.75" customHeight="1">
      <c r="A80" s="23"/>
      <c r="B80" s="24" t="s">
        <v>149</v>
      </c>
      <c r="C80" s="25">
        <f t="shared" ref="C80:O80" si="18">SUM(C70:C79)</f>
        <v>487080</v>
      </c>
      <c r="D80" s="25">
        <f t="shared" si="18"/>
        <v>333574</v>
      </c>
      <c r="E80" s="25">
        <f t="shared" si="18"/>
        <v>13212</v>
      </c>
      <c r="F80" s="25">
        <f t="shared" si="18"/>
        <v>140294</v>
      </c>
      <c r="G80" s="25">
        <f t="shared" si="18"/>
        <v>1308938</v>
      </c>
      <c r="H80" s="25">
        <f t="shared" si="18"/>
        <v>715643</v>
      </c>
      <c r="I80" s="25">
        <f t="shared" si="18"/>
        <v>65603</v>
      </c>
      <c r="J80" s="25">
        <f t="shared" si="18"/>
        <v>527692</v>
      </c>
      <c r="K80" s="25">
        <f t="shared" si="18"/>
        <v>51286</v>
      </c>
      <c r="L80" s="25">
        <f t="shared" si="18"/>
        <v>1785</v>
      </c>
      <c r="M80" s="25">
        <f t="shared" si="18"/>
        <v>77513</v>
      </c>
      <c r="N80" s="25">
        <f t="shared" si="18"/>
        <v>99063</v>
      </c>
      <c r="O80" s="25">
        <f t="shared" si="18"/>
        <v>99063</v>
      </c>
    </row>
    <row r="81" spans="1:15" ht="12.75" customHeight="1">
      <c r="A81" s="20" t="s">
        <v>150</v>
      </c>
      <c r="B81" s="21" t="s">
        <v>151</v>
      </c>
      <c r="C81" s="22">
        <v>56740</v>
      </c>
      <c r="D81" s="22">
        <v>34944</v>
      </c>
      <c r="E81" s="22">
        <v>1688</v>
      </c>
      <c r="F81" s="22">
        <f>SUM(C81-D81-E81)</f>
        <v>20108</v>
      </c>
      <c r="G81" s="22">
        <v>227329</v>
      </c>
      <c r="H81" s="22">
        <v>112698</v>
      </c>
      <c r="I81" s="22">
        <v>12068</v>
      </c>
      <c r="J81" s="22">
        <f>SUM(G81-H81-I81)</f>
        <v>102563</v>
      </c>
      <c r="K81" s="22">
        <v>2552</v>
      </c>
      <c r="L81" s="22">
        <v>1394</v>
      </c>
      <c r="M81" s="22">
        <v>17533</v>
      </c>
      <c r="N81" s="22">
        <v>2770</v>
      </c>
      <c r="O81" s="22">
        <v>2770</v>
      </c>
    </row>
    <row r="82" spans="1:15" ht="12.75" customHeight="1">
      <c r="A82" s="20" t="s">
        <v>152</v>
      </c>
      <c r="B82" s="21" t="s">
        <v>153</v>
      </c>
      <c r="C82" s="22">
        <v>20501</v>
      </c>
      <c r="D82" s="22">
        <v>14701</v>
      </c>
      <c r="E82" s="22">
        <v>418</v>
      </c>
      <c r="F82" s="22">
        <f>SUM(C82-D82-E82)</f>
        <v>5382</v>
      </c>
      <c r="G82" s="22">
        <v>103440</v>
      </c>
      <c r="H82" s="22">
        <v>47325</v>
      </c>
      <c r="I82" s="22">
        <v>2672</v>
      </c>
      <c r="J82" s="22">
        <f>SUM(G82-H82-I82)</f>
        <v>53443</v>
      </c>
      <c r="K82" s="22">
        <v>1103</v>
      </c>
      <c r="L82" s="22">
        <v>12</v>
      </c>
      <c r="M82" s="22">
        <v>14291</v>
      </c>
      <c r="N82" s="22">
        <v>643</v>
      </c>
      <c r="O82" s="22">
        <v>643</v>
      </c>
    </row>
    <row r="83" spans="1:15" ht="12.75" customHeight="1">
      <c r="A83" s="20" t="s">
        <v>154</v>
      </c>
      <c r="B83" s="21" t="s">
        <v>155</v>
      </c>
      <c r="C83" s="22">
        <v>7756</v>
      </c>
      <c r="D83" s="22">
        <v>7069</v>
      </c>
      <c r="E83" s="22">
        <v>467</v>
      </c>
      <c r="F83" s="22">
        <f>SUM(C83-D83-E83)</f>
        <v>220</v>
      </c>
      <c r="G83" s="22">
        <v>33982</v>
      </c>
      <c r="H83" s="22">
        <v>24068</v>
      </c>
      <c r="I83" s="22">
        <v>3432</v>
      </c>
      <c r="J83" s="22">
        <f>SUM(G83-H83-I83)</f>
        <v>6482</v>
      </c>
      <c r="K83" s="22">
        <v>75</v>
      </c>
      <c r="L83" s="22">
        <v>0</v>
      </c>
      <c r="M83" s="22">
        <v>1048</v>
      </c>
      <c r="N83" s="22">
        <v>0</v>
      </c>
      <c r="O83" s="22">
        <v>0</v>
      </c>
    </row>
    <row r="84" spans="1:15" ht="12.75" customHeight="1">
      <c r="A84" s="20" t="s">
        <v>156</v>
      </c>
      <c r="B84" s="21" t="s">
        <v>157</v>
      </c>
      <c r="C84" s="22">
        <v>21934</v>
      </c>
      <c r="D84" s="22">
        <v>19238</v>
      </c>
      <c r="E84" s="22">
        <v>335</v>
      </c>
      <c r="F84" s="22">
        <f>SUM(C84-D84-E84)</f>
        <v>2361</v>
      </c>
      <c r="G84" s="22">
        <v>106085</v>
      </c>
      <c r="H84" s="22">
        <v>65334</v>
      </c>
      <c r="I84" s="22">
        <v>2156</v>
      </c>
      <c r="J84" s="22">
        <f>SUM(G84-H84-I84)</f>
        <v>38595</v>
      </c>
      <c r="K84" s="22">
        <v>1689</v>
      </c>
      <c r="L84" s="22">
        <v>0</v>
      </c>
      <c r="M84" s="22">
        <v>13632</v>
      </c>
      <c r="N84" s="22">
        <v>853</v>
      </c>
      <c r="O84" s="22">
        <v>853</v>
      </c>
    </row>
    <row r="85" spans="1:15" ht="12.75" customHeight="1">
      <c r="A85" s="20" t="s">
        <v>158</v>
      </c>
      <c r="B85" s="21" t="s">
        <v>159</v>
      </c>
      <c r="C85" s="22">
        <v>33706</v>
      </c>
      <c r="D85" s="22">
        <v>26070</v>
      </c>
      <c r="E85" s="22">
        <v>1143</v>
      </c>
      <c r="F85" s="22">
        <f>SUM(C85-D85-E85)</f>
        <v>6493</v>
      </c>
      <c r="G85" s="22">
        <v>112252</v>
      </c>
      <c r="H85" s="22">
        <v>68703</v>
      </c>
      <c r="I85" s="22">
        <v>5853</v>
      </c>
      <c r="J85" s="22">
        <f>SUM(G85-H85-I85)</f>
        <v>37696</v>
      </c>
      <c r="K85" s="22">
        <v>2786</v>
      </c>
      <c r="L85" s="22">
        <v>476</v>
      </c>
      <c r="M85" s="22">
        <v>11960</v>
      </c>
      <c r="N85" s="22">
        <v>20903</v>
      </c>
      <c r="O85" s="22">
        <v>20903</v>
      </c>
    </row>
    <row r="86" spans="1:15" ht="12.75" customHeight="1">
      <c r="A86" s="23"/>
      <c r="B86" s="24" t="s">
        <v>160</v>
      </c>
      <c r="C86" s="25">
        <f t="shared" ref="C86:O86" si="19">SUM(C81:C85)</f>
        <v>140637</v>
      </c>
      <c r="D86" s="25">
        <f t="shared" si="19"/>
        <v>102022</v>
      </c>
      <c r="E86" s="25">
        <f t="shared" si="19"/>
        <v>4051</v>
      </c>
      <c r="F86" s="25">
        <f t="shared" si="19"/>
        <v>34564</v>
      </c>
      <c r="G86" s="25">
        <f t="shared" si="19"/>
        <v>583088</v>
      </c>
      <c r="H86" s="25">
        <f t="shared" si="19"/>
        <v>318128</v>
      </c>
      <c r="I86" s="25">
        <f t="shared" si="19"/>
        <v>26181</v>
      </c>
      <c r="J86" s="25">
        <f t="shared" si="19"/>
        <v>238779</v>
      </c>
      <c r="K86" s="25">
        <f t="shared" si="19"/>
        <v>8205</v>
      </c>
      <c r="L86" s="25">
        <f t="shared" si="19"/>
        <v>1882</v>
      </c>
      <c r="M86" s="25">
        <f t="shared" si="19"/>
        <v>58464</v>
      </c>
      <c r="N86" s="25">
        <f t="shared" si="19"/>
        <v>25169</v>
      </c>
      <c r="O86" s="25">
        <f t="shared" si="19"/>
        <v>25169</v>
      </c>
    </row>
    <row r="87" spans="1:15" ht="12.75" customHeight="1">
      <c r="A87" s="20" t="s">
        <v>161</v>
      </c>
      <c r="B87" s="21" t="s">
        <v>162</v>
      </c>
      <c r="C87" s="22">
        <v>58503</v>
      </c>
      <c r="D87" s="22">
        <v>43012</v>
      </c>
      <c r="E87" s="22">
        <v>0</v>
      </c>
      <c r="F87" s="22">
        <f>SUM(C87-D87-E87)</f>
        <v>15491</v>
      </c>
      <c r="G87" s="22">
        <v>263393</v>
      </c>
      <c r="H87" s="22">
        <v>132078</v>
      </c>
      <c r="I87" s="22">
        <v>0</v>
      </c>
      <c r="J87" s="22">
        <f>SUM(G87-H87-I87)</f>
        <v>131315</v>
      </c>
      <c r="K87" s="22">
        <v>2918</v>
      </c>
      <c r="L87" s="22">
        <v>22</v>
      </c>
      <c r="M87" s="22">
        <v>26037</v>
      </c>
      <c r="N87" s="22">
        <v>1599</v>
      </c>
      <c r="O87" s="22">
        <v>1599</v>
      </c>
    </row>
    <row r="88" spans="1:15" ht="12.75" customHeight="1">
      <c r="A88" s="20" t="s">
        <v>163</v>
      </c>
      <c r="B88" s="21" t="s">
        <v>164</v>
      </c>
      <c r="C88" s="22">
        <v>44690</v>
      </c>
      <c r="D88" s="22">
        <v>21780</v>
      </c>
      <c r="E88" s="22">
        <v>1885</v>
      </c>
      <c r="F88" s="22">
        <f>SUM(C88-D88-E88)</f>
        <v>21025</v>
      </c>
      <c r="G88" s="22">
        <v>131398</v>
      </c>
      <c r="H88" s="22">
        <v>53743</v>
      </c>
      <c r="I88" s="22">
        <v>12485</v>
      </c>
      <c r="J88" s="22">
        <f>SUM(G88-H88-I88)</f>
        <v>65170</v>
      </c>
      <c r="K88" s="22">
        <v>1251</v>
      </c>
      <c r="L88" s="22">
        <v>0</v>
      </c>
      <c r="M88" s="22">
        <v>7559</v>
      </c>
      <c r="N88" s="22">
        <v>0</v>
      </c>
      <c r="O88" s="22">
        <v>0</v>
      </c>
    </row>
    <row r="89" spans="1:15" ht="12.75" customHeight="1">
      <c r="A89" s="23"/>
      <c r="B89" s="24" t="s">
        <v>165</v>
      </c>
      <c r="C89" s="25">
        <f t="shared" ref="C89:O89" si="20">SUM(C87:C88)</f>
        <v>103193</v>
      </c>
      <c r="D89" s="25">
        <f t="shared" si="20"/>
        <v>64792</v>
      </c>
      <c r="E89" s="25">
        <f t="shared" si="20"/>
        <v>1885</v>
      </c>
      <c r="F89" s="25">
        <f t="shared" si="20"/>
        <v>36516</v>
      </c>
      <c r="G89" s="25">
        <f t="shared" si="20"/>
        <v>394791</v>
      </c>
      <c r="H89" s="25">
        <f t="shared" si="20"/>
        <v>185821</v>
      </c>
      <c r="I89" s="25">
        <f t="shared" si="20"/>
        <v>12485</v>
      </c>
      <c r="J89" s="25">
        <f t="shared" si="20"/>
        <v>196485</v>
      </c>
      <c r="K89" s="25">
        <f t="shared" si="20"/>
        <v>4169</v>
      </c>
      <c r="L89" s="25">
        <f t="shared" si="20"/>
        <v>22</v>
      </c>
      <c r="M89" s="25">
        <f t="shared" si="20"/>
        <v>33596</v>
      </c>
      <c r="N89" s="25">
        <f t="shared" si="20"/>
        <v>1599</v>
      </c>
      <c r="O89" s="25">
        <f t="shared" si="20"/>
        <v>1599</v>
      </c>
    </row>
    <row r="90" spans="1:15" ht="12.75" customHeight="1">
      <c r="A90" s="20" t="s">
        <v>166</v>
      </c>
      <c r="B90" s="21" t="s">
        <v>167</v>
      </c>
      <c r="C90" s="22">
        <v>64373</v>
      </c>
      <c r="D90" s="22">
        <v>29804</v>
      </c>
      <c r="E90" s="22">
        <v>3711</v>
      </c>
      <c r="F90" s="22">
        <f>SUM(C90-D90-E90)</f>
        <v>30858</v>
      </c>
      <c r="G90" s="22">
        <v>289650</v>
      </c>
      <c r="H90" s="22">
        <v>100383</v>
      </c>
      <c r="I90" s="22">
        <v>22870</v>
      </c>
      <c r="J90" s="22">
        <f>SUM(G90-H90-I90)</f>
        <v>166397</v>
      </c>
      <c r="K90" s="22">
        <v>1728</v>
      </c>
      <c r="L90" s="22">
        <v>0</v>
      </c>
      <c r="M90" s="22">
        <v>25714</v>
      </c>
      <c r="N90" s="22">
        <v>396</v>
      </c>
      <c r="O90" s="22">
        <v>396</v>
      </c>
    </row>
    <row r="91" spans="1:15" ht="12.75" customHeight="1">
      <c r="A91" s="20" t="s">
        <v>168</v>
      </c>
      <c r="B91" s="21" t="s">
        <v>169</v>
      </c>
      <c r="C91" s="22">
        <v>59759</v>
      </c>
      <c r="D91" s="22">
        <v>42810</v>
      </c>
      <c r="E91" s="22">
        <v>0</v>
      </c>
      <c r="F91" s="22">
        <f>SUM(C91-D91-E91)</f>
        <v>16949</v>
      </c>
      <c r="G91" s="22">
        <v>256679</v>
      </c>
      <c r="H91" s="22">
        <v>110060</v>
      </c>
      <c r="I91" s="22">
        <v>0</v>
      </c>
      <c r="J91" s="22">
        <f>SUM(G91-H91-I91)</f>
        <v>146619</v>
      </c>
      <c r="K91" s="22">
        <v>1496</v>
      </c>
      <c r="L91" s="22">
        <v>326</v>
      </c>
      <c r="M91" s="22">
        <v>33240</v>
      </c>
      <c r="N91" s="22">
        <v>638</v>
      </c>
      <c r="O91" s="22">
        <v>638</v>
      </c>
    </row>
    <row r="92" spans="1:15" ht="12.75" customHeight="1">
      <c r="A92" s="20" t="s">
        <v>170</v>
      </c>
      <c r="B92" s="21" t="s">
        <v>171</v>
      </c>
      <c r="C92" s="22">
        <v>12504</v>
      </c>
      <c r="D92" s="22">
        <v>9041</v>
      </c>
      <c r="E92" s="22">
        <v>1493</v>
      </c>
      <c r="F92" s="22">
        <f>SUM(C92-D92-E92)</f>
        <v>1970</v>
      </c>
      <c r="G92" s="22">
        <v>44494</v>
      </c>
      <c r="H92" s="22">
        <v>23509</v>
      </c>
      <c r="I92" s="22">
        <v>11952</v>
      </c>
      <c r="J92" s="22">
        <f>SUM(G92-H92-I92)</f>
        <v>9033</v>
      </c>
      <c r="K92" s="22">
        <v>577</v>
      </c>
      <c r="L92" s="22">
        <v>0</v>
      </c>
      <c r="M92" s="22">
        <v>1869</v>
      </c>
      <c r="N92" s="22">
        <v>29</v>
      </c>
      <c r="O92" s="22">
        <v>29</v>
      </c>
    </row>
    <row r="93" spans="1:15" ht="12.75" customHeight="1">
      <c r="A93" s="20" t="s">
        <v>172</v>
      </c>
      <c r="B93" s="21" t="s">
        <v>173</v>
      </c>
      <c r="C93" s="22">
        <v>596827</v>
      </c>
      <c r="D93" s="22">
        <v>387762</v>
      </c>
      <c r="E93" s="22">
        <v>24910</v>
      </c>
      <c r="F93" s="22">
        <f>SUM(C93-D93-E93)</f>
        <v>184155</v>
      </c>
      <c r="G93" s="22">
        <v>1808020</v>
      </c>
      <c r="H93" s="22">
        <v>686765</v>
      </c>
      <c r="I93" s="22">
        <v>86398</v>
      </c>
      <c r="J93" s="22">
        <f>SUM(G93-H93-I93)</f>
        <v>1034857</v>
      </c>
      <c r="K93" s="22">
        <v>133312</v>
      </c>
      <c r="L93" s="22">
        <v>741</v>
      </c>
      <c r="M93" s="22">
        <v>111612</v>
      </c>
      <c r="N93" s="22">
        <v>14123</v>
      </c>
      <c r="O93" s="22">
        <v>14123</v>
      </c>
    </row>
    <row r="94" spans="1:15" ht="12.75" customHeight="1">
      <c r="A94" s="20" t="s">
        <v>174</v>
      </c>
      <c r="B94" s="21" t="s">
        <v>175</v>
      </c>
      <c r="C94" s="22">
        <v>40954</v>
      </c>
      <c r="D94" s="22">
        <v>12683</v>
      </c>
      <c r="E94" s="22">
        <v>1070</v>
      </c>
      <c r="F94" s="22">
        <f>SUM(C94-D94-E94)</f>
        <v>27201</v>
      </c>
      <c r="G94" s="22">
        <v>121385</v>
      </c>
      <c r="H94" s="22">
        <v>40576</v>
      </c>
      <c r="I94" s="22">
        <v>7735</v>
      </c>
      <c r="J94" s="22">
        <f>SUM(G94-H94-I94)</f>
        <v>73074</v>
      </c>
      <c r="K94" s="22">
        <v>1801</v>
      </c>
      <c r="L94" s="22">
        <v>1063</v>
      </c>
      <c r="M94" s="22">
        <v>21527</v>
      </c>
      <c r="N94" s="22">
        <v>584</v>
      </c>
      <c r="O94" s="22">
        <v>584</v>
      </c>
    </row>
    <row r="95" spans="1:15" ht="12.75" customHeight="1">
      <c r="A95" s="23"/>
      <c r="B95" s="24" t="s">
        <v>176</v>
      </c>
      <c r="C95" s="25">
        <f t="shared" ref="C95:O95" si="21">SUM(C90:C94)</f>
        <v>774417</v>
      </c>
      <c r="D95" s="25">
        <f t="shared" si="21"/>
        <v>482100</v>
      </c>
      <c r="E95" s="25">
        <f t="shared" si="21"/>
        <v>31184</v>
      </c>
      <c r="F95" s="25">
        <f t="shared" si="21"/>
        <v>261133</v>
      </c>
      <c r="G95" s="25">
        <f t="shared" si="21"/>
        <v>2520228</v>
      </c>
      <c r="H95" s="25">
        <f t="shared" si="21"/>
        <v>961293</v>
      </c>
      <c r="I95" s="25">
        <f t="shared" si="21"/>
        <v>128955</v>
      </c>
      <c r="J95" s="25">
        <f t="shared" si="21"/>
        <v>1429980</v>
      </c>
      <c r="K95" s="25">
        <f t="shared" si="21"/>
        <v>138914</v>
      </c>
      <c r="L95" s="25">
        <f t="shared" si="21"/>
        <v>2130</v>
      </c>
      <c r="M95" s="25">
        <f t="shared" si="21"/>
        <v>193962</v>
      </c>
      <c r="N95" s="25">
        <f t="shared" si="21"/>
        <v>15770</v>
      </c>
      <c r="O95" s="25">
        <f t="shared" si="21"/>
        <v>15770</v>
      </c>
    </row>
    <row r="96" spans="1:15" ht="12.75" customHeight="1">
      <c r="A96" s="20" t="s">
        <v>177</v>
      </c>
      <c r="B96" s="21" t="s">
        <v>178</v>
      </c>
      <c r="C96" s="22">
        <v>11844</v>
      </c>
      <c r="D96" s="22">
        <v>8731</v>
      </c>
      <c r="E96" s="22">
        <v>594</v>
      </c>
      <c r="F96" s="22">
        <f>SUM(C96-D96-E96)</f>
        <v>2519</v>
      </c>
      <c r="G96" s="22">
        <v>64189</v>
      </c>
      <c r="H96" s="22">
        <v>33144</v>
      </c>
      <c r="I96" s="22">
        <v>3573</v>
      </c>
      <c r="J96" s="22">
        <f>SUM(G96-H96-I96)</f>
        <v>27472</v>
      </c>
      <c r="K96" s="22">
        <v>30</v>
      </c>
      <c r="L96" s="22">
        <v>0</v>
      </c>
      <c r="M96" s="22">
        <v>19232</v>
      </c>
      <c r="N96" s="22">
        <v>0</v>
      </c>
      <c r="O96" s="22">
        <v>0</v>
      </c>
    </row>
    <row r="97" spans="1:15" ht="12.75" customHeight="1">
      <c r="A97" s="20" t="s">
        <v>179</v>
      </c>
      <c r="B97" s="21" t="s">
        <v>180</v>
      </c>
      <c r="C97" s="22">
        <v>3751</v>
      </c>
      <c r="D97" s="22">
        <v>3518</v>
      </c>
      <c r="E97" s="22">
        <v>0</v>
      </c>
      <c r="F97" s="22">
        <f>SUM(C97-D97-E97)</f>
        <v>233</v>
      </c>
      <c r="G97" s="22">
        <v>15746</v>
      </c>
      <c r="H97" s="22">
        <v>13327</v>
      </c>
      <c r="I97" s="22">
        <v>0</v>
      </c>
      <c r="J97" s="22">
        <f>SUM(G97-H97-I97)</f>
        <v>2419</v>
      </c>
      <c r="K97" s="22">
        <v>46</v>
      </c>
      <c r="L97" s="22">
        <v>0</v>
      </c>
      <c r="M97" s="22">
        <v>1161</v>
      </c>
      <c r="N97" s="22">
        <v>0</v>
      </c>
      <c r="O97" s="22">
        <v>0</v>
      </c>
    </row>
    <row r="98" spans="1:15" ht="12.75" customHeight="1">
      <c r="A98" s="23"/>
      <c r="B98" s="24" t="s">
        <v>181</v>
      </c>
      <c r="C98" s="25">
        <f t="shared" ref="C98:O98" si="22">SUM(C96:C97)</f>
        <v>15595</v>
      </c>
      <c r="D98" s="25">
        <f t="shared" si="22"/>
        <v>12249</v>
      </c>
      <c r="E98" s="25">
        <f t="shared" si="22"/>
        <v>594</v>
      </c>
      <c r="F98" s="25">
        <f t="shared" si="22"/>
        <v>2752</v>
      </c>
      <c r="G98" s="25">
        <f t="shared" si="22"/>
        <v>79935</v>
      </c>
      <c r="H98" s="25">
        <f t="shared" si="22"/>
        <v>46471</v>
      </c>
      <c r="I98" s="25">
        <f t="shared" si="22"/>
        <v>3573</v>
      </c>
      <c r="J98" s="25">
        <f t="shared" si="22"/>
        <v>29891</v>
      </c>
      <c r="K98" s="25">
        <f t="shared" si="22"/>
        <v>76</v>
      </c>
      <c r="L98" s="25">
        <f t="shared" si="22"/>
        <v>0</v>
      </c>
      <c r="M98" s="25">
        <f t="shared" si="22"/>
        <v>20393</v>
      </c>
      <c r="N98" s="25">
        <f t="shared" si="22"/>
        <v>0</v>
      </c>
      <c r="O98" s="25">
        <f t="shared" si="22"/>
        <v>0</v>
      </c>
    </row>
    <row r="99" spans="1:15" ht="12.75" customHeight="1">
      <c r="A99" s="20" t="s">
        <v>182</v>
      </c>
      <c r="B99" s="21" t="s">
        <v>183</v>
      </c>
      <c r="C99" s="22">
        <v>32483</v>
      </c>
      <c r="D99" s="22">
        <v>24930</v>
      </c>
      <c r="E99" s="22">
        <v>1558</v>
      </c>
      <c r="F99" s="22">
        <f>SUM(C99-D99-E99)</f>
        <v>5995</v>
      </c>
      <c r="G99" s="22">
        <v>145792</v>
      </c>
      <c r="H99" s="22">
        <v>79964</v>
      </c>
      <c r="I99" s="22">
        <v>9330</v>
      </c>
      <c r="J99" s="22">
        <f>SUM(G99-H99-I99)</f>
        <v>56498</v>
      </c>
      <c r="K99" s="22">
        <v>333</v>
      </c>
      <c r="L99" s="22">
        <v>0</v>
      </c>
      <c r="M99" s="22">
        <v>17046</v>
      </c>
      <c r="N99" s="22">
        <v>227</v>
      </c>
      <c r="O99" s="22">
        <v>227</v>
      </c>
    </row>
    <row r="100" spans="1:15" ht="12.75" customHeight="1">
      <c r="A100" s="20" t="s">
        <v>184</v>
      </c>
      <c r="B100" s="21" t="s">
        <v>185</v>
      </c>
      <c r="C100" s="22">
        <v>26472</v>
      </c>
      <c r="D100" s="22">
        <v>14481</v>
      </c>
      <c r="E100" s="22">
        <v>1133</v>
      </c>
      <c r="F100" s="22">
        <f>SUM(C100-D100-E100)</f>
        <v>10858</v>
      </c>
      <c r="G100" s="22">
        <v>112552</v>
      </c>
      <c r="H100" s="22">
        <v>41227</v>
      </c>
      <c r="I100" s="22">
        <v>5204</v>
      </c>
      <c r="J100" s="22">
        <f>SUM(G100-H100-I100)</f>
        <v>66121</v>
      </c>
      <c r="K100" s="22">
        <v>2748</v>
      </c>
      <c r="L100" s="22">
        <v>0</v>
      </c>
      <c r="M100" s="22">
        <v>8632</v>
      </c>
      <c r="N100" s="22">
        <v>174</v>
      </c>
      <c r="O100" s="22">
        <v>174</v>
      </c>
    </row>
    <row r="101" spans="1:15" ht="12.75" customHeight="1">
      <c r="A101" s="20" t="s">
        <v>186</v>
      </c>
      <c r="B101" s="21" t="s">
        <v>187</v>
      </c>
      <c r="C101" s="22">
        <v>15531</v>
      </c>
      <c r="D101" s="22">
        <v>12108</v>
      </c>
      <c r="E101" s="22">
        <v>0</v>
      </c>
      <c r="F101" s="22">
        <f>SUM(C101-D101-E101)</f>
        <v>3423</v>
      </c>
      <c r="G101" s="22">
        <v>51852</v>
      </c>
      <c r="H101" s="22">
        <v>34240</v>
      </c>
      <c r="I101" s="22">
        <v>0</v>
      </c>
      <c r="J101" s="22">
        <f>SUM(G101-H101-I101)</f>
        <v>17612</v>
      </c>
      <c r="K101" s="22">
        <v>106</v>
      </c>
      <c r="L101" s="22">
        <v>0</v>
      </c>
      <c r="M101" s="22">
        <v>5894</v>
      </c>
      <c r="N101" s="22">
        <v>629</v>
      </c>
      <c r="O101" s="22">
        <v>629</v>
      </c>
    </row>
    <row r="102" spans="1:15" ht="12.75" customHeight="1">
      <c r="A102" s="20" t="s">
        <v>188</v>
      </c>
      <c r="B102" s="21" t="s">
        <v>189</v>
      </c>
      <c r="C102" s="22">
        <v>25850</v>
      </c>
      <c r="D102" s="22">
        <v>21121</v>
      </c>
      <c r="E102" s="22">
        <v>1779</v>
      </c>
      <c r="F102" s="22">
        <f>SUM(C102-D102-E102)</f>
        <v>2950</v>
      </c>
      <c r="G102" s="22">
        <v>96312</v>
      </c>
      <c r="H102" s="22">
        <v>56789</v>
      </c>
      <c r="I102" s="22">
        <v>12267</v>
      </c>
      <c r="J102" s="22">
        <f>SUM(G102-H102-I102)</f>
        <v>27256</v>
      </c>
      <c r="K102" s="22">
        <v>1555</v>
      </c>
      <c r="L102" s="22">
        <v>0</v>
      </c>
      <c r="M102" s="22">
        <v>8639</v>
      </c>
      <c r="N102" s="22">
        <v>20</v>
      </c>
      <c r="O102" s="22">
        <v>20</v>
      </c>
    </row>
    <row r="103" spans="1:15" ht="12.75" customHeight="1">
      <c r="A103" s="23"/>
      <c r="B103" s="24" t="s">
        <v>190</v>
      </c>
      <c r="C103" s="25">
        <f t="shared" ref="C103:O103" si="23">SUM(C99:C102)</f>
        <v>100336</v>
      </c>
      <c r="D103" s="25">
        <f t="shared" si="23"/>
        <v>72640</v>
      </c>
      <c r="E103" s="25">
        <f t="shared" si="23"/>
        <v>4470</v>
      </c>
      <c r="F103" s="25">
        <f t="shared" si="23"/>
        <v>23226</v>
      </c>
      <c r="G103" s="25">
        <f t="shared" si="23"/>
        <v>406508</v>
      </c>
      <c r="H103" s="25">
        <f t="shared" si="23"/>
        <v>212220</v>
      </c>
      <c r="I103" s="25">
        <f t="shared" si="23"/>
        <v>26801</v>
      </c>
      <c r="J103" s="25">
        <f t="shared" si="23"/>
        <v>167487</v>
      </c>
      <c r="K103" s="25">
        <f t="shared" si="23"/>
        <v>4742</v>
      </c>
      <c r="L103" s="25">
        <f t="shared" si="23"/>
        <v>0</v>
      </c>
      <c r="M103" s="25">
        <f t="shared" si="23"/>
        <v>40211</v>
      </c>
      <c r="N103" s="25">
        <f t="shared" si="23"/>
        <v>1050</v>
      </c>
      <c r="O103" s="25">
        <f t="shared" si="23"/>
        <v>1050</v>
      </c>
    </row>
    <row r="104" spans="1:15" ht="12.75" customHeight="1">
      <c r="A104" s="20" t="s">
        <v>191</v>
      </c>
      <c r="B104" s="21" t="s">
        <v>192</v>
      </c>
      <c r="C104" s="22">
        <v>18196</v>
      </c>
      <c r="D104" s="22">
        <v>14800</v>
      </c>
      <c r="E104" s="22">
        <v>746</v>
      </c>
      <c r="F104" s="22">
        <f>SUM(C104-D104-E104)</f>
        <v>2650</v>
      </c>
      <c r="G104" s="22">
        <v>85242</v>
      </c>
      <c r="H104" s="22">
        <v>51575</v>
      </c>
      <c r="I104" s="22">
        <v>5824</v>
      </c>
      <c r="J104" s="22">
        <f>SUM(G104-H104-I104)</f>
        <v>27843</v>
      </c>
      <c r="K104" s="22">
        <v>742</v>
      </c>
      <c r="L104" s="22">
        <v>0</v>
      </c>
      <c r="M104" s="22">
        <v>4092</v>
      </c>
      <c r="N104" s="22">
        <v>302</v>
      </c>
      <c r="O104" s="22">
        <v>302</v>
      </c>
    </row>
    <row r="105" spans="1:15" ht="12.75" customHeight="1">
      <c r="A105" s="20" t="s">
        <v>193</v>
      </c>
      <c r="B105" s="21" t="s">
        <v>194</v>
      </c>
      <c r="C105" s="22">
        <v>14623</v>
      </c>
      <c r="D105" s="22">
        <v>8785</v>
      </c>
      <c r="E105" s="22">
        <v>0</v>
      </c>
      <c r="F105" s="22">
        <f>SUM(C105-D105-E105)</f>
        <v>5838</v>
      </c>
      <c r="G105" s="22">
        <v>60737</v>
      </c>
      <c r="H105" s="22">
        <v>32943</v>
      </c>
      <c r="I105" s="22">
        <v>0</v>
      </c>
      <c r="J105" s="22">
        <f>SUM(G105-H105-I105)</f>
        <v>27794</v>
      </c>
      <c r="K105" s="22">
        <v>229</v>
      </c>
      <c r="L105" s="22">
        <v>0</v>
      </c>
      <c r="M105" s="22">
        <v>7512</v>
      </c>
      <c r="N105" s="22">
        <v>554</v>
      </c>
      <c r="O105" s="22">
        <v>554</v>
      </c>
    </row>
    <row r="106" spans="1:15" ht="12.75" customHeight="1">
      <c r="A106" s="20" t="s">
        <v>195</v>
      </c>
      <c r="B106" s="21" t="s">
        <v>196</v>
      </c>
      <c r="C106" s="22">
        <v>63938</v>
      </c>
      <c r="D106" s="22">
        <v>39786</v>
      </c>
      <c r="E106" s="22">
        <v>2298</v>
      </c>
      <c r="F106" s="22">
        <f>SUM(C106-D106-E106)</f>
        <v>21854</v>
      </c>
      <c r="G106" s="22">
        <v>297654</v>
      </c>
      <c r="H106" s="22">
        <v>121103</v>
      </c>
      <c r="I106" s="22">
        <v>14226</v>
      </c>
      <c r="J106" s="22">
        <f>SUM(G106-H106-I106)</f>
        <v>162325</v>
      </c>
      <c r="K106" s="22">
        <v>737</v>
      </c>
      <c r="L106" s="22">
        <v>0</v>
      </c>
      <c r="M106" s="22">
        <v>68956</v>
      </c>
      <c r="N106" s="22">
        <v>1049</v>
      </c>
      <c r="O106" s="22">
        <v>1049</v>
      </c>
    </row>
    <row r="107" spans="1:15" ht="12.75" customHeight="1">
      <c r="A107" s="20" t="s">
        <v>197</v>
      </c>
      <c r="B107" s="21" t="s">
        <v>198</v>
      </c>
      <c r="C107" s="22">
        <v>230956</v>
      </c>
      <c r="D107" s="22">
        <v>162746</v>
      </c>
      <c r="E107" s="22">
        <v>5998</v>
      </c>
      <c r="F107" s="22">
        <f>SUM(C107-D107-E107)</f>
        <v>62212</v>
      </c>
      <c r="G107" s="22">
        <v>694354</v>
      </c>
      <c r="H107" s="22">
        <v>321641</v>
      </c>
      <c r="I107" s="22">
        <v>16120</v>
      </c>
      <c r="J107" s="22">
        <f>SUM(G107-H107-I107)</f>
        <v>356593</v>
      </c>
      <c r="K107" s="22">
        <v>14929</v>
      </c>
      <c r="L107" s="22">
        <v>0</v>
      </c>
      <c r="M107" s="22">
        <v>13553</v>
      </c>
      <c r="N107" s="22">
        <v>18609</v>
      </c>
      <c r="O107" s="22">
        <v>18609</v>
      </c>
    </row>
    <row r="108" spans="1:15" ht="12.75" customHeight="1">
      <c r="A108" s="20" t="s">
        <v>199</v>
      </c>
      <c r="B108" s="21" t="s">
        <v>200</v>
      </c>
      <c r="C108" s="22">
        <v>72091</v>
      </c>
      <c r="D108" s="22">
        <v>42808</v>
      </c>
      <c r="E108" s="22">
        <v>2679</v>
      </c>
      <c r="F108" s="22">
        <f>SUM(C108-D108-E108)</f>
        <v>26604</v>
      </c>
      <c r="G108" s="22">
        <v>426383</v>
      </c>
      <c r="H108" s="22">
        <v>131283</v>
      </c>
      <c r="I108" s="22">
        <v>17031</v>
      </c>
      <c r="J108" s="22">
        <f>SUM(G108-H108-I108)</f>
        <v>278069</v>
      </c>
      <c r="K108" s="22">
        <v>2267</v>
      </c>
      <c r="L108" s="22">
        <v>0</v>
      </c>
      <c r="M108" s="22">
        <v>15725</v>
      </c>
      <c r="N108" s="22">
        <v>6238</v>
      </c>
      <c r="O108" s="22">
        <v>6238</v>
      </c>
    </row>
    <row r="109" spans="1:15" ht="12.75" customHeight="1">
      <c r="A109" s="23"/>
      <c r="B109" s="24" t="s">
        <v>201</v>
      </c>
      <c r="C109" s="25">
        <f t="shared" ref="C109:O109" si="24">SUM(C104:C108)</f>
        <v>399804</v>
      </c>
      <c r="D109" s="25">
        <f t="shared" si="24"/>
        <v>268925</v>
      </c>
      <c r="E109" s="25">
        <f t="shared" si="24"/>
        <v>11721</v>
      </c>
      <c r="F109" s="25">
        <f t="shared" si="24"/>
        <v>119158</v>
      </c>
      <c r="G109" s="25">
        <f t="shared" si="24"/>
        <v>1564370</v>
      </c>
      <c r="H109" s="25">
        <f t="shared" si="24"/>
        <v>658545</v>
      </c>
      <c r="I109" s="25">
        <f t="shared" si="24"/>
        <v>53201</v>
      </c>
      <c r="J109" s="25">
        <f t="shared" si="24"/>
        <v>852624</v>
      </c>
      <c r="K109" s="25">
        <f t="shared" si="24"/>
        <v>18904</v>
      </c>
      <c r="L109" s="25">
        <f t="shared" si="24"/>
        <v>0</v>
      </c>
      <c r="M109" s="25">
        <f t="shared" si="24"/>
        <v>109838</v>
      </c>
      <c r="N109" s="25">
        <f t="shared" si="24"/>
        <v>26752</v>
      </c>
      <c r="O109" s="25">
        <f t="shared" si="24"/>
        <v>26752</v>
      </c>
    </row>
    <row r="110" spans="1:15" ht="12.75" customHeight="1">
      <c r="A110" s="20" t="s">
        <v>202</v>
      </c>
      <c r="B110" s="21" t="s">
        <v>203</v>
      </c>
      <c r="C110" s="22">
        <v>115034</v>
      </c>
      <c r="D110" s="22">
        <v>87635</v>
      </c>
      <c r="E110" s="22">
        <v>970</v>
      </c>
      <c r="F110" s="22">
        <f t="shared" ref="F110:F115" si="25">SUM(C110-D110-E110)</f>
        <v>26429</v>
      </c>
      <c r="G110" s="22">
        <v>505406</v>
      </c>
      <c r="H110" s="22">
        <v>304171</v>
      </c>
      <c r="I110" s="22">
        <v>7660</v>
      </c>
      <c r="J110" s="22">
        <f t="shared" ref="J110:J115" si="26">SUM(G110-H110-I110)</f>
        <v>193575</v>
      </c>
      <c r="K110" s="22">
        <v>8277</v>
      </c>
      <c r="L110" s="22">
        <v>0</v>
      </c>
      <c r="M110" s="22">
        <v>75759</v>
      </c>
      <c r="N110" s="22">
        <v>1577</v>
      </c>
      <c r="O110" s="22">
        <v>1577</v>
      </c>
    </row>
    <row r="111" spans="1:15" ht="12.75" customHeight="1">
      <c r="A111" s="20" t="s">
        <v>204</v>
      </c>
      <c r="B111" s="21" t="s">
        <v>205</v>
      </c>
      <c r="C111" s="22">
        <v>16017</v>
      </c>
      <c r="D111" s="22">
        <v>15099</v>
      </c>
      <c r="E111" s="22">
        <v>284</v>
      </c>
      <c r="F111" s="22">
        <f t="shared" si="25"/>
        <v>634</v>
      </c>
      <c r="G111" s="22">
        <v>53429</v>
      </c>
      <c r="H111" s="22">
        <v>46654</v>
      </c>
      <c r="I111" s="22">
        <v>2108</v>
      </c>
      <c r="J111" s="22">
        <f t="shared" si="26"/>
        <v>4667</v>
      </c>
      <c r="K111" s="22">
        <v>59</v>
      </c>
      <c r="L111" s="22">
        <v>0</v>
      </c>
      <c r="M111" s="22">
        <v>3657</v>
      </c>
      <c r="N111" s="22">
        <v>264</v>
      </c>
      <c r="O111" s="22">
        <v>264</v>
      </c>
    </row>
    <row r="112" spans="1:15" ht="12.75" customHeight="1">
      <c r="A112" s="20" t="s">
        <v>206</v>
      </c>
      <c r="B112" s="21" t="s">
        <v>207</v>
      </c>
      <c r="C112" s="22">
        <v>40485</v>
      </c>
      <c r="D112" s="22">
        <v>27572</v>
      </c>
      <c r="E112" s="22">
        <v>0</v>
      </c>
      <c r="F112" s="22">
        <f t="shared" si="25"/>
        <v>12913</v>
      </c>
      <c r="G112" s="22">
        <v>141010</v>
      </c>
      <c r="H112" s="22">
        <v>85759</v>
      </c>
      <c r="I112" s="22">
        <v>0</v>
      </c>
      <c r="J112" s="22">
        <f t="shared" si="26"/>
        <v>55251</v>
      </c>
      <c r="K112" s="22">
        <v>27615</v>
      </c>
      <c r="L112" s="22">
        <v>0</v>
      </c>
      <c r="M112" s="22">
        <v>15769</v>
      </c>
      <c r="N112" s="22">
        <v>440</v>
      </c>
      <c r="O112" s="22">
        <v>440</v>
      </c>
    </row>
    <row r="113" spans="1:15" ht="12.75" customHeight="1">
      <c r="A113" s="20" t="s">
        <v>208</v>
      </c>
      <c r="B113" s="21" t="s">
        <v>209</v>
      </c>
      <c r="C113" s="22">
        <v>34057</v>
      </c>
      <c r="D113" s="22">
        <v>21719</v>
      </c>
      <c r="E113" s="22">
        <v>668</v>
      </c>
      <c r="F113" s="22">
        <f t="shared" si="25"/>
        <v>11670</v>
      </c>
      <c r="G113" s="22">
        <v>147489</v>
      </c>
      <c r="H113" s="22">
        <v>70663</v>
      </c>
      <c r="I113" s="22">
        <v>3741</v>
      </c>
      <c r="J113" s="22">
        <f t="shared" si="26"/>
        <v>73085</v>
      </c>
      <c r="K113" s="22">
        <v>2388</v>
      </c>
      <c r="L113" s="22">
        <v>0</v>
      </c>
      <c r="M113" s="22">
        <v>55181</v>
      </c>
      <c r="N113" s="22">
        <v>1427</v>
      </c>
      <c r="O113" s="22">
        <v>1427</v>
      </c>
    </row>
    <row r="114" spans="1:15" ht="12.75" customHeight="1">
      <c r="A114" s="20" t="s">
        <v>210</v>
      </c>
      <c r="B114" s="21" t="s">
        <v>211</v>
      </c>
      <c r="C114" s="22">
        <v>85958</v>
      </c>
      <c r="D114" s="22">
        <v>61030</v>
      </c>
      <c r="E114" s="22">
        <v>0</v>
      </c>
      <c r="F114" s="22">
        <f t="shared" si="25"/>
        <v>24928</v>
      </c>
      <c r="G114" s="22">
        <v>258159</v>
      </c>
      <c r="H114" s="22">
        <v>151585</v>
      </c>
      <c r="I114" s="22">
        <v>0</v>
      </c>
      <c r="J114" s="22">
        <f t="shared" si="26"/>
        <v>106574</v>
      </c>
      <c r="K114" s="22">
        <v>12171</v>
      </c>
      <c r="L114" s="22">
        <v>0</v>
      </c>
      <c r="M114" s="22">
        <v>31670</v>
      </c>
      <c r="N114" s="22">
        <v>1806</v>
      </c>
      <c r="O114" s="22">
        <v>1806</v>
      </c>
    </row>
    <row r="115" spans="1:15" ht="12.75" customHeight="1">
      <c r="A115" s="20" t="s">
        <v>212</v>
      </c>
      <c r="B115" s="21" t="s">
        <v>213</v>
      </c>
      <c r="C115" s="22">
        <v>54283</v>
      </c>
      <c r="D115" s="22">
        <v>46162</v>
      </c>
      <c r="E115" s="22">
        <v>0</v>
      </c>
      <c r="F115" s="22">
        <f t="shared" si="25"/>
        <v>8121</v>
      </c>
      <c r="G115" s="22">
        <v>191462</v>
      </c>
      <c r="H115" s="22">
        <v>142684</v>
      </c>
      <c r="I115" s="22">
        <v>0</v>
      </c>
      <c r="J115" s="22">
        <f t="shared" si="26"/>
        <v>48778</v>
      </c>
      <c r="K115" s="22">
        <v>5485</v>
      </c>
      <c r="L115" s="22">
        <v>0</v>
      </c>
      <c r="M115" s="22">
        <v>27876</v>
      </c>
      <c r="N115" s="22">
        <v>3024</v>
      </c>
      <c r="O115" s="22">
        <v>3024</v>
      </c>
    </row>
    <row r="116" spans="1:15" ht="12.75" customHeight="1">
      <c r="A116" s="23"/>
      <c r="B116" s="24" t="s">
        <v>214</v>
      </c>
      <c r="C116" s="25">
        <f t="shared" ref="C116:O116" si="27">SUM(C110:C115)</f>
        <v>345834</v>
      </c>
      <c r="D116" s="25">
        <f t="shared" si="27"/>
        <v>259217</v>
      </c>
      <c r="E116" s="25">
        <f t="shared" si="27"/>
        <v>1922</v>
      </c>
      <c r="F116" s="25">
        <f t="shared" si="27"/>
        <v>84695</v>
      </c>
      <c r="G116" s="25">
        <f t="shared" si="27"/>
        <v>1296955</v>
      </c>
      <c r="H116" s="25">
        <f t="shared" si="27"/>
        <v>801516</v>
      </c>
      <c r="I116" s="25">
        <f t="shared" si="27"/>
        <v>13509</v>
      </c>
      <c r="J116" s="25">
        <f t="shared" si="27"/>
        <v>481930</v>
      </c>
      <c r="K116" s="25">
        <f t="shared" si="27"/>
        <v>55995</v>
      </c>
      <c r="L116" s="25">
        <f t="shared" si="27"/>
        <v>0</v>
      </c>
      <c r="M116" s="25">
        <f t="shared" si="27"/>
        <v>209912</v>
      </c>
      <c r="N116" s="25">
        <f t="shared" si="27"/>
        <v>8538</v>
      </c>
      <c r="O116" s="25">
        <f t="shared" si="27"/>
        <v>8538</v>
      </c>
    </row>
    <row r="117" spans="1:15" ht="12.75" customHeight="1">
      <c r="A117" s="20" t="s">
        <v>215</v>
      </c>
      <c r="B117" s="21" t="s">
        <v>216</v>
      </c>
      <c r="C117" s="22">
        <v>12889</v>
      </c>
      <c r="D117" s="22">
        <v>9076</v>
      </c>
      <c r="E117" s="22">
        <v>0</v>
      </c>
      <c r="F117" s="22">
        <f>SUM(C117-D117-E117)</f>
        <v>3813</v>
      </c>
      <c r="G117" s="22">
        <v>55694</v>
      </c>
      <c r="H117" s="22">
        <v>34400</v>
      </c>
      <c r="I117" s="22">
        <v>0</v>
      </c>
      <c r="J117" s="22">
        <f>SUM(G117-H117-I117)</f>
        <v>21294</v>
      </c>
      <c r="K117" s="22">
        <v>12</v>
      </c>
      <c r="L117" s="22">
        <v>0</v>
      </c>
      <c r="M117" s="22">
        <v>25656</v>
      </c>
      <c r="N117" s="22">
        <v>542</v>
      </c>
      <c r="O117" s="22">
        <v>542</v>
      </c>
    </row>
    <row r="118" spans="1:15" ht="12.75" customHeight="1">
      <c r="A118" s="20" t="s">
        <v>217</v>
      </c>
      <c r="B118" s="21" t="s">
        <v>218</v>
      </c>
      <c r="C118" s="22">
        <v>29022</v>
      </c>
      <c r="D118" s="22">
        <v>23387</v>
      </c>
      <c r="E118" s="22">
        <v>565</v>
      </c>
      <c r="F118" s="22">
        <f>SUM(C118-D118-E118)</f>
        <v>5070</v>
      </c>
      <c r="G118" s="22">
        <v>115630</v>
      </c>
      <c r="H118" s="22">
        <v>71507</v>
      </c>
      <c r="I118" s="22">
        <v>4093</v>
      </c>
      <c r="J118" s="22">
        <f>SUM(G118-H118-I118)</f>
        <v>40030</v>
      </c>
      <c r="K118" s="22">
        <v>179</v>
      </c>
      <c r="L118" s="22">
        <v>0</v>
      </c>
      <c r="M118" s="22">
        <v>20730</v>
      </c>
      <c r="N118" s="22">
        <v>975</v>
      </c>
      <c r="O118" s="22">
        <v>975</v>
      </c>
    </row>
    <row r="119" spans="1:15" ht="12.75" customHeight="1">
      <c r="A119" s="23"/>
      <c r="B119" s="24" t="s">
        <v>219</v>
      </c>
      <c r="C119" s="25">
        <f t="shared" ref="C119:O119" si="28">SUM(C117:C118)</f>
        <v>41911</v>
      </c>
      <c r="D119" s="25">
        <f t="shared" si="28"/>
        <v>32463</v>
      </c>
      <c r="E119" s="25">
        <f t="shared" si="28"/>
        <v>565</v>
      </c>
      <c r="F119" s="25">
        <f t="shared" si="28"/>
        <v>8883</v>
      </c>
      <c r="G119" s="25">
        <f t="shared" si="28"/>
        <v>171324</v>
      </c>
      <c r="H119" s="25">
        <f t="shared" si="28"/>
        <v>105907</v>
      </c>
      <c r="I119" s="25">
        <f t="shared" si="28"/>
        <v>4093</v>
      </c>
      <c r="J119" s="25">
        <f t="shared" si="28"/>
        <v>61324</v>
      </c>
      <c r="K119" s="25">
        <f t="shared" si="28"/>
        <v>191</v>
      </c>
      <c r="L119" s="25">
        <f t="shared" si="28"/>
        <v>0</v>
      </c>
      <c r="M119" s="25">
        <f t="shared" si="28"/>
        <v>46386</v>
      </c>
      <c r="N119" s="25">
        <f t="shared" si="28"/>
        <v>1517</v>
      </c>
      <c r="O119" s="25">
        <f t="shared" si="28"/>
        <v>1517</v>
      </c>
    </row>
    <row r="120" spans="1:15" ht="12.75" customHeight="1">
      <c r="A120" s="20" t="s">
        <v>220</v>
      </c>
      <c r="B120" s="21" t="s">
        <v>221</v>
      </c>
      <c r="C120" s="22">
        <v>33749</v>
      </c>
      <c r="D120" s="22">
        <v>29644</v>
      </c>
      <c r="E120" s="22">
        <v>547</v>
      </c>
      <c r="F120" s="22">
        <f>SUM(C120-D120-E120)</f>
        <v>3558</v>
      </c>
      <c r="G120" s="22">
        <v>114440</v>
      </c>
      <c r="H120" s="22">
        <v>87646</v>
      </c>
      <c r="I120" s="22">
        <v>4674</v>
      </c>
      <c r="J120" s="22">
        <f>SUM(G120-H120-I120)</f>
        <v>22120</v>
      </c>
      <c r="K120" s="22">
        <v>3724</v>
      </c>
      <c r="L120" s="22">
        <v>0</v>
      </c>
      <c r="M120" s="22">
        <v>6543</v>
      </c>
      <c r="N120" s="22">
        <v>4631</v>
      </c>
      <c r="O120" s="22">
        <v>4631</v>
      </c>
    </row>
    <row r="121" spans="1:15" ht="12.75" customHeight="1">
      <c r="A121" s="20" t="s">
        <v>222</v>
      </c>
      <c r="B121" s="21" t="s">
        <v>223</v>
      </c>
      <c r="C121" s="22">
        <v>53625</v>
      </c>
      <c r="D121" s="22">
        <v>48557</v>
      </c>
      <c r="E121" s="22">
        <v>1509</v>
      </c>
      <c r="F121" s="22">
        <f>SUM(C121-D121-E121)</f>
        <v>3559</v>
      </c>
      <c r="G121" s="22">
        <v>204033</v>
      </c>
      <c r="H121" s="22">
        <v>145163</v>
      </c>
      <c r="I121" s="22">
        <v>9505</v>
      </c>
      <c r="J121" s="22">
        <f>SUM(G121-H121-I121)</f>
        <v>49365</v>
      </c>
      <c r="K121" s="22">
        <v>625</v>
      </c>
      <c r="L121" s="22">
        <v>0</v>
      </c>
      <c r="M121" s="22">
        <v>16847</v>
      </c>
      <c r="N121" s="22">
        <v>728</v>
      </c>
      <c r="O121" s="22">
        <v>728</v>
      </c>
    </row>
    <row r="122" spans="1:15" ht="12.75" customHeight="1">
      <c r="A122" s="20" t="s">
        <v>224</v>
      </c>
      <c r="B122" s="21" t="s">
        <v>225</v>
      </c>
      <c r="C122" s="22">
        <v>9676</v>
      </c>
      <c r="D122" s="22">
        <v>8517</v>
      </c>
      <c r="E122" s="22">
        <v>0</v>
      </c>
      <c r="F122" s="22">
        <f>SUM(C122-D122-E122)</f>
        <v>1159</v>
      </c>
      <c r="G122" s="22">
        <v>34486</v>
      </c>
      <c r="H122" s="22">
        <v>23424</v>
      </c>
      <c r="I122" s="22">
        <v>0</v>
      </c>
      <c r="J122" s="22">
        <f>SUM(G122-H122-I122)</f>
        <v>11062</v>
      </c>
      <c r="K122" s="22">
        <v>152</v>
      </c>
      <c r="L122" s="22">
        <v>0</v>
      </c>
      <c r="M122" s="22">
        <v>13792</v>
      </c>
      <c r="N122" s="22">
        <v>184</v>
      </c>
      <c r="O122" s="22">
        <v>184</v>
      </c>
    </row>
    <row r="123" spans="1:15" ht="12.75" customHeight="1">
      <c r="A123" s="20" t="s">
        <v>226</v>
      </c>
      <c r="B123" s="21" t="s">
        <v>227</v>
      </c>
      <c r="C123" s="22">
        <v>49863</v>
      </c>
      <c r="D123" s="22">
        <v>41458</v>
      </c>
      <c r="E123" s="22">
        <v>732</v>
      </c>
      <c r="F123" s="22">
        <f>SUM(C123-D123-E123)</f>
        <v>7673</v>
      </c>
      <c r="G123" s="22">
        <v>180378</v>
      </c>
      <c r="H123" s="22">
        <v>107686</v>
      </c>
      <c r="I123" s="22">
        <v>4794</v>
      </c>
      <c r="J123" s="22">
        <f>SUM(G123-H123-I123)</f>
        <v>67898</v>
      </c>
      <c r="K123" s="22">
        <v>2036</v>
      </c>
      <c r="L123" s="22">
        <v>0</v>
      </c>
      <c r="M123" s="22">
        <v>7633</v>
      </c>
      <c r="N123" s="22">
        <v>1251</v>
      </c>
      <c r="O123" s="22">
        <v>1251</v>
      </c>
    </row>
    <row r="124" spans="1:15" ht="12.75" customHeight="1">
      <c r="A124" s="20" t="s">
        <v>228</v>
      </c>
      <c r="B124" s="21" t="s">
        <v>229</v>
      </c>
      <c r="C124" s="22">
        <v>17684</v>
      </c>
      <c r="D124" s="22">
        <v>15821</v>
      </c>
      <c r="E124" s="22">
        <v>468</v>
      </c>
      <c r="F124" s="22">
        <f>SUM(C124-D124-E124)</f>
        <v>1395</v>
      </c>
      <c r="G124" s="22">
        <v>55816</v>
      </c>
      <c r="H124" s="22">
        <v>41128</v>
      </c>
      <c r="I124" s="22">
        <v>3957</v>
      </c>
      <c r="J124" s="22">
        <f>SUM(G124-H124-I124)</f>
        <v>10731</v>
      </c>
      <c r="K124" s="22">
        <v>441</v>
      </c>
      <c r="L124" s="22">
        <v>0</v>
      </c>
      <c r="M124" s="22">
        <v>398</v>
      </c>
      <c r="N124" s="22">
        <v>517</v>
      </c>
      <c r="O124" s="22">
        <v>517</v>
      </c>
    </row>
    <row r="125" spans="1:15" ht="12.75" customHeight="1">
      <c r="A125" s="23"/>
      <c r="B125" s="24" t="s">
        <v>230</v>
      </c>
      <c r="C125" s="25">
        <f t="shared" ref="C125:O125" si="29">SUM(C120:C124)</f>
        <v>164597</v>
      </c>
      <c r="D125" s="25">
        <f t="shared" si="29"/>
        <v>143997</v>
      </c>
      <c r="E125" s="25">
        <f t="shared" si="29"/>
        <v>3256</v>
      </c>
      <c r="F125" s="25">
        <f t="shared" si="29"/>
        <v>17344</v>
      </c>
      <c r="G125" s="25">
        <f t="shared" si="29"/>
        <v>589153</v>
      </c>
      <c r="H125" s="25">
        <f t="shared" si="29"/>
        <v>405047</v>
      </c>
      <c r="I125" s="25">
        <f t="shared" si="29"/>
        <v>22930</v>
      </c>
      <c r="J125" s="25">
        <f t="shared" si="29"/>
        <v>161176</v>
      </c>
      <c r="K125" s="25">
        <f t="shared" si="29"/>
        <v>6978</v>
      </c>
      <c r="L125" s="25">
        <f t="shared" si="29"/>
        <v>0</v>
      </c>
      <c r="M125" s="25">
        <f t="shared" si="29"/>
        <v>45213</v>
      </c>
      <c r="N125" s="25">
        <f t="shared" si="29"/>
        <v>7311</v>
      </c>
      <c r="O125" s="25">
        <f t="shared" si="29"/>
        <v>7311</v>
      </c>
    </row>
    <row r="126" spans="1:15" ht="12.75" customHeight="1">
      <c r="A126" s="20" t="s">
        <v>231</v>
      </c>
      <c r="B126" s="21" t="s">
        <v>232</v>
      </c>
      <c r="C126" s="22">
        <v>35093</v>
      </c>
      <c r="D126" s="22">
        <v>25016</v>
      </c>
      <c r="E126" s="22">
        <v>0</v>
      </c>
      <c r="F126" s="22">
        <f t="shared" ref="F126:F134" si="30">SUM(C126-D126-E126)</f>
        <v>10077</v>
      </c>
      <c r="G126" s="22">
        <v>103111</v>
      </c>
      <c r="H126" s="22">
        <v>57605</v>
      </c>
      <c r="I126" s="22">
        <v>0</v>
      </c>
      <c r="J126" s="22">
        <f t="shared" ref="J126:J134" si="31">SUM(G126-H126-I126)</f>
        <v>45506</v>
      </c>
      <c r="K126" s="22">
        <v>537</v>
      </c>
      <c r="L126" s="22">
        <v>0</v>
      </c>
      <c r="M126" s="22">
        <v>11255</v>
      </c>
      <c r="N126" s="22">
        <v>903</v>
      </c>
      <c r="O126" s="22">
        <v>903</v>
      </c>
    </row>
    <row r="127" spans="1:15" ht="12.75" customHeight="1">
      <c r="A127" s="20" t="s">
        <v>233</v>
      </c>
      <c r="B127" s="21" t="s">
        <v>234</v>
      </c>
      <c r="C127" s="22">
        <v>16106</v>
      </c>
      <c r="D127" s="22">
        <v>12836</v>
      </c>
      <c r="E127" s="22">
        <v>0</v>
      </c>
      <c r="F127" s="22">
        <f t="shared" si="30"/>
        <v>3270</v>
      </c>
      <c r="G127" s="22">
        <v>56733</v>
      </c>
      <c r="H127" s="22">
        <v>43027</v>
      </c>
      <c r="I127" s="22">
        <v>0</v>
      </c>
      <c r="J127" s="22">
        <f t="shared" si="31"/>
        <v>13706</v>
      </c>
      <c r="K127" s="22">
        <v>196</v>
      </c>
      <c r="L127" s="22">
        <v>0</v>
      </c>
      <c r="M127" s="22">
        <v>4545</v>
      </c>
      <c r="N127" s="22">
        <v>331</v>
      </c>
      <c r="O127" s="22">
        <v>331</v>
      </c>
    </row>
    <row r="128" spans="1:15" ht="12.75" customHeight="1">
      <c r="A128" s="20" t="s">
        <v>235</v>
      </c>
      <c r="B128" s="21" t="s">
        <v>236</v>
      </c>
      <c r="C128" s="22">
        <v>105423</v>
      </c>
      <c r="D128" s="22">
        <v>77236</v>
      </c>
      <c r="E128" s="22">
        <v>2250</v>
      </c>
      <c r="F128" s="22">
        <f t="shared" si="30"/>
        <v>25937</v>
      </c>
      <c r="G128" s="22">
        <v>263106</v>
      </c>
      <c r="H128" s="22">
        <v>166506</v>
      </c>
      <c r="I128" s="22">
        <v>9494</v>
      </c>
      <c r="J128" s="22">
        <f t="shared" si="31"/>
        <v>87106</v>
      </c>
      <c r="K128" s="22">
        <v>3011</v>
      </c>
      <c r="L128" s="22">
        <v>0</v>
      </c>
      <c r="M128" s="22">
        <v>18394</v>
      </c>
      <c r="N128" s="22">
        <v>2182</v>
      </c>
      <c r="O128" s="22">
        <v>2182</v>
      </c>
    </row>
    <row r="129" spans="1:15" ht="12.75" customHeight="1">
      <c r="A129" s="20" t="s">
        <v>237</v>
      </c>
      <c r="B129" s="21" t="s">
        <v>238</v>
      </c>
      <c r="C129" s="22">
        <v>12243</v>
      </c>
      <c r="D129" s="22">
        <v>8133</v>
      </c>
      <c r="E129" s="22">
        <v>608</v>
      </c>
      <c r="F129" s="22">
        <f t="shared" si="30"/>
        <v>3502</v>
      </c>
      <c r="G129" s="22">
        <v>47725</v>
      </c>
      <c r="H129" s="22">
        <v>20420</v>
      </c>
      <c r="I129" s="22">
        <v>4696</v>
      </c>
      <c r="J129" s="22">
        <f t="shared" si="31"/>
        <v>22609</v>
      </c>
      <c r="K129" s="22">
        <v>390</v>
      </c>
      <c r="L129" s="22">
        <v>0</v>
      </c>
      <c r="M129" s="22">
        <v>15004</v>
      </c>
      <c r="N129" s="22">
        <v>374</v>
      </c>
      <c r="O129" s="22">
        <v>374</v>
      </c>
    </row>
    <row r="130" spans="1:15" ht="12.75" customHeight="1">
      <c r="A130" s="20" t="s">
        <v>239</v>
      </c>
      <c r="B130" s="21" t="s">
        <v>240</v>
      </c>
      <c r="C130" s="22">
        <v>70024</v>
      </c>
      <c r="D130" s="22">
        <v>57259</v>
      </c>
      <c r="E130" s="22">
        <v>3739</v>
      </c>
      <c r="F130" s="22">
        <f t="shared" si="30"/>
        <v>9026</v>
      </c>
      <c r="G130" s="22">
        <v>187126</v>
      </c>
      <c r="H130" s="22">
        <v>97158</v>
      </c>
      <c r="I130" s="22">
        <v>16717</v>
      </c>
      <c r="J130" s="22">
        <f t="shared" si="31"/>
        <v>73251</v>
      </c>
      <c r="K130" s="22">
        <v>2313</v>
      </c>
      <c r="L130" s="22">
        <v>0</v>
      </c>
      <c r="M130" s="22">
        <v>1397</v>
      </c>
      <c r="N130" s="22">
        <v>7103</v>
      </c>
      <c r="O130" s="22">
        <v>7103</v>
      </c>
    </row>
    <row r="131" spans="1:15" ht="12.75" customHeight="1">
      <c r="A131" s="20" t="s">
        <v>241</v>
      </c>
      <c r="B131" s="21" t="s">
        <v>242</v>
      </c>
      <c r="C131" s="22">
        <v>128152</v>
      </c>
      <c r="D131" s="22">
        <v>104710</v>
      </c>
      <c r="E131" s="22">
        <v>991</v>
      </c>
      <c r="F131" s="22">
        <f t="shared" si="30"/>
        <v>22451</v>
      </c>
      <c r="G131" s="22">
        <v>374969</v>
      </c>
      <c r="H131" s="22">
        <v>173760</v>
      </c>
      <c r="I131" s="22">
        <v>5147</v>
      </c>
      <c r="J131" s="22">
        <f t="shared" si="31"/>
        <v>196062</v>
      </c>
      <c r="K131" s="22">
        <v>7008</v>
      </c>
      <c r="L131" s="22">
        <v>668</v>
      </c>
      <c r="M131" s="22">
        <v>17794</v>
      </c>
      <c r="N131" s="22">
        <v>4139</v>
      </c>
      <c r="O131" s="22">
        <v>4139</v>
      </c>
    </row>
    <row r="132" spans="1:15" ht="12.75" customHeight="1">
      <c r="A132" s="20" t="s">
        <v>243</v>
      </c>
      <c r="B132" s="21" t="s">
        <v>244</v>
      </c>
      <c r="C132" s="22">
        <v>66735</v>
      </c>
      <c r="D132" s="22">
        <v>52529</v>
      </c>
      <c r="E132" s="22">
        <v>0</v>
      </c>
      <c r="F132" s="22">
        <f t="shared" si="30"/>
        <v>14206</v>
      </c>
      <c r="G132" s="22">
        <v>197814</v>
      </c>
      <c r="H132" s="22">
        <v>108055</v>
      </c>
      <c r="I132" s="22">
        <v>0</v>
      </c>
      <c r="J132" s="22">
        <f t="shared" si="31"/>
        <v>89759</v>
      </c>
      <c r="K132" s="22">
        <v>5887</v>
      </c>
      <c r="L132" s="22">
        <v>0</v>
      </c>
      <c r="M132" s="22">
        <v>16122</v>
      </c>
      <c r="N132" s="22">
        <v>393</v>
      </c>
      <c r="O132" s="22">
        <v>393</v>
      </c>
    </row>
    <row r="133" spans="1:15" ht="12.75" customHeight="1">
      <c r="A133" s="20" t="s">
        <v>245</v>
      </c>
      <c r="B133" s="21" t="s">
        <v>246</v>
      </c>
      <c r="C133" s="22">
        <v>53054</v>
      </c>
      <c r="D133" s="22">
        <v>45766</v>
      </c>
      <c r="E133" s="22">
        <v>106</v>
      </c>
      <c r="F133" s="22">
        <f t="shared" si="30"/>
        <v>7182</v>
      </c>
      <c r="G133" s="22">
        <v>134065</v>
      </c>
      <c r="H133" s="22">
        <v>103876</v>
      </c>
      <c r="I133" s="22">
        <v>192</v>
      </c>
      <c r="J133" s="22">
        <f t="shared" si="31"/>
        <v>29997</v>
      </c>
      <c r="K133" s="22">
        <v>21953</v>
      </c>
      <c r="L133" s="22">
        <v>0</v>
      </c>
      <c r="M133" s="22">
        <v>9275</v>
      </c>
      <c r="N133" s="22">
        <v>955</v>
      </c>
      <c r="O133" s="22">
        <v>955</v>
      </c>
    </row>
    <row r="134" spans="1:15" ht="12.75" customHeight="1">
      <c r="A134" s="20" t="s">
        <v>247</v>
      </c>
      <c r="B134" s="21" t="s">
        <v>248</v>
      </c>
      <c r="C134" s="22">
        <v>34897</v>
      </c>
      <c r="D134" s="22">
        <v>26167</v>
      </c>
      <c r="E134" s="22">
        <v>0</v>
      </c>
      <c r="F134" s="22">
        <f t="shared" si="30"/>
        <v>8730</v>
      </c>
      <c r="G134" s="22">
        <v>85605</v>
      </c>
      <c r="H134" s="22">
        <v>54103</v>
      </c>
      <c r="I134" s="22">
        <v>0</v>
      </c>
      <c r="J134" s="22">
        <f t="shared" si="31"/>
        <v>31502</v>
      </c>
      <c r="K134" s="22">
        <v>226</v>
      </c>
      <c r="L134" s="22">
        <v>0</v>
      </c>
      <c r="M134" s="22">
        <v>12832</v>
      </c>
      <c r="N134" s="22">
        <v>272</v>
      </c>
      <c r="O134" s="22">
        <v>272</v>
      </c>
    </row>
    <row r="135" spans="1:15" ht="12.75" customHeight="1">
      <c r="A135" s="26"/>
      <c r="B135" s="24" t="s">
        <v>249</v>
      </c>
      <c r="C135" s="25">
        <f t="shared" ref="C135:O135" si="32">SUM(C126:C134)</f>
        <v>521727</v>
      </c>
      <c r="D135" s="25">
        <f t="shared" si="32"/>
        <v>409652</v>
      </c>
      <c r="E135" s="25">
        <f t="shared" si="32"/>
        <v>7694</v>
      </c>
      <c r="F135" s="25">
        <f t="shared" si="32"/>
        <v>104381</v>
      </c>
      <c r="G135" s="25">
        <f t="shared" si="32"/>
        <v>1450254</v>
      </c>
      <c r="H135" s="25">
        <f t="shared" si="32"/>
        <v>824510</v>
      </c>
      <c r="I135" s="25">
        <f t="shared" si="32"/>
        <v>36246</v>
      </c>
      <c r="J135" s="25">
        <f t="shared" si="32"/>
        <v>589498</v>
      </c>
      <c r="K135" s="25">
        <f t="shared" si="32"/>
        <v>41521</v>
      </c>
      <c r="L135" s="25">
        <f t="shared" si="32"/>
        <v>668</v>
      </c>
      <c r="M135" s="25">
        <f t="shared" si="32"/>
        <v>106618</v>
      </c>
      <c r="N135" s="25">
        <f t="shared" si="32"/>
        <v>16652</v>
      </c>
      <c r="O135" s="25">
        <f t="shared" si="32"/>
        <v>16652</v>
      </c>
    </row>
    <row r="136" spans="1:15" ht="12.75" customHeight="1">
      <c r="A136" s="20" t="s">
        <v>250</v>
      </c>
      <c r="B136" s="21" t="s">
        <v>251</v>
      </c>
      <c r="C136" s="22">
        <v>76926</v>
      </c>
      <c r="D136" s="22">
        <v>70864</v>
      </c>
      <c r="E136" s="22">
        <v>0</v>
      </c>
      <c r="F136" s="22">
        <f t="shared" ref="F136:F143" si="33">SUM(C136-D136-E136)</f>
        <v>6062</v>
      </c>
      <c r="G136" s="22">
        <v>188922</v>
      </c>
      <c r="H136" s="22">
        <v>145588</v>
      </c>
      <c r="I136" s="22">
        <v>0</v>
      </c>
      <c r="J136" s="22">
        <f t="shared" ref="J136:J143" si="34">SUM(G136-H136-I136)</f>
        <v>43334</v>
      </c>
      <c r="K136" s="22">
        <v>15217</v>
      </c>
      <c r="L136" s="22">
        <v>9305</v>
      </c>
      <c r="M136" s="22">
        <v>10801</v>
      </c>
      <c r="N136" s="22">
        <v>24352</v>
      </c>
      <c r="O136" s="22">
        <v>24352</v>
      </c>
    </row>
    <row r="137" spans="1:15" ht="12.75" customHeight="1">
      <c r="A137" s="20" t="s">
        <v>252</v>
      </c>
      <c r="B137" s="21" t="s">
        <v>253</v>
      </c>
      <c r="C137" s="22">
        <v>11193</v>
      </c>
      <c r="D137" s="22">
        <v>11184</v>
      </c>
      <c r="E137" s="22">
        <v>0</v>
      </c>
      <c r="F137" s="22">
        <f t="shared" si="33"/>
        <v>9</v>
      </c>
      <c r="G137" s="22">
        <v>24732</v>
      </c>
      <c r="H137" s="22">
        <v>24502</v>
      </c>
      <c r="I137" s="22">
        <v>0</v>
      </c>
      <c r="J137" s="22">
        <f t="shared" si="34"/>
        <v>230</v>
      </c>
      <c r="K137" s="22">
        <v>576</v>
      </c>
      <c r="L137" s="22">
        <v>0</v>
      </c>
      <c r="M137" s="22">
        <v>0</v>
      </c>
      <c r="N137" s="22">
        <v>2547</v>
      </c>
      <c r="O137" s="22">
        <v>2547</v>
      </c>
    </row>
    <row r="138" spans="1:15" ht="12.75" customHeight="1">
      <c r="A138" s="20" t="s">
        <v>254</v>
      </c>
      <c r="B138" s="21" t="s">
        <v>255</v>
      </c>
      <c r="C138" s="22">
        <v>6948</v>
      </c>
      <c r="D138" s="22">
        <v>6896</v>
      </c>
      <c r="E138" s="22">
        <v>0</v>
      </c>
      <c r="F138" s="22">
        <f t="shared" si="33"/>
        <v>52</v>
      </c>
      <c r="G138" s="22">
        <v>24835</v>
      </c>
      <c r="H138" s="22">
        <v>22256</v>
      </c>
      <c r="I138" s="22">
        <v>0</v>
      </c>
      <c r="J138" s="22">
        <f t="shared" si="34"/>
        <v>2579</v>
      </c>
      <c r="K138" s="22">
        <v>1977</v>
      </c>
      <c r="L138" s="22">
        <v>0</v>
      </c>
      <c r="M138" s="22">
        <v>4682</v>
      </c>
      <c r="N138" s="22">
        <v>4758</v>
      </c>
      <c r="O138" s="22">
        <v>4758</v>
      </c>
    </row>
    <row r="139" spans="1:15" ht="12.75" customHeight="1">
      <c r="A139" s="20" t="s">
        <v>256</v>
      </c>
      <c r="B139" s="21" t="s">
        <v>257</v>
      </c>
      <c r="C139" s="22">
        <v>19854</v>
      </c>
      <c r="D139" s="22">
        <v>17614</v>
      </c>
      <c r="E139" s="22">
        <v>0</v>
      </c>
      <c r="F139" s="22">
        <f t="shared" si="33"/>
        <v>2240</v>
      </c>
      <c r="G139" s="22">
        <v>57886</v>
      </c>
      <c r="H139" s="22">
        <v>47642</v>
      </c>
      <c r="I139" s="22">
        <v>0</v>
      </c>
      <c r="J139" s="22">
        <f t="shared" si="34"/>
        <v>10244</v>
      </c>
      <c r="K139" s="22">
        <v>10260</v>
      </c>
      <c r="L139" s="22">
        <v>1508</v>
      </c>
      <c r="M139" s="22">
        <v>8684</v>
      </c>
      <c r="N139" s="22">
        <v>2334</v>
      </c>
      <c r="O139" s="22">
        <v>2334</v>
      </c>
    </row>
    <row r="140" spans="1:15" ht="12.75" customHeight="1">
      <c r="A140" s="20" t="s">
        <v>258</v>
      </c>
      <c r="B140" s="21" t="s">
        <v>259</v>
      </c>
      <c r="C140" s="22">
        <v>4323</v>
      </c>
      <c r="D140" s="22">
        <v>4285</v>
      </c>
      <c r="E140" s="22">
        <v>0</v>
      </c>
      <c r="F140" s="22">
        <f t="shared" si="33"/>
        <v>38</v>
      </c>
      <c r="G140" s="22">
        <v>9150</v>
      </c>
      <c r="H140" s="22">
        <v>8991</v>
      </c>
      <c r="I140" s="22">
        <v>0</v>
      </c>
      <c r="J140" s="22">
        <f t="shared" si="34"/>
        <v>159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</row>
    <row r="141" spans="1:15" ht="12.75" customHeight="1">
      <c r="A141" s="20" t="s">
        <v>260</v>
      </c>
      <c r="B141" s="21" t="s">
        <v>261</v>
      </c>
      <c r="C141" s="22">
        <v>26418</v>
      </c>
      <c r="D141" s="22">
        <v>25063</v>
      </c>
      <c r="E141" s="22">
        <v>0</v>
      </c>
      <c r="F141" s="22">
        <f t="shared" si="33"/>
        <v>1355</v>
      </c>
      <c r="G141" s="22">
        <v>54040</v>
      </c>
      <c r="H141" s="22">
        <v>49543</v>
      </c>
      <c r="I141" s="22">
        <v>0</v>
      </c>
      <c r="J141" s="22">
        <f t="shared" si="34"/>
        <v>4497</v>
      </c>
      <c r="K141" s="22">
        <v>184</v>
      </c>
      <c r="L141" s="22">
        <v>0</v>
      </c>
      <c r="M141" s="22">
        <v>110</v>
      </c>
      <c r="N141" s="22">
        <v>3010</v>
      </c>
      <c r="O141" s="22">
        <v>3010</v>
      </c>
    </row>
    <row r="142" spans="1:15" ht="12.75" customHeight="1">
      <c r="A142" s="20" t="s">
        <v>262</v>
      </c>
      <c r="B142" s="21" t="s">
        <v>263</v>
      </c>
      <c r="C142" s="22">
        <v>18663</v>
      </c>
      <c r="D142" s="22">
        <v>13922</v>
      </c>
      <c r="E142" s="22">
        <v>0</v>
      </c>
      <c r="F142" s="22">
        <f t="shared" si="33"/>
        <v>4741</v>
      </c>
      <c r="G142" s="22">
        <v>58533</v>
      </c>
      <c r="H142" s="22">
        <v>45725</v>
      </c>
      <c r="I142" s="22">
        <v>0</v>
      </c>
      <c r="J142" s="22">
        <f t="shared" si="34"/>
        <v>12808</v>
      </c>
      <c r="K142" s="22">
        <v>6849</v>
      </c>
      <c r="L142" s="22">
        <v>0</v>
      </c>
      <c r="M142" s="22">
        <v>11562</v>
      </c>
      <c r="N142" s="22">
        <v>6708</v>
      </c>
      <c r="O142" s="22">
        <v>6708</v>
      </c>
    </row>
    <row r="143" spans="1:15" ht="12.75" customHeight="1">
      <c r="A143" s="20" t="s">
        <v>264</v>
      </c>
      <c r="B143" s="21" t="s">
        <v>265</v>
      </c>
      <c r="C143" s="22">
        <v>50991</v>
      </c>
      <c r="D143" s="22">
        <v>40305</v>
      </c>
      <c r="E143" s="22">
        <v>0</v>
      </c>
      <c r="F143" s="22">
        <f t="shared" si="33"/>
        <v>10686</v>
      </c>
      <c r="G143" s="22">
        <v>166041</v>
      </c>
      <c r="H143" s="22">
        <v>74165</v>
      </c>
      <c r="I143" s="22">
        <v>0</v>
      </c>
      <c r="J143" s="22">
        <f t="shared" si="34"/>
        <v>91876</v>
      </c>
      <c r="K143" s="22">
        <v>39764</v>
      </c>
      <c r="L143" s="22">
        <v>575</v>
      </c>
      <c r="M143" s="22">
        <v>16391</v>
      </c>
      <c r="N143" s="22">
        <v>8596</v>
      </c>
      <c r="O143" s="22">
        <v>8596</v>
      </c>
    </row>
    <row r="144" spans="1:15" ht="14.7" customHeight="1">
      <c r="A144" s="20" t="s">
        <v>266</v>
      </c>
      <c r="B144" s="21" t="s">
        <v>267</v>
      </c>
      <c r="C144" s="22">
        <v>0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</row>
    <row r="145" spans="1:15" ht="14.7" customHeight="1">
      <c r="A145" s="26"/>
      <c r="B145" s="24" t="s">
        <v>268</v>
      </c>
      <c r="C145" s="28">
        <f t="shared" ref="C145:O145" si="35">SUM(C136:C144)</f>
        <v>215316</v>
      </c>
      <c r="D145" s="28">
        <f t="shared" si="35"/>
        <v>190133</v>
      </c>
      <c r="E145" s="28">
        <f t="shared" si="35"/>
        <v>0</v>
      </c>
      <c r="F145" s="28">
        <f t="shared" si="35"/>
        <v>25183</v>
      </c>
      <c r="G145" s="28">
        <f t="shared" si="35"/>
        <v>584139</v>
      </c>
      <c r="H145" s="28">
        <f t="shared" si="35"/>
        <v>418412</v>
      </c>
      <c r="I145" s="28">
        <f t="shared" si="35"/>
        <v>0</v>
      </c>
      <c r="J145" s="28">
        <f t="shared" si="35"/>
        <v>165727</v>
      </c>
      <c r="K145" s="28">
        <f t="shared" si="35"/>
        <v>74827</v>
      </c>
      <c r="L145" s="28">
        <f t="shared" si="35"/>
        <v>11388</v>
      </c>
      <c r="M145" s="28">
        <f t="shared" si="35"/>
        <v>52230</v>
      </c>
      <c r="N145" s="28">
        <f t="shared" si="35"/>
        <v>52305</v>
      </c>
      <c r="O145" s="28">
        <f t="shared" si="35"/>
        <v>52305</v>
      </c>
    </row>
    <row r="146" spans="1:15" ht="14.7" customHeight="1">
      <c r="A146" s="29" t="s">
        <v>269</v>
      </c>
      <c r="B146" s="30" t="s">
        <v>270</v>
      </c>
      <c r="C146" s="31">
        <f t="shared" ref="C146:O146" si="36">C145+C135+C125+C119+C116+C109+C103+C98+C95+C89+C86+C80+C69+C59+C51+C46+C43+C30+C25+C23</f>
        <v>6706377</v>
      </c>
      <c r="D146" s="31">
        <f t="shared" si="36"/>
        <v>4775640</v>
      </c>
      <c r="E146" s="31">
        <f t="shared" si="36"/>
        <v>192115</v>
      </c>
      <c r="F146" s="31">
        <f t="shared" si="36"/>
        <v>1738622</v>
      </c>
      <c r="G146" s="31">
        <f t="shared" si="36"/>
        <v>21207444</v>
      </c>
      <c r="H146" s="31">
        <f t="shared" si="36"/>
        <v>10817674</v>
      </c>
      <c r="I146" s="31">
        <f t="shared" si="36"/>
        <v>897914</v>
      </c>
      <c r="J146" s="31">
        <f t="shared" si="36"/>
        <v>9491856</v>
      </c>
      <c r="K146" s="31">
        <f t="shared" si="36"/>
        <v>872387</v>
      </c>
      <c r="L146" s="31">
        <f t="shared" si="36"/>
        <v>22310</v>
      </c>
      <c r="M146" s="31">
        <f t="shared" si="36"/>
        <v>1875545</v>
      </c>
      <c r="N146" s="31">
        <f t="shared" si="36"/>
        <v>843623</v>
      </c>
      <c r="O146" s="31">
        <f t="shared" si="36"/>
        <v>424899</v>
      </c>
    </row>
  </sheetData>
  <sheetProtection selectLockedCells="1" selectUnlockedCells="1"/>
  <mergeCells count="29">
    <mergeCell ref="N12:N13"/>
    <mergeCell ref="H12:H13"/>
    <mergeCell ref="I12:I13"/>
    <mergeCell ref="J12:J13"/>
    <mergeCell ref="K12:K13"/>
    <mergeCell ref="L12:L13"/>
    <mergeCell ref="M12:M13"/>
    <mergeCell ref="A12:A13"/>
    <mergeCell ref="B12:B13"/>
    <mergeCell ref="C12:C13"/>
    <mergeCell ref="D12:E12"/>
    <mergeCell ref="F12:F13"/>
    <mergeCell ref="G12:G13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:D1"/>
    <mergeCell ref="E1:L1"/>
    <mergeCell ref="A2:D2"/>
    <mergeCell ref="A3:C3"/>
    <mergeCell ref="E3:L3"/>
    <mergeCell ref="A4:C4"/>
    <mergeCell ref="E4:L4"/>
  </mergeCells>
  <pageMargins left="0.7" right="0.7" top="0.75" bottom="0.75" header="0.51180555555555551" footer="0.51180555555555551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2018-05-23T12:35:43Z</dcterms:modified>
</cp:coreProperties>
</file>