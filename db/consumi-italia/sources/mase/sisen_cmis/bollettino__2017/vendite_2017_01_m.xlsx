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i="1" l="1"/>
  <c r="P43" i="2"/>
</calcChain>
</file>

<file path=xl/sharedStrings.xml><?xml version="1.0" encoding="utf-8"?>
<sst xmlns="http://schemas.openxmlformats.org/spreadsheetml/2006/main" count="182" uniqueCount="90">
  <si>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</si>
  <si>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</si>
  <si>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</si>
  <si>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</si>
  <si>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</si>
  <si>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</si>
  <si>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</si>
  <si>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gennaio 2017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</si>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</sst>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112377</v>
      </c>
      <c r="E10" s="29">
        <v>2839</v>
      </c>
      <c r="F10" s="29">
        <v>0</v>
      </c>
      <c r="G10" s="29">
        <v>0</v>
      </c>
      <c r="H10" s="29">
        <v>0</v>
      </c>
      <c r="I10" s="29">
        <v>0</v>
      </c>
      <c r="J10" s="29">
        <v>9053</v>
      </c>
      <c r="K10" s="29">
        <v>662</v>
      </c>
      <c r="L10" s="29">
        <v>114459</v>
      </c>
      <c r="M10" s="29">
        <v>581</v>
      </c>
      <c r="N10" s="30">
        <f t="shared" ref="N10:N42" si="0">SUM(C10:M10)</f>
        <v>239971</v>
      </c>
      <c r="O10" s="29">
        <v>0</v>
      </c>
      <c r="P10" s="30">
        <f t="shared" ref="P10:P42" si="1">SUM(N10:O10)</f>
        <v>239971</v>
      </c>
    </row>
    <row r="11" spans="1:16" ht="15" customHeight="1">
      <c r="A11" s="11" t="s">
        <v>26</v>
      </c>
      <c r="B11" s="12" t="s">
        <v>27</v>
      </c>
      <c r="C11" s="29">
        <v>62697</v>
      </c>
      <c r="D11" s="29">
        <v>3907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68495</v>
      </c>
      <c r="M11" s="29">
        <v>1643</v>
      </c>
      <c r="N11" s="30">
        <f t="shared" si="0"/>
        <v>136742</v>
      </c>
      <c r="O11" s="29">
        <v>0</v>
      </c>
      <c r="P11" s="30">
        <f t="shared" si="1"/>
        <v>136742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1862</v>
      </c>
      <c r="K12" s="29">
        <v>0</v>
      </c>
      <c r="L12" s="29">
        <v>0</v>
      </c>
      <c r="M12" s="29">
        <v>0</v>
      </c>
      <c r="N12" s="30">
        <f t="shared" si="0"/>
        <v>1862</v>
      </c>
      <c r="O12" s="29">
        <v>0</v>
      </c>
      <c r="P12" s="30">
        <f t="shared" si="1"/>
        <v>1862</v>
      </c>
    </row>
    <row r="13" spans="1:16" ht="15" customHeight="1">
      <c r="A13" s="11" t="s">
        <v>30</v>
      </c>
      <c r="B13" s="12" t="s">
        <v>31</v>
      </c>
      <c r="C13" s="29">
        <v>404965</v>
      </c>
      <c r="D13" s="29">
        <v>1677</v>
      </c>
      <c r="E13" s="29">
        <v>42</v>
      </c>
      <c r="F13" s="29">
        <v>0</v>
      </c>
      <c r="G13" s="29">
        <v>38</v>
      </c>
      <c r="H13" s="29">
        <v>0</v>
      </c>
      <c r="I13" s="29">
        <v>0</v>
      </c>
      <c r="J13" s="29">
        <v>1164</v>
      </c>
      <c r="K13" s="29">
        <v>66</v>
      </c>
      <c r="L13" s="29">
        <v>125518</v>
      </c>
      <c r="M13" s="29">
        <v>11375</v>
      </c>
      <c r="N13" s="30">
        <f t="shared" si="0"/>
        <v>544845</v>
      </c>
      <c r="O13" s="29">
        <v>0</v>
      </c>
      <c r="P13" s="30">
        <f t="shared" si="1"/>
        <v>544845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78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78</v>
      </c>
      <c r="O14" s="29">
        <v>0</v>
      </c>
      <c r="P14" s="30">
        <f t="shared" si="1"/>
        <v>78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49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49</v>
      </c>
      <c r="O15" s="29">
        <v>0</v>
      </c>
      <c r="P15" s="30">
        <f t="shared" si="1"/>
        <v>49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23</v>
      </c>
      <c r="F16" s="29">
        <v>0</v>
      </c>
      <c r="G16" s="29">
        <v>0</v>
      </c>
      <c r="H16" s="29">
        <v>0</v>
      </c>
      <c r="I16" s="29">
        <v>0</v>
      </c>
      <c r="J16" s="29">
        <v>274</v>
      </c>
      <c r="K16" s="29">
        <v>0</v>
      </c>
      <c r="L16" s="29">
        <v>11</v>
      </c>
      <c r="M16" s="29">
        <v>0</v>
      </c>
      <c r="N16" s="30">
        <f t="shared" si="0"/>
        <v>308</v>
      </c>
      <c r="O16" s="29">
        <v>0</v>
      </c>
      <c r="P16" s="30">
        <f t="shared" si="1"/>
        <v>308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8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855</v>
      </c>
      <c r="M17" s="29">
        <v>0</v>
      </c>
      <c r="N17" s="30">
        <f t="shared" si="0"/>
        <v>867</v>
      </c>
      <c r="O17" s="29">
        <v>0</v>
      </c>
      <c r="P17" s="30">
        <f t="shared" si="1"/>
        <v>867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259504</v>
      </c>
      <c r="I18" s="29">
        <v>0</v>
      </c>
      <c r="J18" s="29">
        <v>12</v>
      </c>
      <c r="K18" s="29">
        <v>7404</v>
      </c>
      <c r="L18" s="29">
        <v>0</v>
      </c>
      <c r="M18" s="29">
        <v>486</v>
      </c>
      <c r="N18" s="30">
        <f t="shared" si="0"/>
        <v>267406</v>
      </c>
      <c r="O18" s="29">
        <v>0</v>
      </c>
      <c r="P18" s="30">
        <f t="shared" si="1"/>
        <v>267406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</v>
      </c>
      <c r="M19" s="29">
        <v>0</v>
      </c>
      <c r="N19" s="30">
        <f t="shared" si="0"/>
        <v>11</v>
      </c>
      <c r="O19" s="29">
        <v>0</v>
      </c>
      <c r="P19" s="30">
        <f t="shared" si="1"/>
        <v>11</v>
      </c>
    </row>
    <row r="20" spans="1:16" ht="15" customHeight="1">
      <c r="A20" s="11" t="s">
        <v>44</v>
      </c>
      <c r="B20" s="12" t="s">
        <v>45</v>
      </c>
      <c r="C20" s="29">
        <v>983837</v>
      </c>
      <c r="D20" s="29">
        <v>62207</v>
      </c>
      <c r="E20" s="29">
        <v>43917</v>
      </c>
      <c r="F20" s="29">
        <v>2921</v>
      </c>
      <c r="G20" s="29">
        <v>15261</v>
      </c>
      <c r="H20" s="29">
        <v>0</v>
      </c>
      <c r="I20" s="29">
        <v>410</v>
      </c>
      <c r="J20" s="29">
        <v>6145</v>
      </c>
      <c r="K20" s="29">
        <v>1402</v>
      </c>
      <c r="L20" s="29">
        <v>645203</v>
      </c>
      <c r="M20" s="29">
        <v>72779</v>
      </c>
      <c r="N20" s="30">
        <f t="shared" si="0"/>
        <v>1834082</v>
      </c>
      <c r="O20" s="29">
        <v>25190</v>
      </c>
      <c r="P20" s="30">
        <f t="shared" si="1"/>
        <v>1859272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6588</v>
      </c>
      <c r="E21" s="29">
        <v>45</v>
      </c>
      <c r="F21" s="29">
        <v>0</v>
      </c>
      <c r="G21" s="29">
        <v>94</v>
      </c>
      <c r="H21" s="29">
        <v>0</v>
      </c>
      <c r="I21" s="29">
        <v>3431</v>
      </c>
      <c r="J21" s="29">
        <v>439</v>
      </c>
      <c r="K21" s="29">
        <v>1528</v>
      </c>
      <c r="L21" s="29">
        <v>149393</v>
      </c>
      <c r="M21" s="29">
        <v>1595</v>
      </c>
      <c r="N21" s="30">
        <f t="shared" si="0"/>
        <v>163113</v>
      </c>
      <c r="O21" s="29">
        <v>6460</v>
      </c>
      <c r="P21" s="30">
        <f t="shared" si="1"/>
        <v>169573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60</v>
      </c>
      <c r="E22" s="29">
        <v>0</v>
      </c>
      <c r="F22" s="29">
        <v>0</v>
      </c>
      <c r="G22" s="29">
        <v>0</v>
      </c>
      <c r="H22" s="29">
        <v>0</v>
      </c>
      <c r="I22" s="29">
        <v>1238</v>
      </c>
      <c r="J22" s="29">
        <v>0</v>
      </c>
      <c r="K22" s="29">
        <v>0</v>
      </c>
      <c r="L22" s="29">
        <v>0</v>
      </c>
      <c r="M22" s="29">
        <v>2854</v>
      </c>
      <c r="N22" s="30">
        <f t="shared" si="0"/>
        <v>4152</v>
      </c>
      <c r="O22" s="29">
        <v>0</v>
      </c>
      <c r="P22" s="30">
        <f t="shared" si="1"/>
        <v>4152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39386</v>
      </c>
      <c r="J23" s="29">
        <v>0</v>
      </c>
      <c r="K23" s="29">
        <v>0</v>
      </c>
      <c r="L23" s="29">
        <v>475</v>
      </c>
      <c r="M23" s="29">
        <v>0</v>
      </c>
      <c r="N23" s="30">
        <f t="shared" si="0"/>
        <v>39861</v>
      </c>
      <c r="O23" s="29">
        <v>113559</v>
      </c>
      <c r="P23" s="30">
        <f t="shared" si="1"/>
        <v>153420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2233</v>
      </c>
      <c r="E24" s="29">
        <v>660</v>
      </c>
      <c r="F24" s="29">
        <v>0</v>
      </c>
      <c r="G24" s="29">
        <v>0</v>
      </c>
      <c r="H24" s="29">
        <v>0</v>
      </c>
      <c r="I24" s="29">
        <v>0</v>
      </c>
      <c r="J24" s="29">
        <v>1538</v>
      </c>
      <c r="K24" s="29">
        <v>63</v>
      </c>
      <c r="L24" s="29">
        <v>26141</v>
      </c>
      <c r="M24" s="29">
        <v>13262</v>
      </c>
      <c r="N24" s="30">
        <f t="shared" si="0"/>
        <v>43897</v>
      </c>
      <c r="O24" s="29">
        <v>79769</v>
      </c>
      <c r="P24" s="30">
        <f t="shared" si="1"/>
        <v>123666</v>
      </c>
    </row>
    <row r="25" spans="1:16" ht="15" customHeight="1">
      <c r="A25" s="11" t="s">
        <v>54</v>
      </c>
      <c r="B25" s="12" t="s">
        <v>55</v>
      </c>
      <c r="C25" s="29">
        <v>67</v>
      </c>
      <c r="D25" s="29">
        <v>5552</v>
      </c>
      <c r="E25" s="29">
        <v>410</v>
      </c>
      <c r="F25" s="29">
        <v>74</v>
      </c>
      <c r="G25" s="29">
        <v>183</v>
      </c>
      <c r="H25" s="29">
        <v>9</v>
      </c>
      <c r="I25" s="29">
        <v>66</v>
      </c>
      <c r="J25" s="29">
        <v>2067</v>
      </c>
      <c r="K25" s="29">
        <v>41</v>
      </c>
      <c r="L25" s="29">
        <v>4575</v>
      </c>
      <c r="M25" s="29">
        <v>793</v>
      </c>
      <c r="N25" s="30">
        <f t="shared" si="0"/>
        <v>13837</v>
      </c>
      <c r="O25" s="29">
        <v>2236</v>
      </c>
      <c r="P25" s="30">
        <f t="shared" si="1"/>
        <v>16073</v>
      </c>
    </row>
    <row r="26" spans="1:16" ht="15" customHeight="1">
      <c r="A26" s="11" t="s">
        <v>56</v>
      </c>
      <c r="B26" s="12" t="s">
        <v>57</v>
      </c>
      <c r="C26" s="29">
        <v>2</v>
      </c>
      <c r="D26" s="29">
        <v>3029</v>
      </c>
      <c r="E26" s="29">
        <v>102</v>
      </c>
      <c r="F26" s="29">
        <v>9</v>
      </c>
      <c r="G26" s="29">
        <v>67</v>
      </c>
      <c r="H26" s="29">
        <v>50</v>
      </c>
      <c r="I26" s="29">
        <v>70</v>
      </c>
      <c r="J26" s="29">
        <v>8946</v>
      </c>
      <c r="K26" s="29">
        <v>2</v>
      </c>
      <c r="L26" s="29">
        <v>2260</v>
      </c>
      <c r="M26" s="29">
        <v>421</v>
      </c>
      <c r="N26" s="30">
        <f t="shared" si="0"/>
        <v>14958</v>
      </c>
      <c r="O26" s="29">
        <v>207</v>
      </c>
      <c r="P26" s="30">
        <f t="shared" si="1"/>
        <v>15165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24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777</v>
      </c>
      <c r="K27" s="29">
        <v>0</v>
      </c>
      <c r="L27" s="29">
        <v>5</v>
      </c>
      <c r="M27" s="29">
        <v>0</v>
      </c>
      <c r="N27" s="30">
        <f t="shared" si="0"/>
        <v>806</v>
      </c>
      <c r="O27" s="29">
        <v>0</v>
      </c>
      <c r="P27" s="30">
        <f t="shared" si="1"/>
        <v>806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3</v>
      </c>
      <c r="E28" s="29">
        <v>0</v>
      </c>
      <c r="F28" s="29">
        <v>0</v>
      </c>
      <c r="G28" s="29">
        <v>0</v>
      </c>
      <c r="H28" s="29">
        <v>0</v>
      </c>
      <c r="I28" s="29">
        <v>15</v>
      </c>
      <c r="J28" s="29">
        <v>188</v>
      </c>
      <c r="K28" s="29">
        <v>0</v>
      </c>
      <c r="L28" s="29">
        <v>47</v>
      </c>
      <c r="M28" s="29">
        <v>1</v>
      </c>
      <c r="N28" s="30">
        <f t="shared" si="0"/>
        <v>254</v>
      </c>
      <c r="O28" s="29">
        <v>0</v>
      </c>
      <c r="P28" s="30">
        <f t="shared" si="1"/>
        <v>254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99</v>
      </c>
      <c r="K29" s="29">
        <v>0</v>
      </c>
      <c r="L29" s="29">
        <v>55</v>
      </c>
      <c r="M29" s="29">
        <v>9192</v>
      </c>
      <c r="N29" s="30">
        <f t="shared" si="0"/>
        <v>9346</v>
      </c>
      <c r="O29" s="29">
        <v>0</v>
      </c>
      <c r="P29" s="30">
        <f t="shared" si="1"/>
        <v>9346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1936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29439</v>
      </c>
      <c r="K32" s="29">
        <v>0</v>
      </c>
      <c r="L32" s="29">
        <v>17299</v>
      </c>
      <c r="M32" s="29">
        <v>2439</v>
      </c>
      <c r="N32" s="30">
        <f t="shared" si="0"/>
        <v>51113</v>
      </c>
      <c r="O32" s="29">
        <v>0</v>
      </c>
      <c r="P32" s="30">
        <f t="shared" si="1"/>
        <v>51113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8163</v>
      </c>
      <c r="K33" s="29">
        <v>0</v>
      </c>
      <c r="L33" s="29">
        <v>0</v>
      </c>
      <c r="M33" s="29">
        <v>0</v>
      </c>
      <c r="N33" s="30">
        <f t="shared" si="0"/>
        <v>8163</v>
      </c>
      <c r="O33" s="29">
        <v>0</v>
      </c>
      <c r="P33" s="30">
        <f t="shared" si="1"/>
        <v>8163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6</v>
      </c>
      <c r="D35" s="29">
        <v>117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3715</v>
      </c>
      <c r="K35" s="29">
        <v>0</v>
      </c>
      <c r="L35" s="29">
        <v>173</v>
      </c>
      <c r="M35" s="29">
        <v>0</v>
      </c>
      <c r="N35" s="30">
        <f t="shared" si="0"/>
        <v>4011</v>
      </c>
      <c r="O35" s="29">
        <v>0</v>
      </c>
      <c r="P35" s="30">
        <f t="shared" si="1"/>
        <v>4011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5181</v>
      </c>
      <c r="K36" s="29">
        <v>0</v>
      </c>
      <c r="L36" s="29">
        <v>14510</v>
      </c>
      <c r="M36" s="29">
        <v>29163</v>
      </c>
      <c r="N36" s="30">
        <f t="shared" si="0"/>
        <v>48854</v>
      </c>
      <c r="O36" s="29">
        <v>0</v>
      </c>
      <c r="P36" s="30">
        <f t="shared" si="1"/>
        <v>48854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1784</v>
      </c>
      <c r="K37" s="29">
        <v>0</v>
      </c>
      <c r="L37" s="29">
        <v>330</v>
      </c>
      <c r="M37" s="29">
        <v>0</v>
      </c>
      <c r="N37" s="30">
        <f t="shared" si="0"/>
        <v>2114</v>
      </c>
      <c r="O37" s="29">
        <v>0</v>
      </c>
      <c r="P37" s="30">
        <f t="shared" si="1"/>
        <v>2114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24</v>
      </c>
      <c r="K38" s="29">
        <v>0</v>
      </c>
      <c r="L38" s="29">
        <v>0</v>
      </c>
      <c r="M38" s="29">
        <v>0</v>
      </c>
      <c r="N38" s="30">
        <f t="shared" si="0"/>
        <v>24</v>
      </c>
      <c r="O38" s="29">
        <v>0</v>
      </c>
      <c r="P38" s="30">
        <f t="shared" si="1"/>
        <v>24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4500</v>
      </c>
      <c r="M39" s="29">
        <v>0</v>
      </c>
      <c r="N39" s="30">
        <f t="shared" si="0"/>
        <v>4500</v>
      </c>
      <c r="O39" s="29">
        <v>0</v>
      </c>
      <c r="P39" s="30">
        <f t="shared" si="1"/>
        <v>4500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1451574</v>
      </c>
      <c r="D43" s="31">
        <f t="shared" si="2"/>
        <v>199728</v>
      </c>
      <c r="E43" s="31">
        <f t="shared" si="2"/>
        <v>48038</v>
      </c>
      <c r="F43" s="31">
        <f t="shared" si="2"/>
        <v>3004</v>
      </c>
      <c r="G43" s="31">
        <f t="shared" si="2"/>
        <v>15643</v>
      </c>
      <c r="H43" s="31">
        <f t="shared" si="2"/>
        <v>259690</v>
      </c>
      <c r="I43" s="31">
        <f t="shared" si="2"/>
        <v>44616</v>
      </c>
      <c r="J43" s="31">
        <f t="shared" si="2"/>
        <v>80874</v>
      </c>
      <c r="K43" s="31">
        <f t="shared" si="2"/>
        <v>11168</v>
      </c>
      <c r="L43" s="31">
        <f t="shared" si="2"/>
        <v>1174305</v>
      </c>
      <c r="M43" s="31">
        <f t="shared" si="2"/>
        <v>146584</v>
      </c>
      <c r="N43" s="31">
        <f t="shared" si="2"/>
        <v>3435224</v>
      </c>
      <c r="O43" s="31">
        <f t="shared" si="2"/>
        <v>227421</v>
      </c>
      <c r="P43" s="31">
        <f t="shared" si="2"/>
        <v>3662645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112377</v>
      </c>
      <c r="E10" s="29">
        <v>2839</v>
      </c>
      <c r="F10" s="29">
        <v>0</v>
      </c>
      <c r="G10" s="29">
        <v>0</v>
      </c>
      <c r="H10" s="29">
        <v>0</v>
      </c>
      <c r="I10" s="29">
        <v>0</v>
      </c>
      <c r="J10" s="29">
        <v>9053</v>
      </c>
      <c r="K10" s="29">
        <v>662</v>
      </c>
      <c r="L10" s="29">
        <v>114459</v>
      </c>
      <c r="M10" s="29">
        <v>581</v>
      </c>
      <c r="N10" s="30">
        <f t="shared" ref="N10:N42" si="0">SUM(C10:M10)</f>
        <v>239971</v>
      </c>
      <c r="O10" s="29">
        <v>0</v>
      </c>
      <c r="P10" s="30">
        <f t="shared" ref="P10:P42" si="1">SUM(N10:O10)</f>
        <v>239971</v>
      </c>
    </row>
    <row r="11" spans="1:16" ht="15" customHeight="1">
      <c r="A11" s="11" t="s">
        <v>26</v>
      </c>
      <c r="B11" s="12" t="s">
        <v>27</v>
      </c>
      <c r="C11" s="29">
        <v>62697</v>
      </c>
      <c r="D11" s="29">
        <v>3907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68495</v>
      </c>
      <c r="M11" s="29">
        <v>1643</v>
      </c>
      <c r="N11" s="30">
        <f t="shared" si="0"/>
        <v>136742</v>
      </c>
      <c r="O11" s="29">
        <v>0</v>
      </c>
      <c r="P11" s="30">
        <f t="shared" si="1"/>
        <v>136742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1862</v>
      </c>
      <c r="K12" s="29">
        <v>0</v>
      </c>
      <c r="L12" s="29">
        <v>0</v>
      </c>
      <c r="M12" s="29">
        <v>0</v>
      </c>
      <c r="N12" s="30">
        <f t="shared" si="0"/>
        <v>1862</v>
      </c>
      <c r="O12" s="29">
        <v>0</v>
      </c>
      <c r="P12" s="30">
        <f t="shared" si="1"/>
        <v>1862</v>
      </c>
    </row>
    <row r="13" spans="1:16" ht="15" customHeight="1">
      <c r="A13" s="11" t="s">
        <v>30</v>
      </c>
      <c r="B13" s="12" t="s">
        <v>31</v>
      </c>
      <c r="C13" s="29">
        <v>404965</v>
      </c>
      <c r="D13" s="29">
        <v>1677</v>
      </c>
      <c r="E13" s="29">
        <v>42</v>
      </c>
      <c r="F13" s="29">
        <v>0</v>
      </c>
      <c r="G13" s="29">
        <v>38</v>
      </c>
      <c r="H13" s="29">
        <v>0</v>
      </c>
      <c r="I13" s="29">
        <v>0</v>
      </c>
      <c r="J13" s="29">
        <v>1164</v>
      </c>
      <c r="K13" s="29">
        <v>66</v>
      </c>
      <c r="L13" s="29">
        <v>125518</v>
      </c>
      <c r="M13" s="29">
        <v>11375</v>
      </c>
      <c r="N13" s="30">
        <f t="shared" si="0"/>
        <v>544845</v>
      </c>
      <c r="O13" s="29">
        <v>0</v>
      </c>
      <c r="P13" s="30">
        <f t="shared" si="1"/>
        <v>544845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78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78</v>
      </c>
      <c r="O14" s="29">
        <v>0</v>
      </c>
      <c r="P14" s="30">
        <f t="shared" si="1"/>
        <v>78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49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49</v>
      </c>
      <c r="O15" s="29">
        <v>0</v>
      </c>
      <c r="P15" s="30">
        <f t="shared" si="1"/>
        <v>49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23</v>
      </c>
      <c r="F16" s="29">
        <v>0</v>
      </c>
      <c r="G16" s="29">
        <v>0</v>
      </c>
      <c r="H16" s="29">
        <v>0</v>
      </c>
      <c r="I16" s="29">
        <v>0</v>
      </c>
      <c r="J16" s="29">
        <v>274</v>
      </c>
      <c r="K16" s="29">
        <v>0</v>
      </c>
      <c r="L16" s="29">
        <v>11</v>
      </c>
      <c r="M16" s="29">
        <v>0</v>
      </c>
      <c r="N16" s="30">
        <f t="shared" si="0"/>
        <v>308</v>
      </c>
      <c r="O16" s="29">
        <v>0</v>
      </c>
      <c r="P16" s="30">
        <f t="shared" si="1"/>
        <v>308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8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855</v>
      </c>
      <c r="M17" s="29">
        <v>0</v>
      </c>
      <c r="N17" s="30">
        <f t="shared" si="0"/>
        <v>867</v>
      </c>
      <c r="O17" s="29">
        <v>0</v>
      </c>
      <c r="P17" s="30">
        <f t="shared" si="1"/>
        <v>867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259504</v>
      </c>
      <c r="I18" s="29">
        <v>0</v>
      </c>
      <c r="J18" s="29">
        <v>12</v>
      </c>
      <c r="K18" s="29">
        <v>7404</v>
      </c>
      <c r="L18" s="29">
        <v>0</v>
      </c>
      <c r="M18" s="29">
        <v>486</v>
      </c>
      <c r="N18" s="30">
        <f t="shared" si="0"/>
        <v>267406</v>
      </c>
      <c r="O18" s="29">
        <v>0</v>
      </c>
      <c r="P18" s="30">
        <f t="shared" si="1"/>
        <v>267406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</v>
      </c>
      <c r="M19" s="29">
        <v>0</v>
      </c>
      <c r="N19" s="30">
        <f t="shared" si="0"/>
        <v>11</v>
      </c>
      <c r="O19" s="29">
        <v>0</v>
      </c>
      <c r="P19" s="30">
        <f t="shared" si="1"/>
        <v>11</v>
      </c>
    </row>
    <row r="20" spans="1:16" ht="15" customHeight="1">
      <c r="A20" s="11" t="s">
        <v>44</v>
      </c>
      <c r="B20" s="12" t="s">
        <v>45</v>
      </c>
      <c r="C20" s="29">
        <v>983837</v>
      </c>
      <c r="D20" s="29">
        <v>62207</v>
      </c>
      <c r="E20" s="29">
        <v>43917</v>
      </c>
      <c r="F20" s="29">
        <v>2921</v>
      </c>
      <c r="G20" s="29">
        <v>15261</v>
      </c>
      <c r="H20" s="29">
        <v>0</v>
      </c>
      <c r="I20" s="29">
        <v>410</v>
      </c>
      <c r="J20" s="29">
        <v>6145</v>
      </c>
      <c r="K20" s="29">
        <v>1402</v>
      </c>
      <c r="L20" s="29">
        <v>645203</v>
      </c>
      <c r="M20" s="29">
        <v>72779</v>
      </c>
      <c r="N20" s="30">
        <f t="shared" si="0"/>
        <v>1834082</v>
      </c>
      <c r="O20" s="29">
        <v>25190</v>
      </c>
      <c r="P20" s="30">
        <f t="shared" si="1"/>
        <v>1859272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6588</v>
      </c>
      <c r="E21" s="29">
        <v>45</v>
      </c>
      <c r="F21" s="29">
        <v>0</v>
      </c>
      <c r="G21" s="29">
        <v>94</v>
      </c>
      <c r="H21" s="29">
        <v>0</v>
      </c>
      <c r="I21" s="29">
        <v>3431</v>
      </c>
      <c r="J21" s="29">
        <v>439</v>
      </c>
      <c r="K21" s="29">
        <v>1528</v>
      </c>
      <c r="L21" s="29">
        <v>149393</v>
      </c>
      <c r="M21" s="29">
        <v>1595</v>
      </c>
      <c r="N21" s="30">
        <f t="shared" si="0"/>
        <v>163113</v>
      </c>
      <c r="O21" s="29">
        <v>6460</v>
      </c>
      <c r="P21" s="30">
        <f t="shared" si="1"/>
        <v>169573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60</v>
      </c>
      <c r="E22" s="29">
        <v>0</v>
      </c>
      <c r="F22" s="29">
        <v>0</v>
      </c>
      <c r="G22" s="29">
        <v>0</v>
      </c>
      <c r="H22" s="29">
        <v>0</v>
      </c>
      <c r="I22" s="29">
        <v>1238</v>
      </c>
      <c r="J22" s="29">
        <v>0</v>
      </c>
      <c r="K22" s="29">
        <v>0</v>
      </c>
      <c r="L22" s="29">
        <v>0</v>
      </c>
      <c r="M22" s="29">
        <v>2854</v>
      </c>
      <c r="N22" s="30">
        <f t="shared" si="0"/>
        <v>4152</v>
      </c>
      <c r="O22" s="29">
        <v>0</v>
      </c>
      <c r="P22" s="30">
        <f t="shared" si="1"/>
        <v>4152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39386</v>
      </c>
      <c r="J23" s="29">
        <v>0</v>
      </c>
      <c r="K23" s="29">
        <v>0</v>
      </c>
      <c r="L23" s="29">
        <v>475</v>
      </c>
      <c r="M23" s="29">
        <v>0</v>
      </c>
      <c r="N23" s="30">
        <f t="shared" si="0"/>
        <v>39861</v>
      </c>
      <c r="O23" s="29">
        <v>113559</v>
      </c>
      <c r="P23" s="30">
        <f t="shared" si="1"/>
        <v>153420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2233</v>
      </c>
      <c r="E24" s="29">
        <v>660</v>
      </c>
      <c r="F24" s="29">
        <v>0</v>
      </c>
      <c r="G24" s="29">
        <v>0</v>
      </c>
      <c r="H24" s="29">
        <v>0</v>
      </c>
      <c r="I24" s="29">
        <v>0</v>
      </c>
      <c r="J24" s="29">
        <v>1538</v>
      </c>
      <c r="K24" s="29">
        <v>63</v>
      </c>
      <c r="L24" s="29">
        <v>26141</v>
      </c>
      <c r="M24" s="29">
        <v>13262</v>
      </c>
      <c r="N24" s="30">
        <f t="shared" si="0"/>
        <v>43897</v>
      </c>
      <c r="O24" s="29">
        <v>79769</v>
      </c>
      <c r="P24" s="30">
        <f t="shared" si="1"/>
        <v>123666</v>
      </c>
    </row>
    <row r="25" spans="1:16" ht="15" customHeight="1">
      <c r="A25" s="11" t="s">
        <v>54</v>
      </c>
      <c r="B25" s="12" t="s">
        <v>55</v>
      </c>
      <c r="C25" s="29">
        <v>67</v>
      </c>
      <c r="D25" s="29">
        <v>5552</v>
      </c>
      <c r="E25" s="29">
        <v>410</v>
      </c>
      <c r="F25" s="29">
        <v>74</v>
      </c>
      <c r="G25" s="29">
        <v>183</v>
      </c>
      <c r="H25" s="29">
        <v>9</v>
      </c>
      <c r="I25" s="29">
        <v>66</v>
      </c>
      <c r="J25" s="29">
        <v>2067</v>
      </c>
      <c r="K25" s="29">
        <v>41</v>
      </c>
      <c r="L25" s="29">
        <v>4575</v>
      </c>
      <c r="M25" s="29">
        <v>793</v>
      </c>
      <c r="N25" s="30">
        <f t="shared" si="0"/>
        <v>13837</v>
      </c>
      <c r="O25" s="29">
        <v>2236</v>
      </c>
      <c r="P25" s="30">
        <f t="shared" si="1"/>
        <v>16073</v>
      </c>
    </row>
    <row r="26" spans="1:16" ht="15" customHeight="1">
      <c r="A26" s="11" t="s">
        <v>56</v>
      </c>
      <c r="B26" s="12" t="s">
        <v>57</v>
      </c>
      <c r="C26" s="29">
        <v>2</v>
      </c>
      <c r="D26" s="29">
        <v>3029</v>
      </c>
      <c r="E26" s="29">
        <v>102</v>
      </c>
      <c r="F26" s="29">
        <v>9</v>
      </c>
      <c r="G26" s="29">
        <v>67</v>
      </c>
      <c r="H26" s="29">
        <v>50</v>
      </c>
      <c r="I26" s="29">
        <v>70</v>
      </c>
      <c r="J26" s="29">
        <v>8946</v>
      </c>
      <c r="K26" s="29">
        <v>2</v>
      </c>
      <c r="L26" s="29">
        <v>2260</v>
      </c>
      <c r="M26" s="29">
        <v>421</v>
      </c>
      <c r="N26" s="30">
        <f t="shared" si="0"/>
        <v>14958</v>
      </c>
      <c r="O26" s="29">
        <v>207</v>
      </c>
      <c r="P26" s="30">
        <f t="shared" si="1"/>
        <v>15165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24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777</v>
      </c>
      <c r="K27" s="29">
        <v>0</v>
      </c>
      <c r="L27" s="29">
        <v>5</v>
      </c>
      <c r="M27" s="29">
        <v>0</v>
      </c>
      <c r="N27" s="30">
        <f t="shared" si="0"/>
        <v>806</v>
      </c>
      <c r="O27" s="29">
        <v>0</v>
      </c>
      <c r="P27" s="30">
        <f t="shared" si="1"/>
        <v>806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3</v>
      </c>
      <c r="E28" s="29">
        <v>0</v>
      </c>
      <c r="F28" s="29">
        <v>0</v>
      </c>
      <c r="G28" s="29">
        <v>0</v>
      </c>
      <c r="H28" s="29">
        <v>0</v>
      </c>
      <c r="I28" s="29">
        <v>15</v>
      </c>
      <c r="J28" s="29">
        <v>188</v>
      </c>
      <c r="K28" s="29">
        <v>0</v>
      </c>
      <c r="L28" s="29">
        <v>47</v>
      </c>
      <c r="M28" s="29">
        <v>1</v>
      </c>
      <c r="N28" s="30">
        <f t="shared" si="0"/>
        <v>254</v>
      </c>
      <c r="O28" s="29">
        <v>0</v>
      </c>
      <c r="P28" s="30">
        <f t="shared" si="1"/>
        <v>254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99</v>
      </c>
      <c r="K29" s="29">
        <v>0</v>
      </c>
      <c r="L29" s="29">
        <v>55</v>
      </c>
      <c r="M29" s="29">
        <v>9192</v>
      </c>
      <c r="N29" s="30">
        <f t="shared" si="0"/>
        <v>9346</v>
      </c>
      <c r="O29" s="29">
        <v>0</v>
      </c>
      <c r="P29" s="30">
        <f t="shared" si="1"/>
        <v>9346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1936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29439</v>
      </c>
      <c r="K32" s="29">
        <v>0</v>
      </c>
      <c r="L32" s="29">
        <v>17299</v>
      </c>
      <c r="M32" s="29">
        <v>2439</v>
      </c>
      <c r="N32" s="30">
        <f t="shared" si="0"/>
        <v>51113</v>
      </c>
      <c r="O32" s="29">
        <v>0</v>
      </c>
      <c r="P32" s="30">
        <f t="shared" si="1"/>
        <v>51113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8163</v>
      </c>
      <c r="K33" s="29">
        <v>0</v>
      </c>
      <c r="L33" s="29">
        <v>0</v>
      </c>
      <c r="M33" s="29">
        <v>0</v>
      </c>
      <c r="N33" s="30">
        <f t="shared" si="0"/>
        <v>8163</v>
      </c>
      <c r="O33" s="29">
        <v>0</v>
      </c>
      <c r="P33" s="30">
        <f t="shared" si="1"/>
        <v>8163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6</v>
      </c>
      <c r="D35" s="29">
        <v>117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3715</v>
      </c>
      <c r="K35" s="29">
        <v>0</v>
      </c>
      <c r="L35" s="29">
        <v>173</v>
      </c>
      <c r="M35" s="29">
        <v>0</v>
      </c>
      <c r="N35" s="30">
        <f t="shared" si="0"/>
        <v>4011</v>
      </c>
      <c r="O35" s="29">
        <v>0</v>
      </c>
      <c r="P35" s="30">
        <f t="shared" si="1"/>
        <v>4011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5181</v>
      </c>
      <c r="K36" s="29">
        <v>0</v>
      </c>
      <c r="L36" s="29">
        <v>14510</v>
      </c>
      <c r="M36" s="29">
        <v>29163</v>
      </c>
      <c r="N36" s="30">
        <f t="shared" si="0"/>
        <v>48854</v>
      </c>
      <c r="O36" s="29">
        <v>0</v>
      </c>
      <c r="P36" s="30">
        <f t="shared" si="1"/>
        <v>48854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1784</v>
      </c>
      <c r="K37" s="29">
        <v>0</v>
      </c>
      <c r="L37" s="29">
        <v>330</v>
      </c>
      <c r="M37" s="29">
        <v>0</v>
      </c>
      <c r="N37" s="30">
        <f t="shared" si="0"/>
        <v>2114</v>
      </c>
      <c r="O37" s="29">
        <v>0</v>
      </c>
      <c r="P37" s="30">
        <f t="shared" si="1"/>
        <v>2114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24</v>
      </c>
      <c r="K38" s="29">
        <v>0</v>
      </c>
      <c r="L38" s="29">
        <v>0</v>
      </c>
      <c r="M38" s="29">
        <v>0</v>
      </c>
      <c r="N38" s="30">
        <f t="shared" si="0"/>
        <v>24</v>
      </c>
      <c r="O38" s="29">
        <v>0</v>
      </c>
      <c r="P38" s="30">
        <f t="shared" si="1"/>
        <v>24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4500</v>
      </c>
      <c r="M39" s="29">
        <v>0</v>
      </c>
      <c r="N39" s="30">
        <f t="shared" si="0"/>
        <v>4500</v>
      </c>
      <c r="O39" s="29">
        <v>0</v>
      </c>
      <c r="P39" s="30">
        <f t="shared" si="1"/>
        <v>4500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1451574</v>
      </c>
      <c r="D43" s="31">
        <f t="shared" si="2"/>
        <v>199728</v>
      </c>
      <c r="E43" s="31">
        <f t="shared" si="2"/>
        <v>48038</v>
      </c>
      <c r="F43" s="31">
        <f t="shared" si="2"/>
        <v>3004</v>
      </c>
      <c r="G43" s="31">
        <f t="shared" si="2"/>
        <v>15643</v>
      </c>
      <c r="H43" s="31">
        <f t="shared" si="2"/>
        <v>259690</v>
      </c>
      <c r="I43" s="31">
        <f t="shared" si="2"/>
        <v>44616</v>
      </c>
      <c r="J43" s="31">
        <f t="shared" si="2"/>
        <v>80874</v>
      </c>
      <c r="K43" s="31">
        <f t="shared" si="2"/>
        <v>11168</v>
      </c>
      <c r="L43" s="31">
        <f t="shared" si="2"/>
        <v>1174305</v>
      </c>
      <c r="M43" s="31">
        <f t="shared" si="2"/>
        <v>146584</v>
      </c>
      <c r="N43" s="31">
        <f t="shared" si="2"/>
        <v>3435224</v>
      </c>
      <c r="O43" s="31">
        <f t="shared" si="2"/>
        <v>227421</v>
      </c>
      <c r="P43" s="31">
        <f t="shared" si="2"/>
        <v>3662645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2017-06-06T15:19:15Z</dcterms:modified>
</cp:coreProperties>
</file>