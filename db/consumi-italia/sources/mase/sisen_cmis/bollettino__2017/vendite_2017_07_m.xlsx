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N43" s="1"/>
  <c r="N11"/>
  <c r="P11" s="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/>
  <c r="N38"/>
  <c r="P38" s="1"/>
  <c r="N39"/>
  <c r="P39"/>
  <c r="N40"/>
  <c r="P40" s="1"/>
  <c r="N41"/>
  <c r="P4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l="1"/>
  <c r="N43"/>
  <c r="P10" i="1"/>
  <c r="P43" s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<sst xmlns="http://schemas.openxmlformats.org/spreadsheetml/2006/main" count="182" uniqueCount="91">
  <si>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</si>
  <si>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</si>
  <si>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</si>
  <si>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</si>
  <si>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</si>
  <si>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</si>
  <si>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</si>
  <si>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luglio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</si>
  <si>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</si>
  <si>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</si>
  <si>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</si>
  <si>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</si>
  <si>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</si>
  <si>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</si>
  <si>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</si>
  <si>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</si>
  <si>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</si>
  <si>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</si>
  <si>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</si>
  <si>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</si>
  <si>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</si>
  <si>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</si>
  <si>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</si>
  <si>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</si>
  <si>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</si>
  <si>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</si>
  <si>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</si>
  <si>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</si>
  <si>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</si>
  <si>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</si>
  <si>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</si>
  <si>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</si>
  <si>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</si>
  <si>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</si>
  <si>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</si>
  <si>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</si>
  <si>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</si>
  <si>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</si>
  <si>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</si>
  <si>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</si>
  <si>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</si>
  <si>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</si>
  <si>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</si>
  <si>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</si>
  <si>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</si>
  <si>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</si>
  <si>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</si>
  <si>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</si>
  <si>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</si>
  <si>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</si>
  <si>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</si>
  <si>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</si>
  <si>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</si>
  <si>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</si>
  <si>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</si>
  <si>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</si>
  <si>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</si>
  <si>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</si>
  <si>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</si>
  <si>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</si>
  <si>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</si>
  <si>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</si>
  <si>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</si>
  <si>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</si>
  <si>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</si>
  <si>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</si>
  <si>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</si>
  <si>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</si>
  <si>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</si>
  <si>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</si>
  <si>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</si>
  <si>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</si>
  <si>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</si>
  <si>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</si>
  <si>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</si>
  <si>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</si>
  <si>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</si>
  <si>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</si>
  <si>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</si>
  <si>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</si>
  <si>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</si>
  <si>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</si>
  <si>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</si>
  <si>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</si>
  <si>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</si>
  <si>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</si>
  <si>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</si>
  <si>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</si>
  <si>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</si>
  <si>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</si>
  <si>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gennaio-luglio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</si>
</sst>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tabSelected="1"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42241</v>
      </c>
      <c r="E10" s="29">
        <v>1063</v>
      </c>
      <c r="F10" s="29">
        <v>0</v>
      </c>
      <c r="G10" s="29">
        <v>0</v>
      </c>
      <c r="H10" s="29">
        <v>0</v>
      </c>
      <c r="I10" s="29">
        <v>0</v>
      </c>
      <c r="J10" s="29">
        <v>5951</v>
      </c>
      <c r="K10" s="29">
        <v>325</v>
      </c>
      <c r="L10" s="29">
        <v>48579</v>
      </c>
      <c r="M10" s="29">
        <v>86</v>
      </c>
      <c r="N10" s="30">
        <f t="shared" ref="N10:N42" si="0">SUM(C10:M10)</f>
        <v>98245</v>
      </c>
      <c r="O10" s="29">
        <v>0</v>
      </c>
      <c r="P10" s="30">
        <f t="shared" ref="P10:P42" si="1">SUM(N10:O10)</f>
        <v>98245</v>
      </c>
    </row>
    <row r="11" spans="1:16" ht="15" customHeight="1">
      <c r="A11" s="11" t="s">
        <v>26</v>
      </c>
      <c r="B11" s="12" t="s">
        <v>27</v>
      </c>
      <c r="C11" s="29">
        <v>66677</v>
      </c>
      <c r="D11" s="29">
        <v>4285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69870</v>
      </c>
      <c r="M11" s="29">
        <v>930</v>
      </c>
      <c r="N11" s="30">
        <f t="shared" si="0"/>
        <v>141762</v>
      </c>
      <c r="O11" s="29">
        <v>0</v>
      </c>
      <c r="P11" s="30">
        <f t="shared" si="1"/>
        <v>141762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2104</v>
      </c>
      <c r="K12" s="29">
        <v>0</v>
      </c>
      <c r="L12" s="29">
        <v>0</v>
      </c>
      <c r="M12" s="29">
        <v>0</v>
      </c>
      <c r="N12" s="30">
        <f t="shared" si="0"/>
        <v>2104</v>
      </c>
      <c r="O12" s="29">
        <v>0</v>
      </c>
      <c r="P12" s="30">
        <f t="shared" si="1"/>
        <v>2104</v>
      </c>
    </row>
    <row r="13" spans="1:16" ht="15" customHeight="1">
      <c r="A13" s="11" t="s">
        <v>30</v>
      </c>
      <c r="B13" s="12" t="s">
        <v>31</v>
      </c>
      <c r="C13" s="29">
        <v>492490</v>
      </c>
      <c r="D13" s="29">
        <v>2829</v>
      </c>
      <c r="E13" s="29">
        <v>114</v>
      </c>
      <c r="F13" s="29">
        <v>0</v>
      </c>
      <c r="G13" s="29">
        <v>59</v>
      </c>
      <c r="H13" s="29">
        <v>0</v>
      </c>
      <c r="I13" s="29">
        <v>0</v>
      </c>
      <c r="J13" s="29">
        <v>484</v>
      </c>
      <c r="K13" s="29">
        <v>100</v>
      </c>
      <c r="L13" s="29">
        <v>156391</v>
      </c>
      <c r="M13" s="29">
        <v>8883</v>
      </c>
      <c r="N13" s="30">
        <f t="shared" si="0"/>
        <v>661350</v>
      </c>
      <c r="O13" s="29">
        <v>0</v>
      </c>
      <c r="P13" s="30">
        <f t="shared" si="1"/>
        <v>661350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169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169</v>
      </c>
      <c r="O14" s="29">
        <v>0</v>
      </c>
      <c r="P14" s="30">
        <f t="shared" si="1"/>
        <v>169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80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80</v>
      </c>
      <c r="O15" s="29">
        <v>0</v>
      </c>
      <c r="P15" s="30">
        <f t="shared" si="1"/>
        <v>80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129</v>
      </c>
      <c r="F16" s="29">
        <v>0</v>
      </c>
      <c r="G16" s="29">
        <v>0</v>
      </c>
      <c r="H16" s="29">
        <v>0</v>
      </c>
      <c r="I16" s="29">
        <v>0</v>
      </c>
      <c r="J16" s="29">
        <v>664</v>
      </c>
      <c r="K16" s="29">
        <v>0</v>
      </c>
      <c r="L16" s="29">
        <v>148</v>
      </c>
      <c r="M16" s="29">
        <v>0</v>
      </c>
      <c r="N16" s="30">
        <f t="shared" si="0"/>
        <v>941</v>
      </c>
      <c r="O16" s="29">
        <v>0</v>
      </c>
      <c r="P16" s="30">
        <f t="shared" si="1"/>
        <v>941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85</v>
      </c>
      <c r="M17" s="29">
        <v>0</v>
      </c>
      <c r="N17" s="30">
        <f t="shared" si="0"/>
        <v>85</v>
      </c>
      <c r="O17" s="29">
        <v>0</v>
      </c>
      <c r="P17" s="30">
        <f t="shared" si="1"/>
        <v>85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457874</v>
      </c>
      <c r="I18" s="29">
        <v>0</v>
      </c>
      <c r="J18" s="29">
        <v>546</v>
      </c>
      <c r="K18" s="29">
        <v>13752</v>
      </c>
      <c r="L18" s="29">
        <v>12</v>
      </c>
      <c r="M18" s="29">
        <v>9712</v>
      </c>
      <c r="N18" s="30">
        <f t="shared" si="0"/>
        <v>481896</v>
      </c>
      <c r="O18" s="29">
        <v>0</v>
      </c>
      <c r="P18" s="30">
        <f t="shared" si="1"/>
        <v>481896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0</v>
      </c>
      <c r="O19" s="29">
        <v>0</v>
      </c>
      <c r="P19" s="30">
        <f t="shared" si="1"/>
        <v>0</v>
      </c>
    </row>
    <row r="20" spans="1:16" ht="15" customHeight="1">
      <c r="A20" s="11" t="s">
        <v>44</v>
      </c>
      <c r="B20" s="12" t="s">
        <v>45</v>
      </c>
      <c r="C20" s="29">
        <v>1140181</v>
      </c>
      <c r="D20" s="29">
        <v>79170</v>
      </c>
      <c r="E20" s="29">
        <v>202741</v>
      </c>
      <c r="F20" s="29">
        <v>2746</v>
      </c>
      <c r="G20" s="29">
        <v>30326</v>
      </c>
      <c r="H20" s="29">
        <v>0</v>
      </c>
      <c r="I20" s="29">
        <v>1494</v>
      </c>
      <c r="J20" s="29">
        <v>3787</v>
      </c>
      <c r="K20" s="29">
        <v>1315</v>
      </c>
      <c r="L20" s="29">
        <v>763167</v>
      </c>
      <c r="M20" s="29">
        <v>48641</v>
      </c>
      <c r="N20" s="30">
        <f t="shared" si="0"/>
        <v>2273568</v>
      </c>
      <c r="O20" s="29">
        <v>40889</v>
      </c>
      <c r="P20" s="30">
        <f t="shared" si="1"/>
        <v>2314457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1246</v>
      </c>
      <c r="E21" s="29">
        <v>10</v>
      </c>
      <c r="F21" s="29">
        <v>0</v>
      </c>
      <c r="G21" s="29">
        <v>2993</v>
      </c>
      <c r="H21" s="29">
        <v>0</v>
      </c>
      <c r="I21" s="29">
        <v>0</v>
      </c>
      <c r="J21" s="29">
        <v>24</v>
      </c>
      <c r="K21" s="29">
        <v>7670</v>
      </c>
      <c r="L21" s="29">
        <v>31939</v>
      </c>
      <c r="M21" s="29">
        <v>555</v>
      </c>
      <c r="N21" s="30">
        <f t="shared" si="0"/>
        <v>44437</v>
      </c>
      <c r="O21" s="29">
        <v>3446</v>
      </c>
      <c r="P21" s="30">
        <f t="shared" si="1"/>
        <v>47883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30</v>
      </c>
      <c r="E22" s="29">
        <v>0</v>
      </c>
      <c r="F22" s="29">
        <v>0</v>
      </c>
      <c r="G22" s="29">
        <v>0</v>
      </c>
      <c r="H22" s="29">
        <v>0</v>
      </c>
      <c r="I22" s="29">
        <v>686</v>
      </c>
      <c r="J22" s="29">
        <v>0</v>
      </c>
      <c r="K22" s="29">
        <v>0</v>
      </c>
      <c r="L22" s="29">
        <v>0</v>
      </c>
      <c r="M22" s="29">
        <v>4695</v>
      </c>
      <c r="N22" s="30">
        <f t="shared" si="0"/>
        <v>5411</v>
      </c>
      <c r="O22" s="29">
        <v>0</v>
      </c>
      <c r="P22" s="30">
        <f t="shared" si="1"/>
        <v>5411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45014</v>
      </c>
      <c r="J23" s="29">
        <v>0</v>
      </c>
      <c r="K23" s="29">
        <v>0</v>
      </c>
      <c r="L23" s="29">
        <v>4975</v>
      </c>
      <c r="M23" s="29">
        <v>0</v>
      </c>
      <c r="N23" s="30">
        <f t="shared" si="0"/>
        <v>49989</v>
      </c>
      <c r="O23" s="29">
        <v>127750</v>
      </c>
      <c r="P23" s="30">
        <f t="shared" si="1"/>
        <v>177739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1179</v>
      </c>
      <c r="E24" s="29">
        <v>423</v>
      </c>
      <c r="F24" s="29">
        <v>0</v>
      </c>
      <c r="G24" s="29">
        <v>0</v>
      </c>
      <c r="H24" s="29">
        <v>0</v>
      </c>
      <c r="I24" s="29">
        <v>0</v>
      </c>
      <c r="J24" s="29">
        <v>1316</v>
      </c>
      <c r="K24" s="29">
        <v>124</v>
      </c>
      <c r="L24" s="29">
        <v>21356</v>
      </c>
      <c r="M24" s="29">
        <v>14649</v>
      </c>
      <c r="N24" s="30">
        <f t="shared" si="0"/>
        <v>39047</v>
      </c>
      <c r="O24" s="29">
        <v>134970</v>
      </c>
      <c r="P24" s="30">
        <f t="shared" si="1"/>
        <v>174017</v>
      </c>
    </row>
    <row r="25" spans="1:16" ht="15" customHeight="1">
      <c r="A25" s="11" t="s">
        <v>54</v>
      </c>
      <c r="B25" s="12" t="s">
        <v>55</v>
      </c>
      <c r="C25" s="29">
        <v>207</v>
      </c>
      <c r="D25" s="29">
        <v>7272</v>
      </c>
      <c r="E25" s="29">
        <v>737</v>
      </c>
      <c r="F25" s="29">
        <v>12</v>
      </c>
      <c r="G25" s="29">
        <v>256</v>
      </c>
      <c r="H25" s="29">
        <v>1</v>
      </c>
      <c r="I25" s="29">
        <v>48</v>
      </c>
      <c r="J25" s="29">
        <v>2825</v>
      </c>
      <c r="K25" s="29">
        <v>42</v>
      </c>
      <c r="L25" s="29">
        <v>5194</v>
      </c>
      <c r="M25" s="29">
        <v>1204</v>
      </c>
      <c r="N25" s="30">
        <f t="shared" si="0"/>
        <v>17798</v>
      </c>
      <c r="O25" s="29">
        <v>2470</v>
      </c>
      <c r="P25" s="30">
        <f t="shared" si="1"/>
        <v>20268</v>
      </c>
    </row>
    <row r="26" spans="1:16" ht="15" customHeight="1">
      <c r="A26" s="11" t="s">
        <v>56</v>
      </c>
      <c r="B26" s="12" t="s">
        <v>57</v>
      </c>
      <c r="C26" s="29">
        <v>6</v>
      </c>
      <c r="D26" s="29">
        <v>4489</v>
      </c>
      <c r="E26" s="29">
        <v>177</v>
      </c>
      <c r="F26" s="29">
        <v>7</v>
      </c>
      <c r="G26" s="29">
        <v>79</v>
      </c>
      <c r="H26" s="29">
        <v>6</v>
      </c>
      <c r="I26" s="29">
        <v>62</v>
      </c>
      <c r="J26" s="29">
        <v>10506</v>
      </c>
      <c r="K26" s="29">
        <v>59</v>
      </c>
      <c r="L26" s="29">
        <v>3157</v>
      </c>
      <c r="M26" s="29">
        <v>741</v>
      </c>
      <c r="N26" s="30">
        <f t="shared" si="0"/>
        <v>19289</v>
      </c>
      <c r="O26" s="29">
        <v>266</v>
      </c>
      <c r="P26" s="30">
        <f t="shared" si="1"/>
        <v>19555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24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181</v>
      </c>
      <c r="K27" s="29">
        <v>0</v>
      </c>
      <c r="L27" s="29">
        <v>11</v>
      </c>
      <c r="M27" s="29">
        <v>0</v>
      </c>
      <c r="N27" s="30">
        <f t="shared" si="0"/>
        <v>216</v>
      </c>
      <c r="O27" s="29">
        <v>0</v>
      </c>
      <c r="P27" s="30">
        <f t="shared" si="1"/>
        <v>216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</v>
      </c>
      <c r="E28" s="29">
        <v>0</v>
      </c>
      <c r="F28" s="29">
        <v>0</v>
      </c>
      <c r="G28" s="29">
        <v>0</v>
      </c>
      <c r="H28" s="29">
        <v>0</v>
      </c>
      <c r="I28" s="29">
        <v>14</v>
      </c>
      <c r="J28" s="29">
        <v>96</v>
      </c>
      <c r="K28" s="29">
        <v>0</v>
      </c>
      <c r="L28" s="29">
        <v>35</v>
      </c>
      <c r="M28" s="29">
        <v>0</v>
      </c>
      <c r="N28" s="30">
        <f t="shared" si="0"/>
        <v>148</v>
      </c>
      <c r="O28" s="29">
        <v>0</v>
      </c>
      <c r="P28" s="30">
        <f t="shared" si="1"/>
        <v>148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95</v>
      </c>
      <c r="K29" s="29">
        <v>0</v>
      </c>
      <c r="L29" s="29">
        <v>80</v>
      </c>
      <c r="M29" s="29">
        <v>8958</v>
      </c>
      <c r="N29" s="30">
        <f t="shared" si="0"/>
        <v>9133</v>
      </c>
      <c r="O29" s="29">
        <v>0</v>
      </c>
      <c r="P29" s="30">
        <f t="shared" si="1"/>
        <v>9133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10227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60799</v>
      </c>
      <c r="K32" s="29">
        <v>0</v>
      </c>
      <c r="L32" s="29">
        <v>71743</v>
      </c>
      <c r="M32" s="29">
        <v>5360</v>
      </c>
      <c r="N32" s="30">
        <f t="shared" si="0"/>
        <v>148129</v>
      </c>
      <c r="O32" s="29">
        <v>0</v>
      </c>
      <c r="P32" s="30">
        <f t="shared" si="1"/>
        <v>148129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11765</v>
      </c>
      <c r="K33" s="29">
        <v>0</v>
      </c>
      <c r="L33" s="29">
        <v>0</v>
      </c>
      <c r="M33" s="29">
        <v>0</v>
      </c>
      <c r="N33" s="30">
        <f t="shared" si="0"/>
        <v>11765</v>
      </c>
      <c r="O33" s="29">
        <v>0</v>
      </c>
      <c r="P33" s="30">
        <f t="shared" si="1"/>
        <v>11765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</v>
      </c>
      <c r="D35" s="29">
        <v>78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4421</v>
      </c>
      <c r="K35" s="29">
        <v>0</v>
      </c>
      <c r="L35" s="29">
        <v>61</v>
      </c>
      <c r="M35" s="29">
        <v>0</v>
      </c>
      <c r="N35" s="30">
        <f t="shared" si="0"/>
        <v>4566</v>
      </c>
      <c r="O35" s="29">
        <v>0</v>
      </c>
      <c r="P35" s="30">
        <f t="shared" si="1"/>
        <v>4566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4493</v>
      </c>
      <c r="K36" s="29">
        <v>0</v>
      </c>
      <c r="L36" s="29">
        <v>15261</v>
      </c>
      <c r="M36" s="29">
        <v>25538</v>
      </c>
      <c r="N36" s="30">
        <f t="shared" si="0"/>
        <v>45292</v>
      </c>
      <c r="O36" s="29">
        <v>0</v>
      </c>
      <c r="P36" s="30">
        <f t="shared" si="1"/>
        <v>45292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590</v>
      </c>
      <c r="K37" s="29">
        <v>0</v>
      </c>
      <c r="L37" s="29">
        <v>330</v>
      </c>
      <c r="M37" s="29">
        <v>0</v>
      </c>
      <c r="N37" s="30">
        <f t="shared" si="0"/>
        <v>920</v>
      </c>
      <c r="O37" s="29">
        <v>0</v>
      </c>
      <c r="P37" s="30">
        <f t="shared" si="1"/>
        <v>920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29</v>
      </c>
      <c r="K38" s="29">
        <v>0</v>
      </c>
      <c r="L38" s="29">
        <v>0</v>
      </c>
      <c r="M38" s="29">
        <v>0</v>
      </c>
      <c r="N38" s="30">
        <f t="shared" si="0"/>
        <v>29</v>
      </c>
      <c r="O38" s="29">
        <v>0</v>
      </c>
      <c r="P38" s="30">
        <f t="shared" si="1"/>
        <v>29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6329</v>
      </c>
      <c r="M39" s="29">
        <v>0</v>
      </c>
      <c r="N39" s="30">
        <f t="shared" si="0"/>
        <v>6329</v>
      </c>
      <c r="O39" s="29">
        <v>0</v>
      </c>
      <c r="P39" s="30">
        <f t="shared" si="1"/>
        <v>6329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1699567</v>
      </c>
      <c r="D43" s="31">
        <f t="shared" si="2"/>
        <v>153073</v>
      </c>
      <c r="E43" s="31">
        <f t="shared" si="2"/>
        <v>205394</v>
      </c>
      <c r="F43" s="31">
        <f t="shared" si="2"/>
        <v>2765</v>
      </c>
      <c r="G43" s="31">
        <f t="shared" si="2"/>
        <v>33713</v>
      </c>
      <c r="H43" s="31">
        <f t="shared" si="2"/>
        <v>458130</v>
      </c>
      <c r="I43" s="31">
        <f t="shared" si="2"/>
        <v>47318</v>
      </c>
      <c r="J43" s="31">
        <f t="shared" si="2"/>
        <v>110676</v>
      </c>
      <c r="K43" s="31">
        <f t="shared" si="2"/>
        <v>23387</v>
      </c>
      <c r="L43" s="31">
        <f t="shared" si="2"/>
        <v>1198723</v>
      </c>
      <c r="M43" s="31">
        <f t="shared" si="2"/>
        <v>129952</v>
      </c>
      <c r="N43" s="31">
        <f t="shared" si="2"/>
        <v>4062698</v>
      </c>
      <c r="O43" s="31">
        <f t="shared" si="2"/>
        <v>309791</v>
      </c>
      <c r="P43" s="31">
        <f t="shared" si="2"/>
        <v>4372489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468758</v>
      </c>
      <c r="E10" s="29">
        <v>10972</v>
      </c>
      <c r="F10" s="29">
        <v>0</v>
      </c>
      <c r="G10" s="29">
        <v>0</v>
      </c>
      <c r="H10" s="29">
        <v>0</v>
      </c>
      <c r="I10" s="29">
        <v>0</v>
      </c>
      <c r="J10" s="29">
        <v>42112</v>
      </c>
      <c r="K10" s="29">
        <v>2709</v>
      </c>
      <c r="L10" s="29">
        <v>449385</v>
      </c>
      <c r="M10" s="29">
        <v>1478</v>
      </c>
      <c r="N10" s="30">
        <f t="shared" ref="N10:N42" si="0">SUM(C10:M10)</f>
        <v>975414</v>
      </c>
      <c r="O10" s="29">
        <v>0</v>
      </c>
      <c r="P10" s="30">
        <f t="shared" ref="P10:P42" si="1">SUM(N10:O10)</f>
        <v>975414</v>
      </c>
    </row>
    <row r="11" spans="1:16" ht="15" customHeight="1">
      <c r="A11" s="11" t="s">
        <v>26</v>
      </c>
      <c r="B11" s="12" t="s">
        <v>27</v>
      </c>
      <c r="C11" s="29">
        <v>455263</v>
      </c>
      <c r="D11" s="29">
        <v>29217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482206</v>
      </c>
      <c r="M11" s="29">
        <v>7717</v>
      </c>
      <c r="N11" s="30">
        <f t="shared" si="0"/>
        <v>974403</v>
      </c>
      <c r="O11" s="29">
        <v>0</v>
      </c>
      <c r="P11" s="30">
        <f t="shared" si="1"/>
        <v>974403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13388</v>
      </c>
      <c r="K12" s="29">
        <v>0</v>
      </c>
      <c r="L12" s="29">
        <v>0</v>
      </c>
      <c r="M12" s="29">
        <v>0</v>
      </c>
      <c r="N12" s="30">
        <f t="shared" si="0"/>
        <v>13388</v>
      </c>
      <c r="O12" s="29">
        <v>0</v>
      </c>
      <c r="P12" s="30">
        <f t="shared" si="1"/>
        <v>13388</v>
      </c>
    </row>
    <row r="13" spans="1:16" ht="15" customHeight="1">
      <c r="A13" s="11" t="s">
        <v>30</v>
      </c>
      <c r="B13" s="12" t="s">
        <v>31</v>
      </c>
      <c r="C13" s="29">
        <v>3168777</v>
      </c>
      <c r="D13" s="29">
        <v>18989</v>
      </c>
      <c r="E13" s="29">
        <v>582</v>
      </c>
      <c r="F13" s="29">
        <v>0</v>
      </c>
      <c r="G13" s="29">
        <v>513</v>
      </c>
      <c r="H13" s="29">
        <v>0</v>
      </c>
      <c r="I13" s="29">
        <v>0</v>
      </c>
      <c r="J13" s="29">
        <v>6270</v>
      </c>
      <c r="K13" s="29">
        <v>733</v>
      </c>
      <c r="L13" s="29">
        <v>1012703</v>
      </c>
      <c r="M13" s="29">
        <v>59530</v>
      </c>
      <c r="N13" s="30">
        <f t="shared" si="0"/>
        <v>4268097</v>
      </c>
      <c r="O13" s="29">
        <v>0</v>
      </c>
      <c r="P13" s="30">
        <f t="shared" si="1"/>
        <v>4268097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840</v>
      </c>
      <c r="I14" s="29">
        <v>0</v>
      </c>
      <c r="J14" s="29">
        <v>0</v>
      </c>
      <c r="K14" s="29">
        <v>20</v>
      </c>
      <c r="L14" s="29">
        <v>0</v>
      </c>
      <c r="M14" s="29">
        <v>0</v>
      </c>
      <c r="N14" s="30">
        <f t="shared" si="0"/>
        <v>860</v>
      </c>
      <c r="O14" s="29">
        <v>0</v>
      </c>
      <c r="P14" s="30">
        <f t="shared" si="1"/>
        <v>860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614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614</v>
      </c>
      <c r="O15" s="29">
        <v>0</v>
      </c>
      <c r="P15" s="30">
        <f t="shared" si="1"/>
        <v>614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525</v>
      </c>
      <c r="F16" s="29">
        <v>0</v>
      </c>
      <c r="G16" s="29">
        <v>0</v>
      </c>
      <c r="H16" s="29">
        <v>0</v>
      </c>
      <c r="I16" s="29">
        <v>0</v>
      </c>
      <c r="J16" s="29">
        <v>3993</v>
      </c>
      <c r="K16" s="29">
        <v>0</v>
      </c>
      <c r="L16" s="29">
        <v>860</v>
      </c>
      <c r="M16" s="29">
        <v>0</v>
      </c>
      <c r="N16" s="30">
        <f t="shared" si="0"/>
        <v>5378</v>
      </c>
      <c r="O16" s="29">
        <v>0</v>
      </c>
      <c r="P16" s="30">
        <f t="shared" si="1"/>
        <v>5378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2147</v>
      </c>
      <c r="M17" s="29">
        <v>0</v>
      </c>
      <c r="N17" s="30">
        <f t="shared" si="0"/>
        <v>2184</v>
      </c>
      <c r="O17" s="29">
        <v>0</v>
      </c>
      <c r="P17" s="30">
        <f t="shared" si="1"/>
        <v>2184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2362875</v>
      </c>
      <c r="I18" s="29">
        <v>0</v>
      </c>
      <c r="J18" s="29">
        <v>1076</v>
      </c>
      <c r="K18" s="29">
        <v>56830</v>
      </c>
      <c r="L18" s="29">
        <v>204</v>
      </c>
      <c r="M18" s="29">
        <v>42531</v>
      </c>
      <c r="N18" s="30">
        <f t="shared" si="0"/>
        <v>2463516</v>
      </c>
      <c r="O18" s="29">
        <v>0</v>
      </c>
      <c r="P18" s="30">
        <f t="shared" si="1"/>
        <v>2463516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7</v>
      </c>
      <c r="M19" s="29">
        <v>0</v>
      </c>
      <c r="N19" s="30">
        <f t="shared" si="0"/>
        <v>34</v>
      </c>
      <c r="O19" s="29">
        <v>0</v>
      </c>
      <c r="P19" s="30">
        <f t="shared" si="1"/>
        <v>34</v>
      </c>
    </row>
    <row r="20" spans="1:16" ht="15" customHeight="1">
      <c r="A20" s="11" t="s">
        <v>44</v>
      </c>
      <c r="B20" s="12" t="s">
        <v>45</v>
      </c>
      <c r="C20" s="29">
        <v>7467264</v>
      </c>
      <c r="D20" s="29">
        <v>525415</v>
      </c>
      <c r="E20" s="29">
        <v>1063782</v>
      </c>
      <c r="F20" s="29">
        <v>20437</v>
      </c>
      <c r="G20" s="29">
        <v>171571</v>
      </c>
      <c r="H20" s="29">
        <v>0</v>
      </c>
      <c r="I20" s="29">
        <v>8747</v>
      </c>
      <c r="J20" s="29">
        <v>38208</v>
      </c>
      <c r="K20" s="29">
        <v>12375</v>
      </c>
      <c r="L20" s="29">
        <v>5095469</v>
      </c>
      <c r="M20" s="29">
        <v>364616</v>
      </c>
      <c r="N20" s="30">
        <f t="shared" si="0"/>
        <v>14767884</v>
      </c>
      <c r="O20" s="29">
        <v>226318</v>
      </c>
      <c r="P20" s="30">
        <f t="shared" si="1"/>
        <v>14994202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21927</v>
      </c>
      <c r="E21" s="29">
        <v>137</v>
      </c>
      <c r="F21" s="29">
        <v>0</v>
      </c>
      <c r="G21" s="29">
        <v>8930</v>
      </c>
      <c r="H21" s="29">
        <v>0</v>
      </c>
      <c r="I21" s="29">
        <v>14004</v>
      </c>
      <c r="J21" s="29">
        <v>1208</v>
      </c>
      <c r="K21" s="29">
        <v>22721</v>
      </c>
      <c r="L21" s="29">
        <v>453532</v>
      </c>
      <c r="M21" s="29">
        <v>9454</v>
      </c>
      <c r="N21" s="30">
        <f t="shared" si="0"/>
        <v>531913</v>
      </c>
      <c r="O21" s="29">
        <v>49387</v>
      </c>
      <c r="P21" s="30">
        <f t="shared" si="1"/>
        <v>581300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1090</v>
      </c>
      <c r="E22" s="29">
        <v>0</v>
      </c>
      <c r="F22" s="29">
        <v>0</v>
      </c>
      <c r="G22" s="29">
        <v>0</v>
      </c>
      <c r="H22" s="29">
        <v>0</v>
      </c>
      <c r="I22" s="29">
        <v>5986</v>
      </c>
      <c r="J22" s="29">
        <v>0</v>
      </c>
      <c r="K22" s="29">
        <v>0</v>
      </c>
      <c r="L22" s="29">
        <v>0</v>
      </c>
      <c r="M22" s="29">
        <v>25782</v>
      </c>
      <c r="N22" s="30">
        <f t="shared" si="0"/>
        <v>32858</v>
      </c>
      <c r="O22" s="29">
        <v>0</v>
      </c>
      <c r="P22" s="30">
        <f t="shared" si="1"/>
        <v>32858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174335</v>
      </c>
      <c r="J23" s="29">
        <v>0</v>
      </c>
      <c r="K23" s="29">
        <v>0</v>
      </c>
      <c r="L23" s="29">
        <v>38866</v>
      </c>
      <c r="M23" s="29">
        <v>0</v>
      </c>
      <c r="N23" s="30">
        <f t="shared" si="0"/>
        <v>213201</v>
      </c>
      <c r="O23" s="29">
        <v>850774</v>
      </c>
      <c r="P23" s="30">
        <f t="shared" si="1"/>
        <v>1063975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10641</v>
      </c>
      <c r="E24" s="29">
        <v>4172</v>
      </c>
      <c r="F24" s="29">
        <v>0</v>
      </c>
      <c r="G24" s="29">
        <v>0</v>
      </c>
      <c r="H24" s="29">
        <v>0</v>
      </c>
      <c r="I24" s="29">
        <v>0</v>
      </c>
      <c r="J24" s="29">
        <v>10044</v>
      </c>
      <c r="K24" s="29">
        <v>823</v>
      </c>
      <c r="L24" s="29">
        <v>161173</v>
      </c>
      <c r="M24" s="29">
        <v>88581</v>
      </c>
      <c r="N24" s="30">
        <f t="shared" si="0"/>
        <v>275434</v>
      </c>
      <c r="O24" s="29">
        <v>673328</v>
      </c>
      <c r="P24" s="30">
        <f t="shared" si="1"/>
        <v>948762</v>
      </c>
    </row>
    <row r="25" spans="1:16" ht="15" customHeight="1">
      <c r="A25" s="11" t="s">
        <v>54</v>
      </c>
      <c r="B25" s="12" t="s">
        <v>55</v>
      </c>
      <c r="C25" s="29">
        <v>977</v>
      </c>
      <c r="D25" s="29">
        <v>46856</v>
      </c>
      <c r="E25" s="29">
        <v>4980</v>
      </c>
      <c r="F25" s="29">
        <v>229</v>
      </c>
      <c r="G25" s="29">
        <v>1527</v>
      </c>
      <c r="H25" s="29">
        <v>33</v>
      </c>
      <c r="I25" s="29">
        <v>432</v>
      </c>
      <c r="J25" s="29">
        <v>19030</v>
      </c>
      <c r="K25" s="29">
        <v>282</v>
      </c>
      <c r="L25" s="29">
        <v>38146</v>
      </c>
      <c r="M25" s="29">
        <v>5824</v>
      </c>
      <c r="N25" s="30">
        <f t="shared" si="0"/>
        <v>118316</v>
      </c>
      <c r="O25" s="29">
        <v>17630</v>
      </c>
      <c r="P25" s="30">
        <f t="shared" si="1"/>
        <v>135946</v>
      </c>
    </row>
    <row r="26" spans="1:16" ht="15" customHeight="1">
      <c r="A26" s="11" t="s">
        <v>56</v>
      </c>
      <c r="B26" s="12" t="s">
        <v>57</v>
      </c>
      <c r="C26" s="29">
        <v>29</v>
      </c>
      <c r="D26" s="29">
        <v>26836</v>
      </c>
      <c r="E26" s="29">
        <v>1027</v>
      </c>
      <c r="F26" s="29">
        <v>38</v>
      </c>
      <c r="G26" s="29">
        <v>549</v>
      </c>
      <c r="H26" s="29">
        <v>174</v>
      </c>
      <c r="I26" s="29">
        <v>313</v>
      </c>
      <c r="J26" s="29">
        <v>67765</v>
      </c>
      <c r="K26" s="29">
        <v>134</v>
      </c>
      <c r="L26" s="29">
        <v>19766</v>
      </c>
      <c r="M26" s="29">
        <v>4749</v>
      </c>
      <c r="N26" s="30">
        <f t="shared" si="0"/>
        <v>121380</v>
      </c>
      <c r="O26" s="29">
        <v>1567</v>
      </c>
      <c r="P26" s="30">
        <f t="shared" si="1"/>
        <v>122947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248</v>
      </c>
      <c r="E27" s="29">
        <v>4</v>
      </c>
      <c r="F27" s="29">
        <v>0</v>
      </c>
      <c r="G27" s="29">
        <v>0</v>
      </c>
      <c r="H27" s="29">
        <v>0</v>
      </c>
      <c r="I27" s="29">
        <v>0</v>
      </c>
      <c r="J27" s="29">
        <v>1707</v>
      </c>
      <c r="K27" s="29">
        <v>0</v>
      </c>
      <c r="L27" s="29">
        <v>96</v>
      </c>
      <c r="M27" s="29">
        <v>0</v>
      </c>
      <c r="N27" s="30">
        <f t="shared" si="0"/>
        <v>2055</v>
      </c>
      <c r="O27" s="29">
        <v>0</v>
      </c>
      <c r="P27" s="30">
        <f t="shared" si="1"/>
        <v>2055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24</v>
      </c>
      <c r="E28" s="29">
        <v>0</v>
      </c>
      <c r="F28" s="29">
        <v>0</v>
      </c>
      <c r="G28" s="29">
        <v>0</v>
      </c>
      <c r="H28" s="29">
        <v>0</v>
      </c>
      <c r="I28" s="29">
        <v>110</v>
      </c>
      <c r="J28" s="29">
        <v>1033</v>
      </c>
      <c r="K28" s="29">
        <v>0</v>
      </c>
      <c r="L28" s="29">
        <v>275</v>
      </c>
      <c r="M28" s="29">
        <v>1</v>
      </c>
      <c r="N28" s="30">
        <f t="shared" si="0"/>
        <v>1443</v>
      </c>
      <c r="O28" s="29">
        <v>0</v>
      </c>
      <c r="P28" s="30">
        <f t="shared" si="1"/>
        <v>1443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687</v>
      </c>
      <c r="K29" s="29">
        <v>0</v>
      </c>
      <c r="L29" s="29">
        <v>455</v>
      </c>
      <c r="M29" s="29">
        <v>64792</v>
      </c>
      <c r="N29" s="30">
        <f t="shared" si="0"/>
        <v>65934</v>
      </c>
      <c r="O29" s="29">
        <v>0</v>
      </c>
      <c r="P29" s="30">
        <f t="shared" si="1"/>
        <v>65934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7</v>
      </c>
      <c r="M30" s="29">
        <v>0</v>
      </c>
      <c r="N30" s="30">
        <f t="shared" si="0"/>
        <v>7</v>
      </c>
      <c r="O30" s="29">
        <v>0</v>
      </c>
      <c r="P30" s="30">
        <f t="shared" si="1"/>
        <v>7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48746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383183</v>
      </c>
      <c r="K32" s="29">
        <v>0</v>
      </c>
      <c r="L32" s="29">
        <v>363052</v>
      </c>
      <c r="M32" s="29">
        <v>29365</v>
      </c>
      <c r="N32" s="30">
        <f t="shared" si="0"/>
        <v>824346</v>
      </c>
      <c r="O32" s="29">
        <v>0</v>
      </c>
      <c r="P32" s="30">
        <f t="shared" si="1"/>
        <v>824346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63319</v>
      </c>
      <c r="K33" s="29">
        <v>0</v>
      </c>
      <c r="L33" s="29">
        <v>0</v>
      </c>
      <c r="M33" s="29">
        <v>0</v>
      </c>
      <c r="N33" s="30">
        <f t="shared" si="0"/>
        <v>63319</v>
      </c>
      <c r="O33" s="29">
        <v>0</v>
      </c>
      <c r="P33" s="30">
        <f t="shared" si="1"/>
        <v>63319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41</v>
      </c>
      <c r="D35" s="29">
        <v>491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27745</v>
      </c>
      <c r="K35" s="29">
        <v>0</v>
      </c>
      <c r="L35" s="29">
        <v>694</v>
      </c>
      <c r="M35" s="29">
        <v>0</v>
      </c>
      <c r="N35" s="30">
        <f t="shared" si="0"/>
        <v>28971</v>
      </c>
      <c r="O35" s="29">
        <v>0</v>
      </c>
      <c r="P35" s="30">
        <f t="shared" si="1"/>
        <v>28971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34481</v>
      </c>
      <c r="K36" s="29">
        <v>0</v>
      </c>
      <c r="L36" s="29">
        <v>94484</v>
      </c>
      <c r="M36" s="29">
        <v>190596</v>
      </c>
      <c r="N36" s="30">
        <f t="shared" si="0"/>
        <v>319561</v>
      </c>
      <c r="O36" s="29">
        <v>0</v>
      </c>
      <c r="P36" s="30">
        <f t="shared" si="1"/>
        <v>319561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11357</v>
      </c>
      <c r="K37" s="29">
        <v>0</v>
      </c>
      <c r="L37" s="29">
        <v>2222</v>
      </c>
      <c r="M37" s="29">
        <v>6117</v>
      </c>
      <c r="N37" s="30">
        <f t="shared" si="0"/>
        <v>19696</v>
      </c>
      <c r="O37" s="29">
        <v>0</v>
      </c>
      <c r="P37" s="30">
        <f t="shared" si="1"/>
        <v>19696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131</v>
      </c>
      <c r="K38" s="29">
        <v>0</v>
      </c>
      <c r="L38" s="29">
        <v>0</v>
      </c>
      <c r="M38" s="29">
        <v>0</v>
      </c>
      <c r="N38" s="30">
        <f t="shared" si="0"/>
        <v>131</v>
      </c>
      <c r="O38" s="29">
        <v>0</v>
      </c>
      <c r="P38" s="30">
        <f t="shared" si="1"/>
        <v>131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74</v>
      </c>
      <c r="K39" s="29">
        <v>0</v>
      </c>
      <c r="L39" s="29">
        <v>43052</v>
      </c>
      <c r="M39" s="29">
        <v>0</v>
      </c>
      <c r="N39" s="30">
        <f t="shared" si="0"/>
        <v>43138</v>
      </c>
      <c r="O39" s="29">
        <v>0</v>
      </c>
      <c r="P39" s="30">
        <f t="shared" si="1"/>
        <v>43138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11092351</v>
      </c>
      <c r="D43" s="31">
        <f t="shared" si="2"/>
        <v>1199298</v>
      </c>
      <c r="E43" s="31">
        <f t="shared" si="2"/>
        <v>1086181</v>
      </c>
      <c r="F43" s="31">
        <f t="shared" si="2"/>
        <v>20704</v>
      </c>
      <c r="G43" s="31">
        <f t="shared" si="2"/>
        <v>183090</v>
      </c>
      <c r="H43" s="31">
        <f t="shared" si="2"/>
        <v>2364536</v>
      </c>
      <c r="I43" s="31">
        <f t="shared" si="2"/>
        <v>203927</v>
      </c>
      <c r="J43" s="31">
        <f t="shared" si="2"/>
        <v>726827</v>
      </c>
      <c r="K43" s="31">
        <f t="shared" si="2"/>
        <v>96627</v>
      </c>
      <c r="L43" s="31">
        <f t="shared" si="2"/>
        <v>8258801</v>
      </c>
      <c r="M43" s="31">
        <f t="shared" si="2"/>
        <v>901133</v>
      </c>
      <c r="N43" s="31">
        <f t="shared" si="2"/>
        <v>26133475</v>
      </c>
      <c r="O43" s="31">
        <f t="shared" si="2"/>
        <v>1819004</v>
      </c>
      <c r="P43" s="31">
        <f t="shared" si="2"/>
        <v>27952479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2017-11-23T15:12:27Z</dcterms:modified>
</cp:coreProperties>
</file>