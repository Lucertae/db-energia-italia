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F145" l="1"/>
  <c r="J145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<sst xmlns="http://schemas.openxmlformats.org/spreadsheetml/2006/main" count="544" uniqueCount="271">
  <si>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</si>
  <si>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</si>
  <si>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</si>
  <si>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</si>
  <si>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</si>
  <si>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</si>
  <si>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</si>
  <si>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settembre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</si>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</sst>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tabSelected="1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5332</v>
      </c>
      <c r="D15" s="28">
        <v>3382</v>
      </c>
      <c r="E15" s="28">
        <v>539</v>
      </c>
      <c r="F15" s="28">
        <f t="shared" ref="F15:F22" si="0">SUM(C15-D15-E15)</f>
        <v>1411</v>
      </c>
      <c r="G15" s="28">
        <v>24378</v>
      </c>
      <c r="H15" s="28">
        <v>9637</v>
      </c>
      <c r="I15" s="28">
        <v>2599</v>
      </c>
      <c r="J15" s="28">
        <f t="shared" ref="J15:J22" si="1">SUM(G15-H15-I15)</f>
        <v>12142</v>
      </c>
      <c r="K15" s="28">
        <v>1316</v>
      </c>
      <c r="L15" s="28">
        <v>0</v>
      </c>
      <c r="M15" s="28">
        <v>3983</v>
      </c>
      <c r="N15" s="28">
        <v>644</v>
      </c>
      <c r="O15" s="28">
        <v>644</v>
      </c>
    </row>
    <row r="16" spans="1:15" ht="12.75" customHeight="1">
      <c r="A16" s="4" t="s">
        <v>29</v>
      </c>
      <c r="B16" s="5" t="s">
        <v>30</v>
      </c>
      <c r="C16" s="28">
        <v>2710</v>
      </c>
      <c r="D16" s="28">
        <v>1387</v>
      </c>
      <c r="E16" s="28">
        <v>73</v>
      </c>
      <c r="F16" s="28">
        <f t="shared" si="0"/>
        <v>1250</v>
      </c>
      <c r="G16" s="28">
        <v>21162</v>
      </c>
      <c r="H16" s="28">
        <v>3786</v>
      </c>
      <c r="I16" s="28">
        <v>467</v>
      </c>
      <c r="J16" s="28">
        <f t="shared" si="1"/>
        <v>16909</v>
      </c>
      <c r="K16" s="28">
        <v>681</v>
      </c>
      <c r="L16" s="28">
        <v>0</v>
      </c>
      <c r="M16" s="28">
        <v>2477</v>
      </c>
      <c r="N16" s="28">
        <v>63</v>
      </c>
      <c r="O16" s="28">
        <v>63</v>
      </c>
    </row>
    <row r="17" spans="1:15" ht="12.75" customHeight="1">
      <c r="A17" s="4" t="s">
        <v>31</v>
      </c>
      <c r="B17" s="5" t="s">
        <v>32</v>
      </c>
      <c r="C17" s="28">
        <v>1808</v>
      </c>
      <c r="D17" s="28">
        <v>1513</v>
      </c>
      <c r="E17" s="28">
        <v>0</v>
      </c>
      <c r="F17" s="28">
        <f t="shared" si="0"/>
        <v>295</v>
      </c>
      <c r="G17" s="28">
        <v>3883</v>
      </c>
      <c r="H17" s="28">
        <v>2626</v>
      </c>
      <c r="I17" s="28">
        <v>0</v>
      </c>
      <c r="J17" s="28">
        <f t="shared" si="1"/>
        <v>1257</v>
      </c>
      <c r="K17" s="28">
        <v>353</v>
      </c>
      <c r="L17" s="28">
        <v>0</v>
      </c>
      <c r="M17" s="28">
        <v>310</v>
      </c>
      <c r="N17" s="28">
        <v>106</v>
      </c>
      <c r="O17" s="28">
        <v>106</v>
      </c>
    </row>
    <row r="18" spans="1:15" ht="12.75" customHeight="1">
      <c r="A18" s="4" t="s">
        <v>33</v>
      </c>
      <c r="B18" s="5" t="s">
        <v>34</v>
      </c>
      <c r="C18" s="28">
        <v>5851</v>
      </c>
      <c r="D18" s="28">
        <v>3949</v>
      </c>
      <c r="E18" s="28">
        <v>95</v>
      </c>
      <c r="F18" s="28">
        <f t="shared" si="0"/>
        <v>1807</v>
      </c>
      <c r="G18" s="28">
        <v>15798</v>
      </c>
      <c r="H18" s="28">
        <v>10154</v>
      </c>
      <c r="I18" s="28">
        <v>343</v>
      </c>
      <c r="J18" s="28">
        <f t="shared" si="1"/>
        <v>5301</v>
      </c>
      <c r="K18" s="28">
        <v>1179</v>
      </c>
      <c r="L18" s="28">
        <v>0</v>
      </c>
      <c r="M18" s="28">
        <v>2296</v>
      </c>
      <c r="N18" s="28">
        <v>58</v>
      </c>
      <c r="O18" s="28">
        <v>58</v>
      </c>
    </row>
    <row r="19" spans="1:15" ht="12.75" customHeight="1">
      <c r="A19" s="4" t="s">
        <v>35</v>
      </c>
      <c r="B19" s="5" t="s">
        <v>36</v>
      </c>
      <c r="C19" s="28">
        <v>3569</v>
      </c>
      <c r="D19" s="28">
        <v>3276</v>
      </c>
      <c r="E19" s="28">
        <v>160</v>
      </c>
      <c r="F19" s="28">
        <f t="shared" si="0"/>
        <v>133</v>
      </c>
      <c r="G19" s="28">
        <v>9887</v>
      </c>
      <c r="H19" s="28">
        <v>7819</v>
      </c>
      <c r="I19" s="28">
        <v>678</v>
      </c>
      <c r="J19" s="28">
        <f t="shared" si="1"/>
        <v>1390</v>
      </c>
      <c r="K19" s="28">
        <v>123</v>
      </c>
      <c r="L19" s="28">
        <v>0</v>
      </c>
      <c r="M19" s="28">
        <v>78</v>
      </c>
      <c r="N19" s="28">
        <v>195</v>
      </c>
      <c r="O19" s="28">
        <v>195</v>
      </c>
    </row>
    <row r="20" spans="1:15" ht="12.75" customHeight="1">
      <c r="A20" s="4" t="s">
        <v>37</v>
      </c>
      <c r="B20" s="5" t="s">
        <v>38</v>
      </c>
      <c r="C20" s="28">
        <v>19900</v>
      </c>
      <c r="D20" s="28">
        <v>17693</v>
      </c>
      <c r="E20" s="28">
        <v>525</v>
      </c>
      <c r="F20" s="28">
        <f t="shared" si="0"/>
        <v>1682</v>
      </c>
      <c r="G20" s="28">
        <v>52220</v>
      </c>
      <c r="H20" s="28">
        <v>37441</v>
      </c>
      <c r="I20" s="28">
        <v>2628</v>
      </c>
      <c r="J20" s="28">
        <f t="shared" si="1"/>
        <v>12151</v>
      </c>
      <c r="K20" s="28">
        <v>1842</v>
      </c>
      <c r="L20" s="28">
        <v>0</v>
      </c>
      <c r="M20" s="28">
        <v>6087</v>
      </c>
      <c r="N20" s="28">
        <v>278</v>
      </c>
      <c r="O20" s="28">
        <v>278</v>
      </c>
    </row>
    <row r="21" spans="1:15" ht="12.75" customHeight="1">
      <c r="A21" s="4" t="s">
        <v>39</v>
      </c>
      <c r="B21" s="5" t="s">
        <v>40</v>
      </c>
      <c r="C21" s="28">
        <v>1615</v>
      </c>
      <c r="D21" s="28">
        <v>1606</v>
      </c>
      <c r="E21" s="28">
        <v>0</v>
      </c>
      <c r="F21" s="28">
        <f t="shared" si="0"/>
        <v>9</v>
      </c>
      <c r="G21" s="28">
        <v>3090</v>
      </c>
      <c r="H21" s="28">
        <v>2806</v>
      </c>
      <c r="I21" s="28">
        <v>0</v>
      </c>
      <c r="J21" s="28">
        <f t="shared" si="1"/>
        <v>284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1571</v>
      </c>
      <c r="D22" s="28">
        <v>1255</v>
      </c>
      <c r="E22" s="28">
        <v>162</v>
      </c>
      <c r="F22" s="28">
        <f t="shared" si="0"/>
        <v>154</v>
      </c>
      <c r="G22" s="28">
        <v>5022</v>
      </c>
      <c r="H22" s="28">
        <v>2785</v>
      </c>
      <c r="I22" s="28">
        <v>619</v>
      </c>
      <c r="J22" s="28">
        <f t="shared" si="1"/>
        <v>1618</v>
      </c>
      <c r="K22" s="28">
        <v>254</v>
      </c>
      <c r="L22" s="28">
        <v>0</v>
      </c>
      <c r="M22" s="28">
        <v>2204</v>
      </c>
      <c r="N22" s="28">
        <v>26</v>
      </c>
      <c r="O22" s="28">
        <v>26</v>
      </c>
    </row>
    <row r="23" spans="1:15" ht="12.75" customHeight="1">
      <c r="A23" s="8"/>
      <c r="B23" s="9" t="s">
        <v>43</v>
      </c>
      <c r="C23" s="29">
        <f t="shared" ref="C23:O23" si="2">SUM(C15:C22)</f>
        <v>42356</v>
      </c>
      <c r="D23" s="29">
        <f t="shared" si="2"/>
        <v>34061</v>
      </c>
      <c r="E23" s="29">
        <f t="shared" si="2"/>
        <v>1554</v>
      </c>
      <c r="F23" s="29">
        <f t="shared" si="2"/>
        <v>6741</v>
      </c>
      <c r="G23" s="29">
        <f t="shared" si="2"/>
        <v>135440</v>
      </c>
      <c r="H23" s="29">
        <f t="shared" si="2"/>
        <v>77054</v>
      </c>
      <c r="I23" s="29">
        <f t="shared" si="2"/>
        <v>7334</v>
      </c>
      <c r="J23" s="29">
        <f t="shared" si="2"/>
        <v>51052</v>
      </c>
      <c r="K23" s="29">
        <f t="shared" si="2"/>
        <v>5748</v>
      </c>
      <c r="L23" s="29">
        <f t="shared" si="2"/>
        <v>0</v>
      </c>
      <c r="M23" s="29">
        <f t="shared" si="2"/>
        <v>17435</v>
      </c>
      <c r="N23" s="29">
        <f t="shared" si="2"/>
        <v>1378</v>
      </c>
      <c r="O23" s="29">
        <f t="shared" si="2"/>
        <v>1378</v>
      </c>
    </row>
    <row r="24" spans="1:15" ht="14.25" customHeight="1">
      <c r="A24" s="4" t="s">
        <v>44</v>
      </c>
      <c r="B24" s="5" t="s">
        <v>45</v>
      </c>
      <c r="C24" s="28">
        <v>1730</v>
      </c>
      <c r="D24" s="28">
        <v>1211</v>
      </c>
      <c r="E24" s="28">
        <v>128</v>
      </c>
      <c r="F24" s="28">
        <f>SUM(C24-D24-E24)</f>
        <v>391</v>
      </c>
      <c r="G24" s="28">
        <v>4447</v>
      </c>
      <c r="H24" s="28">
        <v>2174</v>
      </c>
      <c r="I24" s="28">
        <v>339</v>
      </c>
      <c r="J24" s="28">
        <f>SUM(G24-H24-I24)</f>
        <v>1934</v>
      </c>
      <c r="K24" s="28">
        <v>1382</v>
      </c>
      <c r="L24" s="28">
        <v>0</v>
      </c>
      <c r="M24" s="28">
        <v>388</v>
      </c>
      <c r="N24" s="28">
        <v>25</v>
      </c>
      <c r="O24" s="28">
        <v>25</v>
      </c>
    </row>
    <row r="25" spans="1:15" ht="14.25" customHeight="1">
      <c r="A25" s="10"/>
      <c r="B25" s="9" t="s">
        <v>46</v>
      </c>
      <c r="C25" s="29">
        <f t="shared" ref="C25:O25" si="3">SUM(C24)</f>
        <v>1730</v>
      </c>
      <c r="D25" s="29">
        <f t="shared" si="3"/>
        <v>1211</v>
      </c>
      <c r="E25" s="29">
        <f t="shared" si="3"/>
        <v>128</v>
      </c>
      <c r="F25" s="29">
        <f t="shared" si="3"/>
        <v>391</v>
      </c>
      <c r="G25" s="29">
        <f t="shared" si="3"/>
        <v>4447</v>
      </c>
      <c r="H25" s="29">
        <f t="shared" si="3"/>
        <v>2174</v>
      </c>
      <c r="I25" s="29">
        <f t="shared" si="3"/>
        <v>339</v>
      </c>
      <c r="J25" s="29">
        <f t="shared" si="3"/>
        <v>1934</v>
      </c>
      <c r="K25" s="29">
        <f t="shared" si="3"/>
        <v>1382</v>
      </c>
      <c r="L25" s="29">
        <f t="shared" si="3"/>
        <v>0</v>
      </c>
      <c r="M25" s="29">
        <f t="shared" si="3"/>
        <v>388</v>
      </c>
      <c r="N25" s="29">
        <f t="shared" si="3"/>
        <v>25</v>
      </c>
      <c r="O25" s="29">
        <f t="shared" si="3"/>
        <v>25</v>
      </c>
    </row>
    <row r="26" spans="1:15" ht="12.75" customHeight="1">
      <c r="A26" s="4" t="s">
        <v>47</v>
      </c>
      <c r="B26" s="5" t="s">
        <v>48</v>
      </c>
      <c r="C26" s="28">
        <v>9712</v>
      </c>
      <c r="D26" s="28">
        <v>6491</v>
      </c>
      <c r="E26" s="28">
        <v>536</v>
      </c>
      <c r="F26" s="28">
        <f>SUM(C26-D26-E26)</f>
        <v>2685</v>
      </c>
      <c r="G26" s="28">
        <v>24757</v>
      </c>
      <c r="H26" s="28">
        <v>10975</v>
      </c>
      <c r="I26" s="28">
        <v>1610</v>
      </c>
      <c r="J26" s="28">
        <f>SUM(G26-H26-I26)</f>
        <v>12172</v>
      </c>
      <c r="K26" s="28">
        <v>1178</v>
      </c>
      <c r="L26" s="28">
        <v>0</v>
      </c>
      <c r="M26" s="28">
        <v>1412</v>
      </c>
      <c r="N26" s="28">
        <v>195</v>
      </c>
      <c r="O26" s="28">
        <v>195</v>
      </c>
    </row>
    <row r="27" spans="1:15" ht="12.75" customHeight="1">
      <c r="A27" s="4" t="s">
        <v>49</v>
      </c>
      <c r="B27" s="5" t="s">
        <v>50</v>
      </c>
      <c r="C27" s="28">
        <v>2666</v>
      </c>
      <c r="D27" s="28">
        <v>2284</v>
      </c>
      <c r="E27" s="28">
        <v>104</v>
      </c>
      <c r="F27" s="28">
        <f>SUM(C27-D27-E27)</f>
        <v>278</v>
      </c>
      <c r="G27" s="28">
        <v>5097</v>
      </c>
      <c r="H27" s="28">
        <v>3439</v>
      </c>
      <c r="I27" s="28">
        <v>318</v>
      </c>
      <c r="J27" s="28">
        <f>SUM(G27-H27-I27)</f>
        <v>1340</v>
      </c>
      <c r="K27" s="28">
        <v>270</v>
      </c>
      <c r="L27" s="28">
        <v>0</v>
      </c>
      <c r="M27" s="28">
        <v>254</v>
      </c>
      <c r="N27" s="28">
        <v>54</v>
      </c>
      <c r="O27" s="28">
        <v>54</v>
      </c>
    </row>
    <row r="28" spans="1:15" ht="12.75" customHeight="1">
      <c r="A28" s="4" t="s">
        <v>51</v>
      </c>
      <c r="B28" s="5" t="s">
        <v>52</v>
      </c>
      <c r="C28" s="28">
        <v>2672</v>
      </c>
      <c r="D28" s="28">
        <v>1728</v>
      </c>
      <c r="E28" s="28">
        <v>220</v>
      </c>
      <c r="F28" s="28">
        <f>SUM(C28-D28-E28)</f>
        <v>724</v>
      </c>
      <c r="G28" s="28">
        <v>7021</v>
      </c>
      <c r="H28" s="28">
        <v>3814</v>
      </c>
      <c r="I28" s="28">
        <v>1123</v>
      </c>
      <c r="J28" s="28">
        <f>SUM(G28-H28-I28)</f>
        <v>2084</v>
      </c>
      <c r="K28" s="28">
        <v>25</v>
      </c>
      <c r="L28" s="28">
        <v>0</v>
      </c>
      <c r="M28" s="28">
        <v>42</v>
      </c>
      <c r="N28" s="28">
        <v>13</v>
      </c>
      <c r="O28" s="28">
        <v>13</v>
      </c>
    </row>
    <row r="29" spans="1:15" ht="12.75" customHeight="1">
      <c r="A29" s="4" t="s">
        <v>53</v>
      </c>
      <c r="B29" s="5" t="s">
        <v>54</v>
      </c>
      <c r="C29" s="28">
        <v>3106</v>
      </c>
      <c r="D29" s="28">
        <v>2681</v>
      </c>
      <c r="E29" s="28">
        <v>326</v>
      </c>
      <c r="F29" s="28">
        <f>SUM(C29-D29-E29)</f>
        <v>99</v>
      </c>
      <c r="G29" s="28">
        <v>6708</v>
      </c>
      <c r="H29" s="28">
        <v>5278</v>
      </c>
      <c r="I29" s="28">
        <v>1215</v>
      </c>
      <c r="J29" s="28">
        <f>SUM(G29-H29-I29)</f>
        <v>215</v>
      </c>
      <c r="K29" s="28">
        <v>6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18156</v>
      </c>
      <c r="D30" s="29">
        <f t="shared" si="4"/>
        <v>13184</v>
      </c>
      <c r="E30" s="29">
        <f t="shared" si="4"/>
        <v>1186</v>
      </c>
      <c r="F30" s="29">
        <f t="shared" si="4"/>
        <v>3786</v>
      </c>
      <c r="G30" s="29">
        <f t="shared" si="4"/>
        <v>43583</v>
      </c>
      <c r="H30" s="29">
        <f t="shared" si="4"/>
        <v>23506</v>
      </c>
      <c r="I30" s="29">
        <f t="shared" si="4"/>
        <v>4266</v>
      </c>
      <c r="J30" s="29">
        <f t="shared" si="4"/>
        <v>15811</v>
      </c>
      <c r="K30" s="29">
        <f t="shared" si="4"/>
        <v>1479</v>
      </c>
      <c r="L30" s="29">
        <f t="shared" si="4"/>
        <v>0</v>
      </c>
      <c r="M30" s="29">
        <f t="shared" si="4"/>
        <v>1708</v>
      </c>
      <c r="N30" s="29">
        <f t="shared" si="4"/>
        <v>262</v>
      </c>
      <c r="O30" s="29">
        <f t="shared" si="4"/>
        <v>262</v>
      </c>
    </row>
    <row r="31" spans="1:15" ht="12.75" customHeight="1">
      <c r="A31" s="4" t="s">
        <v>56</v>
      </c>
      <c r="B31" s="5" t="s">
        <v>57</v>
      </c>
      <c r="C31" s="28">
        <v>9069</v>
      </c>
      <c r="D31" s="28">
        <v>8088</v>
      </c>
      <c r="E31" s="28">
        <v>217</v>
      </c>
      <c r="F31" s="28">
        <f t="shared" ref="F31:F42" si="5">SUM(C31-D31-E31)</f>
        <v>764</v>
      </c>
      <c r="G31" s="28">
        <v>27872</v>
      </c>
      <c r="H31" s="28">
        <v>16518</v>
      </c>
      <c r="I31" s="28">
        <v>916</v>
      </c>
      <c r="J31" s="28">
        <f t="shared" ref="J31:J42" si="6">SUM(G31-H31-I31)</f>
        <v>10438</v>
      </c>
      <c r="K31" s="28">
        <v>526</v>
      </c>
      <c r="L31" s="28">
        <v>0</v>
      </c>
      <c r="M31" s="28">
        <v>526</v>
      </c>
      <c r="N31" s="28">
        <v>104</v>
      </c>
      <c r="O31" s="28">
        <v>104</v>
      </c>
    </row>
    <row r="32" spans="1:15" ht="12.75" customHeight="1">
      <c r="A32" s="4" t="s">
        <v>58</v>
      </c>
      <c r="B32" s="5" t="s">
        <v>59</v>
      </c>
      <c r="C32" s="28">
        <v>16368</v>
      </c>
      <c r="D32" s="28">
        <v>14792</v>
      </c>
      <c r="E32" s="28">
        <v>528</v>
      </c>
      <c r="F32" s="28">
        <f t="shared" si="5"/>
        <v>1048</v>
      </c>
      <c r="G32" s="28">
        <v>59605</v>
      </c>
      <c r="H32" s="28">
        <v>35119</v>
      </c>
      <c r="I32" s="28">
        <v>2569</v>
      </c>
      <c r="J32" s="28">
        <f t="shared" si="6"/>
        <v>21917</v>
      </c>
      <c r="K32" s="28">
        <v>1773</v>
      </c>
      <c r="L32" s="28">
        <v>0</v>
      </c>
      <c r="M32" s="28">
        <v>12268</v>
      </c>
      <c r="N32" s="28">
        <v>298</v>
      </c>
      <c r="O32" s="28">
        <v>298</v>
      </c>
    </row>
    <row r="33" spans="1:256" ht="12.75" customHeight="1">
      <c r="A33" s="4" t="s">
        <v>60</v>
      </c>
      <c r="B33" s="5" t="s">
        <v>61</v>
      </c>
      <c r="C33" s="28">
        <v>7163</v>
      </c>
      <c r="D33" s="28">
        <v>5592</v>
      </c>
      <c r="E33" s="28">
        <v>227</v>
      </c>
      <c r="F33" s="28">
        <f t="shared" si="5"/>
        <v>1344</v>
      </c>
      <c r="G33" s="28">
        <v>26146</v>
      </c>
      <c r="H33" s="28">
        <v>7355</v>
      </c>
      <c r="I33" s="28">
        <v>550</v>
      </c>
      <c r="J33" s="28">
        <f t="shared" si="6"/>
        <v>18241</v>
      </c>
      <c r="K33" s="28">
        <v>1467</v>
      </c>
      <c r="L33" s="28">
        <v>58</v>
      </c>
      <c r="M33" s="28">
        <v>3056</v>
      </c>
      <c r="N33" s="28">
        <v>114</v>
      </c>
      <c r="O33" s="28">
        <v>114</v>
      </c>
    </row>
    <row r="34" spans="1:256" ht="12.75" customHeight="1">
      <c r="A34" s="4" t="s">
        <v>62</v>
      </c>
      <c r="B34" s="5" t="s">
        <v>63</v>
      </c>
      <c r="C34" s="28">
        <v>8608</v>
      </c>
      <c r="D34" s="28">
        <v>2366</v>
      </c>
      <c r="E34" s="28">
        <v>50</v>
      </c>
      <c r="F34" s="28">
        <f t="shared" si="5"/>
        <v>6192</v>
      </c>
      <c r="G34" s="28">
        <v>28049</v>
      </c>
      <c r="H34" s="28">
        <v>6245</v>
      </c>
      <c r="I34" s="28">
        <v>193</v>
      </c>
      <c r="J34" s="28">
        <f t="shared" si="6"/>
        <v>21611</v>
      </c>
      <c r="K34" s="28">
        <v>282</v>
      </c>
      <c r="L34" s="28">
        <v>0</v>
      </c>
      <c r="M34" s="28">
        <v>4135</v>
      </c>
      <c r="N34" s="28">
        <v>33</v>
      </c>
      <c r="O34" s="28">
        <v>33</v>
      </c>
    </row>
    <row r="35" spans="1:256" ht="12.75" customHeight="1">
      <c r="A35" s="4" t="s">
        <v>64</v>
      </c>
      <c r="B35" s="5" t="s">
        <v>65</v>
      </c>
      <c r="C35" s="28">
        <v>3386</v>
      </c>
      <c r="D35" s="28">
        <v>3303</v>
      </c>
      <c r="E35" s="28">
        <v>0</v>
      </c>
      <c r="F35" s="28">
        <f t="shared" si="5"/>
        <v>83</v>
      </c>
      <c r="G35" s="28">
        <v>6183</v>
      </c>
      <c r="H35" s="28">
        <v>5586</v>
      </c>
      <c r="I35" s="28">
        <v>0</v>
      </c>
      <c r="J35" s="28">
        <f t="shared" si="6"/>
        <v>597</v>
      </c>
      <c r="K35" s="28">
        <v>144</v>
      </c>
      <c r="L35" s="28">
        <v>0</v>
      </c>
      <c r="M35" s="28">
        <v>1</v>
      </c>
      <c r="N35" s="28">
        <v>336</v>
      </c>
      <c r="O35" s="28">
        <v>336</v>
      </c>
    </row>
    <row r="36" spans="1:256" ht="12.75" customHeight="1">
      <c r="A36" s="4" t="s">
        <v>66</v>
      </c>
      <c r="B36" s="5" t="s">
        <v>67</v>
      </c>
      <c r="C36" s="28">
        <v>1980</v>
      </c>
      <c r="D36" s="28">
        <v>1553</v>
      </c>
      <c r="E36" s="28">
        <v>228</v>
      </c>
      <c r="F36" s="28">
        <f t="shared" si="5"/>
        <v>199</v>
      </c>
      <c r="G36" s="28">
        <v>5841</v>
      </c>
      <c r="H36" s="28">
        <v>3943</v>
      </c>
      <c r="I36" s="28">
        <v>1005</v>
      </c>
      <c r="J36" s="28">
        <f t="shared" si="6"/>
        <v>893</v>
      </c>
      <c r="K36" s="28">
        <v>19</v>
      </c>
      <c r="L36" s="28">
        <v>0</v>
      </c>
      <c r="M36" s="28">
        <v>486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3152</v>
      </c>
      <c r="D37" s="28">
        <v>2786</v>
      </c>
      <c r="E37" s="28">
        <v>0</v>
      </c>
      <c r="F37" s="28">
        <f t="shared" si="5"/>
        <v>366</v>
      </c>
      <c r="G37" s="28">
        <v>11273</v>
      </c>
      <c r="H37" s="28">
        <v>7877</v>
      </c>
      <c r="I37" s="28">
        <v>0</v>
      </c>
      <c r="J37" s="28">
        <f t="shared" si="6"/>
        <v>3396</v>
      </c>
      <c r="K37" s="28">
        <v>70</v>
      </c>
      <c r="L37" s="28">
        <v>0</v>
      </c>
      <c r="M37" s="28">
        <v>1064</v>
      </c>
      <c r="N37" s="28">
        <v>199</v>
      </c>
      <c r="O37" s="28">
        <v>199</v>
      </c>
    </row>
    <row r="38" spans="1:256" ht="12.75" customHeight="1">
      <c r="A38" s="4" t="s">
        <v>70</v>
      </c>
      <c r="B38" s="5" t="s">
        <v>71</v>
      </c>
      <c r="C38" s="28">
        <v>49279</v>
      </c>
      <c r="D38" s="28">
        <v>36199</v>
      </c>
      <c r="E38" s="28">
        <v>1405</v>
      </c>
      <c r="F38" s="28">
        <f t="shared" si="5"/>
        <v>11675</v>
      </c>
      <c r="G38" s="28">
        <v>112691</v>
      </c>
      <c r="H38" s="28">
        <v>64195</v>
      </c>
      <c r="I38" s="28">
        <v>5725</v>
      </c>
      <c r="J38" s="28">
        <f t="shared" si="6"/>
        <v>42771</v>
      </c>
      <c r="K38" s="28">
        <v>4771</v>
      </c>
      <c r="L38" s="28">
        <v>0</v>
      </c>
      <c r="M38" s="28">
        <v>5687</v>
      </c>
      <c r="N38" s="28">
        <v>54029</v>
      </c>
      <c r="O38" s="28">
        <v>4032</v>
      </c>
    </row>
    <row r="39" spans="1:256" ht="12.75" customHeight="1">
      <c r="A39" s="4" t="s">
        <v>72</v>
      </c>
      <c r="B39" s="5" t="s">
        <v>73</v>
      </c>
      <c r="C39" s="28">
        <v>7368</v>
      </c>
      <c r="D39" s="28">
        <v>6866</v>
      </c>
      <c r="E39" s="28">
        <v>222</v>
      </c>
      <c r="F39" s="28">
        <f t="shared" si="5"/>
        <v>280</v>
      </c>
      <c r="G39" s="28">
        <v>13626</v>
      </c>
      <c r="H39" s="28">
        <v>11122</v>
      </c>
      <c r="I39" s="28">
        <v>1184</v>
      </c>
      <c r="J39" s="28">
        <f t="shared" si="6"/>
        <v>1320</v>
      </c>
      <c r="K39" s="28">
        <v>501</v>
      </c>
      <c r="L39" s="28">
        <v>0</v>
      </c>
      <c r="M39" s="28">
        <v>11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4847</v>
      </c>
      <c r="D40" s="28">
        <v>4243</v>
      </c>
      <c r="E40" s="28">
        <v>232</v>
      </c>
      <c r="F40" s="28">
        <f t="shared" si="5"/>
        <v>372</v>
      </c>
      <c r="G40" s="28">
        <v>13766</v>
      </c>
      <c r="H40" s="28">
        <v>8751</v>
      </c>
      <c r="I40" s="28">
        <v>969</v>
      </c>
      <c r="J40" s="28">
        <f t="shared" si="6"/>
        <v>4046</v>
      </c>
      <c r="K40" s="28">
        <v>352</v>
      </c>
      <c r="L40" s="28">
        <v>0</v>
      </c>
      <c r="M40" s="28">
        <v>7680</v>
      </c>
      <c r="N40" s="28">
        <v>52</v>
      </c>
      <c r="O40" s="28">
        <v>52</v>
      </c>
    </row>
    <row r="41" spans="1:256" ht="12.75" customHeight="1">
      <c r="A41" s="4" t="s">
        <v>76</v>
      </c>
      <c r="B41" s="5" t="s">
        <v>77</v>
      </c>
      <c r="C41" s="28">
        <v>1680</v>
      </c>
      <c r="D41" s="28">
        <v>1372</v>
      </c>
      <c r="E41" s="28">
        <v>0</v>
      </c>
      <c r="F41" s="28">
        <f t="shared" si="5"/>
        <v>308</v>
      </c>
      <c r="G41" s="28">
        <v>5237</v>
      </c>
      <c r="H41" s="28">
        <v>3640</v>
      </c>
      <c r="I41" s="28">
        <v>0</v>
      </c>
      <c r="J41" s="28">
        <f t="shared" si="6"/>
        <v>1597</v>
      </c>
      <c r="K41" s="28">
        <v>625</v>
      </c>
      <c r="L41" s="28">
        <v>0</v>
      </c>
      <c r="M41" s="28">
        <v>121</v>
      </c>
      <c r="N41" s="28">
        <v>209</v>
      </c>
      <c r="O41" s="28">
        <v>209</v>
      </c>
    </row>
    <row r="42" spans="1:256" ht="12.75" customHeight="1">
      <c r="A42" s="4" t="s">
        <v>78</v>
      </c>
      <c r="B42" s="5" t="s">
        <v>79</v>
      </c>
      <c r="C42" s="28">
        <v>11568</v>
      </c>
      <c r="D42" s="28">
        <v>8993</v>
      </c>
      <c r="E42" s="28">
        <v>259</v>
      </c>
      <c r="F42" s="28">
        <f t="shared" si="5"/>
        <v>2316</v>
      </c>
      <c r="G42" s="28">
        <v>19688</v>
      </c>
      <c r="H42" s="28">
        <v>14342</v>
      </c>
      <c r="I42" s="28">
        <v>676</v>
      </c>
      <c r="J42" s="28">
        <f t="shared" si="6"/>
        <v>4670</v>
      </c>
      <c r="K42" s="28">
        <v>551</v>
      </c>
      <c r="L42" s="28">
        <v>0</v>
      </c>
      <c r="M42" s="28">
        <v>79</v>
      </c>
      <c r="N42" s="28">
        <v>68</v>
      </c>
      <c r="O42" s="28">
        <v>68</v>
      </c>
    </row>
    <row r="43" spans="1:256" ht="12.75" customHeight="1">
      <c r="A43" s="8"/>
      <c r="B43" s="9" t="s">
        <v>80</v>
      </c>
      <c r="C43" s="29">
        <f t="shared" ref="C43:O43" si="7">SUM(C31:C42)</f>
        <v>124468</v>
      </c>
      <c r="D43" s="29">
        <f t="shared" si="7"/>
        <v>96153</v>
      </c>
      <c r="E43" s="29">
        <f t="shared" si="7"/>
        <v>3368</v>
      </c>
      <c r="F43" s="29">
        <f t="shared" si="7"/>
        <v>24947</v>
      </c>
      <c r="G43" s="29">
        <f t="shared" si="7"/>
        <v>329977</v>
      </c>
      <c r="H43" s="29">
        <f t="shared" si="7"/>
        <v>184693</v>
      </c>
      <c r="I43" s="29">
        <f t="shared" si="7"/>
        <v>13787</v>
      </c>
      <c r="J43" s="29">
        <f t="shared" si="7"/>
        <v>131497</v>
      </c>
      <c r="K43" s="29">
        <f t="shared" si="7"/>
        <v>11081</v>
      </c>
      <c r="L43" s="29">
        <f t="shared" si="7"/>
        <v>58</v>
      </c>
      <c r="M43" s="29">
        <f t="shared" si="7"/>
        <v>35114</v>
      </c>
      <c r="N43" s="29">
        <f t="shared" si="7"/>
        <v>55442</v>
      </c>
      <c r="O43" s="29">
        <f t="shared" si="7"/>
        <v>5445</v>
      </c>
    </row>
    <row r="44" spans="1:256" ht="12.75" customHeight="1">
      <c r="A44" s="4" t="s">
        <v>81</v>
      </c>
      <c r="B44" s="5" t="s">
        <v>82</v>
      </c>
      <c r="C44" s="28">
        <v>4762</v>
      </c>
      <c r="D44" s="28">
        <v>3986</v>
      </c>
      <c r="E44" s="28">
        <v>197</v>
      </c>
      <c r="F44" s="28">
        <f>SUM(C44-D44-E44)</f>
        <v>579</v>
      </c>
      <c r="G44" s="28">
        <v>16431</v>
      </c>
      <c r="H44" s="28">
        <v>9194</v>
      </c>
      <c r="I44" s="28">
        <v>562</v>
      </c>
      <c r="J44" s="28">
        <f>SUM(G44-H44-I44)</f>
        <v>6675</v>
      </c>
      <c r="K44" s="28">
        <v>1560</v>
      </c>
      <c r="L44" s="28">
        <v>712</v>
      </c>
      <c r="M44" s="28">
        <v>399</v>
      </c>
      <c r="N44" s="28">
        <v>144</v>
      </c>
      <c r="O44" s="28">
        <v>144</v>
      </c>
    </row>
    <row r="45" spans="1:256" ht="12.75" customHeight="1">
      <c r="A45" s="4" t="s">
        <v>83</v>
      </c>
      <c r="B45" s="5" t="s">
        <v>84</v>
      </c>
      <c r="C45" s="28">
        <v>5930</v>
      </c>
      <c r="D45" s="28">
        <v>4533</v>
      </c>
      <c r="E45" s="28">
        <v>272</v>
      </c>
      <c r="F45" s="28">
        <f>SUM(C45-D45-E45)</f>
        <v>1125</v>
      </c>
      <c r="G45" s="28">
        <v>24809</v>
      </c>
      <c r="H45" s="28">
        <v>9963</v>
      </c>
      <c r="I45" s="28">
        <v>804</v>
      </c>
      <c r="J45" s="28">
        <f>SUM(G45-H45-I45)</f>
        <v>14042</v>
      </c>
      <c r="K45" s="28">
        <v>7752</v>
      </c>
      <c r="L45" s="28">
        <v>0</v>
      </c>
      <c r="M45" s="28">
        <v>2597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10692</v>
      </c>
      <c r="D46" s="29">
        <f t="shared" si="8"/>
        <v>8519</v>
      </c>
      <c r="E46" s="29">
        <f t="shared" si="8"/>
        <v>469</v>
      </c>
      <c r="F46" s="29">
        <f t="shared" si="8"/>
        <v>1704</v>
      </c>
      <c r="G46" s="29">
        <f t="shared" si="8"/>
        <v>41240</v>
      </c>
      <c r="H46" s="29">
        <f t="shared" si="8"/>
        <v>19157</v>
      </c>
      <c r="I46" s="29">
        <f t="shared" si="8"/>
        <v>1366</v>
      </c>
      <c r="J46" s="29">
        <f t="shared" si="8"/>
        <v>20717</v>
      </c>
      <c r="K46" s="29">
        <f t="shared" si="8"/>
        <v>9312</v>
      </c>
      <c r="L46" s="29">
        <f t="shared" si="8"/>
        <v>712</v>
      </c>
      <c r="M46" s="29">
        <f t="shared" si="8"/>
        <v>2996</v>
      </c>
      <c r="N46" s="29">
        <f t="shared" si="8"/>
        <v>144</v>
      </c>
      <c r="O46" s="29">
        <f t="shared" si="8"/>
        <v>144</v>
      </c>
    </row>
    <row r="47" spans="1:256" ht="12.75" customHeight="1">
      <c r="A47" s="4" t="s">
        <v>86</v>
      </c>
      <c r="B47" s="5" t="s">
        <v>87</v>
      </c>
      <c r="C47" s="28">
        <v>976</v>
      </c>
      <c r="D47" s="28">
        <v>843</v>
      </c>
      <c r="E47" s="28">
        <v>0</v>
      </c>
      <c r="F47" s="28">
        <f>SUM(C47-D47-E47)</f>
        <v>133</v>
      </c>
      <c r="G47" s="28">
        <v>1085</v>
      </c>
      <c r="H47" s="28">
        <v>810</v>
      </c>
      <c r="I47" s="28">
        <v>0</v>
      </c>
      <c r="J47" s="28">
        <f>SUM(G47-H47-I47)</f>
        <v>275</v>
      </c>
      <c r="K47" s="28">
        <v>0</v>
      </c>
      <c r="L47" s="28">
        <v>0</v>
      </c>
      <c r="M47" s="28">
        <v>25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2896</v>
      </c>
      <c r="D48" s="28">
        <v>2314</v>
      </c>
      <c r="E48" s="28">
        <v>19</v>
      </c>
      <c r="F48" s="28">
        <f>SUM(C48-D48-E48)</f>
        <v>563</v>
      </c>
      <c r="G48" s="28">
        <v>5539</v>
      </c>
      <c r="H48" s="28">
        <v>4269</v>
      </c>
      <c r="I48" s="28">
        <v>71</v>
      </c>
      <c r="J48" s="28">
        <f>SUM(G48-H48-I48)</f>
        <v>1199</v>
      </c>
      <c r="K48" s="28">
        <v>0</v>
      </c>
      <c r="L48" s="28">
        <v>0</v>
      </c>
      <c r="M48" s="28">
        <v>51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1036</v>
      </c>
      <c r="D49" s="28">
        <v>945</v>
      </c>
      <c r="E49" s="28">
        <v>59</v>
      </c>
      <c r="F49" s="28">
        <f>SUM(C49-D49-E49)</f>
        <v>32</v>
      </c>
      <c r="G49" s="28">
        <v>2228</v>
      </c>
      <c r="H49" s="28">
        <v>1101</v>
      </c>
      <c r="I49" s="28">
        <v>145</v>
      </c>
      <c r="J49" s="28">
        <f>SUM(G49-H49-I49)</f>
        <v>982</v>
      </c>
      <c r="K49" s="28">
        <v>145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9263</v>
      </c>
      <c r="D50" s="28">
        <v>8886</v>
      </c>
      <c r="E50" s="28">
        <v>148</v>
      </c>
      <c r="F50" s="28">
        <f>SUM(C50-D50-E50)</f>
        <v>229</v>
      </c>
      <c r="G50" s="28">
        <v>22232</v>
      </c>
      <c r="H50" s="28">
        <v>15200</v>
      </c>
      <c r="I50" s="28">
        <v>465</v>
      </c>
      <c r="J50" s="28">
        <f>SUM(G50-H50-I50)</f>
        <v>6567</v>
      </c>
      <c r="K50" s="28">
        <v>2845</v>
      </c>
      <c r="L50" s="28">
        <v>0</v>
      </c>
      <c r="M50" s="28">
        <v>1527</v>
      </c>
      <c r="N50" s="28">
        <v>403</v>
      </c>
      <c r="O50" s="28">
        <v>403</v>
      </c>
    </row>
    <row r="51" spans="1:15" ht="12.75" customHeight="1">
      <c r="A51" s="8"/>
      <c r="B51" s="9" t="s">
        <v>94</v>
      </c>
      <c r="C51" s="29">
        <f t="shared" ref="C51:O51" si="9">SUM(C47:C50)</f>
        <v>14171</v>
      </c>
      <c r="D51" s="29">
        <f t="shared" si="9"/>
        <v>12988</v>
      </c>
      <c r="E51" s="29">
        <f t="shared" si="9"/>
        <v>226</v>
      </c>
      <c r="F51" s="29">
        <f t="shared" si="9"/>
        <v>957</v>
      </c>
      <c r="G51" s="29">
        <f t="shared" si="9"/>
        <v>31084</v>
      </c>
      <c r="H51" s="29">
        <f t="shared" si="9"/>
        <v>21380</v>
      </c>
      <c r="I51" s="29">
        <f t="shared" si="9"/>
        <v>681</v>
      </c>
      <c r="J51" s="29">
        <f t="shared" si="9"/>
        <v>9023</v>
      </c>
      <c r="K51" s="29">
        <f t="shared" si="9"/>
        <v>2990</v>
      </c>
      <c r="L51" s="29">
        <f t="shared" si="9"/>
        <v>0</v>
      </c>
      <c r="M51" s="29">
        <f t="shared" si="9"/>
        <v>1603</v>
      </c>
      <c r="N51" s="29">
        <f t="shared" si="9"/>
        <v>431</v>
      </c>
      <c r="O51" s="29">
        <f t="shared" si="9"/>
        <v>431</v>
      </c>
    </row>
    <row r="52" spans="1:15" ht="12.75" customHeight="1">
      <c r="A52" s="4" t="s">
        <v>95</v>
      </c>
      <c r="B52" s="5" t="s">
        <v>96</v>
      </c>
      <c r="C52" s="28">
        <v>1514</v>
      </c>
      <c r="D52" s="28">
        <v>1152</v>
      </c>
      <c r="E52" s="28">
        <v>10</v>
      </c>
      <c r="F52" s="28">
        <f t="shared" ref="F52:F58" si="10">SUM(C52-D52-E52)</f>
        <v>352</v>
      </c>
      <c r="G52" s="28">
        <v>4895</v>
      </c>
      <c r="H52" s="28">
        <v>2719</v>
      </c>
      <c r="I52" s="28">
        <v>38</v>
      </c>
      <c r="J52" s="28">
        <f t="shared" ref="J52:J58" si="11">SUM(G52-H52-I52)</f>
        <v>2138</v>
      </c>
      <c r="K52" s="28">
        <v>2276</v>
      </c>
      <c r="L52" s="28">
        <v>0</v>
      </c>
      <c r="M52" s="28">
        <v>37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7981</v>
      </c>
      <c r="D53" s="28">
        <v>5869</v>
      </c>
      <c r="E53" s="28">
        <v>178</v>
      </c>
      <c r="F53" s="28">
        <f t="shared" si="10"/>
        <v>1934</v>
      </c>
      <c r="G53" s="28">
        <v>26581</v>
      </c>
      <c r="H53" s="28">
        <v>15922</v>
      </c>
      <c r="I53" s="28">
        <v>991</v>
      </c>
      <c r="J53" s="28">
        <f t="shared" si="11"/>
        <v>9668</v>
      </c>
      <c r="K53" s="28">
        <v>1071</v>
      </c>
      <c r="L53" s="28">
        <v>0</v>
      </c>
      <c r="M53" s="28">
        <v>1839</v>
      </c>
      <c r="N53" s="28">
        <v>271</v>
      </c>
      <c r="O53" s="28">
        <v>271</v>
      </c>
    </row>
    <row r="54" spans="1:15" ht="12.75" customHeight="1">
      <c r="A54" s="4" t="s">
        <v>99</v>
      </c>
      <c r="B54" s="5" t="s">
        <v>100</v>
      </c>
      <c r="C54" s="28">
        <v>1410</v>
      </c>
      <c r="D54" s="28">
        <v>830</v>
      </c>
      <c r="E54" s="28">
        <v>66</v>
      </c>
      <c r="F54" s="28">
        <f t="shared" si="10"/>
        <v>514</v>
      </c>
      <c r="G54" s="28">
        <v>4884</v>
      </c>
      <c r="H54" s="28">
        <v>2841</v>
      </c>
      <c r="I54" s="28">
        <v>398</v>
      </c>
      <c r="J54" s="28">
        <f t="shared" si="11"/>
        <v>1645</v>
      </c>
      <c r="K54" s="28">
        <v>63</v>
      </c>
      <c r="L54" s="28">
        <v>0</v>
      </c>
      <c r="M54" s="28">
        <v>1082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6383</v>
      </c>
      <c r="D55" s="28">
        <v>4052</v>
      </c>
      <c r="E55" s="28">
        <v>133</v>
      </c>
      <c r="F55" s="28">
        <f t="shared" si="10"/>
        <v>2198</v>
      </c>
      <c r="G55" s="28">
        <v>23739</v>
      </c>
      <c r="H55" s="28">
        <v>10628</v>
      </c>
      <c r="I55" s="28">
        <v>430</v>
      </c>
      <c r="J55" s="28">
        <f t="shared" si="11"/>
        <v>12681</v>
      </c>
      <c r="K55" s="28">
        <v>3022</v>
      </c>
      <c r="L55" s="28">
        <v>0</v>
      </c>
      <c r="M55" s="28">
        <v>1480</v>
      </c>
      <c r="N55" s="28">
        <v>1413</v>
      </c>
      <c r="O55" s="28">
        <v>1413</v>
      </c>
    </row>
    <row r="56" spans="1:15" ht="12.75" customHeight="1">
      <c r="A56" s="4" t="s">
        <v>103</v>
      </c>
      <c r="B56" s="5" t="s">
        <v>104</v>
      </c>
      <c r="C56" s="28">
        <v>7606</v>
      </c>
      <c r="D56" s="28">
        <v>4115</v>
      </c>
      <c r="E56" s="28">
        <v>475</v>
      </c>
      <c r="F56" s="28">
        <f t="shared" si="10"/>
        <v>3016</v>
      </c>
      <c r="G56" s="28">
        <v>27652</v>
      </c>
      <c r="H56" s="28">
        <v>10184</v>
      </c>
      <c r="I56" s="28">
        <v>2153</v>
      </c>
      <c r="J56" s="28">
        <f t="shared" si="11"/>
        <v>15315</v>
      </c>
      <c r="K56" s="28">
        <v>1903</v>
      </c>
      <c r="L56" s="28">
        <v>10</v>
      </c>
      <c r="M56" s="28">
        <v>3299</v>
      </c>
      <c r="N56" s="28">
        <v>7983</v>
      </c>
      <c r="O56" s="28">
        <v>81</v>
      </c>
    </row>
    <row r="57" spans="1:15" ht="12.75" customHeight="1">
      <c r="A57" s="4" t="s">
        <v>105</v>
      </c>
      <c r="B57" s="5" t="s">
        <v>106</v>
      </c>
      <c r="C57" s="28">
        <v>8710</v>
      </c>
      <c r="D57" s="28">
        <v>5069</v>
      </c>
      <c r="E57" s="28">
        <v>373</v>
      </c>
      <c r="F57" s="28">
        <f t="shared" si="10"/>
        <v>3268</v>
      </c>
      <c r="G57" s="28">
        <v>32896</v>
      </c>
      <c r="H57" s="28">
        <v>15261</v>
      </c>
      <c r="I57" s="28">
        <v>1567</v>
      </c>
      <c r="J57" s="28">
        <f t="shared" si="11"/>
        <v>16068</v>
      </c>
      <c r="K57" s="28">
        <v>614</v>
      </c>
      <c r="L57" s="28">
        <v>0</v>
      </c>
      <c r="M57" s="28">
        <v>2597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9080</v>
      </c>
      <c r="D58" s="28">
        <v>4818</v>
      </c>
      <c r="E58" s="28">
        <v>137</v>
      </c>
      <c r="F58" s="28">
        <f t="shared" si="10"/>
        <v>4125</v>
      </c>
      <c r="G58" s="28">
        <v>32318</v>
      </c>
      <c r="H58" s="28">
        <v>12307</v>
      </c>
      <c r="I58" s="28">
        <v>639</v>
      </c>
      <c r="J58" s="28">
        <f t="shared" si="11"/>
        <v>19372</v>
      </c>
      <c r="K58" s="28">
        <v>1056</v>
      </c>
      <c r="L58" s="28">
        <v>31</v>
      </c>
      <c r="M58" s="28">
        <v>1895</v>
      </c>
      <c r="N58" s="28">
        <v>2631</v>
      </c>
      <c r="O58" s="28">
        <v>2631</v>
      </c>
    </row>
    <row r="59" spans="1:15" ht="12.75" customHeight="1">
      <c r="A59" s="8"/>
      <c r="B59" s="9" t="s">
        <v>109</v>
      </c>
      <c r="C59" s="29">
        <f t="shared" ref="C59:O59" si="12">SUM(C52:C58)</f>
        <v>42684</v>
      </c>
      <c r="D59" s="29">
        <f t="shared" si="12"/>
        <v>25905</v>
      </c>
      <c r="E59" s="29">
        <f t="shared" si="12"/>
        <v>1372</v>
      </c>
      <c r="F59" s="29">
        <f t="shared" si="12"/>
        <v>15407</v>
      </c>
      <c r="G59" s="29">
        <f t="shared" si="12"/>
        <v>152965</v>
      </c>
      <c r="H59" s="29">
        <f t="shared" si="12"/>
        <v>69862</v>
      </c>
      <c r="I59" s="29">
        <f t="shared" si="12"/>
        <v>6216</v>
      </c>
      <c r="J59" s="29">
        <f t="shared" si="12"/>
        <v>76887</v>
      </c>
      <c r="K59" s="29">
        <f t="shared" si="12"/>
        <v>10005</v>
      </c>
      <c r="L59" s="29">
        <f t="shared" si="12"/>
        <v>41</v>
      </c>
      <c r="M59" s="29">
        <f t="shared" si="12"/>
        <v>12229</v>
      </c>
      <c r="N59" s="29">
        <f t="shared" si="12"/>
        <v>12327</v>
      </c>
      <c r="O59" s="29">
        <f t="shared" si="12"/>
        <v>4425</v>
      </c>
    </row>
    <row r="60" spans="1:15" ht="12.75" customHeight="1">
      <c r="A60" s="4" t="s">
        <v>110</v>
      </c>
      <c r="B60" s="5" t="s">
        <v>111</v>
      </c>
      <c r="C60" s="28">
        <v>9358</v>
      </c>
      <c r="D60" s="28">
        <v>6405</v>
      </c>
      <c r="E60" s="28">
        <v>889</v>
      </c>
      <c r="F60" s="28">
        <f t="shared" ref="F60:F68" si="13">SUM(C60-D60-E60)</f>
        <v>2064</v>
      </c>
      <c r="G60" s="28">
        <v>30374</v>
      </c>
      <c r="H60" s="28">
        <v>16781</v>
      </c>
      <c r="I60" s="28">
        <v>3937</v>
      </c>
      <c r="J60" s="28">
        <f t="shared" ref="J60:J68" si="14">SUM(G60-H60-I60)</f>
        <v>9656</v>
      </c>
      <c r="K60" s="28">
        <v>239</v>
      </c>
      <c r="L60" s="28">
        <v>0</v>
      </c>
      <c r="M60" s="28">
        <v>1508</v>
      </c>
      <c r="N60" s="28">
        <v>250</v>
      </c>
      <c r="O60" s="28">
        <v>250</v>
      </c>
    </row>
    <row r="61" spans="1:15" ht="12.75" customHeight="1">
      <c r="A61" s="4" t="s">
        <v>112</v>
      </c>
      <c r="B61" s="5" t="s">
        <v>113</v>
      </c>
      <c r="C61" s="28">
        <v>2685</v>
      </c>
      <c r="D61" s="28">
        <v>1876</v>
      </c>
      <c r="E61" s="28">
        <v>59</v>
      </c>
      <c r="F61" s="28">
        <f t="shared" si="13"/>
        <v>750</v>
      </c>
      <c r="G61" s="28">
        <v>7882</v>
      </c>
      <c r="H61" s="28">
        <v>5147</v>
      </c>
      <c r="I61" s="28">
        <v>345</v>
      </c>
      <c r="J61" s="28">
        <f t="shared" si="14"/>
        <v>2390</v>
      </c>
      <c r="K61" s="28">
        <v>0</v>
      </c>
      <c r="L61" s="28">
        <v>0</v>
      </c>
      <c r="M61" s="28">
        <v>1168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4804</v>
      </c>
      <c r="D62" s="28">
        <v>2257</v>
      </c>
      <c r="E62" s="28">
        <v>240</v>
      </c>
      <c r="F62" s="28">
        <f t="shared" si="13"/>
        <v>2307</v>
      </c>
      <c r="G62" s="28">
        <v>21752</v>
      </c>
      <c r="H62" s="28">
        <v>6266</v>
      </c>
      <c r="I62" s="28">
        <v>1237</v>
      </c>
      <c r="J62" s="28">
        <f t="shared" si="14"/>
        <v>14249</v>
      </c>
      <c r="K62" s="28">
        <v>139</v>
      </c>
      <c r="L62" s="28">
        <v>8</v>
      </c>
      <c r="M62" s="28">
        <v>2055</v>
      </c>
      <c r="N62" s="28">
        <v>142</v>
      </c>
      <c r="O62" s="28">
        <v>142</v>
      </c>
    </row>
    <row r="63" spans="1:15" ht="12.75" customHeight="1">
      <c r="A63" s="4" t="s">
        <v>116</v>
      </c>
      <c r="B63" s="5" t="s">
        <v>117</v>
      </c>
      <c r="C63" s="28">
        <v>6652</v>
      </c>
      <c r="D63" s="28">
        <v>3771</v>
      </c>
      <c r="E63" s="28">
        <v>380</v>
      </c>
      <c r="F63" s="28">
        <f t="shared" si="13"/>
        <v>2501</v>
      </c>
      <c r="G63" s="28">
        <v>22562</v>
      </c>
      <c r="H63" s="28">
        <v>11722</v>
      </c>
      <c r="I63" s="28">
        <v>2272</v>
      </c>
      <c r="J63" s="28">
        <f t="shared" si="14"/>
        <v>8568</v>
      </c>
      <c r="K63" s="28">
        <v>113</v>
      </c>
      <c r="L63" s="28">
        <v>0</v>
      </c>
      <c r="M63" s="28">
        <v>2094</v>
      </c>
      <c r="N63" s="28">
        <v>24</v>
      </c>
      <c r="O63" s="28">
        <v>24</v>
      </c>
    </row>
    <row r="64" spans="1:15" ht="12.75" customHeight="1">
      <c r="A64" s="4" t="s">
        <v>118</v>
      </c>
      <c r="B64" s="5" t="s">
        <v>119</v>
      </c>
      <c r="C64" s="28">
        <v>5943</v>
      </c>
      <c r="D64" s="28">
        <v>2856</v>
      </c>
      <c r="E64" s="28">
        <v>465</v>
      </c>
      <c r="F64" s="28">
        <f t="shared" si="13"/>
        <v>2622</v>
      </c>
      <c r="G64" s="28">
        <v>22054</v>
      </c>
      <c r="H64" s="28">
        <v>9157</v>
      </c>
      <c r="I64" s="28">
        <v>1935</v>
      </c>
      <c r="J64" s="28">
        <f t="shared" si="14"/>
        <v>10962</v>
      </c>
      <c r="K64" s="28">
        <v>102</v>
      </c>
      <c r="L64" s="28">
        <v>0</v>
      </c>
      <c r="M64" s="28">
        <v>966</v>
      </c>
      <c r="N64" s="28">
        <v>87</v>
      </c>
      <c r="O64" s="28">
        <v>87</v>
      </c>
    </row>
    <row r="65" spans="1:15" ht="12.75" customHeight="1">
      <c r="A65" s="4" t="s">
        <v>120</v>
      </c>
      <c r="B65" s="5" t="s">
        <v>121</v>
      </c>
      <c r="C65" s="28">
        <v>2922</v>
      </c>
      <c r="D65" s="28">
        <v>1900</v>
      </c>
      <c r="E65" s="28">
        <v>352</v>
      </c>
      <c r="F65" s="28">
        <f t="shared" si="13"/>
        <v>670</v>
      </c>
      <c r="G65" s="28">
        <v>15881</v>
      </c>
      <c r="H65" s="28">
        <v>5727</v>
      </c>
      <c r="I65" s="28">
        <v>1868</v>
      </c>
      <c r="J65" s="28">
        <f t="shared" si="14"/>
        <v>8286</v>
      </c>
      <c r="K65" s="28">
        <v>664</v>
      </c>
      <c r="L65" s="28">
        <v>0</v>
      </c>
      <c r="M65" s="28">
        <v>2630</v>
      </c>
      <c r="N65" s="28">
        <v>1422</v>
      </c>
      <c r="O65" s="28">
        <v>1422</v>
      </c>
    </row>
    <row r="66" spans="1:15" ht="12.75" customHeight="1">
      <c r="A66" s="4" t="s">
        <v>122</v>
      </c>
      <c r="B66" s="5" t="s">
        <v>123</v>
      </c>
      <c r="C66" s="28">
        <v>5629</v>
      </c>
      <c r="D66" s="28">
        <v>2170</v>
      </c>
      <c r="E66" s="28">
        <v>152</v>
      </c>
      <c r="F66" s="28">
        <f t="shared" si="13"/>
        <v>3307</v>
      </c>
      <c r="G66" s="28">
        <v>29287</v>
      </c>
      <c r="H66" s="28">
        <v>6248</v>
      </c>
      <c r="I66" s="28">
        <v>644</v>
      </c>
      <c r="J66" s="28">
        <f t="shared" si="14"/>
        <v>22395</v>
      </c>
      <c r="K66" s="28">
        <v>4248</v>
      </c>
      <c r="L66" s="28">
        <v>0</v>
      </c>
      <c r="M66" s="28">
        <v>7621</v>
      </c>
      <c r="N66" s="28">
        <v>32</v>
      </c>
      <c r="O66" s="28">
        <v>32</v>
      </c>
    </row>
    <row r="67" spans="1:15" ht="12.75" customHeight="1">
      <c r="A67" s="4" t="s">
        <v>124</v>
      </c>
      <c r="B67" s="5" t="s">
        <v>125</v>
      </c>
      <c r="C67" s="28">
        <v>8620</v>
      </c>
      <c r="D67" s="28">
        <v>2117</v>
      </c>
      <c r="E67" s="28">
        <v>0</v>
      </c>
      <c r="F67" s="28">
        <f t="shared" si="13"/>
        <v>6503</v>
      </c>
      <c r="G67" s="28">
        <v>36510</v>
      </c>
      <c r="H67" s="28">
        <v>6191</v>
      </c>
      <c r="I67" s="28">
        <v>0</v>
      </c>
      <c r="J67" s="28">
        <f t="shared" si="14"/>
        <v>30319</v>
      </c>
      <c r="K67" s="28">
        <v>2620</v>
      </c>
      <c r="L67" s="28">
        <v>0</v>
      </c>
      <c r="M67" s="28">
        <v>10232</v>
      </c>
      <c r="N67" s="28">
        <v>62</v>
      </c>
      <c r="O67" s="28">
        <v>62</v>
      </c>
    </row>
    <row r="68" spans="1:15" ht="12.75" customHeight="1">
      <c r="A68" s="4" t="s">
        <v>126</v>
      </c>
      <c r="B68" s="5" t="s">
        <v>127</v>
      </c>
      <c r="C68" s="28">
        <v>6389</v>
      </c>
      <c r="D68" s="28">
        <v>2996</v>
      </c>
      <c r="E68" s="28">
        <v>147</v>
      </c>
      <c r="F68" s="28">
        <f t="shared" si="13"/>
        <v>3246</v>
      </c>
      <c r="G68" s="28">
        <v>15241</v>
      </c>
      <c r="H68" s="28">
        <v>7179</v>
      </c>
      <c r="I68" s="28">
        <v>794</v>
      </c>
      <c r="J68" s="28">
        <f t="shared" si="14"/>
        <v>7268</v>
      </c>
      <c r="K68" s="28">
        <v>16</v>
      </c>
      <c r="L68" s="28">
        <v>17</v>
      </c>
      <c r="M68" s="28">
        <v>412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53002</v>
      </c>
      <c r="D69" s="29">
        <f t="shared" si="15"/>
        <v>26348</v>
      </c>
      <c r="E69" s="29">
        <f t="shared" si="15"/>
        <v>2684</v>
      </c>
      <c r="F69" s="29">
        <f t="shared" si="15"/>
        <v>23970</v>
      </c>
      <c r="G69" s="29">
        <f t="shared" si="15"/>
        <v>201543</v>
      </c>
      <c r="H69" s="29">
        <f t="shared" si="15"/>
        <v>74418</v>
      </c>
      <c r="I69" s="29">
        <f t="shared" si="15"/>
        <v>13032</v>
      </c>
      <c r="J69" s="29">
        <f t="shared" si="15"/>
        <v>114093</v>
      </c>
      <c r="K69" s="29">
        <f t="shared" si="15"/>
        <v>8141</v>
      </c>
      <c r="L69" s="29">
        <f t="shared" si="15"/>
        <v>25</v>
      </c>
      <c r="M69" s="29">
        <f t="shared" si="15"/>
        <v>28686</v>
      </c>
      <c r="N69" s="29">
        <f t="shared" si="15"/>
        <v>2019</v>
      </c>
      <c r="O69" s="29">
        <f t="shared" si="15"/>
        <v>2019</v>
      </c>
    </row>
    <row r="70" spans="1:15" ht="12.75" customHeight="1">
      <c r="A70" s="4" t="s">
        <v>129</v>
      </c>
      <c r="B70" s="5" t="s">
        <v>130</v>
      </c>
      <c r="C70" s="28">
        <v>2955</v>
      </c>
      <c r="D70" s="28">
        <v>2017</v>
      </c>
      <c r="E70" s="28">
        <v>296</v>
      </c>
      <c r="F70" s="28">
        <f t="shared" ref="F70:F79" si="16">SUM(C70-D70-E70)</f>
        <v>642</v>
      </c>
      <c r="G70" s="28">
        <v>11058</v>
      </c>
      <c r="H70" s="28">
        <v>5658</v>
      </c>
      <c r="I70" s="28">
        <v>1812</v>
      </c>
      <c r="J70" s="28">
        <f t="shared" ref="J70:J79" si="17">SUM(G70-H70-I70)</f>
        <v>3588</v>
      </c>
      <c r="K70" s="28">
        <v>244</v>
      </c>
      <c r="L70" s="28">
        <v>4</v>
      </c>
      <c r="M70" s="28">
        <v>671</v>
      </c>
      <c r="N70" s="28">
        <v>0</v>
      </c>
      <c r="O70" s="28">
        <v>0</v>
      </c>
    </row>
    <row r="71" spans="1:15" ht="12.75" customHeight="1">
      <c r="A71" s="4" t="s">
        <v>131</v>
      </c>
      <c r="B71" s="5" t="s">
        <v>132</v>
      </c>
      <c r="C71" s="28">
        <v>11721</v>
      </c>
      <c r="D71" s="28">
        <v>7488</v>
      </c>
      <c r="E71" s="28">
        <v>515</v>
      </c>
      <c r="F71" s="28">
        <f t="shared" si="16"/>
        <v>3718</v>
      </c>
      <c r="G71" s="28">
        <v>29211</v>
      </c>
      <c r="H71" s="28">
        <v>13297</v>
      </c>
      <c r="I71" s="28">
        <v>2254</v>
      </c>
      <c r="J71" s="28">
        <f t="shared" si="17"/>
        <v>13660</v>
      </c>
      <c r="K71" s="28">
        <v>682</v>
      </c>
      <c r="L71" s="28">
        <v>0</v>
      </c>
      <c r="M71" s="28">
        <v>952</v>
      </c>
      <c r="N71" s="28">
        <v>2700</v>
      </c>
      <c r="O71" s="28">
        <v>2700</v>
      </c>
    </row>
    <row r="72" spans="1:15" ht="12.75" customHeight="1">
      <c r="A72" s="4" t="s">
        <v>133</v>
      </c>
      <c r="B72" s="5" t="s">
        <v>134</v>
      </c>
      <c r="C72" s="28">
        <v>2309</v>
      </c>
      <c r="D72" s="28">
        <v>1522</v>
      </c>
      <c r="E72" s="28">
        <v>0</v>
      </c>
      <c r="F72" s="28">
        <f t="shared" si="16"/>
        <v>787</v>
      </c>
      <c r="G72" s="28">
        <v>7551</v>
      </c>
      <c r="H72" s="28">
        <v>3878</v>
      </c>
      <c r="I72" s="28">
        <v>0</v>
      </c>
      <c r="J72" s="28">
        <f t="shared" si="17"/>
        <v>3673</v>
      </c>
      <c r="K72" s="28">
        <v>214</v>
      </c>
      <c r="L72" s="28">
        <v>217</v>
      </c>
      <c r="M72" s="28">
        <v>2033</v>
      </c>
      <c r="N72" s="28">
        <v>37</v>
      </c>
      <c r="O72" s="28">
        <v>37</v>
      </c>
    </row>
    <row r="73" spans="1:15" ht="12.75" customHeight="1">
      <c r="A73" s="4" t="s">
        <v>135</v>
      </c>
      <c r="B73" s="5" t="s">
        <v>136</v>
      </c>
      <c r="C73" s="28">
        <v>5437</v>
      </c>
      <c r="D73" s="28">
        <v>4005</v>
      </c>
      <c r="E73" s="28">
        <v>31</v>
      </c>
      <c r="F73" s="28">
        <f t="shared" si="16"/>
        <v>1401</v>
      </c>
      <c r="G73" s="28">
        <v>15417</v>
      </c>
      <c r="H73" s="28">
        <v>9639</v>
      </c>
      <c r="I73" s="28">
        <v>157</v>
      </c>
      <c r="J73" s="28">
        <f t="shared" si="17"/>
        <v>5621</v>
      </c>
      <c r="K73" s="28">
        <v>299</v>
      </c>
      <c r="L73" s="28">
        <v>0</v>
      </c>
      <c r="M73" s="28">
        <v>514</v>
      </c>
      <c r="N73" s="28">
        <v>3665</v>
      </c>
      <c r="O73" s="28">
        <v>3665</v>
      </c>
    </row>
    <row r="74" spans="1:15" ht="12.75" customHeight="1">
      <c r="A74" s="4" t="s">
        <v>137</v>
      </c>
      <c r="B74" s="5" t="s">
        <v>138</v>
      </c>
      <c r="C74" s="28">
        <v>5017</v>
      </c>
      <c r="D74" s="28">
        <v>3462</v>
      </c>
      <c r="E74" s="28">
        <v>188</v>
      </c>
      <c r="F74" s="28">
        <f t="shared" si="16"/>
        <v>1367</v>
      </c>
      <c r="G74" s="28">
        <v>11197</v>
      </c>
      <c r="H74" s="28">
        <v>6153</v>
      </c>
      <c r="I74" s="28">
        <v>729</v>
      </c>
      <c r="J74" s="28">
        <f t="shared" si="17"/>
        <v>4315</v>
      </c>
      <c r="K74" s="28">
        <v>398</v>
      </c>
      <c r="L74" s="28">
        <v>0</v>
      </c>
      <c r="M74" s="28">
        <v>192</v>
      </c>
      <c r="N74" s="28">
        <v>276</v>
      </c>
      <c r="O74" s="28">
        <v>276</v>
      </c>
    </row>
    <row r="75" spans="1:15" ht="12.75" customHeight="1">
      <c r="A75" s="4" t="s">
        <v>139</v>
      </c>
      <c r="B75" s="5" t="s">
        <v>140</v>
      </c>
      <c r="C75" s="28">
        <v>1937</v>
      </c>
      <c r="D75" s="28">
        <v>1729</v>
      </c>
      <c r="E75" s="28">
        <v>50</v>
      </c>
      <c r="F75" s="28">
        <f t="shared" si="16"/>
        <v>158</v>
      </c>
      <c r="G75" s="28">
        <v>4066</v>
      </c>
      <c r="H75" s="28">
        <v>3101</v>
      </c>
      <c r="I75" s="28">
        <v>309</v>
      </c>
      <c r="J75" s="28">
        <f t="shared" si="17"/>
        <v>656</v>
      </c>
      <c r="K75" s="28">
        <v>29</v>
      </c>
      <c r="L75" s="28">
        <v>0</v>
      </c>
      <c r="M75" s="28">
        <v>20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4527</v>
      </c>
      <c r="D76" s="28">
        <v>3165</v>
      </c>
      <c r="E76" s="28">
        <v>104</v>
      </c>
      <c r="F76" s="28">
        <f t="shared" si="16"/>
        <v>1258</v>
      </c>
      <c r="G76" s="28">
        <v>12403</v>
      </c>
      <c r="H76" s="28">
        <v>7827</v>
      </c>
      <c r="I76" s="28">
        <v>355</v>
      </c>
      <c r="J76" s="28">
        <f t="shared" si="17"/>
        <v>4221</v>
      </c>
      <c r="K76" s="28">
        <v>108</v>
      </c>
      <c r="L76" s="28">
        <v>0</v>
      </c>
      <c r="M76" s="28">
        <v>251</v>
      </c>
      <c r="N76" s="28">
        <v>72</v>
      </c>
      <c r="O76" s="28">
        <v>72</v>
      </c>
    </row>
    <row r="77" spans="1:15" ht="12.75" customHeight="1">
      <c r="A77" s="4" t="s">
        <v>143</v>
      </c>
      <c r="B77" s="5" t="s">
        <v>144</v>
      </c>
      <c r="C77" s="28">
        <v>3797</v>
      </c>
      <c r="D77" s="28">
        <v>2120</v>
      </c>
      <c r="E77" s="28">
        <v>67</v>
      </c>
      <c r="F77" s="28">
        <f t="shared" si="16"/>
        <v>1610</v>
      </c>
      <c r="G77" s="28">
        <v>8780</v>
      </c>
      <c r="H77" s="28">
        <v>4241</v>
      </c>
      <c r="I77" s="28">
        <v>235</v>
      </c>
      <c r="J77" s="28">
        <f t="shared" si="17"/>
        <v>4304</v>
      </c>
      <c r="K77" s="28">
        <v>584</v>
      </c>
      <c r="L77" s="28">
        <v>0</v>
      </c>
      <c r="M77" s="28">
        <v>414</v>
      </c>
      <c r="N77" s="28">
        <v>68</v>
      </c>
      <c r="O77" s="28">
        <v>68</v>
      </c>
    </row>
    <row r="78" spans="1:15" ht="12.75" customHeight="1">
      <c r="A78" s="4" t="s">
        <v>145</v>
      </c>
      <c r="B78" s="5" t="s">
        <v>146</v>
      </c>
      <c r="C78" s="28">
        <v>2542</v>
      </c>
      <c r="D78" s="28">
        <v>1705</v>
      </c>
      <c r="E78" s="28">
        <v>0</v>
      </c>
      <c r="F78" s="28">
        <f t="shared" si="16"/>
        <v>837</v>
      </c>
      <c r="G78" s="28">
        <v>6119</v>
      </c>
      <c r="H78" s="28">
        <v>3589</v>
      </c>
      <c r="I78" s="28">
        <v>0</v>
      </c>
      <c r="J78" s="28">
        <f t="shared" si="17"/>
        <v>2530</v>
      </c>
      <c r="K78" s="28">
        <v>92</v>
      </c>
      <c r="L78" s="28">
        <v>0</v>
      </c>
      <c r="M78" s="28">
        <v>24</v>
      </c>
      <c r="N78" s="28">
        <v>88</v>
      </c>
      <c r="O78" s="28">
        <v>88</v>
      </c>
    </row>
    <row r="79" spans="1:15" ht="12.75" customHeight="1">
      <c r="A79" s="4" t="s">
        <v>147</v>
      </c>
      <c r="B79" s="5" t="s">
        <v>148</v>
      </c>
      <c r="C79" s="28">
        <v>2806</v>
      </c>
      <c r="D79" s="28">
        <v>1978</v>
      </c>
      <c r="E79" s="28">
        <v>87</v>
      </c>
      <c r="F79" s="28">
        <f t="shared" si="16"/>
        <v>741</v>
      </c>
      <c r="G79" s="28">
        <v>10008</v>
      </c>
      <c r="H79" s="28">
        <v>4989</v>
      </c>
      <c r="I79" s="28">
        <v>449</v>
      </c>
      <c r="J79" s="28">
        <f t="shared" si="17"/>
        <v>4570</v>
      </c>
      <c r="K79" s="28">
        <v>535</v>
      </c>
      <c r="L79" s="28">
        <v>0</v>
      </c>
      <c r="M79" s="28">
        <v>1668</v>
      </c>
      <c r="N79" s="28">
        <v>46</v>
      </c>
      <c r="O79" s="28">
        <v>46</v>
      </c>
    </row>
    <row r="80" spans="1:15" ht="12.75" customHeight="1">
      <c r="A80" s="8"/>
      <c r="B80" s="9" t="s">
        <v>149</v>
      </c>
      <c r="C80" s="29">
        <f t="shared" ref="C80:O80" si="18">SUM(C70:C79)</f>
        <v>43048</v>
      </c>
      <c r="D80" s="29">
        <f t="shared" si="18"/>
        <v>29191</v>
      </c>
      <c r="E80" s="29">
        <f t="shared" si="18"/>
        <v>1338</v>
      </c>
      <c r="F80" s="29">
        <f t="shared" si="18"/>
        <v>12519</v>
      </c>
      <c r="G80" s="29">
        <f t="shared" si="18"/>
        <v>115810</v>
      </c>
      <c r="H80" s="29">
        <f t="shared" si="18"/>
        <v>62372</v>
      </c>
      <c r="I80" s="29">
        <f t="shared" si="18"/>
        <v>6300</v>
      </c>
      <c r="J80" s="29">
        <f t="shared" si="18"/>
        <v>47138</v>
      </c>
      <c r="K80" s="29">
        <f t="shared" si="18"/>
        <v>3185</v>
      </c>
      <c r="L80" s="29">
        <f t="shared" si="18"/>
        <v>221</v>
      </c>
      <c r="M80" s="29">
        <f t="shared" si="18"/>
        <v>6739</v>
      </c>
      <c r="N80" s="29">
        <f t="shared" si="18"/>
        <v>6952</v>
      </c>
      <c r="O80" s="29">
        <f t="shared" si="18"/>
        <v>6952</v>
      </c>
    </row>
    <row r="81" spans="1:15" ht="12.75" customHeight="1">
      <c r="A81" s="4" t="s">
        <v>150</v>
      </c>
      <c r="B81" s="5" t="s">
        <v>151</v>
      </c>
      <c r="C81" s="28">
        <v>5030</v>
      </c>
      <c r="D81" s="28">
        <v>3011</v>
      </c>
      <c r="E81" s="28">
        <v>152</v>
      </c>
      <c r="F81" s="28">
        <f>SUM(C81-D81-E81)</f>
        <v>1867</v>
      </c>
      <c r="G81" s="28">
        <v>20856</v>
      </c>
      <c r="H81" s="28">
        <v>9735</v>
      </c>
      <c r="I81" s="28">
        <v>1194</v>
      </c>
      <c r="J81" s="28">
        <f>SUM(G81-H81-I81)</f>
        <v>9927</v>
      </c>
      <c r="K81" s="28">
        <v>159</v>
      </c>
      <c r="L81" s="28">
        <v>151</v>
      </c>
      <c r="M81" s="28">
        <v>1617</v>
      </c>
      <c r="N81" s="28">
        <v>275</v>
      </c>
      <c r="O81" s="28">
        <v>275</v>
      </c>
    </row>
    <row r="82" spans="1:15" ht="12.75" customHeight="1">
      <c r="A82" s="4" t="s">
        <v>152</v>
      </c>
      <c r="B82" s="5" t="s">
        <v>153</v>
      </c>
      <c r="C82" s="28">
        <v>1744</v>
      </c>
      <c r="D82" s="28">
        <v>1223</v>
      </c>
      <c r="E82" s="28">
        <v>42</v>
      </c>
      <c r="F82" s="28">
        <f>SUM(C82-D82-E82)</f>
        <v>479</v>
      </c>
      <c r="G82" s="28">
        <v>8235</v>
      </c>
      <c r="H82" s="28">
        <v>3918</v>
      </c>
      <c r="I82" s="28">
        <v>248</v>
      </c>
      <c r="J82" s="28">
        <f>SUM(G82-H82-I82)</f>
        <v>4069</v>
      </c>
      <c r="K82" s="28">
        <v>93</v>
      </c>
      <c r="L82" s="28">
        <v>0</v>
      </c>
      <c r="M82" s="28">
        <v>1086</v>
      </c>
      <c r="N82" s="28">
        <v>87</v>
      </c>
      <c r="O82" s="28">
        <v>87</v>
      </c>
    </row>
    <row r="83" spans="1:15" ht="12.75" customHeight="1">
      <c r="A83" s="4" t="s">
        <v>154</v>
      </c>
      <c r="B83" s="5" t="s">
        <v>155</v>
      </c>
      <c r="C83" s="28">
        <v>864</v>
      </c>
      <c r="D83" s="28">
        <v>719</v>
      </c>
      <c r="E83" s="28">
        <v>80</v>
      </c>
      <c r="F83" s="28">
        <f>SUM(C83-D83-E83)</f>
        <v>65</v>
      </c>
      <c r="G83" s="28">
        <v>4496</v>
      </c>
      <c r="H83" s="28">
        <v>2538</v>
      </c>
      <c r="I83" s="28">
        <v>525</v>
      </c>
      <c r="J83" s="28">
        <f>SUM(G83-H83-I83)</f>
        <v>1433</v>
      </c>
      <c r="K83" s="28">
        <v>14</v>
      </c>
      <c r="L83" s="28">
        <v>0</v>
      </c>
      <c r="M83" s="28">
        <v>338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1761</v>
      </c>
      <c r="D84" s="28">
        <v>1571</v>
      </c>
      <c r="E84" s="28">
        <v>0</v>
      </c>
      <c r="F84" s="28">
        <f>SUM(C84-D84-E84)</f>
        <v>190</v>
      </c>
      <c r="G84" s="28">
        <v>9226</v>
      </c>
      <c r="H84" s="28">
        <v>5716</v>
      </c>
      <c r="I84" s="28">
        <v>0</v>
      </c>
      <c r="J84" s="28">
        <f>SUM(G84-H84-I84)</f>
        <v>3510</v>
      </c>
      <c r="K84" s="28">
        <v>108</v>
      </c>
      <c r="L84" s="28">
        <v>0</v>
      </c>
      <c r="M84" s="28">
        <v>1103</v>
      </c>
      <c r="N84" s="28">
        <v>83</v>
      </c>
      <c r="O84" s="28">
        <v>83</v>
      </c>
    </row>
    <row r="85" spans="1:15" ht="12.75" customHeight="1">
      <c r="A85" s="4" t="s">
        <v>158</v>
      </c>
      <c r="B85" s="5" t="s">
        <v>159</v>
      </c>
      <c r="C85" s="28">
        <v>2994</v>
      </c>
      <c r="D85" s="28">
        <v>2244</v>
      </c>
      <c r="E85" s="28">
        <v>104</v>
      </c>
      <c r="F85" s="28">
        <f>SUM(C85-D85-E85)</f>
        <v>646</v>
      </c>
      <c r="G85" s="28">
        <v>10073</v>
      </c>
      <c r="H85" s="28">
        <v>5863</v>
      </c>
      <c r="I85" s="28">
        <v>569</v>
      </c>
      <c r="J85" s="28">
        <f>SUM(G85-H85-I85)</f>
        <v>3641</v>
      </c>
      <c r="K85" s="28">
        <v>234</v>
      </c>
      <c r="L85" s="28">
        <v>0</v>
      </c>
      <c r="M85" s="28">
        <v>1093</v>
      </c>
      <c r="N85" s="28">
        <v>1258</v>
      </c>
      <c r="O85" s="28">
        <v>1258</v>
      </c>
    </row>
    <row r="86" spans="1:15" ht="12.75" customHeight="1">
      <c r="A86" s="8"/>
      <c r="B86" s="9" t="s">
        <v>160</v>
      </c>
      <c r="C86" s="29">
        <f t="shared" ref="C86:O86" si="19">SUM(C81:C85)</f>
        <v>12393</v>
      </c>
      <c r="D86" s="29">
        <f t="shared" si="19"/>
        <v>8768</v>
      </c>
      <c r="E86" s="29">
        <f t="shared" si="19"/>
        <v>378</v>
      </c>
      <c r="F86" s="29">
        <f t="shared" si="19"/>
        <v>3247</v>
      </c>
      <c r="G86" s="29">
        <f t="shared" si="19"/>
        <v>52886</v>
      </c>
      <c r="H86" s="29">
        <f t="shared" si="19"/>
        <v>27770</v>
      </c>
      <c r="I86" s="29">
        <f t="shared" si="19"/>
        <v>2536</v>
      </c>
      <c r="J86" s="29">
        <f t="shared" si="19"/>
        <v>22580</v>
      </c>
      <c r="K86" s="29">
        <f t="shared" si="19"/>
        <v>608</v>
      </c>
      <c r="L86" s="29">
        <f t="shared" si="19"/>
        <v>151</v>
      </c>
      <c r="M86" s="29">
        <f t="shared" si="19"/>
        <v>5237</v>
      </c>
      <c r="N86" s="29">
        <f t="shared" si="19"/>
        <v>1703</v>
      </c>
      <c r="O86" s="29">
        <f t="shared" si="19"/>
        <v>1703</v>
      </c>
    </row>
    <row r="87" spans="1:15" ht="12.75" customHeight="1">
      <c r="A87" s="4" t="s">
        <v>161</v>
      </c>
      <c r="B87" s="5" t="s">
        <v>162</v>
      </c>
      <c r="C87" s="28">
        <v>5117</v>
      </c>
      <c r="D87" s="28">
        <v>3798</v>
      </c>
      <c r="E87" s="28">
        <v>0</v>
      </c>
      <c r="F87" s="28">
        <f>SUM(C87-D87-E87)</f>
        <v>1319</v>
      </c>
      <c r="G87" s="28">
        <v>23936</v>
      </c>
      <c r="H87" s="28">
        <v>11740</v>
      </c>
      <c r="I87" s="28">
        <v>0</v>
      </c>
      <c r="J87" s="28">
        <f>SUM(G87-H87-I87)</f>
        <v>12196</v>
      </c>
      <c r="K87" s="28">
        <v>224</v>
      </c>
      <c r="L87" s="28">
        <v>0</v>
      </c>
      <c r="M87" s="28">
        <v>2976</v>
      </c>
      <c r="N87" s="28">
        <v>69</v>
      </c>
      <c r="O87" s="28">
        <v>69</v>
      </c>
    </row>
    <row r="88" spans="1:15" ht="12.75" customHeight="1">
      <c r="A88" s="4" t="s">
        <v>163</v>
      </c>
      <c r="B88" s="5" t="s">
        <v>164</v>
      </c>
      <c r="C88" s="28">
        <v>3952</v>
      </c>
      <c r="D88" s="28">
        <v>1888</v>
      </c>
      <c r="E88" s="28">
        <v>173</v>
      </c>
      <c r="F88" s="28">
        <f>SUM(C88-D88-E88)</f>
        <v>1891</v>
      </c>
      <c r="G88" s="28">
        <v>11578</v>
      </c>
      <c r="H88" s="28">
        <v>4655</v>
      </c>
      <c r="I88" s="28">
        <v>1157</v>
      </c>
      <c r="J88" s="28">
        <f>SUM(G88-H88-I88)</f>
        <v>5766</v>
      </c>
      <c r="K88" s="28">
        <v>66</v>
      </c>
      <c r="L88" s="28">
        <v>0</v>
      </c>
      <c r="M88" s="28">
        <v>821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9069</v>
      </c>
      <c r="D89" s="29">
        <f t="shared" si="20"/>
        <v>5686</v>
      </c>
      <c r="E89" s="29">
        <f t="shared" si="20"/>
        <v>173</v>
      </c>
      <c r="F89" s="29">
        <f t="shared" si="20"/>
        <v>3210</v>
      </c>
      <c r="G89" s="29">
        <f t="shared" si="20"/>
        <v>35514</v>
      </c>
      <c r="H89" s="29">
        <f t="shared" si="20"/>
        <v>16395</v>
      </c>
      <c r="I89" s="29">
        <f t="shared" si="20"/>
        <v>1157</v>
      </c>
      <c r="J89" s="29">
        <f t="shared" si="20"/>
        <v>17962</v>
      </c>
      <c r="K89" s="29">
        <f t="shared" si="20"/>
        <v>290</v>
      </c>
      <c r="L89" s="29">
        <f t="shared" si="20"/>
        <v>0</v>
      </c>
      <c r="M89" s="29">
        <f t="shared" si="20"/>
        <v>3797</v>
      </c>
      <c r="N89" s="29">
        <f t="shared" si="20"/>
        <v>69</v>
      </c>
      <c r="O89" s="29">
        <f t="shared" si="20"/>
        <v>69</v>
      </c>
    </row>
    <row r="90" spans="1:15" ht="12.75" customHeight="1">
      <c r="A90" s="4" t="s">
        <v>166</v>
      </c>
      <c r="B90" s="5" t="s">
        <v>167</v>
      </c>
      <c r="C90" s="28">
        <v>5038</v>
      </c>
      <c r="D90" s="28">
        <v>2564</v>
      </c>
      <c r="E90" s="28">
        <v>351</v>
      </c>
      <c r="F90" s="28">
        <f>SUM(C90-D90-E90)</f>
        <v>2123</v>
      </c>
      <c r="G90" s="28">
        <v>25017</v>
      </c>
      <c r="H90" s="28">
        <v>8981</v>
      </c>
      <c r="I90" s="28">
        <v>2177</v>
      </c>
      <c r="J90" s="28">
        <f>SUM(G90-H90-I90)</f>
        <v>13859</v>
      </c>
      <c r="K90" s="28">
        <v>103</v>
      </c>
      <c r="L90" s="28">
        <v>0</v>
      </c>
      <c r="M90" s="28">
        <v>2321</v>
      </c>
      <c r="N90" s="28">
        <v>39</v>
      </c>
      <c r="O90" s="28">
        <v>39</v>
      </c>
    </row>
    <row r="91" spans="1:15" ht="12.75" customHeight="1">
      <c r="A91" s="4" t="s">
        <v>168</v>
      </c>
      <c r="B91" s="5" t="s">
        <v>169</v>
      </c>
      <c r="C91" s="28">
        <v>4962</v>
      </c>
      <c r="D91" s="28">
        <v>3617</v>
      </c>
      <c r="E91" s="28">
        <v>0</v>
      </c>
      <c r="F91" s="28">
        <f>SUM(C91-D91-E91)</f>
        <v>1345</v>
      </c>
      <c r="G91" s="28">
        <v>21838</v>
      </c>
      <c r="H91" s="28">
        <v>9457</v>
      </c>
      <c r="I91" s="28">
        <v>0</v>
      </c>
      <c r="J91" s="28">
        <f>SUM(G91-H91-I91)</f>
        <v>12381</v>
      </c>
      <c r="K91" s="28">
        <v>148</v>
      </c>
      <c r="L91" s="28">
        <v>78</v>
      </c>
      <c r="M91" s="28">
        <v>3562</v>
      </c>
      <c r="N91" s="28">
        <v>140</v>
      </c>
      <c r="O91" s="28">
        <v>140</v>
      </c>
    </row>
    <row r="92" spans="1:15" ht="12.75" customHeight="1">
      <c r="A92" s="4" t="s">
        <v>170</v>
      </c>
      <c r="B92" s="5" t="s">
        <v>171</v>
      </c>
      <c r="C92" s="28">
        <v>1199</v>
      </c>
      <c r="D92" s="28">
        <v>797</v>
      </c>
      <c r="E92" s="28">
        <v>147</v>
      </c>
      <c r="F92" s="28">
        <f>SUM(C92-D92-E92)</f>
        <v>255</v>
      </c>
      <c r="G92" s="28">
        <v>3892</v>
      </c>
      <c r="H92" s="28">
        <v>1977</v>
      </c>
      <c r="I92" s="28">
        <v>1106</v>
      </c>
      <c r="J92" s="28">
        <f>SUM(G92-H92-I92)</f>
        <v>809</v>
      </c>
      <c r="K92" s="28">
        <v>27</v>
      </c>
      <c r="L92" s="28">
        <v>0</v>
      </c>
      <c r="M92" s="28">
        <v>139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52278</v>
      </c>
      <c r="D93" s="28">
        <v>33650</v>
      </c>
      <c r="E93" s="28">
        <v>2174</v>
      </c>
      <c r="F93" s="28">
        <f>SUM(C93-D93-E93)</f>
        <v>16454</v>
      </c>
      <c r="G93" s="28">
        <v>154688</v>
      </c>
      <c r="H93" s="28">
        <v>59396</v>
      </c>
      <c r="I93" s="28">
        <v>7824</v>
      </c>
      <c r="J93" s="28">
        <f>SUM(G93-H93-I93)</f>
        <v>87468</v>
      </c>
      <c r="K93" s="28">
        <v>8205</v>
      </c>
      <c r="L93" s="28">
        <v>45</v>
      </c>
      <c r="M93" s="28">
        <v>9455</v>
      </c>
      <c r="N93" s="28">
        <v>1866</v>
      </c>
      <c r="O93" s="28">
        <v>1866</v>
      </c>
    </row>
    <row r="94" spans="1:15" ht="12.75" customHeight="1">
      <c r="A94" s="4" t="s">
        <v>174</v>
      </c>
      <c r="B94" s="5" t="s">
        <v>175</v>
      </c>
      <c r="C94" s="28">
        <v>3688</v>
      </c>
      <c r="D94" s="28">
        <v>1105</v>
      </c>
      <c r="E94" s="28">
        <v>107</v>
      </c>
      <c r="F94" s="28">
        <f>SUM(C94-D94-E94)</f>
        <v>2476</v>
      </c>
      <c r="G94" s="28">
        <v>10730</v>
      </c>
      <c r="H94" s="28">
        <v>3572</v>
      </c>
      <c r="I94" s="28">
        <v>765</v>
      </c>
      <c r="J94" s="28">
        <f>SUM(G94-H94-I94)</f>
        <v>6393</v>
      </c>
      <c r="K94" s="28">
        <v>78</v>
      </c>
      <c r="L94" s="28">
        <v>64</v>
      </c>
      <c r="M94" s="28">
        <v>2384</v>
      </c>
      <c r="N94" s="28">
        <v>57</v>
      </c>
      <c r="O94" s="28">
        <v>57</v>
      </c>
    </row>
    <row r="95" spans="1:15" ht="12.75" customHeight="1">
      <c r="A95" s="8"/>
      <c r="B95" s="9" t="s">
        <v>176</v>
      </c>
      <c r="C95" s="29">
        <f t="shared" ref="C95:O95" si="21">SUM(C90:C94)</f>
        <v>67165</v>
      </c>
      <c r="D95" s="29">
        <f t="shared" si="21"/>
        <v>41733</v>
      </c>
      <c r="E95" s="29">
        <f t="shared" si="21"/>
        <v>2779</v>
      </c>
      <c r="F95" s="29">
        <f t="shared" si="21"/>
        <v>22653</v>
      </c>
      <c r="G95" s="29">
        <f t="shared" si="21"/>
        <v>216165</v>
      </c>
      <c r="H95" s="29">
        <f t="shared" si="21"/>
        <v>83383</v>
      </c>
      <c r="I95" s="29">
        <f t="shared" si="21"/>
        <v>11872</v>
      </c>
      <c r="J95" s="29">
        <f t="shared" si="21"/>
        <v>120910</v>
      </c>
      <c r="K95" s="29">
        <f t="shared" si="21"/>
        <v>8561</v>
      </c>
      <c r="L95" s="29">
        <f t="shared" si="21"/>
        <v>187</v>
      </c>
      <c r="M95" s="29">
        <f t="shared" si="21"/>
        <v>17861</v>
      </c>
      <c r="N95" s="29">
        <f t="shared" si="21"/>
        <v>2102</v>
      </c>
      <c r="O95" s="29">
        <f t="shared" si="21"/>
        <v>2102</v>
      </c>
    </row>
    <row r="96" spans="1:15" ht="12.75" customHeight="1">
      <c r="A96" s="4" t="s">
        <v>177</v>
      </c>
      <c r="B96" s="5" t="s">
        <v>178</v>
      </c>
      <c r="C96" s="28">
        <v>1034</v>
      </c>
      <c r="D96" s="28">
        <v>757</v>
      </c>
      <c r="E96" s="28">
        <v>67</v>
      </c>
      <c r="F96" s="28">
        <f>SUM(C96-D96-E96)</f>
        <v>210</v>
      </c>
      <c r="G96" s="28">
        <v>5702</v>
      </c>
      <c r="H96" s="28">
        <v>2939</v>
      </c>
      <c r="I96" s="28">
        <v>357</v>
      </c>
      <c r="J96" s="28">
        <f>SUM(G96-H96-I96)</f>
        <v>2406</v>
      </c>
      <c r="K96" s="28">
        <v>16</v>
      </c>
      <c r="L96" s="28">
        <v>0</v>
      </c>
      <c r="M96" s="28">
        <v>2398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322</v>
      </c>
      <c r="D97" s="28">
        <v>305</v>
      </c>
      <c r="E97" s="28">
        <v>0</v>
      </c>
      <c r="F97" s="28">
        <f>SUM(C97-D97-E97)</f>
        <v>17</v>
      </c>
      <c r="G97" s="28">
        <v>1431</v>
      </c>
      <c r="H97" s="28">
        <v>1241</v>
      </c>
      <c r="I97" s="28">
        <v>0</v>
      </c>
      <c r="J97" s="28">
        <f>SUM(G97-H97-I97)</f>
        <v>190</v>
      </c>
      <c r="K97" s="28">
        <v>31</v>
      </c>
      <c r="L97" s="28">
        <v>0</v>
      </c>
      <c r="M97" s="28">
        <v>137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1356</v>
      </c>
      <c r="D98" s="29">
        <f t="shared" si="22"/>
        <v>1062</v>
      </c>
      <c r="E98" s="29">
        <f t="shared" si="22"/>
        <v>67</v>
      </c>
      <c r="F98" s="29">
        <f t="shared" si="22"/>
        <v>227</v>
      </c>
      <c r="G98" s="29">
        <f t="shared" si="22"/>
        <v>7133</v>
      </c>
      <c r="H98" s="29">
        <f t="shared" si="22"/>
        <v>4180</v>
      </c>
      <c r="I98" s="29">
        <f t="shared" si="22"/>
        <v>357</v>
      </c>
      <c r="J98" s="29">
        <f t="shared" si="22"/>
        <v>2596</v>
      </c>
      <c r="K98" s="29">
        <f t="shared" si="22"/>
        <v>47</v>
      </c>
      <c r="L98" s="29">
        <f t="shared" si="22"/>
        <v>0</v>
      </c>
      <c r="M98" s="29">
        <f t="shared" si="22"/>
        <v>2535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2723</v>
      </c>
      <c r="D99" s="28">
        <v>2183</v>
      </c>
      <c r="E99" s="28">
        <v>151</v>
      </c>
      <c r="F99" s="28">
        <f>SUM(C99-D99-E99)</f>
        <v>389</v>
      </c>
      <c r="G99" s="28">
        <v>12627</v>
      </c>
      <c r="H99" s="28">
        <v>7059</v>
      </c>
      <c r="I99" s="28">
        <v>899</v>
      </c>
      <c r="J99" s="28">
        <f>SUM(G99-H99-I99)</f>
        <v>4669</v>
      </c>
      <c r="K99" s="28">
        <v>21</v>
      </c>
      <c r="L99" s="28">
        <v>0</v>
      </c>
      <c r="M99" s="28">
        <v>1726</v>
      </c>
      <c r="N99" s="28">
        <v>26</v>
      </c>
      <c r="O99" s="28">
        <v>26</v>
      </c>
    </row>
    <row r="100" spans="1:15" ht="12.75" customHeight="1">
      <c r="A100" s="4" t="s">
        <v>184</v>
      </c>
      <c r="B100" s="5" t="s">
        <v>185</v>
      </c>
      <c r="C100" s="28">
        <v>2539</v>
      </c>
      <c r="D100" s="28">
        <v>1199</v>
      </c>
      <c r="E100" s="28">
        <v>103</v>
      </c>
      <c r="F100" s="28">
        <f>SUM(C100-D100-E100)</f>
        <v>1237</v>
      </c>
      <c r="G100" s="28">
        <v>10289</v>
      </c>
      <c r="H100" s="28">
        <v>3594</v>
      </c>
      <c r="I100" s="28">
        <v>400</v>
      </c>
      <c r="J100" s="28">
        <f>SUM(G100-H100-I100)</f>
        <v>6295</v>
      </c>
      <c r="K100" s="28">
        <v>132</v>
      </c>
      <c r="L100" s="28">
        <v>0</v>
      </c>
      <c r="M100" s="28">
        <v>970</v>
      </c>
      <c r="N100" s="28">
        <v>0</v>
      </c>
      <c r="O100" s="28">
        <v>0</v>
      </c>
    </row>
    <row r="101" spans="1:15" ht="12.75" customHeight="1">
      <c r="A101" s="4" t="s">
        <v>186</v>
      </c>
      <c r="B101" s="5" t="s">
        <v>187</v>
      </c>
      <c r="C101" s="28">
        <v>1395</v>
      </c>
      <c r="D101" s="28">
        <v>1062</v>
      </c>
      <c r="E101" s="28">
        <v>0</v>
      </c>
      <c r="F101" s="28">
        <f>SUM(C101-D101-E101)</f>
        <v>333</v>
      </c>
      <c r="G101" s="28">
        <v>4614</v>
      </c>
      <c r="H101" s="28">
        <v>3011</v>
      </c>
      <c r="I101" s="28">
        <v>0</v>
      </c>
      <c r="J101" s="28">
        <f>SUM(G101-H101-I101)</f>
        <v>1603</v>
      </c>
      <c r="K101" s="28">
        <v>7</v>
      </c>
      <c r="L101" s="28">
        <v>0</v>
      </c>
      <c r="M101" s="28">
        <v>587</v>
      </c>
      <c r="N101" s="28">
        <v>101</v>
      </c>
      <c r="O101" s="28">
        <v>101</v>
      </c>
    </row>
    <row r="102" spans="1:15" ht="12.75" customHeight="1">
      <c r="A102" s="4" t="s">
        <v>188</v>
      </c>
      <c r="B102" s="5" t="s">
        <v>189</v>
      </c>
      <c r="C102" s="28">
        <v>2165</v>
      </c>
      <c r="D102" s="28">
        <v>1781</v>
      </c>
      <c r="E102" s="28">
        <v>140</v>
      </c>
      <c r="F102" s="28">
        <f>SUM(C102-D102-E102)</f>
        <v>244</v>
      </c>
      <c r="G102" s="28">
        <v>8483</v>
      </c>
      <c r="H102" s="28">
        <v>4984</v>
      </c>
      <c r="I102" s="28">
        <v>1121</v>
      </c>
      <c r="J102" s="28">
        <f>SUM(G102-H102-I102)</f>
        <v>2378</v>
      </c>
      <c r="K102" s="28">
        <v>60</v>
      </c>
      <c r="L102" s="28">
        <v>0</v>
      </c>
      <c r="M102" s="28">
        <v>811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8822</v>
      </c>
      <c r="D103" s="29">
        <f t="shared" si="23"/>
        <v>6225</v>
      </c>
      <c r="E103" s="29">
        <f t="shared" si="23"/>
        <v>394</v>
      </c>
      <c r="F103" s="29">
        <f t="shared" si="23"/>
        <v>2203</v>
      </c>
      <c r="G103" s="29">
        <f t="shared" si="23"/>
        <v>36013</v>
      </c>
      <c r="H103" s="29">
        <f t="shared" si="23"/>
        <v>18648</v>
      </c>
      <c r="I103" s="29">
        <f t="shared" si="23"/>
        <v>2420</v>
      </c>
      <c r="J103" s="29">
        <f t="shared" si="23"/>
        <v>14945</v>
      </c>
      <c r="K103" s="29">
        <f t="shared" si="23"/>
        <v>220</v>
      </c>
      <c r="L103" s="29">
        <f t="shared" si="23"/>
        <v>0</v>
      </c>
      <c r="M103" s="29">
        <f t="shared" si="23"/>
        <v>4094</v>
      </c>
      <c r="N103" s="29">
        <f t="shared" si="23"/>
        <v>127</v>
      </c>
      <c r="O103" s="29">
        <f t="shared" si="23"/>
        <v>127</v>
      </c>
    </row>
    <row r="104" spans="1:15" ht="12.75" customHeight="1">
      <c r="A104" s="4" t="s">
        <v>191</v>
      </c>
      <c r="B104" s="5" t="s">
        <v>192</v>
      </c>
      <c r="C104" s="28">
        <v>1585</v>
      </c>
      <c r="D104" s="28">
        <v>1290</v>
      </c>
      <c r="E104" s="28">
        <v>71</v>
      </c>
      <c r="F104" s="28">
        <f>SUM(C104-D104-E104)</f>
        <v>224</v>
      </c>
      <c r="G104" s="28">
        <v>7533</v>
      </c>
      <c r="H104" s="28">
        <v>4631</v>
      </c>
      <c r="I104" s="28">
        <v>525</v>
      </c>
      <c r="J104" s="28">
        <f>SUM(G104-H104-I104)</f>
        <v>2377</v>
      </c>
      <c r="K104" s="28">
        <v>63</v>
      </c>
      <c r="L104" s="28">
        <v>0</v>
      </c>
      <c r="M104" s="28">
        <v>469</v>
      </c>
      <c r="N104" s="28">
        <v>16</v>
      </c>
      <c r="O104" s="28">
        <v>16</v>
      </c>
    </row>
    <row r="105" spans="1:15" ht="12.75" customHeight="1">
      <c r="A105" s="4" t="s">
        <v>193</v>
      </c>
      <c r="B105" s="5" t="s">
        <v>194</v>
      </c>
      <c r="C105" s="28">
        <v>1252</v>
      </c>
      <c r="D105" s="28">
        <v>760</v>
      </c>
      <c r="E105" s="28">
        <v>0</v>
      </c>
      <c r="F105" s="28">
        <f>SUM(C105-D105-E105)</f>
        <v>492</v>
      </c>
      <c r="G105" s="28">
        <v>5316</v>
      </c>
      <c r="H105" s="28">
        <v>3077</v>
      </c>
      <c r="I105" s="28">
        <v>0</v>
      </c>
      <c r="J105" s="28">
        <f>SUM(G105-H105-I105)</f>
        <v>2239</v>
      </c>
      <c r="K105" s="28">
        <v>11</v>
      </c>
      <c r="L105" s="28">
        <v>0</v>
      </c>
      <c r="M105" s="28">
        <v>957</v>
      </c>
      <c r="N105" s="28">
        <v>27</v>
      </c>
      <c r="O105" s="28">
        <v>27</v>
      </c>
    </row>
    <row r="106" spans="1:15" ht="12.75" customHeight="1">
      <c r="A106" s="4" t="s">
        <v>195</v>
      </c>
      <c r="B106" s="5" t="s">
        <v>196</v>
      </c>
      <c r="C106" s="28">
        <v>5173</v>
      </c>
      <c r="D106" s="28">
        <v>3131</v>
      </c>
      <c r="E106" s="28">
        <v>244</v>
      </c>
      <c r="F106" s="28">
        <f>SUM(C106-D106-E106)</f>
        <v>1798</v>
      </c>
      <c r="G106" s="28">
        <v>25465</v>
      </c>
      <c r="H106" s="28">
        <v>9654</v>
      </c>
      <c r="I106" s="28">
        <v>1390</v>
      </c>
      <c r="J106" s="28">
        <f>SUM(G106-H106-I106)</f>
        <v>14421</v>
      </c>
      <c r="K106" s="28">
        <v>52</v>
      </c>
      <c r="L106" s="28">
        <v>0</v>
      </c>
      <c r="M106" s="28">
        <v>8346</v>
      </c>
      <c r="N106" s="28">
        <v>153</v>
      </c>
      <c r="O106" s="28">
        <v>153</v>
      </c>
    </row>
    <row r="107" spans="1:15" ht="12.75" customHeight="1">
      <c r="A107" s="4" t="s">
        <v>197</v>
      </c>
      <c r="B107" s="5" t="s">
        <v>198</v>
      </c>
      <c r="C107" s="28">
        <v>20361</v>
      </c>
      <c r="D107" s="28">
        <v>14861</v>
      </c>
      <c r="E107" s="28">
        <v>521</v>
      </c>
      <c r="F107" s="28">
        <f>SUM(C107-D107-E107)</f>
        <v>4979</v>
      </c>
      <c r="G107" s="28">
        <v>59241</v>
      </c>
      <c r="H107" s="28">
        <v>29617</v>
      </c>
      <c r="I107" s="28">
        <v>1396</v>
      </c>
      <c r="J107" s="28">
        <f>SUM(G107-H107-I107)</f>
        <v>28228</v>
      </c>
      <c r="K107" s="28">
        <v>541</v>
      </c>
      <c r="L107" s="28">
        <v>0</v>
      </c>
      <c r="M107" s="28">
        <v>1504</v>
      </c>
      <c r="N107" s="28">
        <v>2717</v>
      </c>
      <c r="O107" s="28">
        <v>2717</v>
      </c>
    </row>
    <row r="108" spans="1:15" ht="12.75" customHeight="1">
      <c r="A108" s="4" t="s">
        <v>199</v>
      </c>
      <c r="B108" s="5" t="s">
        <v>200</v>
      </c>
      <c r="C108" s="28">
        <v>5620</v>
      </c>
      <c r="D108" s="28">
        <v>3728</v>
      </c>
      <c r="E108" s="28">
        <v>257</v>
      </c>
      <c r="F108" s="28">
        <f>SUM(C108-D108-E108)</f>
        <v>1635</v>
      </c>
      <c r="G108" s="28">
        <v>30967</v>
      </c>
      <c r="H108" s="28">
        <v>11257</v>
      </c>
      <c r="I108" s="28">
        <v>1581</v>
      </c>
      <c r="J108" s="28">
        <f>SUM(G108-H108-I108)</f>
        <v>18129</v>
      </c>
      <c r="K108" s="28">
        <v>95</v>
      </c>
      <c r="L108" s="28">
        <v>0</v>
      </c>
      <c r="M108" s="28">
        <v>1597</v>
      </c>
      <c r="N108" s="28">
        <v>495</v>
      </c>
      <c r="O108" s="28">
        <v>495</v>
      </c>
    </row>
    <row r="109" spans="1:15" ht="12.75" customHeight="1">
      <c r="A109" s="8"/>
      <c r="B109" s="9" t="s">
        <v>201</v>
      </c>
      <c r="C109" s="29">
        <f t="shared" ref="C109:O109" si="24">SUM(C104:C108)</f>
        <v>33991</v>
      </c>
      <c r="D109" s="29">
        <f t="shared" si="24"/>
        <v>23770</v>
      </c>
      <c r="E109" s="29">
        <f t="shared" si="24"/>
        <v>1093</v>
      </c>
      <c r="F109" s="29">
        <f t="shared" si="24"/>
        <v>9128</v>
      </c>
      <c r="G109" s="29">
        <f t="shared" si="24"/>
        <v>128522</v>
      </c>
      <c r="H109" s="29">
        <f t="shared" si="24"/>
        <v>58236</v>
      </c>
      <c r="I109" s="29">
        <f t="shared" si="24"/>
        <v>4892</v>
      </c>
      <c r="J109" s="29">
        <f t="shared" si="24"/>
        <v>65394</v>
      </c>
      <c r="K109" s="29">
        <f t="shared" si="24"/>
        <v>762</v>
      </c>
      <c r="L109" s="29">
        <f t="shared" si="24"/>
        <v>0</v>
      </c>
      <c r="M109" s="29">
        <f t="shared" si="24"/>
        <v>12873</v>
      </c>
      <c r="N109" s="29">
        <f t="shared" si="24"/>
        <v>3408</v>
      </c>
      <c r="O109" s="29">
        <f t="shared" si="24"/>
        <v>3408</v>
      </c>
    </row>
    <row r="110" spans="1:15" ht="12.75" customHeight="1">
      <c r="A110" s="4" t="s">
        <v>202</v>
      </c>
      <c r="B110" s="5" t="s">
        <v>203</v>
      </c>
      <c r="C110" s="28">
        <v>10609</v>
      </c>
      <c r="D110" s="28">
        <v>7671</v>
      </c>
      <c r="E110" s="28">
        <v>93</v>
      </c>
      <c r="F110" s="28">
        <f t="shared" ref="F110:F115" si="25">SUM(C110-D110-E110)</f>
        <v>2845</v>
      </c>
      <c r="G110" s="28">
        <v>45586</v>
      </c>
      <c r="H110" s="28">
        <v>27056</v>
      </c>
      <c r="I110" s="28">
        <v>696</v>
      </c>
      <c r="J110" s="28">
        <f t="shared" ref="J110:J115" si="26">SUM(G110-H110-I110)</f>
        <v>17834</v>
      </c>
      <c r="K110" s="28">
        <v>579</v>
      </c>
      <c r="L110" s="28">
        <v>0</v>
      </c>
      <c r="M110" s="28">
        <v>7428</v>
      </c>
      <c r="N110" s="28">
        <v>117</v>
      </c>
      <c r="O110" s="28">
        <v>117</v>
      </c>
    </row>
    <row r="111" spans="1:15" ht="12.75" customHeight="1">
      <c r="A111" s="4" t="s">
        <v>204</v>
      </c>
      <c r="B111" s="5" t="s">
        <v>205</v>
      </c>
      <c r="C111" s="28">
        <v>1795</v>
      </c>
      <c r="D111" s="28">
        <v>1686</v>
      </c>
      <c r="E111" s="28">
        <v>7</v>
      </c>
      <c r="F111" s="28">
        <f t="shared" si="25"/>
        <v>102</v>
      </c>
      <c r="G111" s="28">
        <v>6209</v>
      </c>
      <c r="H111" s="28">
        <v>4999</v>
      </c>
      <c r="I111" s="28">
        <v>196</v>
      </c>
      <c r="J111" s="28">
        <f t="shared" si="26"/>
        <v>1014</v>
      </c>
      <c r="K111" s="28">
        <v>0</v>
      </c>
      <c r="L111" s="28">
        <v>0</v>
      </c>
      <c r="M111" s="28">
        <v>789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3976</v>
      </c>
      <c r="D112" s="28">
        <v>2577</v>
      </c>
      <c r="E112" s="28">
        <v>0</v>
      </c>
      <c r="F112" s="28">
        <f t="shared" si="25"/>
        <v>1399</v>
      </c>
      <c r="G112" s="28">
        <v>13554</v>
      </c>
      <c r="H112" s="28">
        <v>7879</v>
      </c>
      <c r="I112" s="28">
        <v>0</v>
      </c>
      <c r="J112" s="28">
        <f t="shared" si="26"/>
        <v>5675</v>
      </c>
      <c r="K112" s="28">
        <v>949</v>
      </c>
      <c r="L112" s="28">
        <v>0</v>
      </c>
      <c r="M112" s="28">
        <v>1620</v>
      </c>
      <c r="N112" s="28">
        <v>52</v>
      </c>
      <c r="O112" s="28">
        <v>52</v>
      </c>
    </row>
    <row r="113" spans="1:15" ht="12.75" customHeight="1">
      <c r="A113" s="4" t="s">
        <v>208</v>
      </c>
      <c r="B113" s="5" t="s">
        <v>209</v>
      </c>
      <c r="C113" s="28">
        <v>2915</v>
      </c>
      <c r="D113" s="28">
        <v>1914</v>
      </c>
      <c r="E113" s="28">
        <v>54</v>
      </c>
      <c r="F113" s="28">
        <f t="shared" si="25"/>
        <v>947</v>
      </c>
      <c r="G113" s="28">
        <v>13658</v>
      </c>
      <c r="H113" s="28">
        <v>6336</v>
      </c>
      <c r="I113" s="28">
        <v>352</v>
      </c>
      <c r="J113" s="28">
        <f t="shared" si="26"/>
        <v>6970</v>
      </c>
      <c r="K113" s="28">
        <v>106</v>
      </c>
      <c r="L113" s="28">
        <v>0</v>
      </c>
      <c r="M113" s="28">
        <v>6220</v>
      </c>
      <c r="N113" s="28">
        <v>148</v>
      </c>
      <c r="O113" s="28">
        <v>148</v>
      </c>
    </row>
    <row r="114" spans="1:15" ht="12.75" customHeight="1">
      <c r="A114" s="4" t="s">
        <v>210</v>
      </c>
      <c r="B114" s="5" t="s">
        <v>211</v>
      </c>
      <c r="C114" s="28">
        <v>7837</v>
      </c>
      <c r="D114" s="28">
        <v>5646</v>
      </c>
      <c r="E114" s="28">
        <v>0</v>
      </c>
      <c r="F114" s="28">
        <f t="shared" si="25"/>
        <v>2191</v>
      </c>
      <c r="G114" s="28">
        <v>23123</v>
      </c>
      <c r="H114" s="28">
        <v>13999</v>
      </c>
      <c r="I114" s="28">
        <v>0</v>
      </c>
      <c r="J114" s="28">
        <f t="shared" si="26"/>
        <v>9124</v>
      </c>
      <c r="K114" s="28">
        <v>635</v>
      </c>
      <c r="L114" s="28">
        <v>0</v>
      </c>
      <c r="M114" s="28">
        <v>3017</v>
      </c>
      <c r="N114" s="28">
        <v>156</v>
      </c>
      <c r="O114" s="28">
        <v>156</v>
      </c>
    </row>
    <row r="115" spans="1:15" ht="12.75" customHeight="1">
      <c r="A115" s="4" t="s">
        <v>212</v>
      </c>
      <c r="B115" s="5" t="s">
        <v>213</v>
      </c>
      <c r="C115" s="28">
        <v>4849</v>
      </c>
      <c r="D115" s="28">
        <v>4149</v>
      </c>
      <c r="E115" s="28">
        <v>0</v>
      </c>
      <c r="F115" s="28">
        <f t="shared" si="25"/>
        <v>700</v>
      </c>
      <c r="G115" s="28">
        <v>16888</v>
      </c>
      <c r="H115" s="28">
        <v>12645</v>
      </c>
      <c r="I115" s="28">
        <v>0</v>
      </c>
      <c r="J115" s="28">
        <f t="shared" si="26"/>
        <v>4243</v>
      </c>
      <c r="K115" s="28">
        <v>327</v>
      </c>
      <c r="L115" s="28">
        <v>0</v>
      </c>
      <c r="M115" s="28">
        <v>3141</v>
      </c>
      <c r="N115" s="28">
        <v>271</v>
      </c>
      <c r="O115" s="28">
        <v>271</v>
      </c>
    </row>
    <row r="116" spans="1:15" ht="12.75" customHeight="1">
      <c r="A116" s="8"/>
      <c r="B116" s="9" t="s">
        <v>214</v>
      </c>
      <c r="C116" s="29">
        <f t="shared" ref="C116:O116" si="27">SUM(C110:C115)</f>
        <v>31981</v>
      </c>
      <c r="D116" s="29">
        <f t="shared" si="27"/>
        <v>23643</v>
      </c>
      <c r="E116" s="29">
        <f t="shared" si="27"/>
        <v>154</v>
      </c>
      <c r="F116" s="29">
        <f t="shared" si="27"/>
        <v>8184</v>
      </c>
      <c r="G116" s="29">
        <f t="shared" si="27"/>
        <v>119018</v>
      </c>
      <c r="H116" s="29">
        <f t="shared" si="27"/>
        <v>72914</v>
      </c>
      <c r="I116" s="29">
        <f t="shared" si="27"/>
        <v>1244</v>
      </c>
      <c r="J116" s="29">
        <f t="shared" si="27"/>
        <v>44860</v>
      </c>
      <c r="K116" s="29">
        <f t="shared" si="27"/>
        <v>2596</v>
      </c>
      <c r="L116" s="29">
        <f t="shared" si="27"/>
        <v>0</v>
      </c>
      <c r="M116" s="29">
        <f t="shared" si="27"/>
        <v>22215</v>
      </c>
      <c r="N116" s="29">
        <f t="shared" si="27"/>
        <v>744</v>
      </c>
      <c r="O116" s="29">
        <f t="shared" si="27"/>
        <v>744</v>
      </c>
    </row>
    <row r="117" spans="1:15" ht="12.75" customHeight="1">
      <c r="A117" s="4" t="s">
        <v>215</v>
      </c>
      <c r="B117" s="5" t="s">
        <v>216</v>
      </c>
      <c r="C117" s="28">
        <v>1182</v>
      </c>
      <c r="D117" s="28">
        <v>836</v>
      </c>
      <c r="E117" s="28">
        <v>0</v>
      </c>
      <c r="F117" s="28">
        <f>SUM(C117-D117-E117)</f>
        <v>346</v>
      </c>
      <c r="G117" s="28">
        <v>5026</v>
      </c>
      <c r="H117" s="28">
        <v>3116</v>
      </c>
      <c r="I117" s="28">
        <v>0</v>
      </c>
      <c r="J117" s="28">
        <f>SUM(G117-H117-I117)</f>
        <v>1910</v>
      </c>
      <c r="K117" s="28">
        <v>0</v>
      </c>
      <c r="L117" s="28">
        <v>0</v>
      </c>
      <c r="M117" s="28">
        <v>2883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2455</v>
      </c>
      <c r="D118" s="28">
        <v>2010</v>
      </c>
      <c r="E118" s="28">
        <v>48</v>
      </c>
      <c r="F118" s="28">
        <f>SUM(C118-D118-E118)</f>
        <v>397</v>
      </c>
      <c r="G118" s="28">
        <v>10115</v>
      </c>
      <c r="H118" s="28">
        <v>6115</v>
      </c>
      <c r="I118" s="28">
        <v>342</v>
      </c>
      <c r="J118" s="28">
        <f>SUM(G118-H118-I118)</f>
        <v>3658</v>
      </c>
      <c r="K118" s="28">
        <v>0</v>
      </c>
      <c r="L118" s="28">
        <v>0</v>
      </c>
      <c r="M118" s="28">
        <v>2453</v>
      </c>
      <c r="N118" s="28">
        <v>63</v>
      </c>
      <c r="O118" s="28">
        <v>63</v>
      </c>
    </row>
    <row r="119" spans="1:15" ht="12.75" customHeight="1">
      <c r="A119" s="8"/>
      <c r="B119" s="9" t="s">
        <v>219</v>
      </c>
      <c r="C119" s="29">
        <f t="shared" ref="C119:O119" si="28">SUM(C117:C118)</f>
        <v>3637</v>
      </c>
      <c r="D119" s="29">
        <f t="shared" si="28"/>
        <v>2846</v>
      </c>
      <c r="E119" s="29">
        <f t="shared" si="28"/>
        <v>48</v>
      </c>
      <c r="F119" s="29">
        <f t="shared" si="28"/>
        <v>743</v>
      </c>
      <c r="G119" s="29">
        <f t="shared" si="28"/>
        <v>15141</v>
      </c>
      <c r="H119" s="29">
        <f t="shared" si="28"/>
        <v>9231</v>
      </c>
      <c r="I119" s="29">
        <f t="shared" si="28"/>
        <v>342</v>
      </c>
      <c r="J119" s="29">
        <f t="shared" si="28"/>
        <v>5568</v>
      </c>
      <c r="K119" s="29">
        <f t="shared" si="28"/>
        <v>0</v>
      </c>
      <c r="L119" s="29">
        <f t="shared" si="28"/>
        <v>0</v>
      </c>
      <c r="M119" s="29">
        <f t="shared" si="28"/>
        <v>5336</v>
      </c>
      <c r="N119" s="29">
        <f t="shared" si="28"/>
        <v>63</v>
      </c>
      <c r="O119" s="29">
        <f t="shared" si="28"/>
        <v>63</v>
      </c>
    </row>
    <row r="120" spans="1:15" ht="12.75" customHeight="1">
      <c r="A120" s="4" t="s">
        <v>220</v>
      </c>
      <c r="B120" s="5" t="s">
        <v>221</v>
      </c>
      <c r="C120" s="28">
        <v>2965</v>
      </c>
      <c r="D120" s="28">
        <v>2603</v>
      </c>
      <c r="E120" s="28">
        <v>53</v>
      </c>
      <c r="F120" s="28">
        <f>SUM(C120-D120-E120)</f>
        <v>309</v>
      </c>
      <c r="G120" s="28">
        <v>10164</v>
      </c>
      <c r="H120" s="28">
        <v>8037</v>
      </c>
      <c r="I120" s="28">
        <v>400</v>
      </c>
      <c r="J120" s="28">
        <f>SUM(G120-H120-I120)</f>
        <v>1727</v>
      </c>
      <c r="K120" s="28">
        <v>154</v>
      </c>
      <c r="L120" s="28">
        <v>0</v>
      </c>
      <c r="M120" s="28">
        <v>769</v>
      </c>
      <c r="N120" s="28">
        <v>393</v>
      </c>
      <c r="O120" s="28">
        <v>393</v>
      </c>
    </row>
    <row r="121" spans="1:15" ht="12.75" customHeight="1">
      <c r="A121" s="4" t="s">
        <v>222</v>
      </c>
      <c r="B121" s="5" t="s">
        <v>223</v>
      </c>
      <c r="C121" s="28">
        <v>4749</v>
      </c>
      <c r="D121" s="28">
        <v>4335</v>
      </c>
      <c r="E121" s="28">
        <v>112</v>
      </c>
      <c r="F121" s="28">
        <f>SUM(C121-D121-E121)</f>
        <v>302</v>
      </c>
      <c r="G121" s="28">
        <v>18184</v>
      </c>
      <c r="H121" s="28">
        <v>13099</v>
      </c>
      <c r="I121" s="28">
        <v>739</v>
      </c>
      <c r="J121" s="28">
        <f>SUM(G121-H121-I121)</f>
        <v>4346</v>
      </c>
      <c r="K121" s="28">
        <v>26</v>
      </c>
      <c r="L121" s="28">
        <v>0</v>
      </c>
      <c r="M121" s="28">
        <v>1734</v>
      </c>
      <c r="N121" s="28">
        <v>86</v>
      </c>
      <c r="O121" s="28">
        <v>86</v>
      </c>
    </row>
    <row r="122" spans="1:15" ht="12.75" customHeight="1">
      <c r="A122" s="4" t="s">
        <v>224</v>
      </c>
      <c r="B122" s="5" t="s">
        <v>225</v>
      </c>
      <c r="C122" s="28">
        <v>828</v>
      </c>
      <c r="D122" s="28">
        <v>753</v>
      </c>
      <c r="E122" s="28">
        <v>0</v>
      </c>
      <c r="F122" s="28">
        <f>SUM(C122-D122-E122)</f>
        <v>75</v>
      </c>
      <c r="G122" s="28">
        <v>3042</v>
      </c>
      <c r="H122" s="28">
        <v>2060</v>
      </c>
      <c r="I122" s="28">
        <v>0</v>
      </c>
      <c r="J122" s="28">
        <f>SUM(G122-H122-I122)</f>
        <v>982</v>
      </c>
      <c r="K122" s="28">
        <v>0</v>
      </c>
      <c r="L122" s="28">
        <v>0</v>
      </c>
      <c r="M122" s="28">
        <v>1399</v>
      </c>
      <c r="N122" s="28">
        <v>12</v>
      </c>
      <c r="O122" s="28">
        <v>12</v>
      </c>
    </row>
    <row r="123" spans="1:15" ht="12.75" customHeight="1">
      <c r="A123" s="4" t="s">
        <v>226</v>
      </c>
      <c r="B123" s="5" t="s">
        <v>227</v>
      </c>
      <c r="C123" s="28">
        <v>4580</v>
      </c>
      <c r="D123" s="28">
        <v>3778</v>
      </c>
      <c r="E123" s="28">
        <v>70</v>
      </c>
      <c r="F123" s="28">
        <f>SUM(C123-D123-E123)</f>
        <v>732</v>
      </c>
      <c r="G123" s="28">
        <v>17406</v>
      </c>
      <c r="H123" s="28">
        <v>9698</v>
      </c>
      <c r="I123" s="28">
        <v>454</v>
      </c>
      <c r="J123" s="28">
        <f>SUM(G123-H123-I123)</f>
        <v>7254</v>
      </c>
      <c r="K123" s="28">
        <v>95</v>
      </c>
      <c r="L123" s="28">
        <v>0</v>
      </c>
      <c r="M123" s="28">
        <v>712</v>
      </c>
      <c r="N123" s="28">
        <v>27</v>
      </c>
      <c r="O123" s="28">
        <v>27</v>
      </c>
    </row>
    <row r="124" spans="1:15" ht="12.75" customHeight="1">
      <c r="A124" s="4" t="s">
        <v>228</v>
      </c>
      <c r="B124" s="5" t="s">
        <v>229</v>
      </c>
      <c r="C124" s="28">
        <v>1626</v>
      </c>
      <c r="D124" s="28">
        <v>1460</v>
      </c>
      <c r="E124" s="28">
        <v>53</v>
      </c>
      <c r="F124" s="28">
        <f>SUM(C124-D124-E124)</f>
        <v>113</v>
      </c>
      <c r="G124" s="28">
        <v>5035</v>
      </c>
      <c r="H124" s="28">
        <v>3705</v>
      </c>
      <c r="I124" s="28">
        <v>400</v>
      </c>
      <c r="J124" s="28">
        <f>SUM(G124-H124-I124)</f>
        <v>930</v>
      </c>
      <c r="K124" s="28">
        <v>12</v>
      </c>
      <c r="L124" s="28">
        <v>0</v>
      </c>
      <c r="M124" s="28">
        <v>71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14748</v>
      </c>
      <c r="D125" s="29">
        <f t="shared" si="29"/>
        <v>12929</v>
      </c>
      <c r="E125" s="29">
        <f t="shared" si="29"/>
        <v>288</v>
      </c>
      <c r="F125" s="29">
        <f t="shared" si="29"/>
        <v>1531</v>
      </c>
      <c r="G125" s="29">
        <f t="shared" si="29"/>
        <v>53831</v>
      </c>
      <c r="H125" s="29">
        <f t="shared" si="29"/>
        <v>36599</v>
      </c>
      <c r="I125" s="29">
        <f t="shared" si="29"/>
        <v>1993</v>
      </c>
      <c r="J125" s="29">
        <f t="shared" si="29"/>
        <v>15239</v>
      </c>
      <c r="K125" s="29">
        <f t="shared" si="29"/>
        <v>287</v>
      </c>
      <c r="L125" s="29">
        <f t="shared" si="29"/>
        <v>0</v>
      </c>
      <c r="M125" s="29">
        <f t="shared" si="29"/>
        <v>4685</v>
      </c>
      <c r="N125" s="29">
        <f t="shared" si="29"/>
        <v>518</v>
      </c>
      <c r="O125" s="29">
        <f t="shared" si="29"/>
        <v>518</v>
      </c>
    </row>
    <row r="126" spans="1:15" ht="12.75" customHeight="1">
      <c r="A126" s="4" t="s">
        <v>231</v>
      </c>
      <c r="B126" s="5" t="s">
        <v>232</v>
      </c>
      <c r="C126" s="28">
        <v>3143</v>
      </c>
      <c r="D126" s="28">
        <v>2130</v>
      </c>
      <c r="E126" s="28">
        <v>0</v>
      </c>
      <c r="F126" s="28">
        <f t="shared" ref="F126:F134" si="30">SUM(C126-D126-E126)</f>
        <v>1013</v>
      </c>
      <c r="G126" s="28">
        <v>8718</v>
      </c>
      <c r="H126" s="28">
        <v>4964</v>
      </c>
      <c r="I126" s="28">
        <v>0</v>
      </c>
      <c r="J126" s="28">
        <f t="shared" ref="J126:J134" si="31">SUM(G126-H126-I126)</f>
        <v>3754</v>
      </c>
      <c r="K126" s="28">
        <v>8</v>
      </c>
      <c r="L126" s="28">
        <v>0</v>
      </c>
      <c r="M126" s="28">
        <v>947</v>
      </c>
      <c r="N126" s="28">
        <v>19</v>
      </c>
      <c r="O126" s="28">
        <v>19</v>
      </c>
    </row>
    <row r="127" spans="1:15" ht="12.75" customHeight="1">
      <c r="A127" s="4" t="s">
        <v>233</v>
      </c>
      <c r="B127" s="5" t="s">
        <v>234</v>
      </c>
      <c r="C127" s="28">
        <v>1498</v>
      </c>
      <c r="D127" s="28">
        <v>1152</v>
      </c>
      <c r="E127" s="28">
        <v>0</v>
      </c>
      <c r="F127" s="28">
        <f t="shared" si="30"/>
        <v>346</v>
      </c>
      <c r="G127" s="28">
        <v>5152</v>
      </c>
      <c r="H127" s="28">
        <v>3852</v>
      </c>
      <c r="I127" s="28">
        <v>0</v>
      </c>
      <c r="J127" s="28">
        <f t="shared" si="31"/>
        <v>1300</v>
      </c>
      <c r="K127" s="28">
        <v>4</v>
      </c>
      <c r="L127" s="28">
        <v>0</v>
      </c>
      <c r="M127" s="28">
        <v>541</v>
      </c>
      <c r="N127" s="28">
        <v>42</v>
      </c>
      <c r="O127" s="28">
        <v>42</v>
      </c>
    </row>
    <row r="128" spans="1:15" ht="12.75" customHeight="1">
      <c r="A128" s="4" t="s">
        <v>235</v>
      </c>
      <c r="B128" s="5" t="s">
        <v>236</v>
      </c>
      <c r="C128" s="28">
        <v>9550</v>
      </c>
      <c r="D128" s="28">
        <v>6462</v>
      </c>
      <c r="E128" s="28">
        <v>249</v>
      </c>
      <c r="F128" s="28">
        <f t="shared" si="30"/>
        <v>2839</v>
      </c>
      <c r="G128" s="28">
        <v>24057</v>
      </c>
      <c r="H128" s="28">
        <v>13550</v>
      </c>
      <c r="I128" s="28">
        <v>915</v>
      </c>
      <c r="J128" s="28">
        <f t="shared" si="31"/>
        <v>9592</v>
      </c>
      <c r="K128" s="28">
        <v>46</v>
      </c>
      <c r="L128" s="28">
        <v>0</v>
      </c>
      <c r="M128" s="28">
        <v>1777</v>
      </c>
      <c r="N128" s="28">
        <v>267</v>
      </c>
      <c r="O128" s="28">
        <v>267</v>
      </c>
    </row>
    <row r="129" spans="1:15" ht="12.75" customHeight="1">
      <c r="A129" s="4" t="s">
        <v>237</v>
      </c>
      <c r="B129" s="5" t="s">
        <v>238</v>
      </c>
      <c r="C129" s="28">
        <v>1087</v>
      </c>
      <c r="D129" s="28">
        <v>635</v>
      </c>
      <c r="E129" s="28">
        <v>66</v>
      </c>
      <c r="F129" s="28">
        <f t="shared" si="30"/>
        <v>386</v>
      </c>
      <c r="G129" s="28">
        <v>4762</v>
      </c>
      <c r="H129" s="28">
        <v>1646</v>
      </c>
      <c r="I129" s="28">
        <v>403</v>
      </c>
      <c r="J129" s="28">
        <f t="shared" si="31"/>
        <v>2713</v>
      </c>
      <c r="K129" s="28">
        <v>32</v>
      </c>
      <c r="L129" s="28">
        <v>0</v>
      </c>
      <c r="M129" s="28">
        <v>1669</v>
      </c>
      <c r="N129" s="28">
        <v>80</v>
      </c>
      <c r="O129" s="28">
        <v>80</v>
      </c>
    </row>
    <row r="130" spans="1:15" ht="12.75" customHeight="1">
      <c r="A130" s="4" t="s">
        <v>239</v>
      </c>
      <c r="B130" s="5" t="s">
        <v>240</v>
      </c>
      <c r="C130" s="28">
        <v>6358</v>
      </c>
      <c r="D130" s="28">
        <v>5284</v>
      </c>
      <c r="E130" s="28">
        <v>367</v>
      </c>
      <c r="F130" s="28">
        <f t="shared" si="30"/>
        <v>707</v>
      </c>
      <c r="G130" s="28">
        <v>17455</v>
      </c>
      <c r="H130" s="28">
        <v>9022</v>
      </c>
      <c r="I130" s="28">
        <v>1538</v>
      </c>
      <c r="J130" s="28">
        <f t="shared" si="31"/>
        <v>6895</v>
      </c>
      <c r="K130" s="28">
        <v>45</v>
      </c>
      <c r="L130" s="28">
        <v>0</v>
      </c>
      <c r="M130" s="28">
        <v>52</v>
      </c>
      <c r="N130" s="28">
        <v>534</v>
      </c>
      <c r="O130" s="28">
        <v>534</v>
      </c>
    </row>
    <row r="131" spans="1:15" ht="12.75" customHeight="1">
      <c r="A131" s="4" t="s">
        <v>241</v>
      </c>
      <c r="B131" s="5" t="s">
        <v>242</v>
      </c>
      <c r="C131" s="28">
        <v>10726</v>
      </c>
      <c r="D131" s="28">
        <v>9701</v>
      </c>
      <c r="E131" s="28">
        <v>105</v>
      </c>
      <c r="F131" s="28">
        <f t="shared" si="30"/>
        <v>920</v>
      </c>
      <c r="G131" s="28">
        <v>27112</v>
      </c>
      <c r="H131" s="28">
        <v>15875</v>
      </c>
      <c r="I131" s="28">
        <v>478</v>
      </c>
      <c r="J131" s="28">
        <f t="shared" si="31"/>
        <v>10759</v>
      </c>
      <c r="K131" s="28">
        <v>689</v>
      </c>
      <c r="L131" s="28">
        <v>0</v>
      </c>
      <c r="M131" s="28">
        <v>919</v>
      </c>
      <c r="N131" s="28">
        <v>587</v>
      </c>
      <c r="O131" s="28">
        <v>587</v>
      </c>
    </row>
    <row r="132" spans="1:15" ht="12.75" customHeight="1">
      <c r="A132" s="4" t="s">
        <v>243</v>
      </c>
      <c r="B132" s="5" t="s">
        <v>244</v>
      </c>
      <c r="C132" s="28">
        <v>8002</v>
      </c>
      <c r="D132" s="28">
        <v>5856</v>
      </c>
      <c r="E132" s="28">
        <v>0</v>
      </c>
      <c r="F132" s="28">
        <f t="shared" si="30"/>
        <v>2146</v>
      </c>
      <c r="G132" s="28">
        <v>24347</v>
      </c>
      <c r="H132" s="28">
        <v>11573</v>
      </c>
      <c r="I132" s="28">
        <v>0</v>
      </c>
      <c r="J132" s="28">
        <f t="shared" si="31"/>
        <v>12774</v>
      </c>
      <c r="K132" s="28">
        <v>607</v>
      </c>
      <c r="L132" s="28">
        <v>0</v>
      </c>
      <c r="M132" s="28">
        <v>2457</v>
      </c>
      <c r="N132" s="28">
        <v>9</v>
      </c>
      <c r="O132" s="28">
        <v>9</v>
      </c>
    </row>
    <row r="133" spans="1:15" ht="12.75" customHeight="1">
      <c r="A133" s="4" t="s">
        <v>245</v>
      </c>
      <c r="B133" s="5" t="s">
        <v>246</v>
      </c>
      <c r="C133" s="28">
        <v>4310</v>
      </c>
      <c r="D133" s="28">
        <v>3529</v>
      </c>
      <c r="E133" s="28">
        <v>16</v>
      </c>
      <c r="F133" s="28">
        <f t="shared" si="30"/>
        <v>765</v>
      </c>
      <c r="G133" s="28">
        <v>11715</v>
      </c>
      <c r="H133" s="28">
        <v>8428</v>
      </c>
      <c r="I133" s="28">
        <v>36</v>
      </c>
      <c r="J133" s="28">
        <f t="shared" si="31"/>
        <v>3251</v>
      </c>
      <c r="K133" s="28">
        <v>1755</v>
      </c>
      <c r="L133" s="28">
        <v>0</v>
      </c>
      <c r="M133" s="28">
        <v>766</v>
      </c>
      <c r="N133" s="28">
        <v>85</v>
      </c>
      <c r="O133" s="28">
        <v>85</v>
      </c>
    </row>
    <row r="134" spans="1:15" ht="12.75" customHeight="1">
      <c r="A134" s="4" t="s">
        <v>247</v>
      </c>
      <c r="B134" s="5" t="s">
        <v>248</v>
      </c>
      <c r="C134" s="28">
        <v>3301</v>
      </c>
      <c r="D134" s="28">
        <v>2419</v>
      </c>
      <c r="E134" s="28">
        <v>0</v>
      </c>
      <c r="F134" s="28">
        <f t="shared" si="30"/>
        <v>882</v>
      </c>
      <c r="G134" s="28">
        <v>8469</v>
      </c>
      <c r="H134" s="28">
        <v>4876</v>
      </c>
      <c r="I134" s="28">
        <v>0</v>
      </c>
      <c r="J134" s="28">
        <f t="shared" si="31"/>
        <v>3593</v>
      </c>
      <c r="K134" s="28">
        <v>2</v>
      </c>
      <c r="L134" s="28">
        <v>0</v>
      </c>
      <c r="M134" s="28">
        <v>1125</v>
      </c>
      <c r="N134" s="28">
        <v>29</v>
      </c>
      <c r="O134" s="28">
        <v>29</v>
      </c>
    </row>
    <row r="135" spans="1:15" ht="12.75" customHeight="1">
      <c r="A135" s="10"/>
      <c r="B135" s="9" t="s">
        <v>249</v>
      </c>
      <c r="C135" s="29">
        <f t="shared" ref="C135:O135" si="32">SUM(C126:C134)</f>
        <v>47975</v>
      </c>
      <c r="D135" s="29">
        <f t="shared" si="32"/>
        <v>37168</v>
      </c>
      <c r="E135" s="29">
        <f t="shared" si="32"/>
        <v>803</v>
      </c>
      <c r="F135" s="29">
        <f t="shared" si="32"/>
        <v>10004</v>
      </c>
      <c r="G135" s="29">
        <f t="shared" si="32"/>
        <v>131787</v>
      </c>
      <c r="H135" s="29">
        <f t="shared" si="32"/>
        <v>73786</v>
      </c>
      <c r="I135" s="29">
        <f t="shared" si="32"/>
        <v>3370</v>
      </c>
      <c r="J135" s="29">
        <f t="shared" si="32"/>
        <v>54631</v>
      </c>
      <c r="K135" s="29">
        <f t="shared" si="32"/>
        <v>3188</v>
      </c>
      <c r="L135" s="29">
        <f t="shared" si="32"/>
        <v>0</v>
      </c>
      <c r="M135" s="29">
        <f t="shared" si="32"/>
        <v>10253</v>
      </c>
      <c r="N135" s="29">
        <f t="shared" si="32"/>
        <v>1652</v>
      </c>
      <c r="O135" s="29">
        <f t="shared" si="32"/>
        <v>1652</v>
      </c>
    </row>
    <row r="136" spans="1:15" ht="12.75" customHeight="1">
      <c r="A136" s="4" t="s">
        <v>250</v>
      </c>
      <c r="B136" s="5" t="s">
        <v>251</v>
      </c>
      <c r="C136" s="28">
        <v>7294</v>
      </c>
      <c r="D136" s="28">
        <v>6709</v>
      </c>
      <c r="E136" s="28">
        <v>0</v>
      </c>
      <c r="F136" s="28">
        <f t="shared" ref="F136:F143" si="33">SUM(C136-D136-E136)</f>
        <v>585</v>
      </c>
      <c r="G136" s="28">
        <v>17312</v>
      </c>
      <c r="H136" s="28">
        <v>13517</v>
      </c>
      <c r="I136" s="28">
        <v>0</v>
      </c>
      <c r="J136" s="28">
        <f t="shared" ref="J136:J143" si="34">SUM(G136-H136-I136)</f>
        <v>3795</v>
      </c>
      <c r="K136" s="28">
        <v>465</v>
      </c>
      <c r="L136" s="28">
        <v>386</v>
      </c>
      <c r="M136" s="28">
        <v>1047</v>
      </c>
      <c r="N136" s="28">
        <v>1967</v>
      </c>
      <c r="O136" s="28">
        <v>1967</v>
      </c>
    </row>
    <row r="137" spans="1:15" ht="12.75" customHeight="1">
      <c r="A137" s="4" t="s">
        <v>252</v>
      </c>
      <c r="B137" s="5" t="s">
        <v>253</v>
      </c>
      <c r="C137" s="28">
        <v>996</v>
      </c>
      <c r="D137" s="28">
        <v>996</v>
      </c>
      <c r="E137" s="28">
        <v>0</v>
      </c>
      <c r="F137" s="28">
        <f t="shared" si="33"/>
        <v>0</v>
      </c>
      <c r="G137" s="28">
        <v>2243</v>
      </c>
      <c r="H137" s="28">
        <v>2227</v>
      </c>
      <c r="I137" s="28">
        <v>0</v>
      </c>
      <c r="J137" s="28">
        <f t="shared" si="34"/>
        <v>16</v>
      </c>
      <c r="K137" s="28">
        <v>125</v>
      </c>
      <c r="L137" s="28">
        <v>0</v>
      </c>
      <c r="M137" s="28">
        <v>0</v>
      </c>
      <c r="N137" s="28">
        <v>848</v>
      </c>
      <c r="O137" s="28">
        <v>848</v>
      </c>
    </row>
    <row r="138" spans="1:15" ht="12.75" customHeight="1">
      <c r="A138" s="4" t="s">
        <v>254</v>
      </c>
      <c r="B138" s="5" t="s">
        <v>255</v>
      </c>
      <c r="C138" s="28">
        <v>611</v>
      </c>
      <c r="D138" s="28">
        <v>611</v>
      </c>
      <c r="E138" s="28">
        <v>0</v>
      </c>
      <c r="F138" s="28">
        <f t="shared" si="33"/>
        <v>0</v>
      </c>
      <c r="G138" s="28">
        <v>1949</v>
      </c>
      <c r="H138" s="28">
        <v>1935</v>
      </c>
      <c r="I138" s="28">
        <v>0</v>
      </c>
      <c r="J138" s="28">
        <f t="shared" si="34"/>
        <v>14</v>
      </c>
      <c r="K138" s="28">
        <v>124</v>
      </c>
      <c r="L138" s="28">
        <v>0</v>
      </c>
      <c r="M138" s="28">
        <v>545</v>
      </c>
      <c r="N138" s="28">
        <v>326</v>
      </c>
      <c r="O138" s="28">
        <v>326</v>
      </c>
    </row>
    <row r="139" spans="1:15" ht="12.75" customHeight="1">
      <c r="A139" s="4" t="s">
        <v>256</v>
      </c>
      <c r="B139" s="5" t="s">
        <v>257</v>
      </c>
      <c r="C139" s="28">
        <v>1861</v>
      </c>
      <c r="D139" s="28">
        <v>1697</v>
      </c>
      <c r="E139" s="28">
        <v>0</v>
      </c>
      <c r="F139" s="28">
        <f t="shared" si="33"/>
        <v>164</v>
      </c>
      <c r="G139" s="28">
        <v>5246</v>
      </c>
      <c r="H139" s="28">
        <v>4364</v>
      </c>
      <c r="I139" s="28">
        <v>0</v>
      </c>
      <c r="J139" s="28">
        <f t="shared" si="34"/>
        <v>882</v>
      </c>
      <c r="K139" s="28">
        <v>535</v>
      </c>
      <c r="L139" s="28">
        <v>92</v>
      </c>
      <c r="M139" s="28">
        <v>917</v>
      </c>
      <c r="N139" s="28">
        <v>148</v>
      </c>
      <c r="O139" s="28">
        <v>148</v>
      </c>
    </row>
    <row r="140" spans="1:15" ht="12.75" customHeight="1">
      <c r="A140" s="4" t="s">
        <v>258</v>
      </c>
      <c r="B140" s="5" t="s">
        <v>259</v>
      </c>
      <c r="C140" s="28">
        <v>479</v>
      </c>
      <c r="D140" s="28">
        <v>474</v>
      </c>
      <c r="E140" s="28">
        <v>0</v>
      </c>
      <c r="F140" s="28">
        <f t="shared" si="33"/>
        <v>5</v>
      </c>
      <c r="G140" s="28">
        <v>888</v>
      </c>
      <c r="H140" s="28">
        <v>868</v>
      </c>
      <c r="I140" s="28">
        <v>0</v>
      </c>
      <c r="J140" s="28">
        <f t="shared" si="34"/>
        <v>20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2801</v>
      </c>
      <c r="D141" s="28">
        <v>2659</v>
      </c>
      <c r="E141" s="28">
        <v>0</v>
      </c>
      <c r="F141" s="28">
        <f t="shared" si="33"/>
        <v>142</v>
      </c>
      <c r="G141" s="28">
        <v>5407</v>
      </c>
      <c r="H141" s="28">
        <v>5087</v>
      </c>
      <c r="I141" s="28">
        <v>0</v>
      </c>
      <c r="J141" s="28">
        <f t="shared" si="34"/>
        <v>320</v>
      </c>
      <c r="K141" s="28">
        <v>0</v>
      </c>
      <c r="L141" s="28">
        <v>0</v>
      </c>
      <c r="M141" s="28">
        <v>15</v>
      </c>
      <c r="N141" s="28">
        <v>343</v>
      </c>
      <c r="O141" s="28">
        <v>343</v>
      </c>
    </row>
    <row r="142" spans="1:15" ht="12.75" customHeight="1">
      <c r="A142" s="4" t="s">
        <v>262</v>
      </c>
      <c r="B142" s="5" t="s">
        <v>263</v>
      </c>
      <c r="C142" s="28">
        <v>1732</v>
      </c>
      <c r="D142" s="28">
        <v>1377</v>
      </c>
      <c r="E142" s="28">
        <v>0</v>
      </c>
      <c r="F142" s="28">
        <f t="shared" si="33"/>
        <v>355</v>
      </c>
      <c r="G142" s="28">
        <v>5253</v>
      </c>
      <c r="H142" s="28">
        <v>4217</v>
      </c>
      <c r="I142" s="28">
        <v>0</v>
      </c>
      <c r="J142" s="28">
        <f t="shared" si="34"/>
        <v>1036</v>
      </c>
      <c r="K142" s="28">
        <v>428</v>
      </c>
      <c r="L142" s="28">
        <v>0</v>
      </c>
      <c r="M142" s="28">
        <v>1345</v>
      </c>
      <c r="N142" s="28">
        <v>463</v>
      </c>
      <c r="O142" s="28">
        <v>463</v>
      </c>
    </row>
    <row r="143" spans="1:15" ht="12.75" customHeight="1">
      <c r="A143" s="4" t="s">
        <v>264</v>
      </c>
      <c r="B143" s="5" t="s">
        <v>265</v>
      </c>
      <c r="C143" s="28">
        <v>4745</v>
      </c>
      <c r="D143" s="28">
        <v>3849</v>
      </c>
      <c r="E143" s="28">
        <v>0</v>
      </c>
      <c r="F143" s="28">
        <f t="shared" si="33"/>
        <v>896</v>
      </c>
      <c r="G143" s="28">
        <v>14919</v>
      </c>
      <c r="H143" s="28">
        <v>6957</v>
      </c>
      <c r="I143" s="28">
        <v>0</v>
      </c>
      <c r="J143" s="28">
        <f t="shared" si="34"/>
        <v>7962</v>
      </c>
      <c r="K143" s="28">
        <v>1649</v>
      </c>
      <c r="L143" s="28">
        <v>61</v>
      </c>
      <c r="M143" s="28">
        <v>1774</v>
      </c>
      <c r="N143" s="28">
        <v>697</v>
      </c>
      <c r="O143" s="28">
        <v>697</v>
      </c>
    </row>
    <row r="144" spans="1:15" ht="12.75" customHeight="1">
      <c r="A144" s="10"/>
      <c r="B144" s="9" t="s">
        <v>266</v>
      </c>
      <c r="C144" s="30">
        <f t="shared" ref="C144:O144" si="35">SUM(C136:C143)</f>
        <v>20519</v>
      </c>
      <c r="D144" s="30">
        <f t="shared" si="35"/>
        <v>18372</v>
      </c>
      <c r="E144" s="30">
        <f t="shared" si="35"/>
        <v>0</v>
      </c>
      <c r="F144" s="30">
        <f t="shared" si="35"/>
        <v>2147</v>
      </c>
      <c r="G144" s="30">
        <f t="shared" si="35"/>
        <v>53217</v>
      </c>
      <c r="H144" s="30">
        <f t="shared" si="35"/>
        <v>39172</v>
      </c>
      <c r="I144" s="30">
        <f t="shared" si="35"/>
        <v>0</v>
      </c>
      <c r="J144" s="30">
        <f t="shared" si="35"/>
        <v>14045</v>
      </c>
      <c r="K144" s="30">
        <f t="shared" si="35"/>
        <v>3326</v>
      </c>
      <c r="L144" s="30">
        <f t="shared" si="35"/>
        <v>539</v>
      </c>
      <c r="M144" s="30">
        <f t="shared" si="35"/>
        <v>5643</v>
      </c>
      <c r="N144" s="30">
        <f t="shared" si="35"/>
        <v>4792</v>
      </c>
      <c r="O144" s="30">
        <f t="shared" si="35"/>
        <v>4792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601963</v>
      </c>
      <c r="D145" s="31">
        <f t="shared" si="36"/>
        <v>429762</v>
      </c>
      <c r="E145" s="31">
        <f t="shared" si="36"/>
        <v>18502</v>
      </c>
      <c r="F145" s="31">
        <f t="shared" si="36"/>
        <v>153699</v>
      </c>
      <c r="G145" s="31">
        <f t="shared" si="36"/>
        <v>1905316</v>
      </c>
      <c r="H145" s="31">
        <f t="shared" si="36"/>
        <v>974930</v>
      </c>
      <c r="I145" s="31">
        <f t="shared" si="36"/>
        <v>83504</v>
      </c>
      <c r="J145" s="31">
        <f t="shared" si="36"/>
        <v>846882</v>
      </c>
      <c r="K145" s="31">
        <f t="shared" si="36"/>
        <v>73208</v>
      </c>
      <c r="L145" s="31">
        <f t="shared" si="36"/>
        <v>1934</v>
      </c>
      <c r="M145" s="31">
        <f t="shared" si="36"/>
        <v>201427</v>
      </c>
      <c r="N145" s="31">
        <f t="shared" si="36"/>
        <v>94158</v>
      </c>
      <c r="O145" s="31">
        <f t="shared" si="36"/>
        <v>36259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43335</v>
      </c>
      <c r="D15" s="28">
        <v>30587</v>
      </c>
      <c r="E15" s="28">
        <v>4856</v>
      </c>
      <c r="F15" s="28">
        <f t="shared" ref="F15:F22" si="0">SUM(C15-D15-E15)</f>
        <v>7892</v>
      </c>
      <c r="G15" s="28">
        <v>207006</v>
      </c>
      <c r="H15" s="28">
        <v>83970</v>
      </c>
      <c r="I15" s="28">
        <v>24881</v>
      </c>
      <c r="J15" s="28">
        <f t="shared" ref="J15:J22" si="1">SUM(G15-H15-I15)</f>
        <v>98155</v>
      </c>
      <c r="K15" s="28">
        <v>9234</v>
      </c>
      <c r="L15" s="28">
        <v>0</v>
      </c>
      <c r="M15" s="28">
        <v>26839</v>
      </c>
      <c r="N15" s="28">
        <v>6913</v>
      </c>
      <c r="O15" s="28">
        <v>6187</v>
      </c>
    </row>
    <row r="16" spans="1:15" ht="12.75" customHeight="1">
      <c r="A16" s="4" t="s">
        <v>29</v>
      </c>
      <c r="B16" s="5" t="s">
        <v>30</v>
      </c>
      <c r="C16" s="28">
        <v>28698</v>
      </c>
      <c r="D16" s="28">
        <v>12607</v>
      </c>
      <c r="E16" s="28">
        <v>671</v>
      </c>
      <c r="F16" s="28">
        <f t="shared" si="0"/>
        <v>15420</v>
      </c>
      <c r="G16" s="28">
        <v>193356</v>
      </c>
      <c r="H16" s="28">
        <v>33043</v>
      </c>
      <c r="I16" s="28">
        <v>4262</v>
      </c>
      <c r="J16" s="28">
        <f t="shared" si="1"/>
        <v>156051</v>
      </c>
      <c r="K16" s="28">
        <v>3426</v>
      </c>
      <c r="L16" s="28">
        <v>0</v>
      </c>
      <c r="M16" s="28">
        <v>15787</v>
      </c>
      <c r="N16" s="28">
        <v>362</v>
      </c>
      <c r="O16" s="28">
        <v>362</v>
      </c>
    </row>
    <row r="17" spans="1:15" ht="12.75" customHeight="1">
      <c r="A17" s="4" t="s">
        <v>31</v>
      </c>
      <c r="B17" s="5" t="s">
        <v>32</v>
      </c>
      <c r="C17" s="28">
        <v>16867</v>
      </c>
      <c r="D17" s="28">
        <v>13515</v>
      </c>
      <c r="E17" s="28">
        <v>0</v>
      </c>
      <c r="F17" s="28">
        <f t="shared" si="0"/>
        <v>3352</v>
      </c>
      <c r="G17" s="28">
        <v>33968</v>
      </c>
      <c r="H17" s="28">
        <v>24223</v>
      </c>
      <c r="I17" s="28">
        <v>0</v>
      </c>
      <c r="J17" s="28">
        <f t="shared" si="1"/>
        <v>9745</v>
      </c>
      <c r="K17" s="28">
        <v>1751</v>
      </c>
      <c r="L17" s="28">
        <v>0</v>
      </c>
      <c r="M17" s="28">
        <v>1088</v>
      </c>
      <c r="N17" s="28">
        <v>1076</v>
      </c>
      <c r="O17" s="28">
        <v>1076</v>
      </c>
    </row>
    <row r="18" spans="1:15" ht="12.75" customHeight="1">
      <c r="A18" s="4" t="s">
        <v>33</v>
      </c>
      <c r="B18" s="5" t="s">
        <v>34</v>
      </c>
      <c r="C18" s="28">
        <v>53708</v>
      </c>
      <c r="D18" s="28">
        <v>35527</v>
      </c>
      <c r="E18" s="28">
        <v>847</v>
      </c>
      <c r="F18" s="28">
        <f t="shared" si="0"/>
        <v>17334</v>
      </c>
      <c r="G18" s="28">
        <v>136444</v>
      </c>
      <c r="H18" s="28">
        <v>91596</v>
      </c>
      <c r="I18" s="28">
        <v>3351</v>
      </c>
      <c r="J18" s="28">
        <f t="shared" si="1"/>
        <v>41497</v>
      </c>
      <c r="K18" s="28">
        <v>5492</v>
      </c>
      <c r="L18" s="28">
        <v>0</v>
      </c>
      <c r="M18" s="28">
        <v>13503</v>
      </c>
      <c r="N18" s="28">
        <v>937</v>
      </c>
      <c r="O18" s="28">
        <v>937</v>
      </c>
    </row>
    <row r="19" spans="1:15" ht="12.75" customHeight="1">
      <c r="A19" s="4" t="s">
        <v>35</v>
      </c>
      <c r="B19" s="5" t="s">
        <v>36</v>
      </c>
      <c r="C19" s="28">
        <v>31795</v>
      </c>
      <c r="D19" s="28">
        <v>30010</v>
      </c>
      <c r="E19" s="28">
        <v>1311</v>
      </c>
      <c r="F19" s="28">
        <f t="shared" si="0"/>
        <v>474</v>
      </c>
      <c r="G19" s="28">
        <v>88519</v>
      </c>
      <c r="H19" s="28">
        <v>71262</v>
      </c>
      <c r="I19" s="28">
        <v>5917</v>
      </c>
      <c r="J19" s="28">
        <f t="shared" si="1"/>
        <v>11340</v>
      </c>
      <c r="K19" s="28">
        <v>836</v>
      </c>
      <c r="L19" s="28">
        <v>0</v>
      </c>
      <c r="M19" s="28">
        <v>366</v>
      </c>
      <c r="N19" s="28">
        <v>662</v>
      </c>
      <c r="O19" s="28">
        <v>662</v>
      </c>
    </row>
    <row r="20" spans="1:15" ht="12.75" customHeight="1">
      <c r="A20" s="4" t="s">
        <v>37</v>
      </c>
      <c r="B20" s="5" t="s">
        <v>38</v>
      </c>
      <c r="C20" s="28">
        <v>180456</v>
      </c>
      <c r="D20" s="28">
        <v>160572</v>
      </c>
      <c r="E20" s="28">
        <v>4947</v>
      </c>
      <c r="F20" s="28">
        <f t="shared" si="0"/>
        <v>14937</v>
      </c>
      <c r="G20" s="28">
        <v>469073</v>
      </c>
      <c r="H20" s="28">
        <v>337220</v>
      </c>
      <c r="I20" s="28">
        <v>24253</v>
      </c>
      <c r="J20" s="28">
        <f t="shared" si="1"/>
        <v>107600</v>
      </c>
      <c r="K20" s="28">
        <v>13716</v>
      </c>
      <c r="L20" s="28">
        <v>0</v>
      </c>
      <c r="M20" s="28">
        <v>22094</v>
      </c>
      <c r="N20" s="28">
        <v>3559</v>
      </c>
      <c r="O20" s="28">
        <v>3559</v>
      </c>
    </row>
    <row r="21" spans="1:15" ht="12.75" customHeight="1">
      <c r="A21" s="4" t="s">
        <v>39</v>
      </c>
      <c r="B21" s="5" t="s">
        <v>40</v>
      </c>
      <c r="C21" s="28">
        <v>14989</v>
      </c>
      <c r="D21" s="28">
        <v>14727</v>
      </c>
      <c r="E21" s="28">
        <v>0</v>
      </c>
      <c r="F21" s="28">
        <f t="shared" si="0"/>
        <v>262</v>
      </c>
      <c r="G21" s="28">
        <v>26893</v>
      </c>
      <c r="H21" s="28">
        <v>25126</v>
      </c>
      <c r="I21" s="28">
        <v>0</v>
      </c>
      <c r="J21" s="28">
        <f t="shared" si="1"/>
        <v>1767</v>
      </c>
      <c r="K21" s="28">
        <v>124</v>
      </c>
      <c r="L21" s="28">
        <v>0</v>
      </c>
      <c r="M21" s="28">
        <v>0</v>
      </c>
      <c r="N21" s="28">
        <v>111</v>
      </c>
      <c r="O21" s="28">
        <v>111</v>
      </c>
    </row>
    <row r="22" spans="1:15" ht="12.75" customHeight="1">
      <c r="A22" s="4" t="s">
        <v>41</v>
      </c>
      <c r="B22" s="5" t="s">
        <v>42</v>
      </c>
      <c r="C22" s="28">
        <v>14128</v>
      </c>
      <c r="D22" s="28">
        <v>11317</v>
      </c>
      <c r="E22" s="28">
        <v>1511</v>
      </c>
      <c r="F22" s="28">
        <f t="shared" si="0"/>
        <v>1300</v>
      </c>
      <c r="G22" s="28">
        <v>39795</v>
      </c>
      <c r="H22" s="28">
        <v>24279</v>
      </c>
      <c r="I22" s="28">
        <v>5838</v>
      </c>
      <c r="J22" s="28">
        <f t="shared" si="1"/>
        <v>9678</v>
      </c>
      <c r="K22" s="28">
        <v>2202</v>
      </c>
      <c r="L22" s="28">
        <v>0</v>
      </c>
      <c r="M22" s="28">
        <v>7803</v>
      </c>
      <c r="N22" s="28">
        <v>750</v>
      </c>
      <c r="O22" s="28">
        <v>750</v>
      </c>
    </row>
    <row r="23" spans="1:15" ht="12.75" customHeight="1">
      <c r="A23" s="8"/>
      <c r="B23" s="9" t="s">
        <v>43</v>
      </c>
      <c r="C23" s="29">
        <f t="shared" ref="C23:O23" si="2">SUM(C15:C22)</f>
        <v>383976</v>
      </c>
      <c r="D23" s="29">
        <f t="shared" si="2"/>
        <v>308862</v>
      </c>
      <c r="E23" s="29">
        <f t="shared" si="2"/>
        <v>14143</v>
      </c>
      <c r="F23" s="29">
        <f t="shared" si="2"/>
        <v>60971</v>
      </c>
      <c r="G23" s="29">
        <f t="shared" si="2"/>
        <v>1195054</v>
      </c>
      <c r="H23" s="29">
        <f t="shared" si="2"/>
        <v>690719</v>
      </c>
      <c r="I23" s="29">
        <f t="shared" si="2"/>
        <v>68502</v>
      </c>
      <c r="J23" s="29">
        <f t="shared" si="2"/>
        <v>435833</v>
      </c>
      <c r="K23" s="29">
        <f t="shared" si="2"/>
        <v>36781</v>
      </c>
      <c r="L23" s="29">
        <f t="shared" si="2"/>
        <v>0</v>
      </c>
      <c r="M23" s="29">
        <f t="shared" si="2"/>
        <v>87480</v>
      </c>
      <c r="N23" s="29">
        <f t="shared" si="2"/>
        <v>14370</v>
      </c>
      <c r="O23" s="29">
        <f t="shared" si="2"/>
        <v>13644</v>
      </c>
    </row>
    <row r="24" spans="1:15" ht="14.25" customHeight="1">
      <c r="A24" s="4" t="s">
        <v>44</v>
      </c>
      <c r="B24" s="5" t="s">
        <v>45</v>
      </c>
      <c r="C24" s="28">
        <v>16633</v>
      </c>
      <c r="D24" s="28">
        <v>11608</v>
      </c>
      <c r="E24" s="28">
        <v>1199</v>
      </c>
      <c r="F24" s="28">
        <f>SUM(C24-D24-E24)</f>
        <v>3826</v>
      </c>
      <c r="G24" s="28">
        <v>39942</v>
      </c>
      <c r="H24" s="28">
        <v>20593</v>
      </c>
      <c r="I24" s="28">
        <v>3860</v>
      </c>
      <c r="J24" s="28">
        <f>SUM(G24-H24-I24)</f>
        <v>15489</v>
      </c>
      <c r="K24" s="28">
        <v>10043</v>
      </c>
      <c r="L24" s="28">
        <v>0</v>
      </c>
      <c r="M24" s="28">
        <v>2591</v>
      </c>
      <c r="N24" s="28">
        <v>430</v>
      </c>
      <c r="O24" s="28">
        <v>430</v>
      </c>
    </row>
    <row r="25" spans="1:15" ht="14.25" customHeight="1">
      <c r="A25" s="10"/>
      <c r="B25" s="9" t="s">
        <v>46</v>
      </c>
      <c r="C25" s="29">
        <f t="shared" ref="C25:O25" si="3">SUM(C24)</f>
        <v>16633</v>
      </c>
      <c r="D25" s="29">
        <f t="shared" si="3"/>
        <v>11608</v>
      </c>
      <c r="E25" s="29">
        <f t="shared" si="3"/>
        <v>1199</v>
      </c>
      <c r="F25" s="29">
        <f t="shared" si="3"/>
        <v>3826</v>
      </c>
      <c r="G25" s="29">
        <f t="shared" si="3"/>
        <v>39942</v>
      </c>
      <c r="H25" s="29">
        <f t="shared" si="3"/>
        <v>20593</v>
      </c>
      <c r="I25" s="29">
        <f t="shared" si="3"/>
        <v>3860</v>
      </c>
      <c r="J25" s="29">
        <f t="shared" si="3"/>
        <v>15489</v>
      </c>
      <c r="K25" s="29">
        <f t="shared" si="3"/>
        <v>10043</v>
      </c>
      <c r="L25" s="29">
        <f t="shared" si="3"/>
        <v>0</v>
      </c>
      <c r="M25" s="29">
        <f t="shared" si="3"/>
        <v>2591</v>
      </c>
      <c r="N25" s="29">
        <f t="shared" si="3"/>
        <v>430</v>
      </c>
      <c r="O25" s="29">
        <f t="shared" si="3"/>
        <v>430</v>
      </c>
    </row>
    <row r="26" spans="1:15" ht="12.75" customHeight="1">
      <c r="A26" s="4" t="s">
        <v>47</v>
      </c>
      <c r="B26" s="5" t="s">
        <v>48</v>
      </c>
      <c r="C26" s="28">
        <v>107989</v>
      </c>
      <c r="D26" s="28">
        <v>58957</v>
      </c>
      <c r="E26" s="28">
        <v>4469</v>
      </c>
      <c r="F26" s="28">
        <f>SUM(C26-D26-E26)</f>
        <v>44563</v>
      </c>
      <c r="G26" s="28">
        <v>270676</v>
      </c>
      <c r="H26" s="28">
        <v>99959</v>
      </c>
      <c r="I26" s="28">
        <v>13618</v>
      </c>
      <c r="J26" s="28">
        <f>SUM(G26-H26-I26)</f>
        <v>157099</v>
      </c>
      <c r="K26" s="28">
        <v>16234</v>
      </c>
      <c r="L26" s="28">
        <v>0</v>
      </c>
      <c r="M26" s="28">
        <v>8327</v>
      </c>
      <c r="N26" s="28">
        <v>4803</v>
      </c>
      <c r="O26" s="28">
        <v>4803</v>
      </c>
    </row>
    <row r="27" spans="1:15" ht="12.75" customHeight="1">
      <c r="A27" s="4" t="s">
        <v>49</v>
      </c>
      <c r="B27" s="5" t="s">
        <v>50</v>
      </c>
      <c r="C27" s="28">
        <v>23932</v>
      </c>
      <c r="D27" s="28">
        <v>20025</v>
      </c>
      <c r="E27" s="28">
        <v>1116</v>
      </c>
      <c r="F27" s="28">
        <f>SUM(C27-D27-E27)</f>
        <v>2791</v>
      </c>
      <c r="G27" s="28">
        <v>45904</v>
      </c>
      <c r="H27" s="28">
        <v>30317</v>
      </c>
      <c r="I27" s="28">
        <v>3355</v>
      </c>
      <c r="J27" s="28">
        <f>SUM(G27-H27-I27)</f>
        <v>12232</v>
      </c>
      <c r="K27" s="28">
        <v>2760</v>
      </c>
      <c r="L27" s="28">
        <v>0</v>
      </c>
      <c r="M27" s="28">
        <v>1343</v>
      </c>
      <c r="N27" s="28">
        <v>705</v>
      </c>
      <c r="O27" s="28">
        <v>705</v>
      </c>
    </row>
    <row r="28" spans="1:15" ht="12.75" customHeight="1">
      <c r="A28" s="4" t="s">
        <v>51</v>
      </c>
      <c r="B28" s="5" t="s">
        <v>52</v>
      </c>
      <c r="C28" s="28">
        <v>24250</v>
      </c>
      <c r="D28" s="28">
        <v>15558</v>
      </c>
      <c r="E28" s="28">
        <v>2102</v>
      </c>
      <c r="F28" s="28">
        <f>SUM(C28-D28-E28)</f>
        <v>6590</v>
      </c>
      <c r="G28" s="28">
        <v>65528</v>
      </c>
      <c r="H28" s="28">
        <v>33218</v>
      </c>
      <c r="I28" s="28">
        <v>9958</v>
      </c>
      <c r="J28" s="28">
        <f>SUM(G28-H28-I28)</f>
        <v>22352</v>
      </c>
      <c r="K28" s="28">
        <v>736</v>
      </c>
      <c r="L28" s="28">
        <v>0</v>
      </c>
      <c r="M28" s="28">
        <v>1123</v>
      </c>
      <c r="N28" s="28">
        <v>237</v>
      </c>
      <c r="O28" s="28">
        <v>237</v>
      </c>
    </row>
    <row r="29" spans="1:15" ht="12.75" customHeight="1">
      <c r="A29" s="4" t="s">
        <v>53</v>
      </c>
      <c r="B29" s="5" t="s">
        <v>54</v>
      </c>
      <c r="C29" s="28">
        <v>28693</v>
      </c>
      <c r="D29" s="28">
        <v>24387</v>
      </c>
      <c r="E29" s="28">
        <v>3363</v>
      </c>
      <c r="F29" s="28">
        <f>SUM(C29-D29-E29)</f>
        <v>943</v>
      </c>
      <c r="G29" s="28">
        <v>62275</v>
      </c>
      <c r="H29" s="28">
        <v>48410</v>
      </c>
      <c r="I29" s="28">
        <v>11653</v>
      </c>
      <c r="J29" s="28">
        <f>SUM(G29-H29-I29)</f>
        <v>2212</v>
      </c>
      <c r="K29" s="28">
        <v>73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184864</v>
      </c>
      <c r="D30" s="29">
        <f t="shared" si="4"/>
        <v>118927</v>
      </c>
      <c r="E30" s="29">
        <f t="shared" si="4"/>
        <v>11050</v>
      </c>
      <c r="F30" s="29">
        <f t="shared" si="4"/>
        <v>54887</v>
      </c>
      <c r="G30" s="29">
        <f t="shared" si="4"/>
        <v>444383</v>
      </c>
      <c r="H30" s="29">
        <f t="shared" si="4"/>
        <v>211904</v>
      </c>
      <c r="I30" s="29">
        <f t="shared" si="4"/>
        <v>38584</v>
      </c>
      <c r="J30" s="29">
        <f t="shared" si="4"/>
        <v>193895</v>
      </c>
      <c r="K30" s="29">
        <f t="shared" si="4"/>
        <v>19803</v>
      </c>
      <c r="L30" s="29">
        <f t="shared" si="4"/>
        <v>0</v>
      </c>
      <c r="M30" s="29">
        <f t="shared" si="4"/>
        <v>10882</v>
      </c>
      <c r="N30" s="29">
        <f t="shared" si="4"/>
        <v>5834</v>
      </c>
      <c r="O30" s="29">
        <f t="shared" si="4"/>
        <v>5834</v>
      </c>
    </row>
    <row r="31" spans="1:15" ht="12.75" customHeight="1">
      <c r="A31" s="4" t="s">
        <v>56</v>
      </c>
      <c r="B31" s="5" t="s">
        <v>57</v>
      </c>
      <c r="C31" s="28">
        <v>90661</v>
      </c>
      <c r="D31" s="28">
        <v>73932</v>
      </c>
      <c r="E31" s="28">
        <v>1827</v>
      </c>
      <c r="F31" s="28">
        <f t="shared" ref="F31:F42" si="5">SUM(C31-D31-E31)</f>
        <v>14902</v>
      </c>
      <c r="G31" s="28">
        <v>263074</v>
      </c>
      <c r="H31" s="28">
        <v>147887</v>
      </c>
      <c r="I31" s="28">
        <v>7706</v>
      </c>
      <c r="J31" s="28">
        <f t="shared" ref="J31:J42" si="6">SUM(G31-H31-I31)</f>
        <v>107481</v>
      </c>
      <c r="K31" s="28">
        <v>4838</v>
      </c>
      <c r="L31" s="28">
        <v>0</v>
      </c>
      <c r="M31" s="28">
        <v>5668</v>
      </c>
      <c r="N31" s="28">
        <v>937</v>
      </c>
      <c r="O31" s="28">
        <v>937</v>
      </c>
    </row>
    <row r="32" spans="1:15" ht="12.75" customHeight="1">
      <c r="A32" s="4" t="s">
        <v>58</v>
      </c>
      <c r="B32" s="5" t="s">
        <v>59</v>
      </c>
      <c r="C32" s="28">
        <v>132869</v>
      </c>
      <c r="D32" s="28">
        <v>118709</v>
      </c>
      <c r="E32" s="28">
        <v>4616</v>
      </c>
      <c r="F32" s="28">
        <f t="shared" si="5"/>
        <v>9544</v>
      </c>
      <c r="G32" s="28">
        <v>469919</v>
      </c>
      <c r="H32" s="28">
        <v>278436</v>
      </c>
      <c r="I32" s="28">
        <v>22517</v>
      </c>
      <c r="J32" s="28">
        <f t="shared" si="6"/>
        <v>168966</v>
      </c>
      <c r="K32" s="28">
        <v>11642</v>
      </c>
      <c r="L32" s="28">
        <v>0</v>
      </c>
      <c r="M32" s="28">
        <v>77973</v>
      </c>
      <c r="N32" s="28">
        <v>2585</v>
      </c>
      <c r="O32" s="28">
        <v>2585</v>
      </c>
    </row>
    <row r="33" spans="1:256" ht="12.75" customHeight="1">
      <c r="A33" s="4" t="s">
        <v>60</v>
      </c>
      <c r="B33" s="5" t="s">
        <v>61</v>
      </c>
      <c r="C33" s="28">
        <v>65753</v>
      </c>
      <c r="D33" s="28">
        <v>50284</v>
      </c>
      <c r="E33" s="28">
        <v>1838</v>
      </c>
      <c r="F33" s="28">
        <f t="shared" si="5"/>
        <v>13631</v>
      </c>
      <c r="G33" s="28">
        <v>226955</v>
      </c>
      <c r="H33" s="28">
        <v>65471</v>
      </c>
      <c r="I33" s="28">
        <v>4625</v>
      </c>
      <c r="J33" s="28">
        <f t="shared" si="6"/>
        <v>156859</v>
      </c>
      <c r="K33" s="28">
        <v>13761</v>
      </c>
      <c r="L33" s="28">
        <v>205</v>
      </c>
      <c r="M33" s="28">
        <v>16825</v>
      </c>
      <c r="N33" s="28">
        <v>1523</v>
      </c>
      <c r="O33" s="28">
        <v>1523</v>
      </c>
    </row>
    <row r="34" spans="1:256" ht="12.75" customHeight="1">
      <c r="A34" s="4" t="s">
        <v>62</v>
      </c>
      <c r="B34" s="5" t="s">
        <v>63</v>
      </c>
      <c r="C34" s="28">
        <v>74185</v>
      </c>
      <c r="D34" s="28">
        <v>21694</v>
      </c>
      <c r="E34" s="28">
        <v>387</v>
      </c>
      <c r="F34" s="28">
        <f t="shared" si="5"/>
        <v>52104</v>
      </c>
      <c r="G34" s="28">
        <v>236185</v>
      </c>
      <c r="H34" s="28">
        <v>55935</v>
      </c>
      <c r="I34" s="28">
        <v>1670</v>
      </c>
      <c r="J34" s="28">
        <f t="shared" si="6"/>
        <v>178580</v>
      </c>
      <c r="K34" s="28">
        <v>1804</v>
      </c>
      <c r="L34" s="28">
        <v>127</v>
      </c>
      <c r="M34" s="28">
        <v>29994</v>
      </c>
      <c r="N34" s="28">
        <v>268</v>
      </c>
      <c r="O34" s="28">
        <v>268</v>
      </c>
    </row>
    <row r="35" spans="1:256" ht="12.75" customHeight="1">
      <c r="A35" s="4" t="s">
        <v>64</v>
      </c>
      <c r="B35" s="5" t="s">
        <v>65</v>
      </c>
      <c r="C35" s="28">
        <v>30198</v>
      </c>
      <c r="D35" s="28">
        <v>29615</v>
      </c>
      <c r="E35" s="28">
        <v>0</v>
      </c>
      <c r="F35" s="28">
        <f t="shared" si="5"/>
        <v>583</v>
      </c>
      <c r="G35" s="28">
        <v>53384</v>
      </c>
      <c r="H35" s="28">
        <v>48666</v>
      </c>
      <c r="I35" s="28">
        <v>0</v>
      </c>
      <c r="J35" s="28">
        <f t="shared" si="6"/>
        <v>4718</v>
      </c>
      <c r="K35" s="28">
        <v>1154</v>
      </c>
      <c r="L35" s="28">
        <v>0</v>
      </c>
      <c r="M35" s="28">
        <v>230</v>
      </c>
      <c r="N35" s="28">
        <v>2532</v>
      </c>
      <c r="O35" s="28">
        <v>2532</v>
      </c>
    </row>
    <row r="36" spans="1:256" ht="12.75" customHeight="1">
      <c r="A36" s="4" t="s">
        <v>66</v>
      </c>
      <c r="B36" s="5" t="s">
        <v>67</v>
      </c>
      <c r="C36" s="28">
        <v>17769</v>
      </c>
      <c r="D36" s="28">
        <v>14136</v>
      </c>
      <c r="E36" s="28">
        <v>1766</v>
      </c>
      <c r="F36" s="28">
        <f t="shared" si="5"/>
        <v>1867</v>
      </c>
      <c r="G36" s="28">
        <v>50483</v>
      </c>
      <c r="H36" s="28">
        <v>35479</v>
      </c>
      <c r="I36" s="28">
        <v>8139</v>
      </c>
      <c r="J36" s="28">
        <f t="shared" si="6"/>
        <v>6865</v>
      </c>
      <c r="K36" s="28">
        <v>204</v>
      </c>
      <c r="L36" s="28">
        <v>0</v>
      </c>
      <c r="M36" s="28">
        <v>3607</v>
      </c>
      <c r="N36" s="28">
        <v>9</v>
      </c>
      <c r="O36" s="28">
        <v>9</v>
      </c>
    </row>
    <row r="37" spans="1:256" ht="12.75" customHeight="1">
      <c r="A37" s="4" t="s">
        <v>68</v>
      </c>
      <c r="B37" s="5" t="s">
        <v>69</v>
      </c>
      <c r="C37" s="28">
        <v>28398</v>
      </c>
      <c r="D37" s="28">
        <v>24820</v>
      </c>
      <c r="E37" s="28">
        <v>294</v>
      </c>
      <c r="F37" s="28">
        <f t="shared" si="5"/>
        <v>3284</v>
      </c>
      <c r="G37" s="28">
        <v>101387</v>
      </c>
      <c r="H37" s="28">
        <v>67251</v>
      </c>
      <c r="I37" s="28">
        <v>1156</v>
      </c>
      <c r="J37" s="28">
        <f t="shared" si="6"/>
        <v>32980</v>
      </c>
      <c r="K37" s="28">
        <v>665</v>
      </c>
      <c r="L37" s="28">
        <v>0</v>
      </c>
      <c r="M37" s="28">
        <v>9889</v>
      </c>
      <c r="N37" s="28">
        <v>2273</v>
      </c>
      <c r="O37" s="28">
        <v>2273</v>
      </c>
    </row>
    <row r="38" spans="1:256" ht="12.75" customHeight="1">
      <c r="A38" s="4" t="s">
        <v>70</v>
      </c>
      <c r="B38" s="5" t="s">
        <v>71</v>
      </c>
      <c r="C38" s="28">
        <v>432844</v>
      </c>
      <c r="D38" s="28">
        <v>328079</v>
      </c>
      <c r="E38" s="28">
        <v>12550</v>
      </c>
      <c r="F38" s="28">
        <f t="shared" si="5"/>
        <v>92215</v>
      </c>
      <c r="G38" s="28">
        <v>998511</v>
      </c>
      <c r="H38" s="28">
        <v>575755</v>
      </c>
      <c r="I38" s="28">
        <v>49168</v>
      </c>
      <c r="J38" s="28">
        <f t="shared" si="6"/>
        <v>373588</v>
      </c>
      <c r="K38" s="28">
        <v>40605</v>
      </c>
      <c r="L38" s="28">
        <v>0</v>
      </c>
      <c r="M38" s="28">
        <v>45217</v>
      </c>
      <c r="N38" s="28">
        <v>308464</v>
      </c>
      <c r="O38" s="28">
        <v>39194</v>
      </c>
    </row>
    <row r="39" spans="1:256" ht="12.75" customHeight="1">
      <c r="A39" s="4" t="s">
        <v>72</v>
      </c>
      <c r="B39" s="5" t="s">
        <v>73</v>
      </c>
      <c r="C39" s="28">
        <v>61876</v>
      </c>
      <c r="D39" s="28">
        <v>57072</v>
      </c>
      <c r="E39" s="28">
        <v>1938</v>
      </c>
      <c r="F39" s="28">
        <f t="shared" si="5"/>
        <v>2866</v>
      </c>
      <c r="G39" s="28">
        <v>113394</v>
      </c>
      <c r="H39" s="28">
        <v>92351</v>
      </c>
      <c r="I39" s="28">
        <v>10329</v>
      </c>
      <c r="J39" s="28">
        <f t="shared" si="6"/>
        <v>10714</v>
      </c>
      <c r="K39" s="28">
        <v>1846</v>
      </c>
      <c r="L39" s="28">
        <v>0</v>
      </c>
      <c r="M39" s="28">
        <v>155</v>
      </c>
      <c r="N39" s="28">
        <v>165</v>
      </c>
      <c r="O39" s="28">
        <v>165</v>
      </c>
    </row>
    <row r="40" spans="1:256" ht="12.75" customHeight="1">
      <c r="A40" s="4" t="s">
        <v>74</v>
      </c>
      <c r="B40" s="5" t="s">
        <v>75</v>
      </c>
      <c r="C40" s="28">
        <v>44269</v>
      </c>
      <c r="D40" s="28">
        <v>38233</v>
      </c>
      <c r="E40" s="28">
        <v>2068</v>
      </c>
      <c r="F40" s="28">
        <f t="shared" si="5"/>
        <v>3968</v>
      </c>
      <c r="G40" s="28">
        <v>123179</v>
      </c>
      <c r="H40" s="28">
        <v>78260</v>
      </c>
      <c r="I40" s="28">
        <v>8386</v>
      </c>
      <c r="J40" s="28">
        <f t="shared" si="6"/>
        <v>36533</v>
      </c>
      <c r="K40" s="28">
        <v>2640</v>
      </c>
      <c r="L40" s="28">
        <v>27</v>
      </c>
      <c r="M40" s="28">
        <v>32356</v>
      </c>
      <c r="N40" s="28">
        <v>631</v>
      </c>
      <c r="O40" s="28">
        <v>631</v>
      </c>
    </row>
    <row r="41" spans="1:256" ht="12.75" customHeight="1">
      <c r="A41" s="4" t="s">
        <v>76</v>
      </c>
      <c r="B41" s="5" t="s">
        <v>77</v>
      </c>
      <c r="C41" s="28">
        <v>15257</v>
      </c>
      <c r="D41" s="28">
        <v>13091</v>
      </c>
      <c r="E41" s="28">
        <v>0</v>
      </c>
      <c r="F41" s="28">
        <f t="shared" si="5"/>
        <v>2166</v>
      </c>
      <c r="G41" s="28">
        <v>51870</v>
      </c>
      <c r="H41" s="28">
        <v>34947</v>
      </c>
      <c r="I41" s="28">
        <v>0</v>
      </c>
      <c r="J41" s="28">
        <f t="shared" si="6"/>
        <v>16923</v>
      </c>
      <c r="K41" s="28">
        <v>5077</v>
      </c>
      <c r="L41" s="28">
        <v>0</v>
      </c>
      <c r="M41" s="28">
        <v>1116</v>
      </c>
      <c r="N41" s="28">
        <v>2561</v>
      </c>
      <c r="O41" s="28">
        <v>2561</v>
      </c>
    </row>
    <row r="42" spans="1:256" ht="12.75" customHeight="1">
      <c r="A42" s="4" t="s">
        <v>78</v>
      </c>
      <c r="B42" s="5" t="s">
        <v>79</v>
      </c>
      <c r="C42" s="28">
        <v>99791</v>
      </c>
      <c r="D42" s="28">
        <v>79188</v>
      </c>
      <c r="E42" s="28">
        <v>2375</v>
      </c>
      <c r="F42" s="28">
        <f t="shared" si="5"/>
        <v>18228</v>
      </c>
      <c r="G42" s="28">
        <v>168809</v>
      </c>
      <c r="H42" s="28">
        <v>125492</v>
      </c>
      <c r="I42" s="28">
        <v>5734</v>
      </c>
      <c r="J42" s="28">
        <f t="shared" si="6"/>
        <v>37583</v>
      </c>
      <c r="K42" s="28">
        <v>4019</v>
      </c>
      <c r="L42" s="28">
        <v>0</v>
      </c>
      <c r="M42" s="28">
        <v>445</v>
      </c>
      <c r="N42" s="28">
        <v>634</v>
      </c>
      <c r="O42" s="28">
        <v>634</v>
      </c>
    </row>
    <row r="43" spans="1:256" ht="12.75" customHeight="1">
      <c r="A43" s="8"/>
      <c r="B43" s="9" t="s">
        <v>80</v>
      </c>
      <c r="C43" s="29">
        <f t="shared" ref="C43:O43" si="7">SUM(C31:C42)</f>
        <v>1093870</v>
      </c>
      <c r="D43" s="29">
        <f t="shared" si="7"/>
        <v>848853</v>
      </c>
      <c r="E43" s="29">
        <f t="shared" si="7"/>
        <v>29659</v>
      </c>
      <c r="F43" s="29">
        <f t="shared" si="7"/>
        <v>215358</v>
      </c>
      <c r="G43" s="29">
        <f t="shared" si="7"/>
        <v>2857150</v>
      </c>
      <c r="H43" s="29">
        <f t="shared" si="7"/>
        <v>1605930</v>
      </c>
      <c r="I43" s="29">
        <f t="shared" si="7"/>
        <v>119430</v>
      </c>
      <c r="J43" s="29">
        <f t="shared" si="7"/>
        <v>1131790</v>
      </c>
      <c r="K43" s="29">
        <f t="shared" si="7"/>
        <v>88255</v>
      </c>
      <c r="L43" s="29">
        <f t="shared" si="7"/>
        <v>359</v>
      </c>
      <c r="M43" s="29">
        <f t="shared" si="7"/>
        <v>223475</v>
      </c>
      <c r="N43" s="29">
        <f t="shared" si="7"/>
        <v>322582</v>
      </c>
      <c r="O43" s="29">
        <f t="shared" si="7"/>
        <v>53312</v>
      </c>
    </row>
    <row r="44" spans="1:256" ht="12.75" customHeight="1">
      <c r="A44" s="4" t="s">
        <v>81</v>
      </c>
      <c r="B44" s="5" t="s">
        <v>82</v>
      </c>
      <c r="C44" s="28">
        <v>39913</v>
      </c>
      <c r="D44" s="28">
        <v>33707</v>
      </c>
      <c r="E44" s="28">
        <v>1396</v>
      </c>
      <c r="F44" s="28">
        <f>SUM(C44-D44-E44)</f>
        <v>4810</v>
      </c>
      <c r="G44" s="28">
        <v>140500</v>
      </c>
      <c r="H44" s="28">
        <v>80685</v>
      </c>
      <c r="I44" s="28">
        <v>4399</v>
      </c>
      <c r="J44" s="28">
        <f>SUM(G44-H44-I44)</f>
        <v>55416</v>
      </c>
      <c r="K44" s="28">
        <v>8948</v>
      </c>
      <c r="L44" s="28">
        <v>712</v>
      </c>
      <c r="M44" s="28">
        <v>5858</v>
      </c>
      <c r="N44" s="28">
        <v>1685</v>
      </c>
      <c r="O44" s="28">
        <v>1685</v>
      </c>
    </row>
    <row r="45" spans="1:256" ht="12.75" customHeight="1">
      <c r="A45" s="4" t="s">
        <v>83</v>
      </c>
      <c r="B45" s="5" t="s">
        <v>84</v>
      </c>
      <c r="C45" s="28">
        <v>54448</v>
      </c>
      <c r="D45" s="28">
        <v>41160</v>
      </c>
      <c r="E45" s="28">
        <v>2120</v>
      </c>
      <c r="F45" s="28">
        <f>SUM(C45-D45-E45)</f>
        <v>11168</v>
      </c>
      <c r="G45" s="28">
        <v>222725</v>
      </c>
      <c r="H45" s="28">
        <v>93084</v>
      </c>
      <c r="I45" s="28">
        <v>7245</v>
      </c>
      <c r="J45" s="28">
        <f>SUM(G45-H45-I45)</f>
        <v>122396</v>
      </c>
      <c r="K45" s="28">
        <v>42791</v>
      </c>
      <c r="L45" s="28">
        <v>0</v>
      </c>
      <c r="M45" s="28">
        <v>27358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94361</v>
      </c>
      <c r="D46" s="29">
        <f t="shared" si="8"/>
        <v>74867</v>
      </c>
      <c r="E46" s="29">
        <f t="shared" si="8"/>
        <v>3516</v>
      </c>
      <c r="F46" s="29">
        <f t="shared" si="8"/>
        <v>15978</v>
      </c>
      <c r="G46" s="29">
        <f t="shared" si="8"/>
        <v>363225</v>
      </c>
      <c r="H46" s="29">
        <f t="shared" si="8"/>
        <v>173769</v>
      </c>
      <c r="I46" s="29">
        <f t="shared" si="8"/>
        <v>11644</v>
      </c>
      <c r="J46" s="29">
        <f t="shared" si="8"/>
        <v>177812</v>
      </c>
      <c r="K46" s="29">
        <f t="shared" si="8"/>
        <v>51739</v>
      </c>
      <c r="L46" s="29">
        <f t="shared" si="8"/>
        <v>712</v>
      </c>
      <c r="M46" s="29">
        <f t="shared" si="8"/>
        <v>33216</v>
      </c>
      <c r="N46" s="29">
        <f t="shared" si="8"/>
        <v>1823</v>
      </c>
      <c r="O46" s="29">
        <f t="shared" si="8"/>
        <v>1823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9206</v>
      </c>
      <c r="D47" s="28">
        <v>8108</v>
      </c>
      <c r="E47" s="28">
        <v>0</v>
      </c>
      <c r="F47" s="28">
        <f>SUM(C47-D47-E47)</f>
        <v>1098</v>
      </c>
      <c r="G47" s="28">
        <v>9526</v>
      </c>
      <c r="H47" s="28">
        <v>7379</v>
      </c>
      <c r="I47" s="28">
        <v>0</v>
      </c>
      <c r="J47" s="28">
        <f>SUM(G47-H47-I47)</f>
        <v>2147</v>
      </c>
      <c r="K47" s="28">
        <v>2</v>
      </c>
      <c r="L47" s="28">
        <v>0</v>
      </c>
      <c r="M47" s="28">
        <v>99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26683</v>
      </c>
      <c r="D48" s="28">
        <v>21277</v>
      </c>
      <c r="E48" s="28">
        <v>184</v>
      </c>
      <c r="F48" s="28">
        <f>SUM(C48-D48-E48)</f>
        <v>5222</v>
      </c>
      <c r="G48" s="28">
        <v>49286</v>
      </c>
      <c r="H48" s="28">
        <v>38328</v>
      </c>
      <c r="I48" s="28">
        <v>621</v>
      </c>
      <c r="J48" s="28">
        <f>SUM(G48-H48-I48)</f>
        <v>10337</v>
      </c>
      <c r="K48" s="28">
        <v>50</v>
      </c>
      <c r="L48" s="28">
        <v>0</v>
      </c>
      <c r="M48" s="28">
        <v>1369</v>
      </c>
      <c r="N48" s="28">
        <v>281</v>
      </c>
      <c r="O48" s="28">
        <v>281</v>
      </c>
    </row>
    <row r="49" spans="1:15" ht="12.75" customHeight="1">
      <c r="A49" s="4" t="s">
        <v>90</v>
      </c>
      <c r="B49" s="5" t="s">
        <v>91</v>
      </c>
      <c r="C49" s="28">
        <v>9305</v>
      </c>
      <c r="D49" s="28">
        <v>8413</v>
      </c>
      <c r="E49" s="28">
        <v>601</v>
      </c>
      <c r="F49" s="28">
        <f>SUM(C49-D49-E49)</f>
        <v>291</v>
      </c>
      <c r="G49" s="28">
        <v>12887</v>
      </c>
      <c r="H49" s="28">
        <v>9417</v>
      </c>
      <c r="I49" s="28">
        <v>1559</v>
      </c>
      <c r="J49" s="28">
        <f>SUM(G49-H49-I49)</f>
        <v>1911</v>
      </c>
      <c r="K49" s="28">
        <v>3096</v>
      </c>
      <c r="L49" s="28">
        <v>0</v>
      </c>
      <c r="M49" s="28">
        <v>0</v>
      </c>
      <c r="N49" s="28">
        <v>83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86077</v>
      </c>
      <c r="D50" s="28">
        <v>82758</v>
      </c>
      <c r="E50" s="28">
        <v>1285</v>
      </c>
      <c r="F50" s="28">
        <f>SUM(C50-D50-E50)</f>
        <v>2034</v>
      </c>
      <c r="G50" s="28">
        <v>189743</v>
      </c>
      <c r="H50" s="28">
        <v>135902</v>
      </c>
      <c r="I50" s="28">
        <v>4499</v>
      </c>
      <c r="J50" s="28">
        <f>SUM(G50-H50-I50)</f>
        <v>49342</v>
      </c>
      <c r="K50" s="28">
        <v>18854</v>
      </c>
      <c r="L50" s="28">
        <v>0</v>
      </c>
      <c r="M50" s="28">
        <v>16241</v>
      </c>
      <c r="N50" s="28">
        <v>5000</v>
      </c>
      <c r="O50" s="28">
        <v>4496</v>
      </c>
    </row>
    <row r="51" spans="1:15" ht="12.75" customHeight="1">
      <c r="A51" s="8"/>
      <c r="B51" s="9" t="s">
        <v>94</v>
      </c>
      <c r="C51" s="29">
        <f t="shared" ref="C51:O51" si="9">SUM(C47:C50)</f>
        <v>131271</v>
      </c>
      <c r="D51" s="29">
        <f t="shared" si="9"/>
        <v>120556</v>
      </c>
      <c r="E51" s="29">
        <f t="shared" si="9"/>
        <v>2070</v>
      </c>
      <c r="F51" s="29">
        <f t="shared" si="9"/>
        <v>8645</v>
      </c>
      <c r="G51" s="29">
        <f t="shared" si="9"/>
        <v>261442</v>
      </c>
      <c r="H51" s="29">
        <f t="shared" si="9"/>
        <v>191026</v>
      </c>
      <c r="I51" s="29">
        <f t="shared" si="9"/>
        <v>6679</v>
      </c>
      <c r="J51" s="29">
        <f t="shared" si="9"/>
        <v>63737</v>
      </c>
      <c r="K51" s="29">
        <f t="shared" si="9"/>
        <v>22002</v>
      </c>
      <c r="L51" s="29">
        <f t="shared" si="9"/>
        <v>0</v>
      </c>
      <c r="M51" s="29">
        <f t="shared" si="9"/>
        <v>17709</v>
      </c>
      <c r="N51" s="29">
        <f t="shared" si="9"/>
        <v>5364</v>
      </c>
      <c r="O51" s="29">
        <f t="shared" si="9"/>
        <v>4777</v>
      </c>
    </row>
    <row r="52" spans="1:15" ht="12.75" customHeight="1">
      <c r="A52" s="4" t="s">
        <v>95</v>
      </c>
      <c r="B52" s="5" t="s">
        <v>96</v>
      </c>
      <c r="C52" s="28">
        <v>15235</v>
      </c>
      <c r="D52" s="28">
        <v>11365</v>
      </c>
      <c r="E52" s="28">
        <v>87</v>
      </c>
      <c r="F52" s="28">
        <f t="shared" ref="F52:F58" si="10">SUM(C52-D52-E52)</f>
        <v>3783</v>
      </c>
      <c r="G52" s="28">
        <v>47627</v>
      </c>
      <c r="H52" s="28">
        <v>26728</v>
      </c>
      <c r="I52" s="28">
        <v>280</v>
      </c>
      <c r="J52" s="28">
        <f t="shared" ref="J52:J58" si="11">SUM(G52-H52-I52)</f>
        <v>20619</v>
      </c>
      <c r="K52" s="28">
        <v>14798</v>
      </c>
      <c r="L52" s="28">
        <v>9</v>
      </c>
      <c r="M52" s="28">
        <v>560</v>
      </c>
      <c r="N52" s="28">
        <v>562</v>
      </c>
      <c r="O52" s="28">
        <v>562</v>
      </c>
    </row>
    <row r="53" spans="1:15" ht="12.75" customHeight="1">
      <c r="A53" s="4" t="s">
        <v>97</v>
      </c>
      <c r="B53" s="5" t="s">
        <v>98</v>
      </c>
      <c r="C53" s="28">
        <v>78065</v>
      </c>
      <c r="D53" s="28">
        <v>55903</v>
      </c>
      <c r="E53" s="28">
        <v>1537</v>
      </c>
      <c r="F53" s="28">
        <f t="shared" si="10"/>
        <v>20625</v>
      </c>
      <c r="G53" s="28">
        <v>245788</v>
      </c>
      <c r="H53" s="28">
        <v>148186</v>
      </c>
      <c r="I53" s="28">
        <v>8446</v>
      </c>
      <c r="J53" s="28">
        <f t="shared" si="11"/>
        <v>89156</v>
      </c>
      <c r="K53" s="28">
        <v>6992</v>
      </c>
      <c r="L53" s="28">
        <v>0</v>
      </c>
      <c r="M53" s="28">
        <v>13336</v>
      </c>
      <c r="N53" s="28">
        <v>2937</v>
      </c>
      <c r="O53" s="28">
        <v>2937</v>
      </c>
    </row>
    <row r="54" spans="1:15" ht="12.75" customHeight="1">
      <c r="A54" s="4" t="s">
        <v>99</v>
      </c>
      <c r="B54" s="5" t="s">
        <v>100</v>
      </c>
      <c r="C54" s="28">
        <v>13914</v>
      </c>
      <c r="D54" s="28">
        <v>7887</v>
      </c>
      <c r="E54" s="28">
        <v>463</v>
      </c>
      <c r="F54" s="28">
        <f t="shared" si="10"/>
        <v>5564</v>
      </c>
      <c r="G54" s="28">
        <v>46441</v>
      </c>
      <c r="H54" s="28">
        <v>25764</v>
      </c>
      <c r="I54" s="28">
        <v>3194</v>
      </c>
      <c r="J54" s="28">
        <f t="shared" si="11"/>
        <v>17483</v>
      </c>
      <c r="K54" s="28">
        <v>502</v>
      </c>
      <c r="L54" s="28">
        <v>0</v>
      </c>
      <c r="M54" s="28">
        <v>7641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59751</v>
      </c>
      <c r="D55" s="28">
        <v>38993</v>
      </c>
      <c r="E55" s="28">
        <v>1208</v>
      </c>
      <c r="F55" s="28">
        <f t="shared" si="10"/>
        <v>19550</v>
      </c>
      <c r="G55" s="28">
        <v>212234</v>
      </c>
      <c r="H55" s="28">
        <v>98807</v>
      </c>
      <c r="I55" s="28">
        <v>4329</v>
      </c>
      <c r="J55" s="28">
        <f t="shared" si="11"/>
        <v>109098</v>
      </c>
      <c r="K55" s="28">
        <v>22065</v>
      </c>
      <c r="L55" s="28">
        <v>21</v>
      </c>
      <c r="M55" s="28">
        <v>15724</v>
      </c>
      <c r="N55" s="28">
        <v>13405</v>
      </c>
      <c r="O55" s="28">
        <v>13405</v>
      </c>
    </row>
    <row r="56" spans="1:15" ht="12.75" customHeight="1">
      <c r="A56" s="4" t="s">
        <v>103</v>
      </c>
      <c r="B56" s="5" t="s">
        <v>104</v>
      </c>
      <c r="C56" s="28">
        <v>81625</v>
      </c>
      <c r="D56" s="28">
        <v>37940</v>
      </c>
      <c r="E56" s="28">
        <v>4106</v>
      </c>
      <c r="F56" s="28">
        <f t="shared" si="10"/>
        <v>39579</v>
      </c>
      <c r="G56" s="28">
        <v>281948</v>
      </c>
      <c r="H56" s="28">
        <v>90560</v>
      </c>
      <c r="I56" s="28">
        <v>19294</v>
      </c>
      <c r="J56" s="28">
        <f t="shared" si="11"/>
        <v>172094</v>
      </c>
      <c r="K56" s="28">
        <v>13470</v>
      </c>
      <c r="L56" s="28">
        <v>163</v>
      </c>
      <c r="M56" s="28">
        <v>30878</v>
      </c>
      <c r="N56" s="28">
        <v>55868</v>
      </c>
      <c r="O56" s="28">
        <v>3698</v>
      </c>
    </row>
    <row r="57" spans="1:15" ht="12.75" customHeight="1">
      <c r="A57" s="4" t="s">
        <v>105</v>
      </c>
      <c r="B57" s="5" t="s">
        <v>106</v>
      </c>
      <c r="C57" s="28">
        <v>78511</v>
      </c>
      <c r="D57" s="28">
        <v>44750</v>
      </c>
      <c r="E57" s="28">
        <v>4096</v>
      </c>
      <c r="F57" s="28">
        <f t="shared" si="10"/>
        <v>29665</v>
      </c>
      <c r="G57" s="28">
        <v>293906</v>
      </c>
      <c r="H57" s="28">
        <v>132679</v>
      </c>
      <c r="I57" s="28">
        <v>16959</v>
      </c>
      <c r="J57" s="28">
        <f t="shared" si="11"/>
        <v>144268</v>
      </c>
      <c r="K57" s="28">
        <v>3533</v>
      </c>
      <c r="L57" s="28">
        <v>0</v>
      </c>
      <c r="M57" s="28">
        <v>31469</v>
      </c>
      <c r="N57" s="28">
        <v>279</v>
      </c>
      <c r="O57" s="28">
        <v>279</v>
      </c>
    </row>
    <row r="58" spans="1:15" ht="12.75" customHeight="1">
      <c r="A58" s="4" t="s">
        <v>107</v>
      </c>
      <c r="B58" s="5" t="s">
        <v>108</v>
      </c>
      <c r="C58" s="28">
        <v>80734</v>
      </c>
      <c r="D58" s="28">
        <v>44992</v>
      </c>
      <c r="E58" s="28">
        <v>1262</v>
      </c>
      <c r="F58" s="28">
        <f t="shared" si="10"/>
        <v>34480</v>
      </c>
      <c r="G58" s="28">
        <v>279892</v>
      </c>
      <c r="H58" s="28">
        <v>110699</v>
      </c>
      <c r="I58" s="28">
        <v>5777</v>
      </c>
      <c r="J58" s="28">
        <f t="shared" si="11"/>
        <v>163416</v>
      </c>
      <c r="K58" s="28">
        <v>8631</v>
      </c>
      <c r="L58" s="28">
        <v>194</v>
      </c>
      <c r="M58" s="28">
        <v>17007</v>
      </c>
      <c r="N58" s="28">
        <v>23134</v>
      </c>
      <c r="O58" s="28">
        <v>23134</v>
      </c>
    </row>
    <row r="59" spans="1:15" ht="12.75" customHeight="1">
      <c r="A59" s="8"/>
      <c r="B59" s="9" t="s">
        <v>109</v>
      </c>
      <c r="C59" s="29">
        <f t="shared" ref="C59:O59" si="12">SUM(C52:C58)</f>
        <v>407835</v>
      </c>
      <c r="D59" s="29">
        <f t="shared" si="12"/>
        <v>241830</v>
      </c>
      <c r="E59" s="29">
        <f t="shared" si="12"/>
        <v>12759</v>
      </c>
      <c r="F59" s="29">
        <f t="shared" si="12"/>
        <v>153246</v>
      </c>
      <c r="G59" s="29">
        <f t="shared" si="12"/>
        <v>1407836</v>
      </c>
      <c r="H59" s="29">
        <f t="shared" si="12"/>
        <v>633423</v>
      </c>
      <c r="I59" s="29">
        <f t="shared" si="12"/>
        <v>58279</v>
      </c>
      <c r="J59" s="29">
        <f t="shared" si="12"/>
        <v>716134</v>
      </c>
      <c r="K59" s="29">
        <f t="shared" si="12"/>
        <v>69991</v>
      </c>
      <c r="L59" s="29">
        <f t="shared" si="12"/>
        <v>387</v>
      </c>
      <c r="M59" s="29">
        <f t="shared" si="12"/>
        <v>116615</v>
      </c>
      <c r="N59" s="29">
        <f t="shared" si="12"/>
        <v>96185</v>
      </c>
      <c r="O59" s="29">
        <f t="shared" si="12"/>
        <v>44015</v>
      </c>
    </row>
    <row r="60" spans="1:15" ht="12.75" customHeight="1">
      <c r="A60" s="4" t="s">
        <v>110</v>
      </c>
      <c r="B60" s="5" t="s">
        <v>111</v>
      </c>
      <c r="C60" s="28">
        <v>85565</v>
      </c>
      <c r="D60" s="28">
        <v>60157</v>
      </c>
      <c r="E60" s="28">
        <v>7014</v>
      </c>
      <c r="F60" s="28">
        <f t="shared" ref="F60:F68" si="13">SUM(C60-D60-E60)</f>
        <v>18394</v>
      </c>
      <c r="G60" s="28">
        <v>266916</v>
      </c>
      <c r="H60" s="28">
        <v>152045</v>
      </c>
      <c r="I60" s="28">
        <v>34475</v>
      </c>
      <c r="J60" s="28">
        <f t="shared" ref="J60:J68" si="14">SUM(G60-H60-I60)</f>
        <v>80396</v>
      </c>
      <c r="K60" s="28">
        <v>2379</v>
      </c>
      <c r="L60" s="28">
        <v>0</v>
      </c>
      <c r="M60" s="28">
        <v>13283</v>
      </c>
      <c r="N60" s="28">
        <v>1722</v>
      </c>
      <c r="O60" s="28">
        <v>1722</v>
      </c>
    </row>
    <row r="61" spans="1:15" ht="12.75" customHeight="1">
      <c r="A61" s="4" t="s">
        <v>112</v>
      </c>
      <c r="B61" s="5" t="s">
        <v>113</v>
      </c>
      <c r="C61" s="28">
        <v>25252</v>
      </c>
      <c r="D61" s="28">
        <v>17457</v>
      </c>
      <c r="E61" s="28">
        <v>576</v>
      </c>
      <c r="F61" s="28">
        <f t="shared" si="13"/>
        <v>7219</v>
      </c>
      <c r="G61" s="28">
        <v>70798</v>
      </c>
      <c r="H61" s="28">
        <v>44764</v>
      </c>
      <c r="I61" s="28">
        <v>2899</v>
      </c>
      <c r="J61" s="28">
        <f t="shared" si="14"/>
        <v>23135</v>
      </c>
      <c r="K61" s="28">
        <v>109</v>
      </c>
      <c r="L61" s="28">
        <v>0</v>
      </c>
      <c r="M61" s="28">
        <v>11214</v>
      </c>
      <c r="N61" s="28">
        <v>61</v>
      </c>
      <c r="O61" s="28">
        <v>61</v>
      </c>
    </row>
    <row r="62" spans="1:15" ht="12.75" customHeight="1">
      <c r="A62" s="4" t="s">
        <v>114</v>
      </c>
      <c r="B62" s="5" t="s">
        <v>115</v>
      </c>
      <c r="C62" s="28">
        <v>42596</v>
      </c>
      <c r="D62" s="28">
        <v>21028</v>
      </c>
      <c r="E62" s="28">
        <v>2114</v>
      </c>
      <c r="F62" s="28">
        <f t="shared" si="13"/>
        <v>19454</v>
      </c>
      <c r="G62" s="28">
        <v>193803</v>
      </c>
      <c r="H62" s="28">
        <v>57456</v>
      </c>
      <c r="I62" s="28">
        <v>10779</v>
      </c>
      <c r="J62" s="28">
        <f t="shared" si="14"/>
        <v>125568</v>
      </c>
      <c r="K62" s="28">
        <v>2874</v>
      </c>
      <c r="L62" s="28">
        <v>153</v>
      </c>
      <c r="M62" s="28">
        <v>16025</v>
      </c>
      <c r="N62" s="28">
        <v>2503</v>
      </c>
      <c r="O62" s="28">
        <v>2503</v>
      </c>
    </row>
    <row r="63" spans="1:15" ht="12.75" customHeight="1">
      <c r="A63" s="4" t="s">
        <v>116</v>
      </c>
      <c r="B63" s="5" t="s">
        <v>117</v>
      </c>
      <c r="C63" s="28">
        <v>58363</v>
      </c>
      <c r="D63" s="28">
        <v>34971</v>
      </c>
      <c r="E63" s="28">
        <v>3289</v>
      </c>
      <c r="F63" s="28">
        <f t="shared" si="13"/>
        <v>20103</v>
      </c>
      <c r="G63" s="28">
        <v>192987</v>
      </c>
      <c r="H63" s="28">
        <v>103970</v>
      </c>
      <c r="I63" s="28">
        <v>20158</v>
      </c>
      <c r="J63" s="28">
        <f t="shared" si="14"/>
        <v>68859</v>
      </c>
      <c r="K63" s="28">
        <v>1149</v>
      </c>
      <c r="L63" s="28">
        <v>0</v>
      </c>
      <c r="M63" s="28">
        <v>15661</v>
      </c>
      <c r="N63" s="28">
        <v>794</v>
      </c>
      <c r="O63" s="28">
        <v>794</v>
      </c>
    </row>
    <row r="64" spans="1:15" ht="12.75" customHeight="1">
      <c r="A64" s="4" t="s">
        <v>118</v>
      </c>
      <c r="B64" s="5" t="s">
        <v>119</v>
      </c>
      <c r="C64" s="28">
        <v>55270</v>
      </c>
      <c r="D64" s="28">
        <v>26908</v>
      </c>
      <c r="E64" s="28">
        <v>4035</v>
      </c>
      <c r="F64" s="28">
        <f t="shared" si="13"/>
        <v>24327</v>
      </c>
      <c r="G64" s="28">
        <v>204746</v>
      </c>
      <c r="H64" s="28">
        <v>80788</v>
      </c>
      <c r="I64" s="28">
        <v>17460</v>
      </c>
      <c r="J64" s="28">
        <f t="shared" si="14"/>
        <v>106498</v>
      </c>
      <c r="K64" s="28">
        <v>532</v>
      </c>
      <c r="L64" s="28">
        <v>22</v>
      </c>
      <c r="M64" s="28">
        <v>8731</v>
      </c>
      <c r="N64" s="28">
        <v>1220</v>
      </c>
      <c r="O64" s="28">
        <v>1220</v>
      </c>
    </row>
    <row r="65" spans="1:15" ht="12.75" customHeight="1">
      <c r="A65" s="4" t="s">
        <v>120</v>
      </c>
      <c r="B65" s="5" t="s">
        <v>121</v>
      </c>
      <c r="C65" s="28">
        <v>26329</v>
      </c>
      <c r="D65" s="28">
        <v>17627</v>
      </c>
      <c r="E65" s="28">
        <v>2764</v>
      </c>
      <c r="F65" s="28">
        <f t="shared" si="13"/>
        <v>5938</v>
      </c>
      <c r="G65" s="28">
        <v>139890</v>
      </c>
      <c r="H65" s="28">
        <v>52001</v>
      </c>
      <c r="I65" s="28">
        <v>14781</v>
      </c>
      <c r="J65" s="28">
        <f t="shared" si="14"/>
        <v>73108</v>
      </c>
      <c r="K65" s="28">
        <v>6508</v>
      </c>
      <c r="L65" s="28">
        <v>0</v>
      </c>
      <c r="M65" s="28">
        <v>21798</v>
      </c>
      <c r="N65" s="28">
        <v>4912</v>
      </c>
      <c r="O65" s="28">
        <v>4912</v>
      </c>
    </row>
    <row r="66" spans="1:15" ht="12.75" customHeight="1">
      <c r="A66" s="4" t="s">
        <v>122</v>
      </c>
      <c r="B66" s="5" t="s">
        <v>123</v>
      </c>
      <c r="C66" s="28">
        <v>53708</v>
      </c>
      <c r="D66" s="28">
        <v>19302</v>
      </c>
      <c r="E66" s="28">
        <v>1213</v>
      </c>
      <c r="F66" s="28">
        <f t="shared" si="13"/>
        <v>33193</v>
      </c>
      <c r="G66" s="28">
        <v>259778</v>
      </c>
      <c r="H66" s="28">
        <v>56067</v>
      </c>
      <c r="I66" s="28">
        <v>5433</v>
      </c>
      <c r="J66" s="28">
        <f t="shared" si="14"/>
        <v>198278</v>
      </c>
      <c r="K66" s="28">
        <v>19516</v>
      </c>
      <c r="L66" s="28">
        <v>195</v>
      </c>
      <c r="M66" s="28">
        <v>56121</v>
      </c>
      <c r="N66" s="28">
        <v>345</v>
      </c>
      <c r="O66" s="28">
        <v>345</v>
      </c>
    </row>
    <row r="67" spans="1:15" ht="12.75" customHeight="1">
      <c r="A67" s="4" t="s">
        <v>124</v>
      </c>
      <c r="B67" s="5" t="s">
        <v>125</v>
      </c>
      <c r="C67" s="28">
        <v>71298</v>
      </c>
      <c r="D67" s="28">
        <v>19549</v>
      </c>
      <c r="E67" s="28">
        <v>0</v>
      </c>
      <c r="F67" s="28">
        <f t="shared" si="13"/>
        <v>51749</v>
      </c>
      <c r="G67" s="28">
        <v>300154</v>
      </c>
      <c r="H67" s="28">
        <v>54540</v>
      </c>
      <c r="I67" s="28">
        <v>0</v>
      </c>
      <c r="J67" s="28">
        <f t="shared" si="14"/>
        <v>245614</v>
      </c>
      <c r="K67" s="28">
        <v>13330</v>
      </c>
      <c r="L67" s="28">
        <v>0</v>
      </c>
      <c r="M67" s="28">
        <v>77494</v>
      </c>
      <c r="N67" s="28">
        <v>897</v>
      </c>
      <c r="O67" s="28">
        <v>897</v>
      </c>
    </row>
    <row r="68" spans="1:15" ht="12.75" customHeight="1">
      <c r="A68" s="4" t="s">
        <v>126</v>
      </c>
      <c r="B68" s="5" t="s">
        <v>127</v>
      </c>
      <c r="C68" s="28">
        <v>58939</v>
      </c>
      <c r="D68" s="28">
        <v>26737</v>
      </c>
      <c r="E68" s="28">
        <v>992</v>
      </c>
      <c r="F68" s="28">
        <f t="shared" si="13"/>
        <v>31210</v>
      </c>
      <c r="G68" s="28">
        <v>135063</v>
      </c>
      <c r="H68" s="28">
        <v>61438</v>
      </c>
      <c r="I68" s="28">
        <v>6273</v>
      </c>
      <c r="J68" s="28">
        <f t="shared" si="14"/>
        <v>67352</v>
      </c>
      <c r="K68" s="28">
        <v>402</v>
      </c>
      <c r="L68" s="28">
        <v>250</v>
      </c>
      <c r="M68" s="28">
        <v>4494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477320</v>
      </c>
      <c r="D69" s="29">
        <f t="shared" si="15"/>
        <v>243736</v>
      </c>
      <c r="E69" s="29">
        <f t="shared" si="15"/>
        <v>21997</v>
      </c>
      <c r="F69" s="29">
        <f t="shared" si="15"/>
        <v>211587</v>
      </c>
      <c r="G69" s="29">
        <f t="shared" si="15"/>
        <v>1764135</v>
      </c>
      <c r="H69" s="29">
        <f t="shared" si="15"/>
        <v>663069</v>
      </c>
      <c r="I69" s="29">
        <f t="shared" si="15"/>
        <v>112258</v>
      </c>
      <c r="J69" s="29">
        <f t="shared" si="15"/>
        <v>988808</v>
      </c>
      <c r="K69" s="29">
        <f t="shared" si="15"/>
        <v>46799</v>
      </c>
      <c r="L69" s="29">
        <f t="shared" si="15"/>
        <v>620</v>
      </c>
      <c r="M69" s="29">
        <f t="shared" si="15"/>
        <v>224821</v>
      </c>
      <c r="N69" s="29">
        <f t="shared" si="15"/>
        <v>12454</v>
      </c>
      <c r="O69" s="29">
        <f t="shared" si="15"/>
        <v>12454</v>
      </c>
    </row>
    <row r="70" spans="1:15" ht="12.75" customHeight="1">
      <c r="A70" s="4" t="s">
        <v>129</v>
      </c>
      <c r="B70" s="5" t="s">
        <v>130</v>
      </c>
      <c r="C70" s="28">
        <v>28517</v>
      </c>
      <c r="D70" s="28">
        <v>19985</v>
      </c>
      <c r="E70" s="28">
        <v>2356</v>
      </c>
      <c r="F70" s="28">
        <f t="shared" ref="F70:F79" si="16">SUM(C70-D70-E70)</f>
        <v>6176</v>
      </c>
      <c r="G70" s="28">
        <v>101703</v>
      </c>
      <c r="H70" s="28">
        <v>54168</v>
      </c>
      <c r="I70" s="28">
        <v>15467</v>
      </c>
      <c r="J70" s="28">
        <f t="shared" ref="J70:J79" si="17">SUM(G70-H70-I70)</f>
        <v>32068</v>
      </c>
      <c r="K70" s="28">
        <v>2172</v>
      </c>
      <c r="L70" s="28">
        <v>29</v>
      </c>
      <c r="M70" s="28">
        <v>7027</v>
      </c>
      <c r="N70" s="28">
        <v>184</v>
      </c>
      <c r="O70" s="28">
        <v>184</v>
      </c>
    </row>
    <row r="71" spans="1:15" ht="12.75" customHeight="1">
      <c r="A71" s="4" t="s">
        <v>131</v>
      </c>
      <c r="B71" s="5" t="s">
        <v>132</v>
      </c>
      <c r="C71" s="28">
        <v>108325</v>
      </c>
      <c r="D71" s="28">
        <v>69920</v>
      </c>
      <c r="E71" s="28">
        <v>4460</v>
      </c>
      <c r="F71" s="28">
        <f t="shared" si="16"/>
        <v>33945</v>
      </c>
      <c r="G71" s="28">
        <v>270463</v>
      </c>
      <c r="H71" s="28">
        <v>127699</v>
      </c>
      <c r="I71" s="28">
        <v>20484</v>
      </c>
      <c r="J71" s="28">
        <f t="shared" si="17"/>
        <v>122280</v>
      </c>
      <c r="K71" s="28">
        <v>8559</v>
      </c>
      <c r="L71" s="28">
        <v>0</v>
      </c>
      <c r="M71" s="28">
        <v>9002</v>
      </c>
      <c r="N71" s="28">
        <v>28510</v>
      </c>
      <c r="O71" s="28">
        <v>28510</v>
      </c>
    </row>
    <row r="72" spans="1:15" ht="12.75" customHeight="1">
      <c r="A72" s="4" t="s">
        <v>133</v>
      </c>
      <c r="B72" s="5" t="s">
        <v>134</v>
      </c>
      <c r="C72" s="28">
        <v>23451</v>
      </c>
      <c r="D72" s="28">
        <v>15785</v>
      </c>
      <c r="E72" s="28">
        <v>0</v>
      </c>
      <c r="F72" s="28">
        <f t="shared" si="16"/>
        <v>7666</v>
      </c>
      <c r="G72" s="28">
        <v>73542</v>
      </c>
      <c r="H72" s="28">
        <v>40605</v>
      </c>
      <c r="I72" s="28">
        <v>0</v>
      </c>
      <c r="J72" s="28">
        <f t="shared" si="17"/>
        <v>32937</v>
      </c>
      <c r="K72" s="28">
        <v>3473</v>
      </c>
      <c r="L72" s="28">
        <v>1154</v>
      </c>
      <c r="M72" s="28">
        <v>15237</v>
      </c>
      <c r="N72" s="28">
        <v>464</v>
      </c>
      <c r="O72" s="28">
        <v>464</v>
      </c>
    </row>
    <row r="73" spans="1:15" ht="12.75" customHeight="1">
      <c r="A73" s="4" t="s">
        <v>135</v>
      </c>
      <c r="B73" s="5" t="s">
        <v>136</v>
      </c>
      <c r="C73" s="28">
        <v>54283</v>
      </c>
      <c r="D73" s="28">
        <v>37906</v>
      </c>
      <c r="E73" s="28">
        <v>536</v>
      </c>
      <c r="F73" s="28">
        <f t="shared" si="16"/>
        <v>15841</v>
      </c>
      <c r="G73" s="28">
        <v>150120</v>
      </c>
      <c r="H73" s="28">
        <v>88072</v>
      </c>
      <c r="I73" s="28">
        <v>1479</v>
      </c>
      <c r="J73" s="28">
        <f t="shared" si="17"/>
        <v>60569</v>
      </c>
      <c r="K73" s="28">
        <v>7374</v>
      </c>
      <c r="L73" s="28">
        <v>36</v>
      </c>
      <c r="M73" s="28">
        <v>6606</v>
      </c>
      <c r="N73" s="28">
        <v>47517</v>
      </c>
      <c r="O73" s="28">
        <v>47517</v>
      </c>
    </row>
    <row r="74" spans="1:15" ht="12.75" customHeight="1">
      <c r="A74" s="4" t="s">
        <v>137</v>
      </c>
      <c r="B74" s="5" t="s">
        <v>138</v>
      </c>
      <c r="C74" s="28">
        <v>44812</v>
      </c>
      <c r="D74" s="28">
        <v>32501</v>
      </c>
      <c r="E74" s="28">
        <v>1643</v>
      </c>
      <c r="F74" s="28">
        <f t="shared" si="16"/>
        <v>10668</v>
      </c>
      <c r="G74" s="28">
        <v>101954</v>
      </c>
      <c r="H74" s="28">
        <v>58283</v>
      </c>
      <c r="I74" s="28">
        <v>6321</v>
      </c>
      <c r="J74" s="28">
        <f t="shared" si="17"/>
        <v>37350</v>
      </c>
      <c r="K74" s="28">
        <v>3624</v>
      </c>
      <c r="L74" s="28">
        <v>0</v>
      </c>
      <c r="M74" s="28">
        <v>1989</v>
      </c>
      <c r="N74" s="28">
        <v>2776</v>
      </c>
      <c r="O74" s="28">
        <v>2776</v>
      </c>
    </row>
    <row r="75" spans="1:15" ht="12.75" customHeight="1">
      <c r="A75" s="4" t="s">
        <v>139</v>
      </c>
      <c r="B75" s="5" t="s">
        <v>140</v>
      </c>
      <c r="C75" s="28">
        <v>19424</v>
      </c>
      <c r="D75" s="28">
        <v>17579</v>
      </c>
      <c r="E75" s="28">
        <v>460</v>
      </c>
      <c r="F75" s="28">
        <f t="shared" si="16"/>
        <v>1385</v>
      </c>
      <c r="G75" s="28">
        <v>38071</v>
      </c>
      <c r="H75" s="28">
        <v>30474</v>
      </c>
      <c r="I75" s="28">
        <v>2579</v>
      </c>
      <c r="J75" s="28">
        <f t="shared" si="17"/>
        <v>5018</v>
      </c>
      <c r="K75" s="28">
        <v>411</v>
      </c>
      <c r="L75" s="28">
        <v>0</v>
      </c>
      <c r="M75" s="28">
        <v>163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42317</v>
      </c>
      <c r="D76" s="28">
        <v>29854</v>
      </c>
      <c r="E76" s="28">
        <v>775</v>
      </c>
      <c r="F76" s="28">
        <f t="shared" si="16"/>
        <v>11688</v>
      </c>
      <c r="G76" s="28">
        <v>117873</v>
      </c>
      <c r="H76" s="28">
        <v>71574</v>
      </c>
      <c r="I76" s="28">
        <v>2829</v>
      </c>
      <c r="J76" s="28">
        <f t="shared" si="17"/>
        <v>43470</v>
      </c>
      <c r="K76" s="28">
        <v>1912</v>
      </c>
      <c r="L76" s="28">
        <v>388</v>
      </c>
      <c r="M76" s="28">
        <v>4337</v>
      </c>
      <c r="N76" s="28">
        <v>1027</v>
      </c>
      <c r="O76" s="28">
        <v>1027</v>
      </c>
    </row>
    <row r="77" spans="1:15" ht="12.75" customHeight="1">
      <c r="A77" s="4" t="s">
        <v>143</v>
      </c>
      <c r="B77" s="5" t="s">
        <v>144</v>
      </c>
      <c r="C77" s="28">
        <v>34187</v>
      </c>
      <c r="D77" s="28">
        <v>19537</v>
      </c>
      <c r="E77" s="28">
        <v>603</v>
      </c>
      <c r="F77" s="28">
        <f t="shared" si="16"/>
        <v>14047</v>
      </c>
      <c r="G77" s="28">
        <v>80574</v>
      </c>
      <c r="H77" s="28">
        <v>40274</v>
      </c>
      <c r="I77" s="28">
        <v>2115</v>
      </c>
      <c r="J77" s="28">
        <f t="shared" si="17"/>
        <v>38185</v>
      </c>
      <c r="K77" s="28">
        <v>4755</v>
      </c>
      <c r="L77" s="28">
        <v>0</v>
      </c>
      <c r="M77" s="28">
        <v>4491</v>
      </c>
      <c r="N77" s="28">
        <v>589</v>
      </c>
      <c r="O77" s="28">
        <v>589</v>
      </c>
    </row>
    <row r="78" spans="1:15" ht="12.75" customHeight="1">
      <c r="A78" s="4" t="s">
        <v>145</v>
      </c>
      <c r="B78" s="5" t="s">
        <v>146</v>
      </c>
      <c r="C78" s="28">
        <v>24104</v>
      </c>
      <c r="D78" s="28">
        <v>15933</v>
      </c>
      <c r="E78" s="28">
        <v>0</v>
      </c>
      <c r="F78" s="28">
        <f t="shared" si="16"/>
        <v>8171</v>
      </c>
      <c r="G78" s="28">
        <v>54938</v>
      </c>
      <c r="H78" s="28">
        <v>33298</v>
      </c>
      <c r="I78" s="28">
        <v>0</v>
      </c>
      <c r="J78" s="28">
        <f t="shared" si="17"/>
        <v>21640</v>
      </c>
      <c r="K78" s="28">
        <v>1010</v>
      </c>
      <c r="L78" s="28">
        <v>0</v>
      </c>
      <c r="M78" s="28">
        <v>103</v>
      </c>
      <c r="N78" s="28">
        <v>974</v>
      </c>
      <c r="O78" s="28">
        <v>974</v>
      </c>
    </row>
    <row r="79" spans="1:15" ht="12.75" customHeight="1">
      <c r="A79" s="4" t="s">
        <v>147</v>
      </c>
      <c r="B79" s="5" t="s">
        <v>148</v>
      </c>
      <c r="C79" s="28">
        <v>25650</v>
      </c>
      <c r="D79" s="28">
        <v>18455</v>
      </c>
      <c r="E79" s="28">
        <v>712</v>
      </c>
      <c r="F79" s="28">
        <f t="shared" si="16"/>
        <v>6483</v>
      </c>
      <c r="G79" s="28">
        <v>89670</v>
      </c>
      <c r="H79" s="28">
        <v>47026</v>
      </c>
      <c r="I79" s="28">
        <v>3779</v>
      </c>
      <c r="J79" s="28">
        <f t="shared" si="17"/>
        <v>38865</v>
      </c>
      <c r="K79" s="28">
        <v>4356</v>
      </c>
      <c r="L79" s="28">
        <v>0</v>
      </c>
      <c r="M79" s="28">
        <v>12557</v>
      </c>
      <c r="N79" s="28">
        <v>561</v>
      </c>
      <c r="O79" s="28">
        <v>561</v>
      </c>
    </row>
    <row r="80" spans="1:15" ht="12.75" customHeight="1">
      <c r="A80" s="8"/>
      <c r="B80" s="9" t="s">
        <v>149</v>
      </c>
      <c r="C80" s="29">
        <f t="shared" ref="C80:O80" si="18">SUM(C70:C79)</f>
        <v>405070</v>
      </c>
      <c r="D80" s="29">
        <f t="shared" si="18"/>
        <v>277455</v>
      </c>
      <c r="E80" s="29">
        <f t="shared" si="18"/>
        <v>11545</v>
      </c>
      <c r="F80" s="29">
        <f t="shared" si="18"/>
        <v>116070</v>
      </c>
      <c r="G80" s="29">
        <f t="shared" si="18"/>
        <v>1078908</v>
      </c>
      <c r="H80" s="29">
        <f t="shared" si="18"/>
        <v>591473</v>
      </c>
      <c r="I80" s="29">
        <f t="shared" si="18"/>
        <v>55053</v>
      </c>
      <c r="J80" s="29">
        <f t="shared" si="18"/>
        <v>432382</v>
      </c>
      <c r="K80" s="29">
        <f t="shared" si="18"/>
        <v>37646</v>
      </c>
      <c r="L80" s="29">
        <f t="shared" si="18"/>
        <v>1607</v>
      </c>
      <c r="M80" s="29">
        <f t="shared" si="18"/>
        <v>61512</v>
      </c>
      <c r="N80" s="29">
        <f t="shared" si="18"/>
        <v>82602</v>
      </c>
      <c r="O80" s="29">
        <f t="shared" si="18"/>
        <v>82602</v>
      </c>
    </row>
    <row r="81" spans="1:15" ht="12.75" customHeight="1">
      <c r="A81" s="4" t="s">
        <v>150</v>
      </c>
      <c r="B81" s="5" t="s">
        <v>151</v>
      </c>
      <c r="C81" s="28">
        <v>47360</v>
      </c>
      <c r="D81" s="28">
        <v>29177</v>
      </c>
      <c r="E81" s="28">
        <v>1508</v>
      </c>
      <c r="F81" s="28">
        <f>SUM(C81-D81-E81)</f>
        <v>16675</v>
      </c>
      <c r="G81" s="28">
        <v>185899</v>
      </c>
      <c r="H81" s="28">
        <v>92540</v>
      </c>
      <c r="I81" s="28">
        <v>10143</v>
      </c>
      <c r="J81" s="28">
        <f>SUM(G81-H81-I81)</f>
        <v>83216</v>
      </c>
      <c r="K81" s="28">
        <v>1810</v>
      </c>
      <c r="L81" s="28">
        <v>1244</v>
      </c>
      <c r="M81" s="28">
        <v>13388</v>
      </c>
      <c r="N81" s="28">
        <v>2247</v>
      </c>
      <c r="O81" s="28">
        <v>2247</v>
      </c>
    </row>
    <row r="82" spans="1:15" ht="12.75" customHeight="1">
      <c r="A82" s="4" t="s">
        <v>152</v>
      </c>
      <c r="B82" s="5" t="s">
        <v>153</v>
      </c>
      <c r="C82" s="28">
        <v>17276</v>
      </c>
      <c r="D82" s="28">
        <v>12298</v>
      </c>
      <c r="E82" s="28">
        <v>372</v>
      </c>
      <c r="F82" s="28">
        <f>SUM(C82-D82-E82)</f>
        <v>4606</v>
      </c>
      <c r="G82" s="28">
        <v>86908</v>
      </c>
      <c r="H82" s="28">
        <v>39152</v>
      </c>
      <c r="I82" s="28">
        <v>2272</v>
      </c>
      <c r="J82" s="28">
        <f>SUM(G82-H82-I82)</f>
        <v>45484</v>
      </c>
      <c r="K82" s="28">
        <v>857</v>
      </c>
      <c r="L82" s="28">
        <v>12</v>
      </c>
      <c r="M82" s="28">
        <v>11780</v>
      </c>
      <c r="N82" s="28">
        <v>555</v>
      </c>
      <c r="O82" s="28">
        <v>555</v>
      </c>
    </row>
    <row r="83" spans="1:15" ht="12.75" customHeight="1">
      <c r="A83" s="4" t="s">
        <v>154</v>
      </c>
      <c r="B83" s="5" t="s">
        <v>155</v>
      </c>
      <c r="C83" s="28">
        <v>6129</v>
      </c>
      <c r="D83" s="28">
        <v>5636</v>
      </c>
      <c r="E83" s="28">
        <v>395</v>
      </c>
      <c r="F83" s="28">
        <f>SUM(C83-D83-E83)</f>
        <v>98</v>
      </c>
      <c r="G83" s="28">
        <v>24662</v>
      </c>
      <c r="H83" s="28">
        <v>18656</v>
      </c>
      <c r="I83" s="28">
        <v>2634</v>
      </c>
      <c r="J83" s="28">
        <f>SUM(G83-H83-I83)</f>
        <v>3372</v>
      </c>
      <c r="K83" s="28">
        <v>15</v>
      </c>
      <c r="L83" s="28">
        <v>0</v>
      </c>
      <c r="M83" s="28">
        <v>353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18322</v>
      </c>
      <c r="D84" s="28">
        <v>15995</v>
      </c>
      <c r="E84" s="28">
        <v>335</v>
      </c>
      <c r="F84" s="28">
        <f>SUM(C84-D84-E84)</f>
        <v>1992</v>
      </c>
      <c r="G84" s="28">
        <v>86705</v>
      </c>
      <c r="H84" s="28">
        <v>53193</v>
      </c>
      <c r="I84" s="28">
        <v>2156</v>
      </c>
      <c r="J84" s="28">
        <f>SUM(G84-H84-I84)</f>
        <v>31356</v>
      </c>
      <c r="K84" s="28">
        <v>1179</v>
      </c>
      <c r="L84" s="28">
        <v>0</v>
      </c>
      <c r="M84" s="28">
        <v>10274</v>
      </c>
      <c r="N84" s="28">
        <v>570</v>
      </c>
      <c r="O84" s="28">
        <v>570</v>
      </c>
    </row>
    <row r="85" spans="1:15" ht="12.75" customHeight="1">
      <c r="A85" s="4" t="s">
        <v>158</v>
      </c>
      <c r="B85" s="5" t="s">
        <v>159</v>
      </c>
      <c r="C85" s="28">
        <v>27960</v>
      </c>
      <c r="D85" s="28">
        <v>21675</v>
      </c>
      <c r="E85" s="28">
        <v>1026</v>
      </c>
      <c r="F85" s="28">
        <f>SUM(C85-D85-E85)</f>
        <v>5259</v>
      </c>
      <c r="G85" s="28">
        <v>90788</v>
      </c>
      <c r="H85" s="28">
        <v>56088</v>
      </c>
      <c r="I85" s="28">
        <v>5047</v>
      </c>
      <c r="J85" s="28">
        <f>SUM(G85-H85-I85)</f>
        <v>29653</v>
      </c>
      <c r="K85" s="28">
        <v>1994</v>
      </c>
      <c r="L85" s="28">
        <v>433</v>
      </c>
      <c r="M85" s="28">
        <v>9109</v>
      </c>
      <c r="N85" s="28">
        <v>17944</v>
      </c>
      <c r="O85" s="28">
        <v>17944</v>
      </c>
    </row>
    <row r="86" spans="1:15" ht="12.75" customHeight="1">
      <c r="A86" s="8"/>
      <c r="B86" s="9" t="s">
        <v>160</v>
      </c>
      <c r="C86" s="29">
        <f t="shared" ref="C86:O86" si="19">SUM(C81:C85)</f>
        <v>117047</v>
      </c>
      <c r="D86" s="29">
        <f t="shared" si="19"/>
        <v>84781</v>
      </c>
      <c r="E86" s="29">
        <f t="shared" si="19"/>
        <v>3636</v>
      </c>
      <c r="F86" s="29">
        <f t="shared" si="19"/>
        <v>28630</v>
      </c>
      <c r="G86" s="29">
        <f t="shared" si="19"/>
        <v>474962</v>
      </c>
      <c r="H86" s="29">
        <f t="shared" si="19"/>
        <v>259629</v>
      </c>
      <c r="I86" s="29">
        <f t="shared" si="19"/>
        <v>22252</v>
      </c>
      <c r="J86" s="29">
        <f t="shared" si="19"/>
        <v>193081</v>
      </c>
      <c r="K86" s="29">
        <f t="shared" si="19"/>
        <v>5855</v>
      </c>
      <c r="L86" s="29">
        <f t="shared" si="19"/>
        <v>1689</v>
      </c>
      <c r="M86" s="29">
        <f t="shared" si="19"/>
        <v>44904</v>
      </c>
      <c r="N86" s="29">
        <f t="shared" si="19"/>
        <v>21316</v>
      </c>
      <c r="O86" s="29">
        <f t="shared" si="19"/>
        <v>21316</v>
      </c>
    </row>
    <row r="87" spans="1:15" ht="12.75" customHeight="1">
      <c r="A87" s="4" t="s">
        <v>161</v>
      </c>
      <c r="B87" s="5" t="s">
        <v>162</v>
      </c>
      <c r="C87" s="28">
        <v>47904</v>
      </c>
      <c r="D87" s="28">
        <v>35562</v>
      </c>
      <c r="E87" s="28">
        <v>0</v>
      </c>
      <c r="F87" s="28">
        <f>SUM(C87-D87-E87)</f>
        <v>12342</v>
      </c>
      <c r="G87" s="28">
        <v>212864</v>
      </c>
      <c r="H87" s="28">
        <v>107832</v>
      </c>
      <c r="I87" s="28">
        <v>0</v>
      </c>
      <c r="J87" s="28">
        <f>SUM(G87-H87-I87)</f>
        <v>105032</v>
      </c>
      <c r="K87" s="28">
        <v>2036</v>
      </c>
      <c r="L87" s="28">
        <v>22</v>
      </c>
      <c r="M87" s="28">
        <v>19635</v>
      </c>
      <c r="N87" s="28">
        <v>1277</v>
      </c>
      <c r="O87" s="28">
        <v>1277</v>
      </c>
    </row>
    <row r="88" spans="1:15" ht="12.75" customHeight="1">
      <c r="A88" s="4" t="s">
        <v>163</v>
      </c>
      <c r="B88" s="5" t="s">
        <v>164</v>
      </c>
      <c r="C88" s="28">
        <v>36965</v>
      </c>
      <c r="D88" s="28">
        <v>17919</v>
      </c>
      <c r="E88" s="28">
        <v>1628</v>
      </c>
      <c r="F88" s="28">
        <f>SUM(C88-D88-E88)</f>
        <v>17418</v>
      </c>
      <c r="G88" s="28">
        <v>108463</v>
      </c>
      <c r="H88" s="28">
        <v>43998</v>
      </c>
      <c r="I88" s="28">
        <v>10474</v>
      </c>
      <c r="J88" s="28">
        <f>SUM(G88-H88-I88)</f>
        <v>53991</v>
      </c>
      <c r="K88" s="28">
        <v>826</v>
      </c>
      <c r="L88" s="28">
        <v>0</v>
      </c>
      <c r="M88" s="28">
        <v>6010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84869</v>
      </c>
      <c r="D89" s="29">
        <f t="shared" si="20"/>
        <v>53481</v>
      </c>
      <c r="E89" s="29">
        <f t="shared" si="20"/>
        <v>1628</v>
      </c>
      <c r="F89" s="29">
        <f t="shared" si="20"/>
        <v>29760</v>
      </c>
      <c r="G89" s="29">
        <f t="shared" si="20"/>
        <v>321327</v>
      </c>
      <c r="H89" s="29">
        <f t="shared" si="20"/>
        <v>151830</v>
      </c>
      <c r="I89" s="29">
        <f t="shared" si="20"/>
        <v>10474</v>
      </c>
      <c r="J89" s="29">
        <f t="shared" si="20"/>
        <v>159023</v>
      </c>
      <c r="K89" s="29">
        <f t="shared" si="20"/>
        <v>2862</v>
      </c>
      <c r="L89" s="29">
        <f t="shared" si="20"/>
        <v>22</v>
      </c>
      <c r="M89" s="29">
        <f t="shared" si="20"/>
        <v>25645</v>
      </c>
      <c r="N89" s="29">
        <f t="shared" si="20"/>
        <v>1277</v>
      </c>
      <c r="O89" s="29">
        <f t="shared" si="20"/>
        <v>1277</v>
      </c>
    </row>
    <row r="90" spans="1:15" ht="12.75" customHeight="1">
      <c r="A90" s="4" t="s">
        <v>166</v>
      </c>
      <c r="B90" s="5" t="s">
        <v>167</v>
      </c>
      <c r="C90" s="28">
        <v>53485</v>
      </c>
      <c r="D90" s="28">
        <v>24517</v>
      </c>
      <c r="E90" s="28">
        <v>3236</v>
      </c>
      <c r="F90" s="28">
        <f>SUM(C90-D90-E90)</f>
        <v>25732</v>
      </c>
      <c r="G90" s="28">
        <v>238236</v>
      </c>
      <c r="H90" s="28">
        <v>81595</v>
      </c>
      <c r="I90" s="28">
        <v>19321</v>
      </c>
      <c r="J90" s="28">
        <f>SUM(G90-H90-I90)</f>
        <v>137320</v>
      </c>
      <c r="K90" s="28">
        <v>1168</v>
      </c>
      <c r="L90" s="28">
        <v>0</v>
      </c>
      <c r="M90" s="28">
        <v>19497</v>
      </c>
      <c r="N90" s="28">
        <v>277</v>
      </c>
      <c r="O90" s="28">
        <v>277</v>
      </c>
    </row>
    <row r="91" spans="1:15" ht="12.75" customHeight="1">
      <c r="A91" s="4" t="s">
        <v>168</v>
      </c>
      <c r="B91" s="5" t="s">
        <v>169</v>
      </c>
      <c r="C91" s="28">
        <v>50028</v>
      </c>
      <c r="D91" s="28">
        <v>35724</v>
      </c>
      <c r="E91" s="28">
        <v>0</v>
      </c>
      <c r="F91" s="28">
        <f>SUM(C91-D91-E91)</f>
        <v>14304</v>
      </c>
      <c r="G91" s="28">
        <v>211750</v>
      </c>
      <c r="H91" s="28">
        <v>91018</v>
      </c>
      <c r="I91" s="28">
        <v>0</v>
      </c>
      <c r="J91" s="28">
        <f>SUM(G91-H91-I91)</f>
        <v>120732</v>
      </c>
      <c r="K91" s="28">
        <v>1118</v>
      </c>
      <c r="L91" s="28">
        <v>235</v>
      </c>
      <c r="M91" s="28">
        <v>25908</v>
      </c>
      <c r="N91" s="28">
        <v>588</v>
      </c>
      <c r="O91" s="28">
        <v>588</v>
      </c>
    </row>
    <row r="92" spans="1:15" ht="12.75" customHeight="1">
      <c r="A92" s="4" t="s">
        <v>170</v>
      </c>
      <c r="B92" s="5" t="s">
        <v>171</v>
      </c>
      <c r="C92" s="28">
        <v>10151</v>
      </c>
      <c r="D92" s="28">
        <v>7412</v>
      </c>
      <c r="E92" s="28">
        <v>1286</v>
      </c>
      <c r="F92" s="28">
        <f>SUM(C92-D92-E92)</f>
        <v>1453</v>
      </c>
      <c r="G92" s="28">
        <v>36451</v>
      </c>
      <c r="H92" s="28">
        <v>19356</v>
      </c>
      <c r="I92" s="28">
        <v>9945</v>
      </c>
      <c r="J92" s="28">
        <f>SUM(G92-H92-I92)</f>
        <v>7150</v>
      </c>
      <c r="K92" s="28">
        <v>403</v>
      </c>
      <c r="L92" s="28">
        <v>0</v>
      </c>
      <c r="M92" s="28">
        <v>1500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487436</v>
      </c>
      <c r="D93" s="28">
        <v>318968</v>
      </c>
      <c r="E93" s="28">
        <v>20907</v>
      </c>
      <c r="F93" s="28">
        <f>SUM(C93-D93-E93)</f>
        <v>147561</v>
      </c>
      <c r="G93" s="28">
        <v>1458840</v>
      </c>
      <c r="H93" s="28">
        <v>562937</v>
      </c>
      <c r="I93" s="28">
        <v>71806</v>
      </c>
      <c r="J93" s="28">
        <f>SUM(G93-H93-I93)</f>
        <v>824097</v>
      </c>
      <c r="K93" s="28">
        <v>95977</v>
      </c>
      <c r="L93" s="28">
        <v>602</v>
      </c>
      <c r="M93" s="28">
        <v>85772</v>
      </c>
      <c r="N93" s="28">
        <v>11447</v>
      </c>
      <c r="O93" s="28">
        <v>11447</v>
      </c>
    </row>
    <row r="94" spans="1:15" ht="12.75" customHeight="1">
      <c r="A94" s="4" t="s">
        <v>174</v>
      </c>
      <c r="B94" s="5" t="s">
        <v>175</v>
      </c>
      <c r="C94" s="28">
        <v>33748</v>
      </c>
      <c r="D94" s="28">
        <v>10444</v>
      </c>
      <c r="E94" s="28">
        <v>936</v>
      </c>
      <c r="F94" s="28">
        <f>SUM(C94-D94-E94)</f>
        <v>22368</v>
      </c>
      <c r="G94" s="28">
        <v>99250</v>
      </c>
      <c r="H94" s="28">
        <v>33077</v>
      </c>
      <c r="I94" s="28">
        <v>6378</v>
      </c>
      <c r="J94" s="28">
        <f>SUM(G94-H94-I94)</f>
        <v>59795</v>
      </c>
      <c r="K94" s="28">
        <v>1297</v>
      </c>
      <c r="L94" s="28">
        <v>944</v>
      </c>
      <c r="M94" s="28">
        <v>16600</v>
      </c>
      <c r="N94" s="28">
        <v>486</v>
      </c>
      <c r="O94" s="28">
        <v>486</v>
      </c>
    </row>
    <row r="95" spans="1:15" ht="12.75" customHeight="1">
      <c r="A95" s="8"/>
      <c r="B95" s="9" t="s">
        <v>176</v>
      </c>
      <c r="C95" s="29">
        <f t="shared" ref="C95:O95" si="21">SUM(C90:C94)</f>
        <v>634848</v>
      </c>
      <c r="D95" s="29">
        <f t="shared" si="21"/>
        <v>397065</v>
      </c>
      <c r="E95" s="29">
        <f t="shared" si="21"/>
        <v>26365</v>
      </c>
      <c r="F95" s="29">
        <f t="shared" si="21"/>
        <v>211418</v>
      </c>
      <c r="G95" s="29">
        <f t="shared" si="21"/>
        <v>2044527</v>
      </c>
      <c r="H95" s="29">
        <f t="shared" si="21"/>
        <v>787983</v>
      </c>
      <c r="I95" s="29">
        <f t="shared" si="21"/>
        <v>107450</v>
      </c>
      <c r="J95" s="29">
        <f t="shared" si="21"/>
        <v>1149094</v>
      </c>
      <c r="K95" s="29">
        <f t="shared" si="21"/>
        <v>99963</v>
      </c>
      <c r="L95" s="29">
        <f t="shared" si="21"/>
        <v>1781</v>
      </c>
      <c r="M95" s="29">
        <f t="shared" si="21"/>
        <v>149277</v>
      </c>
      <c r="N95" s="29">
        <f t="shared" si="21"/>
        <v>12827</v>
      </c>
      <c r="O95" s="29">
        <f t="shared" si="21"/>
        <v>12827</v>
      </c>
    </row>
    <row r="96" spans="1:15" ht="12.75" customHeight="1">
      <c r="A96" s="4" t="s">
        <v>177</v>
      </c>
      <c r="B96" s="5" t="s">
        <v>178</v>
      </c>
      <c r="C96" s="28">
        <v>9926</v>
      </c>
      <c r="D96" s="28">
        <v>7303</v>
      </c>
      <c r="E96" s="28">
        <v>553</v>
      </c>
      <c r="F96" s="28">
        <f>SUM(C96-D96-E96)</f>
        <v>2070</v>
      </c>
      <c r="G96" s="28">
        <v>53263</v>
      </c>
      <c r="H96" s="28">
        <v>27623</v>
      </c>
      <c r="I96" s="28">
        <v>3155</v>
      </c>
      <c r="J96" s="28">
        <f>SUM(G96-H96-I96)</f>
        <v>22485</v>
      </c>
      <c r="K96" s="28">
        <v>30</v>
      </c>
      <c r="L96" s="28">
        <v>0</v>
      </c>
      <c r="M96" s="28">
        <v>14183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3104</v>
      </c>
      <c r="D97" s="28">
        <v>2900</v>
      </c>
      <c r="E97" s="28">
        <v>0</v>
      </c>
      <c r="F97" s="28">
        <f>SUM(C97-D97-E97)</f>
        <v>204</v>
      </c>
      <c r="G97" s="28">
        <v>12775</v>
      </c>
      <c r="H97" s="28">
        <v>10767</v>
      </c>
      <c r="I97" s="28">
        <v>0</v>
      </c>
      <c r="J97" s="28">
        <f>SUM(G97-H97-I97)</f>
        <v>2008</v>
      </c>
      <c r="K97" s="28">
        <v>46</v>
      </c>
      <c r="L97" s="28">
        <v>0</v>
      </c>
      <c r="M97" s="28">
        <v>897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13030</v>
      </c>
      <c r="D98" s="29">
        <f t="shared" si="22"/>
        <v>10203</v>
      </c>
      <c r="E98" s="29">
        <f t="shared" si="22"/>
        <v>553</v>
      </c>
      <c r="F98" s="29">
        <f t="shared" si="22"/>
        <v>2274</v>
      </c>
      <c r="G98" s="29">
        <f t="shared" si="22"/>
        <v>66038</v>
      </c>
      <c r="H98" s="29">
        <f t="shared" si="22"/>
        <v>38390</v>
      </c>
      <c r="I98" s="29">
        <f t="shared" si="22"/>
        <v>3155</v>
      </c>
      <c r="J98" s="29">
        <f t="shared" si="22"/>
        <v>24493</v>
      </c>
      <c r="K98" s="29">
        <f t="shared" si="22"/>
        <v>76</v>
      </c>
      <c r="L98" s="29">
        <f t="shared" si="22"/>
        <v>0</v>
      </c>
      <c r="M98" s="29">
        <f t="shared" si="22"/>
        <v>15080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27220</v>
      </c>
      <c r="D99" s="28">
        <v>20698</v>
      </c>
      <c r="E99" s="28">
        <v>1392</v>
      </c>
      <c r="F99" s="28">
        <f>SUM(C99-D99-E99)</f>
        <v>5130</v>
      </c>
      <c r="G99" s="28">
        <v>119698</v>
      </c>
      <c r="H99" s="28">
        <v>65982</v>
      </c>
      <c r="I99" s="28">
        <v>7902</v>
      </c>
      <c r="J99" s="28">
        <f>SUM(G99-H99-I99)</f>
        <v>45814</v>
      </c>
      <c r="K99" s="28">
        <v>203</v>
      </c>
      <c r="L99" s="28">
        <v>0</v>
      </c>
      <c r="M99" s="28">
        <v>13416</v>
      </c>
      <c r="N99" s="28">
        <v>187</v>
      </c>
      <c r="O99" s="28">
        <v>187</v>
      </c>
    </row>
    <row r="100" spans="1:15" ht="12.75" customHeight="1">
      <c r="A100" s="4" t="s">
        <v>184</v>
      </c>
      <c r="B100" s="5" t="s">
        <v>185</v>
      </c>
      <c r="C100" s="28">
        <v>22221</v>
      </c>
      <c r="D100" s="28">
        <v>12098</v>
      </c>
      <c r="E100" s="28">
        <v>992</v>
      </c>
      <c r="F100" s="28">
        <f>SUM(C100-D100-E100)</f>
        <v>9131</v>
      </c>
      <c r="G100" s="28">
        <v>93575</v>
      </c>
      <c r="H100" s="28">
        <v>33820</v>
      </c>
      <c r="I100" s="28">
        <v>4518</v>
      </c>
      <c r="J100" s="28">
        <f>SUM(G100-H100-I100)</f>
        <v>55237</v>
      </c>
      <c r="K100" s="28">
        <v>2138</v>
      </c>
      <c r="L100" s="28">
        <v>0</v>
      </c>
      <c r="M100" s="28">
        <v>6640</v>
      </c>
      <c r="N100" s="28">
        <v>168</v>
      </c>
      <c r="O100" s="28">
        <v>168</v>
      </c>
    </row>
    <row r="101" spans="1:15" ht="12.75" customHeight="1">
      <c r="A101" s="4" t="s">
        <v>186</v>
      </c>
      <c r="B101" s="5" t="s">
        <v>187</v>
      </c>
      <c r="C101" s="28">
        <v>12770</v>
      </c>
      <c r="D101" s="28">
        <v>10029</v>
      </c>
      <c r="E101" s="28">
        <v>0</v>
      </c>
      <c r="F101" s="28">
        <f>SUM(C101-D101-E101)</f>
        <v>2741</v>
      </c>
      <c r="G101" s="28">
        <v>42166</v>
      </c>
      <c r="H101" s="28">
        <v>27997</v>
      </c>
      <c r="I101" s="28">
        <v>0</v>
      </c>
      <c r="J101" s="28">
        <f>SUM(G101-H101-I101)</f>
        <v>14169</v>
      </c>
      <c r="K101" s="28">
        <v>73</v>
      </c>
      <c r="L101" s="28">
        <v>0</v>
      </c>
      <c r="M101" s="28">
        <v>4559</v>
      </c>
      <c r="N101" s="28">
        <v>459</v>
      </c>
      <c r="O101" s="28">
        <v>459</v>
      </c>
    </row>
    <row r="102" spans="1:15" ht="12.75" customHeight="1">
      <c r="A102" s="4" t="s">
        <v>188</v>
      </c>
      <c r="B102" s="5" t="s">
        <v>189</v>
      </c>
      <c r="C102" s="28">
        <v>21620</v>
      </c>
      <c r="D102" s="28">
        <v>17658</v>
      </c>
      <c r="E102" s="28">
        <v>1622</v>
      </c>
      <c r="F102" s="28">
        <f>SUM(C102-D102-E102)</f>
        <v>2340</v>
      </c>
      <c r="G102" s="28">
        <v>79305</v>
      </c>
      <c r="H102" s="28">
        <v>46789</v>
      </c>
      <c r="I102" s="28">
        <v>10574</v>
      </c>
      <c r="J102" s="28">
        <f>SUM(G102-H102-I102)</f>
        <v>21942</v>
      </c>
      <c r="K102" s="28">
        <v>1275</v>
      </c>
      <c r="L102" s="28">
        <v>0</v>
      </c>
      <c r="M102" s="28">
        <v>6932</v>
      </c>
      <c r="N102" s="28">
        <v>20</v>
      </c>
      <c r="O102" s="28">
        <v>20</v>
      </c>
    </row>
    <row r="103" spans="1:15" ht="12.75" customHeight="1">
      <c r="A103" s="8"/>
      <c r="B103" s="9" t="s">
        <v>190</v>
      </c>
      <c r="C103" s="29">
        <f t="shared" ref="C103:O103" si="23">SUM(C99:C102)</f>
        <v>83831</v>
      </c>
      <c r="D103" s="29">
        <f t="shared" si="23"/>
        <v>60483</v>
      </c>
      <c r="E103" s="29">
        <f t="shared" si="23"/>
        <v>4006</v>
      </c>
      <c r="F103" s="29">
        <f t="shared" si="23"/>
        <v>19342</v>
      </c>
      <c r="G103" s="29">
        <f t="shared" si="23"/>
        <v>334744</v>
      </c>
      <c r="H103" s="29">
        <f t="shared" si="23"/>
        <v>174588</v>
      </c>
      <c r="I103" s="29">
        <f t="shared" si="23"/>
        <v>22994</v>
      </c>
      <c r="J103" s="29">
        <f t="shared" si="23"/>
        <v>137162</v>
      </c>
      <c r="K103" s="29">
        <f t="shared" si="23"/>
        <v>3689</v>
      </c>
      <c r="L103" s="29">
        <f t="shared" si="23"/>
        <v>0</v>
      </c>
      <c r="M103" s="29">
        <f t="shared" si="23"/>
        <v>31547</v>
      </c>
      <c r="N103" s="29">
        <f t="shared" si="23"/>
        <v>834</v>
      </c>
      <c r="O103" s="29">
        <f t="shared" si="23"/>
        <v>834</v>
      </c>
    </row>
    <row r="104" spans="1:15" ht="12.75" customHeight="1">
      <c r="A104" s="4" t="s">
        <v>191</v>
      </c>
      <c r="B104" s="5" t="s">
        <v>192</v>
      </c>
      <c r="C104" s="28">
        <v>15092</v>
      </c>
      <c r="D104" s="28">
        <v>12226</v>
      </c>
      <c r="E104" s="28">
        <v>652</v>
      </c>
      <c r="F104" s="28">
        <f>SUM(C104-D104-E104)</f>
        <v>2214</v>
      </c>
      <c r="G104" s="28">
        <v>70224</v>
      </c>
      <c r="H104" s="28">
        <v>42360</v>
      </c>
      <c r="I104" s="28">
        <v>4807</v>
      </c>
      <c r="J104" s="28">
        <f>SUM(G104-H104-I104)</f>
        <v>23057</v>
      </c>
      <c r="K104" s="28">
        <v>484</v>
      </c>
      <c r="L104" s="28">
        <v>0</v>
      </c>
      <c r="M104" s="28">
        <v>3154</v>
      </c>
      <c r="N104" s="28">
        <v>228</v>
      </c>
      <c r="O104" s="28">
        <v>228</v>
      </c>
    </row>
    <row r="105" spans="1:15" ht="12.75" customHeight="1">
      <c r="A105" s="4" t="s">
        <v>193</v>
      </c>
      <c r="B105" s="5" t="s">
        <v>194</v>
      </c>
      <c r="C105" s="28">
        <v>11994</v>
      </c>
      <c r="D105" s="28">
        <v>7245</v>
      </c>
      <c r="E105" s="28">
        <v>0</v>
      </c>
      <c r="F105" s="28">
        <f>SUM(C105-D105-E105)</f>
        <v>4749</v>
      </c>
      <c r="G105" s="28">
        <v>50030</v>
      </c>
      <c r="H105" s="28">
        <v>26808</v>
      </c>
      <c r="I105" s="28">
        <v>0</v>
      </c>
      <c r="J105" s="28">
        <f>SUM(G105-H105-I105)</f>
        <v>23222</v>
      </c>
      <c r="K105" s="28">
        <v>164</v>
      </c>
      <c r="L105" s="28">
        <v>0</v>
      </c>
      <c r="M105" s="28">
        <v>5336</v>
      </c>
      <c r="N105" s="28">
        <v>484</v>
      </c>
      <c r="O105" s="28">
        <v>484</v>
      </c>
    </row>
    <row r="106" spans="1:15" ht="12.75" customHeight="1">
      <c r="A106" s="4" t="s">
        <v>195</v>
      </c>
      <c r="B106" s="5" t="s">
        <v>196</v>
      </c>
      <c r="C106" s="28">
        <v>54172</v>
      </c>
      <c r="D106" s="28">
        <v>33619</v>
      </c>
      <c r="E106" s="28">
        <v>2019</v>
      </c>
      <c r="F106" s="28">
        <f>SUM(C106-D106-E106)</f>
        <v>18534</v>
      </c>
      <c r="G106" s="28">
        <v>250428</v>
      </c>
      <c r="H106" s="28">
        <v>101614</v>
      </c>
      <c r="I106" s="28">
        <v>12111</v>
      </c>
      <c r="J106" s="28">
        <f>SUM(G106-H106-I106)</f>
        <v>136703</v>
      </c>
      <c r="K106" s="28">
        <v>544</v>
      </c>
      <c r="L106" s="28">
        <v>0</v>
      </c>
      <c r="M106" s="28">
        <v>51158</v>
      </c>
      <c r="N106" s="28">
        <v>881</v>
      </c>
      <c r="O106" s="28">
        <v>881</v>
      </c>
    </row>
    <row r="107" spans="1:15" ht="12.75" customHeight="1">
      <c r="A107" s="4" t="s">
        <v>197</v>
      </c>
      <c r="B107" s="5" t="s">
        <v>198</v>
      </c>
      <c r="C107" s="28">
        <v>190266</v>
      </c>
      <c r="D107" s="28">
        <v>133912</v>
      </c>
      <c r="E107" s="28">
        <v>5068</v>
      </c>
      <c r="F107" s="28">
        <f>SUM(C107-D107-E107)</f>
        <v>51286</v>
      </c>
      <c r="G107" s="28">
        <v>577186</v>
      </c>
      <c r="H107" s="28">
        <v>263824</v>
      </c>
      <c r="I107" s="28">
        <v>13514</v>
      </c>
      <c r="J107" s="28">
        <f>SUM(G107-H107-I107)</f>
        <v>299848</v>
      </c>
      <c r="K107" s="28">
        <v>12916</v>
      </c>
      <c r="L107" s="28">
        <v>0</v>
      </c>
      <c r="M107" s="28">
        <v>10851</v>
      </c>
      <c r="N107" s="28">
        <v>15849</v>
      </c>
      <c r="O107" s="28">
        <v>15849</v>
      </c>
    </row>
    <row r="108" spans="1:15" ht="12.75" customHeight="1">
      <c r="A108" s="4" t="s">
        <v>199</v>
      </c>
      <c r="B108" s="5" t="s">
        <v>200</v>
      </c>
      <c r="C108" s="28">
        <v>60147</v>
      </c>
      <c r="D108" s="28">
        <v>35781</v>
      </c>
      <c r="E108" s="28">
        <v>2394</v>
      </c>
      <c r="F108" s="28">
        <f>SUM(C108-D108-E108)</f>
        <v>21972</v>
      </c>
      <c r="G108" s="28">
        <v>359181</v>
      </c>
      <c r="H108" s="28">
        <v>109244</v>
      </c>
      <c r="I108" s="28">
        <v>14556</v>
      </c>
      <c r="J108" s="28">
        <f>SUM(G108-H108-I108)</f>
        <v>235381</v>
      </c>
      <c r="K108" s="28">
        <v>1762</v>
      </c>
      <c r="L108" s="28">
        <v>0</v>
      </c>
      <c r="M108" s="28">
        <v>12167</v>
      </c>
      <c r="N108" s="28">
        <v>5565</v>
      </c>
      <c r="O108" s="28">
        <v>5565</v>
      </c>
    </row>
    <row r="109" spans="1:15" ht="12.75" customHeight="1">
      <c r="A109" s="8"/>
      <c r="B109" s="9" t="s">
        <v>201</v>
      </c>
      <c r="C109" s="29">
        <f t="shared" ref="C109:O109" si="24">SUM(C104:C108)</f>
        <v>331671</v>
      </c>
      <c r="D109" s="29">
        <f t="shared" si="24"/>
        <v>222783</v>
      </c>
      <c r="E109" s="29">
        <f t="shared" si="24"/>
        <v>10133</v>
      </c>
      <c r="F109" s="29">
        <f t="shared" si="24"/>
        <v>98755</v>
      </c>
      <c r="G109" s="29">
        <f t="shared" si="24"/>
        <v>1307049</v>
      </c>
      <c r="H109" s="29">
        <f t="shared" si="24"/>
        <v>543850</v>
      </c>
      <c r="I109" s="29">
        <f t="shared" si="24"/>
        <v>44988</v>
      </c>
      <c r="J109" s="29">
        <f t="shared" si="24"/>
        <v>718211</v>
      </c>
      <c r="K109" s="29">
        <f t="shared" si="24"/>
        <v>15870</v>
      </c>
      <c r="L109" s="29">
        <f t="shared" si="24"/>
        <v>0</v>
      </c>
      <c r="M109" s="29">
        <f t="shared" si="24"/>
        <v>82666</v>
      </c>
      <c r="N109" s="29">
        <f t="shared" si="24"/>
        <v>23007</v>
      </c>
      <c r="O109" s="29">
        <f t="shared" si="24"/>
        <v>23007</v>
      </c>
    </row>
    <row r="110" spans="1:15" ht="12.75" customHeight="1">
      <c r="A110" s="4" t="s">
        <v>202</v>
      </c>
      <c r="B110" s="5" t="s">
        <v>203</v>
      </c>
      <c r="C110" s="28">
        <v>95238</v>
      </c>
      <c r="D110" s="28">
        <v>73100</v>
      </c>
      <c r="E110" s="28">
        <v>906</v>
      </c>
      <c r="F110" s="28">
        <f t="shared" ref="F110:F115" si="25">SUM(C110-D110-E110)</f>
        <v>21232</v>
      </c>
      <c r="G110" s="28">
        <v>418156</v>
      </c>
      <c r="H110" s="28">
        <v>251705</v>
      </c>
      <c r="I110" s="28">
        <v>6527</v>
      </c>
      <c r="J110" s="28">
        <f t="shared" ref="J110:J115" si="26">SUM(G110-H110-I110)</f>
        <v>159924</v>
      </c>
      <c r="K110" s="28">
        <v>5021</v>
      </c>
      <c r="L110" s="28">
        <v>0</v>
      </c>
      <c r="M110" s="28">
        <v>54399</v>
      </c>
      <c r="N110" s="28">
        <v>1226</v>
      </c>
      <c r="O110" s="28">
        <v>1226</v>
      </c>
    </row>
    <row r="111" spans="1:15" ht="12.75" customHeight="1">
      <c r="A111" s="4" t="s">
        <v>204</v>
      </c>
      <c r="B111" s="5" t="s">
        <v>205</v>
      </c>
      <c r="C111" s="28">
        <v>12547</v>
      </c>
      <c r="D111" s="28">
        <v>11912</v>
      </c>
      <c r="E111" s="28">
        <v>252</v>
      </c>
      <c r="F111" s="28">
        <f t="shared" si="25"/>
        <v>383</v>
      </c>
      <c r="G111" s="28">
        <v>41233</v>
      </c>
      <c r="H111" s="28">
        <v>36989</v>
      </c>
      <c r="I111" s="28">
        <v>1759</v>
      </c>
      <c r="J111" s="28">
        <f t="shared" si="26"/>
        <v>2485</v>
      </c>
      <c r="K111" s="28">
        <v>35</v>
      </c>
      <c r="L111" s="28">
        <v>0</v>
      </c>
      <c r="M111" s="28">
        <v>1822</v>
      </c>
      <c r="N111" s="28">
        <v>264</v>
      </c>
      <c r="O111" s="28">
        <v>264</v>
      </c>
    </row>
    <row r="112" spans="1:15" ht="12.75" customHeight="1">
      <c r="A112" s="4" t="s">
        <v>206</v>
      </c>
      <c r="B112" s="5" t="s">
        <v>207</v>
      </c>
      <c r="C112" s="28">
        <v>33466</v>
      </c>
      <c r="D112" s="28">
        <v>23090</v>
      </c>
      <c r="E112" s="28">
        <v>0</v>
      </c>
      <c r="F112" s="28">
        <f t="shared" si="25"/>
        <v>10376</v>
      </c>
      <c r="G112" s="28">
        <v>115867</v>
      </c>
      <c r="H112" s="28">
        <v>71663</v>
      </c>
      <c r="I112" s="28">
        <v>0</v>
      </c>
      <c r="J112" s="28">
        <f t="shared" si="26"/>
        <v>44204</v>
      </c>
      <c r="K112" s="28">
        <v>21856</v>
      </c>
      <c r="L112" s="28">
        <v>0</v>
      </c>
      <c r="M112" s="28">
        <v>11570</v>
      </c>
      <c r="N112" s="28">
        <v>349</v>
      </c>
      <c r="O112" s="28">
        <v>349</v>
      </c>
    </row>
    <row r="113" spans="1:15" ht="12.75" customHeight="1">
      <c r="A113" s="4" t="s">
        <v>208</v>
      </c>
      <c r="B113" s="5" t="s">
        <v>209</v>
      </c>
      <c r="C113" s="28">
        <v>28455</v>
      </c>
      <c r="D113" s="28">
        <v>18047</v>
      </c>
      <c r="E113" s="28">
        <v>615</v>
      </c>
      <c r="F113" s="28">
        <f t="shared" si="25"/>
        <v>9793</v>
      </c>
      <c r="G113" s="28">
        <v>122176</v>
      </c>
      <c r="H113" s="28">
        <v>58542</v>
      </c>
      <c r="I113" s="28">
        <v>3277</v>
      </c>
      <c r="J113" s="28">
        <f t="shared" si="26"/>
        <v>60357</v>
      </c>
      <c r="K113" s="28">
        <v>1662</v>
      </c>
      <c r="L113" s="28">
        <v>0</v>
      </c>
      <c r="M113" s="28">
        <v>38432</v>
      </c>
      <c r="N113" s="28">
        <v>1265</v>
      </c>
      <c r="O113" s="28">
        <v>1265</v>
      </c>
    </row>
    <row r="114" spans="1:15" ht="12.75" customHeight="1">
      <c r="A114" s="4" t="s">
        <v>210</v>
      </c>
      <c r="B114" s="5" t="s">
        <v>211</v>
      </c>
      <c r="C114" s="28">
        <v>72227</v>
      </c>
      <c r="D114" s="28">
        <v>51273</v>
      </c>
      <c r="E114" s="28">
        <v>0</v>
      </c>
      <c r="F114" s="28">
        <f t="shared" si="25"/>
        <v>20954</v>
      </c>
      <c r="G114" s="28">
        <v>215862</v>
      </c>
      <c r="H114" s="28">
        <v>126953</v>
      </c>
      <c r="I114" s="28">
        <v>0</v>
      </c>
      <c r="J114" s="28">
        <f t="shared" si="26"/>
        <v>88909</v>
      </c>
      <c r="K114" s="28">
        <v>8522</v>
      </c>
      <c r="L114" s="28">
        <v>0</v>
      </c>
      <c r="M114" s="28">
        <v>23730</v>
      </c>
      <c r="N114" s="28">
        <v>1410</v>
      </c>
      <c r="O114" s="28">
        <v>1410</v>
      </c>
    </row>
    <row r="115" spans="1:15" ht="12.75" customHeight="1">
      <c r="A115" s="4" t="s">
        <v>212</v>
      </c>
      <c r="B115" s="5" t="s">
        <v>213</v>
      </c>
      <c r="C115" s="28">
        <v>45084</v>
      </c>
      <c r="D115" s="28">
        <v>38382</v>
      </c>
      <c r="E115" s="28">
        <v>0</v>
      </c>
      <c r="F115" s="28">
        <f t="shared" si="25"/>
        <v>6702</v>
      </c>
      <c r="G115" s="28">
        <v>158825</v>
      </c>
      <c r="H115" s="28">
        <v>118992</v>
      </c>
      <c r="I115" s="28">
        <v>0</v>
      </c>
      <c r="J115" s="28">
        <f t="shared" si="26"/>
        <v>39833</v>
      </c>
      <c r="K115" s="28">
        <v>4418</v>
      </c>
      <c r="L115" s="28">
        <v>0</v>
      </c>
      <c r="M115" s="28">
        <v>20801</v>
      </c>
      <c r="N115" s="28">
        <v>2097</v>
      </c>
      <c r="O115" s="28">
        <v>2097</v>
      </c>
    </row>
    <row r="116" spans="1:15" ht="12.75" customHeight="1">
      <c r="A116" s="8"/>
      <c r="B116" s="9" t="s">
        <v>214</v>
      </c>
      <c r="C116" s="29">
        <f t="shared" ref="C116:O116" si="27">SUM(C110:C115)</f>
        <v>287017</v>
      </c>
      <c r="D116" s="29">
        <f t="shared" si="27"/>
        <v>215804</v>
      </c>
      <c r="E116" s="29">
        <f t="shared" si="27"/>
        <v>1773</v>
      </c>
      <c r="F116" s="29">
        <f t="shared" si="27"/>
        <v>69440</v>
      </c>
      <c r="G116" s="29">
        <f t="shared" si="27"/>
        <v>1072119</v>
      </c>
      <c r="H116" s="29">
        <f t="shared" si="27"/>
        <v>664844</v>
      </c>
      <c r="I116" s="29">
        <f t="shared" si="27"/>
        <v>11563</v>
      </c>
      <c r="J116" s="29">
        <f t="shared" si="27"/>
        <v>395712</v>
      </c>
      <c r="K116" s="29">
        <f t="shared" si="27"/>
        <v>41514</v>
      </c>
      <c r="L116" s="29">
        <f t="shared" si="27"/>
        <v>0</v>
      </c>
      <c r="M116" s="29">
        <f t="shared" si="27"/>
        <v>150754</v>
      </c>
      <c r="N116" s="29">
        <f t="shared" si="27"/>
        <v>6611</v>
      </c>
      <c r="O116" s="29">
        <f t="shared" si="27"/>
        <v>6611</v>
      </c>
    </row>
    <row r="117" spans="1:15" ht="12.75" customHeight="1">
      <c r="A117" s="4" t="s">
        <v>215</v>
      </c>
      <c r="B117" s="5" t="s">
        <v>216</v>
      </c>
      <c r="C117" s="28">
        <v>10706</v>
      </c>
      <c r="D117" s="28">
        <v>7549</v>
      </c>
      <c r="E117" s="28">
        <v>0</v>
      </c>
      <c r="F117" s="28">
        <f>SUM(C117-D117-E117)</f>
        <v>3157</v>
      </c>
      <c r="G117" s="28">
        <v>45771</v>
      </c>
      <c r="H117" s="28">
        <v>28575</v>
      </c>
      <c r="I117" s="28">
        <v>0</v>
      </c>
      <c r="J117" s="28">
        <f>SUM(G117-H117-I117)</f>
        <v>17196</v>
      </c>
      <c r="K117" s="28">
        <v>0</v>
      </c>
      <c r="L117" s="28">
        <v>0</v>
      </c>
      <c r="M117" s="28">
        <v>18444</v>
      </c>
      <c r="N117" s="28">
        <v>344</v>
      </c>
      <c r="O117" s="28">
        <v>344</v>
      </c>
    </row>
    <row r="118" spans="1:15" ht="12.75" customHeight="1">
      <c r="A118" s="4" t="s">
        <v>217</v>
      </c>
      <c r="B118" s="5" t="s">
        <v>218</v>
      </c>
      <c r="C118" s="28">
        <v>23940</v>
      </c>
      <c r="D118" s="28">
        <v>19338</v>
      </c>
      <c r="E118" s="28">
        <v>500</v>
      </c>
      <c r="F118" s="28">
        <f>SUM(C118-D118-E118)</f>
        <v>4102</v>
      </c>
      <c r="G118" s="28">
        <v>94359</v>
      </c>
      <c r="H118" s="28">
        <v>58962</v>
      </c>
      <c r="I118" s="28">
        <v>3462</v>
      </c>
      <c r="J118" s="28">
        <f>SUM(G118-H118-I118)</f>
        <v>31935</v>
      </c>
      <c r="K118" s="28">
        <v>151</v>
      </c>
      <c r="L118" s="28">
        <v>0</v>
      </c>
      <c r="M118" s="28">
        <v>14803</v>
      </c>
      <c r="N118" s="28">
        <v>707</v>
      </c>
      <c r="O118" s="28">
        <v>707</v>
      </c>
    </row>
    <row r="119" spans="1:15" ht="12.75" customHeight="1">
      <c r="A119" s="8"/>
      <c r="B119" s="9" t="s">
        <v>219</v>
      </c>
      <c r="C119" s="29">
        <f t="shared" ref="C119:O119" si="28">SUM(C117:C118)</f>
        <v>34646</v>
      </c>
      <c r="D119" s="29">
        <f t="shared" si="28"/>
        <v>26887</v>
      </c>
      <c r="E119" s="29">
        <f t="shared" si="28"/>
        <v>500</v>
      </c>
      <c r="F119" s="29">
        <f t="shared" si="28"/>
        <v>7259</v>
      </c>
      <c r="G119" s="29">
        <f t="shared" si="28"/>
        <v>140130</v>
      </c>
      <c r="H119" s="29">
        <f t="shared" si="28"/>
        <v>87537</v>
      </c>
      <c r="I119" s="29">
        <f t="shared" si="28"/>
        <v>3462</v>
      </c>
      <c r="J119" s="29">
        <f t="shared" si="28"/>
        <v>49131</v>
      </c>
      <c r="K119" s="29">
        <f t="shared" si="28"/>
        <v>151</v>
      </c>
      <c r="L119" s="29">
        <f t="shared" si="28"/>
        <v>0</v>
      </c>
      <c r="M119" s="29">
        <f t="shared" si="28"/>
        <v>33247</v>
      </c>
      <c r="N119" s="29">
        <f t="shared" si="28"/>
        <v>1051</v>
      </c>
      <c r="O119" s="29">
        <f t="shared" si="28"/>
        <v>1051</v>
      </c>
    </row>
    <row r="120" spans="1:15" ht="12.75" customHeight="1">
      <c r="A120" s="4" t="s">
        <v>220</v>
      </c>
      <c r="B120" s="5" t="s">
        <v>221</v>
      </c>
      <c r="C120" s="28">
        <v>28071</v>
      </c>
      <c r="D120" s="28">
        <v>24667</v>
      </c>
      <c r="E120" s="28">
        <v>486</v>
      </c>
      <c r="F120" s="28">
        <f>SUM(C120-D120-E120)</f>
        <v>2918</v>
      </c>
      <c r="G120" s="28">
        <v>94840</v>
      </c>
      <c r="H120" s="28">
        <v>72363</v>
      </c>
      <c r="I120" s="28">
        <v>4060</v>
      </c>
      <c r="J120" s="28">
        <f>SUM(G120-H120-I120)</f>
        <v>18417</v>
      </c>
      <c r="K120" s="28">
        <v>2752</v>
      </c>
      <c r="L120" s="28">
        <v>0</v>
      </c>
      <c r="M120" s="28">
        <v>4934</v>
      </c>
      <c r="N120" s="28">
        <v>3726</v>
      </c>
      <c r="O120" s="28">
        <v>3726</v>
      </c>
    </row>
    <row r="121" spans="1:15" ht="12.75" customHeight="1">
      <c r="A121" s="4" t="s">
        <v>222</v>
      </c>
      <c r="B121" s="5" t="s">
        <v>223</v>
      </c>
      <c r="C121" s="28">
        <v>44548</v>
      </c>
      <c r="D121" s="28">
        <v>40261</v>
      </c>
      <c r="E121" s="28">
        <v>1340</v>
      </c>
      <c r="F121" s="28">
        <f>SUM(C121-D121-E121)</f>
        <v>2947</v>
      </c>
      <c r="G121" s="28">
        <v>168374</v>
      </c>
      <c r="H121" s="28">
        <v>119891</v>
      </c>
      <c r="I121" s="28">
        <v>8156</v>
      </c>
      <c r="J121" s="28">
        <f>SUM(G121-H121-I121)</f>
        <v>40327</v>
      </c>
      <c r="K121" s="28">
        <v>461</v>
      </c>
      <c r="L121" s="28">
        <v>0</v>
      </c>
      <c r="M121" s="28">
        <v>12964</v>
      </c>
      <c r="N121" s="28">
        <v>692</v>
      </c>
      <c r="O121" s="28">
        <v>692</v>
      </c>
    </row>
    <row r="122" spans="1:15" ht="12.75" customHeight="1">
      <c r="A122" s="4" t="s">
        <v>224</v>
      </c>
      <c r="B122" s="5" t="s">
        <v>225</v>
      </c>
      <c r="C122" s="28">
        <v>8122</v>
      </c>
      <c r="D122" s="28">
        <v>7124</v>
      </c>
      <c r="E122" s="28">
        <v>0</v>
      </c>
      <c r="F122" s="28">
        <f>SUM(C122-D122-E122)</f>
        <v>998</v>
      </c>
      <c r="G122" s="28">
        <v>28748</v>
      </c>
      <c r="H122" s="28">
        <v>19556</v>
      </c>
      <c r="I122" s="28">
        <v>0</v>
      </c>
      <c r="J122" s="28">
        <f>SUM(G122-H122-I122)</f>
        <v>9192</v>
      </c>
      <c r="K122" s="28">
        <v>126</v>
      </c>
      <c r="L122" s="28">
        <v>0</v>
      </c>
      <c r="M122" s="28">
        <v>10630</v>
      </c>
      <c r="N122" s="28">
        <v>161</v>
      </c>
      <c r="O122" s="28">
        <v>161</v>
      </c>
    </row>
    <row r="123" spans="1:15" ht="12.75" customHeight="1">
      <c r="A123" s="4" t="s">
        <v>226</v>
      </c>
      <c r="B123" s="5" t="s">
        <v>227</v>
      </c>
      <c r="C123" s="28">
        <v>41362</v>
      </c>
      <c r="D123" s="28">
        <v>34302</v>
      </c>
      <c r="E123" s="28">
        <v>652</v>
      </c>
      <c r="F123" s="28">
        <f>SUM(C123-D123-E123)</f>
        <v>6408</v>
      </c>
      <c r="G123" s="28">
        <v>147868</v>
      </c>
      <c r="H123" s="28">
        <v>89016</v>
      </c>
      <c r="I123" s="28">
        <v>4172</v>
      </c>
      <c r="J123" s="28">
        <f>SUM(G123-H123-I123)</f>
        <v>54680</v>
      </c>
      <c r="K123" s="28">
        <v>1698</v>
      </c>
      <c r="L123" s="28">
        <v>0</v>
      </c>
      <c r="M123" s="28">
        <v>5617</v>
      </c>
      <c r="N123" s="28">
        <v>1143</v>
      </c>
      <c r="O123" s="28">
        <v>1143</v>
      </c>
    </row>
    <row r="124" spans="1:15" ht="12.75" customHeight="1">
      <c r="A124" s="4" t="s">
        <v>228</v>
      </c>
      <c r="B124" s="5" t="s">
        <v>229</v>
      </c>
      <c r="C124" s="28">
        <v>14761</v>
      </c>
      <c r="D124" s="28">
        <v>13209</v>
      </c>
      <c r="E124" s="28">
        <v>391</v>
      </c>
      <c r="F124" s="28">
        <f>SUM(C124-D124-E124)</f>
        <v>1161</v>
      </c>
      <c r="G124" s="28">
        <v>46363</v>
      </c>
      <c r="H124" s="28">
        <v>34381</v>
      </c>
      <c r="I124" s="28">
        <v>3206</v>
      </c>
      <c r="J124" s="28">
        <f>SUM(G124-H124-I124)</f>
        <v>8776</v>
      </c>
      <c r="K124" s="28">
        <v>335</v>
      </c>
      <c r="L124" s="28">
        <v>0</v>
      </c>
      <c r="M124" s="28">
        <v>242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136864</v>
      </c>
      <c r="D125" s="29">
        <f t="shared" si="29"/>
        <v>119563</v>
      </c>
      <c r="E125" s="29">
        <f t="shared" si="29"/>
        <v>2869</v>
      </c>
      <c r="F125" s="29">
        <f t="shared" si="29"/>
        <v>14432</v>
      </c>
      <c r="G125" s="29">
        <f t="shared" si="29"/>
        <v>486193</v>
      </c>
      <c r="H125" s="29">
        <f t="shared" si="29"/>
        <v>335207</v>
      </c>
      <c r="I125" s="29">
        <f t="shared" si="29"/>
        <v>19594</v>
      </c>
      <c r="J125" s="29">
        <f t="shared" si="29"/>
        <v>131392</v>
      </c>
      <c r="K125" s="29">
        <f t="shared" si="29"/>
        <v>5372</v>
      </c>
      <c r="L125" s="29">
        <f t="shared" si="29"/>
        <v>0</v>
      </c>
      <c r="M125" s="29">
        <f t="shared" si="29"/>
        <v>34387</v>
      </c>
      <c r="N125" s="29">
        <f t="shared" si="29"/>
        <v>6075</v>
      </c>
      <c r="O125" s="29">
        <f t="shared" si="29"/>
        <v>6075</v>
      </c>
    </row>
    <row r="126" spans="1:15" ht="12.75" customHeight="1">
      <c r="A126" s="4" t="s">
        <v>231</v>
      </c>
      <c r="B126" s="5" t="s">
        <v>232</v>
      </c>
      <c r="C126" s="28">
        <v>29059</v>
      </c>
      <c r="D126" s="28">
        <v>20815</v>
      </c>
      <c r="E126" s="28">
        <v>0</v>
      </c>
      <c r="F126" s="28">
        <f t="shared" ref="F126:F134" si="30">SUM(C126-D126-E126)</f>
        <v>8244</v>
      </c>
      <c r="G126" s="28">
        <v>83340</v>
      </c>
      <c r="H126" s="28">
        <v>47408</v>
      </c>
      <c r="I126" s="28">
        <v>0</v>
      </c>
      <c r="J126" s="28">
        <f t="shared" ref="J126:J134" si="31">SUM(G126-H126-I126)</f>
        <v>35932</v>
      </c>
      <c r="K126" s="28">
        <v>417</v>
      </c>
      <c r="L126" s="28">
        <v>0</v>
      </c>
      <c r="M126" s="28">
        <v>8722</v>
      </c>
      <c r="N126" s="28">
        <v>337</v>
      </c>
      <c r="O126" s="28">
        <v>337</v>
      </c>
    </row>
    <row r="127" spans="1:15" ht="12.75" customHeight="1">
      <c r="A127" s="4" t="s">
        <v>233</v>
      </c>
      <c r="B127" s="5" t="s">
        <v>234</v>
      </c>
      <c r="C127" s="28">
        <v>13137</v>
      </c>
      <c r="D127" s="28">
        <v>10614</v>
      </c>
      <c r="E127" s="28">
        <v>0</v>
      </c>
      <c r="F127" s="28">
        <f t="shared" si="30"/>
        <v>2523</v>
      </c>
      <c r="G127" s="28">
        <v>46498</v>
      </c>
      <c r="H127" s="28">
        <v>36152</v>
      </c>
      <c r="I127" s="28">
        <v>0</v>
      </c>
      <c r="J127" s="28">
        <f t="shared" si="31"/>
        <v>10346</v>
      </c>
      <c r="K127" s="28">
        <v>94</v>
      </c>
      <c r="L127" s="28">
        <v>0</v>
      </c>
      <c r="M127" s="28">
        <v>3004</v>
      </c>
      <c r="N127" s="28">
        <v>264</v>
      </c>
      <c r="O127" s="28">
        <v>264</v>
      </c>
    </row>
    <row r="128" spans="1:15" ht="12.75" customHeight="1">
      <c r="A128" s="4" t="s">
        <v>235</v>
      </c>
      <c r="B128" s="5" t="s">
        <v>236</v>
      </c>
      <c r="C128" s="28">
        <v>87340</v>
      </c>
      <c r="D128" s="28">
        <v>65431</v>
      </c>
      <c r="E128" s="28">
        <v>1893</v>
      </c>
      <c r="F128" s="28">
        <f t="shared" si="30"/>
        <v>20016</v>
      </c>
      <c r="G128" s="28">
        <v>218604</v>
      </c>
      <c r="H128" s="28">
        <v>140289</v>
      </c>
      <c r="I128" s="28">
        <v>7966</v>
      </c>
      <c r="J128" s="28">
        <f t="shared" si="31"/>
        <v>70349</v>
      </c>
      <c r="K128" s="28">
        <v>2429</v>
      </c>
      <c r="L128" s="28">
        <v>0</v>
      </c>
      <c r="M128" s="28">
        <v>14227</v>
      </c>
      <c r="N128" s="28">
        <v>1861</v>
      </c>
      <c r="O128" s="28">
        <v>1861</v>
      </c>
    </row>
    <row r="129" spans="1:15" ht="12.75" customHeight="1">
      <c r="A129" s="4" t="s">
        <v>237</v>
      </c>
      <c r="B129" s="5" t="s">
        <v>238</v>
      </c>
      <c r="C129" s="28">
        <v>9849</v>
      </c>
      <c r="D129" s="28">
        <v>6837</v>
      </c>
      <c r="E129" s="28">
        <v>512</v>
      </c>
      <c r="F129" s="28">
        <f t="shared" si="30"/>
        <v>2500</v>
      </c>
      <c r="G129" s="28">
        <v>38857</v>
      </c>
      <c r="H129" s="28">
        <v>17058</v>
      </c>
      <c r="I129" s="28">
        <v>3951</v>
      </c>
      <c r="J129" s="28">
        <f t="shared" si="31"/>
        <v>17848</v>
      </c>
      <c r="K129" s="28">
        <v>306</v>
      </c>
      <c r="L129" s="28">
        <v>0</v>
      </c>
      <c r="M129" s="28">
        <v>10269</v>
      </c>
      <c r="N129" s="28">
        <v>347</v>
      </c>
      <c r="O129" s="28">
        <v>347</v>
      </c>
    </row>
    <row r="130" spans="1:15" ht="12.75" customHeight="1">
      <c r="A130" s="4" t="s">
        <v>239</v>
      </c>
      <c r="B130" s="5" t="s">
        <v>240</v>
      </c>
      <c r="C130" s="28">
        <v>58233</v>
      </c>
      <c r="D130" s="28">
        <v>47735</v>
      </c>
      <c r="E130" s="28">
        <v>3136</v>
      </c>
      <c r="F130" s="28">
        <f t="shared" si="30"/>
        <v>7362</v>
      </c>
      <c r="G130" s="28">
        <v>154489</v>
      </c>
      <c r="H130" s="28">
        <v>80351</v>
      </c>
      <c r="I130" s="28">
        <v>14011</v>
      </c>
      <c r="J130" s="28">
        <f t="shared" si="31"/>
        <v>60127</v>
      </c>
      <c r="K130" s="28">
        <v>1761</v>
      </c>
      <c r="L130" s="28">
        <v>0</v>
      </c>
      <c r="M130" s="28">
        <v>1189</v>
      </c>
      <c r="N130" s="28">
        <v>6035</v>
      </c>
      <c r="O130" s="28">
        <v>6035</v>
      </c>
    </row>
    <row r="131" spans="1:15" ht="12.75" customHeight="1">
      <c r="A131" s="4" t="s">
        <v>241</v>
      </c>
      <c r="B131" s="5" t="s">
        <v>242</v>
      </c>
      <c r="C131" s="28">
        <v>107152</v>
      </c>
      <c r="D131" s="28">
        <v>86618</v>
      </c>
      <c r="E131" s="28">
        <v>855</v>
      </c>
      <c r="F131" s="28">
        <f t="shared" si="30"/>
        <v>19679</v>
      </c>
      <c r="G131" s="28">
        <v>314817</v>
      </c>
      <c r="H131" s="28">
        <v>142859</v>
      </c>
      <c r="I131" s="28">
        <v>4348</v>
      </c>
      <c r="J131" s="28">
        <f t="shared" si="31"/>
        <v>167610</v>
      </c>
      <c r="K131" s="28">
        <v>6126</v>
      </c>
      <c r="L131" s="28">
        <v>0</v>
      </c>
      <c r="M131" s="28">
        <v>14910</v>
      </c>
      <c r="N131" s="28">
        <v>3187</v>
      </c>
      <c r="O131" s="28">
        <v>3187</v>
      </c>
    </row>
    <row r="132" spans="1:15" ht="12.75" customHeight="1">
      <c r="A132" s="4" t="s">
        <v>243</v>
      </c>
      <c r="B132" s="5" t="s">
        <v>244</v>
      </c>
      <c r="C132" s="28">
        <v>54900</v>
      </c>
      <c r="D132" s="28">
        <v>43635</v>
      </c>
      <c r="E132" s="28">
        <v>0</v>
      </c>
      <c r="F132" s="28">
        <f t="shared" si="30"/>
        <v>11265</v>
      </c>
      <c r="G132" s="28">
        <v>161091</v>
      </c>
      <c r="H132" s="28">
        <v>89236</v>
      </c>
      <c r="I132" s="28">
        <v>0</v>
      </c>
      <c r="J132" s="28">
        <f t="shared" si="31"/>
        <v>71855</v>
      </c>
      <c r="K132" s="28">
        <v>4385</v>
      </c>
      <c r="L132" s="28">
        <v>0</v>
      </c>
      <c r="M132" s="28">
        <v>11852</v>
      </c>
      <c r="N132" s="28">
        <v>335</v>
      </c>
      <c r="O132" s="28">
        <v>335</v>
      </c>
    </row>
    <row r="133" spans="1:15" ht="12.75" customHeight="1">
      <c r="A133" s="4" t="s">
        <v>245</v>
      </c>
      <c r="B133" s="5" t="s">
        <v>246</v>
      </c>
      <c r="C133" s="28">
        <v>43927</v>
      </c>
      <c r="D133" s="28">
        <v>38021</v>
      </c>
      <c r="E133" s="28">
        <v>68</v>
      </c>
      <c r="F133" s="28">
        <f t="shared" si="30"/>
        <v>5838</v>
      </c>
      <c r="G133" s="28">
        <v>107396</v>
      </c>
      <c r="H133" s="28">
        <v>85436</v>
      </c>
      <c r="I133" s="28">
        <v>123</v>
      </c>
      <c r="J133" s="28">
        <f t="shared" si="31"/>
        <v>21837</v>
      </c>
      <c r="K133" s="28">
        <v>15309</v>
      </c>
      <c r="L133" s="28">
        <v>0</v>
      </c>
      <c r="M133" s="28">
        <v>7161</v>
      </c>
      <c r="N133" s="28">
        <v>855</v>
      </c>
      <c r="O133" s="28">
        <v>855</v>
      </c>
    </row>
    <row r="134" spans="1:15" ht="12.75" customHeight="1">
      <c r="A134" s="4" t="s">
        <v>247</v>
      </c>
      <c r="B134" s="5" t="s">
        <v>248</v>
      </c>
      <c r="C134" s="28">
        <v>29247</v>
      </c>
      <c r="D134" s="28">
        <v>21913</v>
      </c>
      <c r="E134" s="28">
        <v>0</v>
      </c>
      <c r="F134" s="28">
        <f t="shared" si="30"/>
        <v>7334</v>
      </c>
      <c r="G134" s="28">
        <v>69667</v>
      </c>
      <c r="H134" s="28">
        <v>45214</v>
      </c>
      <c r="I134" s="28">
        <v>0</v>
      </c>
      <c r="J134" s="28">
        <f t="shared" si="31"/>
        <v>24453</v>
      </c>
      <c r="K134" s="28">
        <v>160</v>
      </c>
      <c r="L134" s="28">
        <v>0</v>
      </c>
      <c r="M134" s="28">
        <v>9792</v>
      </c>
      <c r="N134" s="28">
        <v>196</v>
      </c>
      <c r="O134" s="28">
        <v>196</v>
      </c>
    </row>
    <row r="135" spans="1:15" ht="12.75" customHeight="1">
      <c r="A135" s="10"/>
      <c r="B135" s="9" t="s">
        <v>249</v>
      </c>
      <c r="C135" s="29">
        <f t="shared" ref="C135:O135" si="32">SUM(C126:C134)</f>
        <v>432844</v>
      </c>
      <c r="D135" s="29">
        <f t="shared" si="32"/>
        <v>341619</v>
      </c>
      <c r="E135" s="29">
        <f t="shared" si="32"/>
        <v>6464</v>
      </c>
      <c r="F135" s="29">
        <f t="shared" si="32"/>
        <v>84761</v>
      </c>
      <c r="G135" s="29">
        <f t="shared" si="32"/>
        <v>1194759</v>
      </c>
      <c r="H135" s="29">
        <f t="shared" si="32"/>
        <v>684003</v>
      </c>
      <c r="I135" s="29">
        <f t="shared" si="32"/>
        <v>30399</v>
      </c>
      <c r="J135" s="29">
        <f t="shared" si="32"/>
        <v>480357</v>
      </c>
      <c r="K135" s="29">
        <f t="shared" si="32"/>
        <v>30987</v>
      </c>
      <c r="L135" s="29">
        <f t="shared" si="32"/>
        <v>0</v>
      </c>
      <c r="M135" s="29">
        <f t="shared" si="32"/>
        <v>81126</v>
      </c>
      <c r="N135" s="29">
        <f t="shared" si="32"/>
        <v>13417</v>
      </c>
      <c r="O135" s="29">
        <f t="shared" si="32"/>
        <v>13417</v>
      </c>
    </row>
    <row r="136" spans="1:15" ht="12.75" customHeight="1">
      <c r="A136" s="4" t="s">
        <v>250</v>
      </c>
      <c r="B136" s="5" t="s">
        <v>251</v>
      </c>
      <c r="C136" s="28">
        <v>63672</v>
      </c>
      <c r="D136" s="28">
        <v>58770</v>
      </c>
      <c r="E136" s="28">
        <v>0</v>
      </c>
      <c r="F136" s="28">
        <f t="shared" ref="F136:F143" si="33">SUM(C136-D136-E136)</f>
        <v>4902</v>
      </c>
      <c r="G136" s="28">
        <v>156077</v>
      </c>
      <c r="H136" s="28">
        <v>120192</v>
      </c>
      <c r="I136" s="28">
        <v>0</v>
      </c>
      <c r="J136" s="28">
        <f t="shared" ref="J136:J143" si="34">SUM(G136-H136-I136)</f>
        <v>35885</v>
      </c>
      <c r="K136" s="28">
        <v>11279</v>
      </c>
      <c r="L136" s="28">
        <v>6740</v>
      </c>
      <c r="M136" s="28">
        <v>7374</v>
      </c>
      <c r="N136" s="28">
        <v>20244</v>
      </c>
      <c r="O136" s="28">
        <v>20244</v>
      </c>
    </row>
    <row r="137" spans="1:15" ht="12.75" customHeight="1">
      <c r="A137" s="4" t="s">
        <v>252</v>
      </c>
      <c r="B137" s="5" t="s">
        <v>253</v>
      </c>
      <c r="C137" s="28">
        <v>9405</v>
      </c>
      <c r="D137" s="28">
        <v>9397</v>
      </c>
      <c r="E137" s="28">
        <v>0</v>
      </c>
      <c r="F137" s="28">
        <f t="shared" si="33"/>
        <v>8</v>
      </c>
      <c r="G137" s="28">
        <v>20419</v>
      </c>
      <c r="H137" s="28">
        <v>20210</v>
      </c>
      <c r="I137" s="28">
        <v>0</v>
      </c>
      <c r="J137" s="28">
        <f t="shared" si="34"/>
        <v>209</v>
      </c>
      <c r="K137" s="28">
        <v>469</v>
      </c>
      <c r="L137" s="28">
        <v>0</v>
      </c>
      <c r="M137" s="28">
        <v>0</v>
      </c>
      <c r="N137" s="28">
        <v>2223</v>
      </c>
      <c r="O137" s="28">
        <v>2223</v>
      </c>
    </row>
    <row r="138" spans="1:15" ht="12.75" customHeight="1">
      <c r="A138" s="4" t="s">
        <v>254</v>
      </c>
      <c r="B138" s="5" t="s">
        <v>255</v>
      </c>
      <c r="C138" s="28">
        <v>5714</v>
      </c>
      <c r="D138" s="28">
        <v>5676</v>
      </c>
      <c r="E138" s="28">
        <v>0</v>
      </c>
      <c r="F138" s="28">
        <f t="shared" si="33"/>
        <v>38</v>
      </c>
      <c r="G138" s="28">
        <v>20687</v>
      </c>
      <c r="H138" s="28">
        <v>18300</v>
      </c>
      <c r="I138" s="28">
        <v>0</v>
      </c>
      <c r="J138" s="28">
        <f t="shared" si="34"/>
        <v>2387</v>
      </c>
      <c r="K138" s="28">
        <v>1525</v>
      </c>
      <c r="L138" s="28">
        <v>0</v>
      </c>
      <c r="M138" s="28">
        <v>2944</v>
      </c>
      <c r="N138" s="28">
        <v>4083</v>
      </c>
      <c r="O138" s="28">
        <v>4083</v>
      </c>
    </row>
    <row r="139" spans="1:15" ht="12.75" customHeight="1">
      <c r="A139" s="4" t="s">
        <v>256</v>
      </c>
      <c r="B139" s="5" t="s">
        <v>257</v>
      </c>
      <c r="C139" s="28">
        <v>16628</v>
      </c>
      <c r="D139" s="28">
        <v>14702</v>
      </c>
      <c r="E139" s="28">
        <v>0</v>
      </c>
      <c r="F139" s="28">
        <f t="shared" si="33"/>
        <v>1926</v>
      </c>
      <c r="G139" s="28">
        <v>48184</v>
      </c>
      <c r="H139" s="28">
        <v>39609</v>
      </c>
      <c r="I139" s="28">
        <v>0</v>
      </c>
      <c r="J139" s="28">
        <f t="shared" si="34"/>
        <v>8575</v>
      </c>
      <c r="K139" s="28">
        <v>7235</v>
      </c>
      <c r="L139" s="28">
        <v>876</v>
      </c>
      <c r="M139" s="28">
        <v>6220</v>
      </c>
      <c r="N139" s="28">
        <v>2082</v>
      </c>
      <c r="O139" s="28">
        <v>2082</v>
      </c>
    </row>
    <row r="140" spans="1:15" ht="12.75" customHeight="1">
      <c r="A140" s="4" t="s">
        <v>258</v>
      </c>
      <c r="B140" s="5" t="s">
        <v>259</v>
      </c>
      <c r="C140" s="28">
        <v>3675</v>
      </c>
      <c r="D140" s="28">
        <v>3643</v>
      </c>
      <c r="E140" s="28">
        <v>0</v>
      </c>
      <c r="F140" s="28">
        <f t="shared" si="33"/>
        <v>32</v>
      </c>
      <c r="G140" s="28">
        <v>7596</v>
      </c>
      <c r="H140" s="28">
        <v>7454</v>
      </c>
      <c r="I140" s="28">
        <v>0</v>
      </c>
      <c r="J140" s="28">
        <f t="shared" si="34"/>
        <v>142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22941</v>
      </c>
      <c r="D141" s="28">
        <v>21709</v>
      </c>
      <c r="E141" s="28">
        <v>0</v>
      </c>
      <c r="F141" s="28">
        <f t="shared" si="33"/>
        <v>1232</v>
      </c>
      <c r="G141" s="28">
        <v>46140</v>
      </c>
      <c r="H141" s="28">
        <v>42205</v>
      </c>
      <c r="I141" s="28">
        <v>0</v>
      </c>
      <c r="J141" s="28">
        <f t="shared" si="34"/>
        <v>3935</v>
      </c>
      <c r="K141" s="28">
        <v>161</v>
      </c>
      <c r="L141" s="28">
        <v>0</v>
      </c>
      <c r="M141" s="28">
        <v>37</v>
      </c>
      <c r="N141" s="28">
        <v>2572</v>
      </c>
      <c r="O141" s="28">
        <v>2572</v>
      </c>
    </row>
    <row r="142" spans="1:15" ht="12.75" customHeight="1">
      <c r="A142" s="4" t="s">
        <v>262</v>
      </c>
      <c r="B142" s="5" t="s">
        <v>263</v>
      </c>
      <c r="C142" s="28">
        <v>15568</v>
      </c>
      <c r="D142" s="28">
        <v>11580</v>
      </c>
      <c r="E142" s="28">
        <v>0</v>
      </c>
      <c r="F142" s="28">
        <f t="shared" si="33"/>
        <v>3988</v>
      </c>
      <c r="G142" s="28">
        <v>48209</v>
      </c>
      <c r="H142" s="28">
        <v>37616</v>
      </c>
      <c r="I142" s="28">
        <v>0</v>
      </c>
      <c r="J142" s="28">
        <f t="shared" si="34"/>
        <v>10593</v>
      </c>
      <c r="K142" s="28">
        <v>4903</v>
      </c>
      <c r="L142" s="28">
        <v>0</v>
      </c>
      <c r="M142" s="28">
        <v>8271</v>
      </c>
      <c r="N142" s="28">
        <v>5326</v>
      </c>
      <c r="O142" s="28">
        <v>5326</v>
      </c>
    </row>
    <row r="143" spans="1:15" ht="12.75" customHeight="1">
      <c r="A143" s="4" t="s">
        <v>264</v>
      </c>
      <c r="B143" s="5" t="s">
        <v>265</v>
      </c>
      <c r="C143" s="28">
        <v>42851</v>
      </c>
      <c r="D143" s="28">
        <v>33643</v>
      </c>
      <c r="E143" s="28">
        <v>0</v>
      </c>
      <c r="F143" s="28">
        <f t="shared" si="33"/>
        <v>9208</v>
      </c>
      <c r="G143" s="28">
        <v>138333</v>
      </c>
      <c r="H143" s="28">
        <v>61418</v>
      </c>
      <c r="I143" s="28">
        <v>0</v>
      </c>
      <c r="J143" s="28">
        <f t="shared" si="34"/>
        <v>76915</v>
      </c>
      <c r="K143" s="28">
        <v>28306</v>
      </c>
      <c r="L143" s="28">
        <v>513</v>
      </c>
      <c r="M143" s="28">
        <v>11683</v>
      </c>
      <c r="N143" s="28">
        <v>7439</v>
      </c>
      <c r="O143" s="28">
        <v>7439</v>
      </c>
    </row>
    <row r="144" spans="1:15" ht="12.75" customHeight="1">
      <c r="A144" s="10"/>
      <c r="B144" s="9" t="s">
        <v>266</v>
      </c>
      <c r="C144" s="30">
        <f t="shared" ref="C144:O144" si="35">SUM(C136:C143)</f>
        <v>180454</v>
      </c>
      <c r="D144" s="30">
        <f t="shared" si="35"/>
        <v>159120</v>
      </c>
      <c r="E144" s="30">
        <f t="shared" si="35"/>
        <v>0</v>
      </c>
      <c r="F144" s="30">
        <f t="shared" si="35"/>
        <v>21334</v>
      </c>
      <c r="G144" s="30">
        <f t="shared" si="35"/>
        <v>485645</v>
      </c>
      <c r="H144" s="30">
        <f t="shared" si="35"/>
        <v>347004</v>
      </c>
      <c r="I144" s="30">
        <f t="shared" si="35"/>
        <v>0</v>
      </c>
      <c r="J144" s="30">
        <f t="shared" si="35"/>
        <v>138641</v>
      </c>
      <c r="K144" s="30">
        <f t="shared" si="35"/>
        <v>53878</v>
      </c>
      <c r="L144" s="30">
        <f t="shared" si="35"/>
        <v>8129</v>
      </c>
      <c r="M144" s="30">
        <f t="shared" si="35"/>
        <v>36529</v>
      </c>
      <c r="N144" s="30">
        <f t="shared" si="35"/>
        <v>43969</v>
      </c>
      <c r="O144" s="30">
        <f t="shared" si="35"/>
        <v>43969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5532321</v>
      </c>
      <c r="D145" s="31">
        <f t="shared" si="36"/>
        <v>3938483</v>
      </c>
      <c r="E145" s="31">
        <f t="shared" si="36"/>
        <v>165865</v>
      </c>
      <c r="F145" s="31">
        <f t="shared" si="36"/>
        <v>1427973</v>
      </c>
      <c r="G145" s="31">
        <f t="shared" si="36"/>
        <v>17339568</v>
      </c>
      <c r="H145" s="31">
        <f t="shared" si="36"/>
        <v>8856771</v>
      </c>
      <c r="I145" s="31">
        <f t="shared" si="36"/>
        <v>750620</v>
      </c>
      <c r="J145" s="31">
        <f t="shared" si="36"/>
        <v>7732177</v>
      </c>
      <c r="K145" s="31">
        <f t="shared" si="36"/>
        <v>643276</v>
      </c>
      <c r="L145" s="31">
        <f t="shared" si="36"/>
        <v>15306</v>
      </c>
      <c r="M145" s="31">
        <f t="shared" si="36"/>
        <v>1463463</v>
      </c>
      <c r="N145" s="31">
        <f t="shared" si="36"/>
        <v>672028</v>
      </c>
      <c r="O145" s="31">
        <f t="shared" si="36"/>
        <v>349275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2017-11-23T15:25:55Z</dcterms:modified>
</cp:coreProperties>
</file>