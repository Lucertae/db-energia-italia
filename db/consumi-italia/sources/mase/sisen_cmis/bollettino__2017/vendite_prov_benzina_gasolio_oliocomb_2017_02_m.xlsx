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9660" windowHeight="5496" activeTab="1"/>
  </bookViews>
  <sheets>
    <sheet name="Mensile" sheetId="1" r:id="rId1"/>
    <sheet name="Aggregato" sheetId="2" r:id="rId2"/>
  </sheets>
  <calcPr calcId="125725"/>
</workbook>
</file>

<file path=xl/calcChain.xml><?xml version="1.0" encoding="utf-8"?>
<calcChain xmlns="http://schemas.openxmlformats.org/spreadsheetml/2006/main">
  <c r="F15" i="1"/>
  <c r="J15"/>
  <c r="J23" s="1"/>
  <c r="F16"/>
  <c r="J16"/>
  <c r="F17"/>
  <c r="J17"/>
  <c r="F18"/>
  <c r="J18"/>
  <c r="F19"/>
  <c r="J19"/>
  <c r="F20"/>
  <c r="J20"/>
  <c r="F21"/>
  <c r="J21"/>
  <c r="F22"/>
  <c r="J22"/>
  <c r="C23"/>
  <c r="D23"/>
  <c r="E23"/>
  <c r="F23"/>
  <c r="G23"/>
  <c r="H23"/>
  <c r="I23"/>
  <c r="K23"/>
  <c r="L23"/>
  <c r="M23"/>
  <c r="N23"/>
  <c r="O23"/>
  <c r="F24"/>
  <c r="F25" s="1"/>
  <c r="J24"/>
  <c r="C25"/>
  <c r="D25"/>
  <c r="E25"/>
  <c r="G25"/>
  <c r="H25"/>
  <c r="I25"/>
  <c r="J25"/>
  <c r="K25"/>
  <c r="L25"/>
  <c r="M25"/>
  <c r="N25"/>
  <c r="O25"/>
  <c r="F26"/>
  <c r="J26"/>
  <c r="J30" s="1"/>
  <c r="F27"/>
  <c r="F30" s="1"/>
  <c r="J27"/>
  <c r="F28"/>
  <c r="J28"/>
  <c r="F29"/>
  <c r="J29"/>
  <c r="C30"/>
  <c r="D30"/>
  <c r="E30"/>
  <c r="G30"/>
  <c r="H30"/>
  <c r="I30"/>
  <c r="K30"/>
  <c r="L30"/>
  <c r="M30"/>
  <c r="N30"/>
  <c r="O30"/>
  <c r="F31"/>
  <c r="F43" s="1"/>
  <c r="J31"/>
  <c r="F32"/>
  <c r="J32"/>
  <c r="F33"/>
  <c r="J33"/>
  <c r="F34"/>
  <c r="J34"/>
  <c r="F35"/>
  <c r="J35"/>
  <c r="F36"/>
  <c r="J36"/>
  <c r="F37"/>
  <c r="J37"/>
  <c r="F38"/>
  <c r="J38"/>
  <c r="F39"/>
  <c r="J39"/>
  <c r="F40"/>
  <c r="J40"/>
  <c r="F41"/>
  <c r="J41"/>
  <c r="J43" s="1"/>
  <c r="F42"/>
  <c r="J42"/>
  <c r="C43"/>
  <c r="D43"/>
  <c r="E43"/>
  <c r="G43"/>
  <c r="H43"/>
  <c r="I43"/>
  <c r="K43"/>
  <c r="L43"/>
  <c r="M43"/>
  <c r="N43"/>
  <c r="O43"/>
  <c r="F44"/>
  <c r="J44"/>
  <c r="F45"/>
  <c r="J45"/>
  <c r="C46"/>
  <c r="D46"/>
  <c r="E46"/>
  <c r="F46"/>
  <c r="G46"/>
  <c r="H46"/>
  <c r="I46"/>
  <c r="J46"/>
  <c r="K46"/>
  <c r="L46"/>
  <c r="M46"/>
  <c r="N46"/>
  <c r="O46"/>
  <c r="F47"/>
  <c r="J47"/>
  <c r="F48"/>
  <c r="F51" s="1"/>
  <c r="J48"/>
  <c r="F49"/>
  <c r="J49"/>
  <c r="F50"/>
  <c r="J50"/>
  <c r="C51"/>
  <c r="D51"/>
  <c r="E51"/>
  <c r="G51"/>
  <c r="H51"/>
  <c r="I51"/>
  <c r="J51"/>
  <c r="K51"/>
  <c r="L51"/>
  <c r="M51"/>
  <c r="N51"/>
  <c r="O51"/>
  <c r="F52"/>
  <c r="J52"/>
  <c r="F53"/>
  <c r="J53"/>
  <c r="F54"/>
  <c r="J54"/>
  <c r="F55"/>
  <c r="J55"/>
  <c r="F56"/>
  <c r="J56"/>
  <c r="F57"/>
  <c r="J57"/>
  <c r="F58"/>
  <c r="J58"/>
  <c r="C59"/>
  <c r="D59"/>
  <c r="E59"/>
  <c r="F59"/>
  <c r="G59"/>
  <c r="H59"/>
  <c r="I59"/>
  <c r="J59"/>
  <c r="K59"/>
  <c r="L59"/>
  <c r="M59"/>
  <c r="N59"/>
  <c r="O59"/>
  <c r="F60"/>
  <c r="J60"/>
  <c r="F61"/>
  <c r="F69" s="1"/>
  <c r="J61"/>
  <c r="F62"/>
  <c r="J62"/>
  <c r="F63"/>
  <c r="J63"/>
  <c r="F64"/>
  <c r="J64"/>
  <c r="F65"/>
  <c r="J65"/>
  <c r="F66"/>
  <c r="J66"/>
  <c r="F67"/>
  <c r="J67"/>
  <c r="F68"/>
  <c r="J68"/>
  <c r="C69"/>
  <c r="D69"/>
  <c r="E69"/>
  <c r="G69"/>
  <c r="H69"/>
  <c r="I69"/>
  <c r="J69"/>
  <c r="K69"/>
  <c r="L69"/>
  <c r="M69"/>
  <c r="N69"/>
  <c r="O69"/>
  <c r="F70"/>
  <c r="J70"/>
  <c r="F71"/>
  <c r="J71"/>
  <c r="F72"/>
  <c r="J72"/>
  <c r="F73"/>
  <c r="J73"/>
  <c r="F74"/>
  <c r="J74"/>
  <c r="F75"/>
  <c r="J75"/>
  <c r="F76"/>
  <c r="J76"/>
  <c r="F77"/>
  <c r="J77"/>
  <c r="F78"/>
  <c r="J78"/>
  <c r="F79"/>
  <c r="J79"/>
  <c r="C80"/>
  <c r="D80"/>
  <c r="E80"/>
  <c r="F80"/>
  <c r="G80"/>
  <c r="H80"/>
  <c r="I80"/>
  <c r="J80"/>
  <c r="K80"/>
  <c r="L80"/>
  <c r="M80"/>
  <c r="N80"/>
  <c r="O80"/>
  <c r="F81"/>
  <c r="J81"/>
  <c r="F82"/>
  <c r="F86" s="1"/>
  <c r="J82"/>
  <c r="F83"/>
  <c r="J83"/>
  <c r="F84"/>
  <c r="J84"/>
  <c r="F85"/>
  <c r="J85"/>
  <c r="C86"/>
  <c r="D86"/>
  <c r="E86"/>
  <c r="G86"/>
  <c r="H86"/>
  <c r="I86"/>
  <c r="J86"/>
  <c r="K86"/>
  <c r="L86"/>
  <c r="M86"/>
  <c r="N86"/>
  <c r="O86"/>
  <c r="F87"/>
  <c r="J87"/>
  <c r="F88"/>
  <c r="J88"/>
  <c r="C89"/>
  <c r="D89"/>
  <c r="E89"/>
  <c r="F89"/>
  <c r="G89"/>
  <c r="H89"/>
  <c r="I89"/>
  <c r="J89"/>
  <c r="K89"/>
  <c r="L89"/>
  <c r="M89"/>
  <c r="N89"/>
  <c r="O89"/>
  <c r="F90"/>
  <c r="J90"/>
  <c r="F91"/>
  <c r="F95" s="1"/>
  <c r="J91"/>
  <c r="F92"/>
  <c r="J92"/>
  <c r="F93"/>
  <c r="J93"/>
  <c r="F94"/>
  <c r="J94"/>
  <c r="C95"/>
  <c r="C145" s="1"/>
  <c r="D95"/>
  <c r="E95"/>
  <c r="G95"/>
  <c r="G145" s="1"/>
  <c r="H95"/>
  <c r="I95"/>
  <c r="J95"/>
  <c r="K95"/>
  <c r="K145" s="1"/>
  <c r="L95"/>
  <c r="M95"/>
  <c r="N95"/>
  <c r="O95"/>
  <c r="O145" s="1"/>
  <c r="F96"/>
  <c r="J96"/>
  <c r="F97"/>
  <c r="J97"/>
  <c r="C98"/>
  <c r="D98"/>
  <c r="E98"/>
  <c r="F98"/>
  <c r="G98"/>
  <c r="H98"/>
  <c r="I98"/>
  <c r="J98"/>
  <c r="K98"/>
  <c r="L98"/>
  <c r="M98"/>
  <c r="N98"/>
  <c r="O98"/>
  <c r="F99"/>
  <c r="J99"/>
  <c r="F100"/>
  <c r="F103" s="1"/>
  <c r="J100"/>
  <c r="F101"/>
  <c r="J101"/>
  <c r="F102"/>
  <c r="J102"/>
  <c r="C103"/>
  <c r="D103"/>
  <c r="E103"/>
  <c r="G103"/>
  <c r="H103"/>
  <c r="I103"/>
  <c r="J103"/>
  <c r="K103"/>
  <c r="L103"/>
  <c r="M103"/>
  <c r="N103"/>
  <c r="O103"/>
  <c r="F104"/>
  <c r="J104"/>
  <c r="F105"/>
  <c r="J105"/>
  <c r="F106"/>
  <c r="J106"/>
  <c r="F107"/>
  <c r="J107"/>
  <c r="F108"/>
  <c r="J108"/>
  <c r="C109"/>
  <c r="D109"/>
  <c r="E109"/>
  <c r="F109"/>
  <c r="G109"/>
  <c r="H109"/>
  <c r="I109"/>
  <c r="J109"/>
  <c r="K109"/>
  <c r="L109"/>
  <c r="M109"/>
  <c r="N109"/>
  <c r="O109"/>
  <c r="F110"/>
  <c r="J110"/>
  <c r="F111"/>
  <c r="F116" s="1"/>
  <c r="J111"/>
  <c r="F112"/>
  <c r="J112"/>
  <c r="F113"/>
  <c r="J113"/>
  <c r="F114"/>
  <c r="J114"/>
  <c r="F115"/>
  <c r="J115"/>
  <c r="C116"/>
  <c r="D116"/>
  <c r="E116"/>
  <c r="G116"/>
  <c r="H116"/>
  <c r="I116"/>
  <c r="J116"/>
  <c r="K116"/>
  <c r="L116"/>
  <c r="M116"/>
  <c r="N116"/>
  <c r="O116"/>
  <c r="F117"/>
  <c r="F119" s="1"/>
  <c r="J117"/>
  <c r="J119" s="1"/>
  <c r="F118"/>
  <c r="J118"/>
  <c r="C119"/>
  <c r="D119"/>
  <c r="E119"/>
  <c r="G119"/>
  <c r="H119"/>
  <c r="I119"/>
  <c r="K119"/>
  <c r="L119"/>
  <c r="M119"/>
  <c r="N119"/>
  <c r="O119"/>
  <c r="F120"/>
  <c r="F125" s="1"/>
  <c r="J120"/>
  <c r="F121"/>
  <c r="J121"/>
  <c r="F122"/>
  <c r="J122"/>
  <c r="F123"/>
  <c r="J123"/>
  <c r="F124"/>
  <c r="J124"/>
  <c r="C125"/>
  <c r="D125"/>
  <c r="E125"/>
  <c r="G125"/>
  <c r="H125"/>
  <c r="I125"/>
  <c r="J125"/>
  <c r="K125"/>
  <c r="L125"/>
  <c r="M125"/>
  <c r="N125"/>
  <c r="O125"/>
  <c r="F126"/>
  <c r="J126"/>
  <c r="F127"/>
  <c r="J127"/>
  <c r="F128"/>
  <c r="J128"/>
  <c r="F129"/>
  <c r="J129"/>
  <c r="F130"/>
  <c r="J130"/>
  <c r="F131"/>
  <c r="J131"/>
  <c r="F132"/>
  <c r="J132"/>
  <c r="F133"/>
  <c r="J133"/>
  <c r="F134"/>
  <c r="J134"/>
  <c r="C135"/>
  <c r="D135"/>
  <c r="E135"/>
  <c r="F135"/>
  <c r="G135"/>
  <c r="H135"/>
  <c r="I135"/>
  <c r="J135"/>
  <c r="K135"/>
  <c r="L135"/>
  <c r="M135"/>
  <c r="N135"/>
  <c r="O135"/>
  <c r="F136"/>
  <c r="J136"/>
  <c r="F137"/>
  <c r="F144" s="1"/>
  <c r="J137"/>
  <c r="F138"/>
  <c r="J138"/>
  <c r="F139"/>
  <c r="J139"/>
  <c r="F140"/>
  <c r="J140"/>
  <c r="F141"/>
  <c r="J141"/>
  <c r="F142"/>
  <c r="J142"/>
  <c r="F143"/>
  <c r="J143"/>
  <c r="C144"/>
  <c r="D144"/>
  <c r="E144"/>
  <c r="E145" s="1"/>
  <c r="G144"/>
  <c r="H144"/>
  <c r="I144"/>
  <c r="I145" s="1"/>
  <c r="J144"/>
  <c r="K144"/>
  <c r="L144"/>
  <c r="M144"/>
  <c r="M145" s="1"/>
  <c r="N144"/>
  <c r="N145" s="1"/>
  <c r="O144"/>
  <c r="D145"/>
  <c r="H145"/>
  <c r="L145"/>
  <c r="F15" i="2"/>
  <c r="F23" s="1"/>
  <c r="J15"/>
  <c r="F16"/>
  <c r="J16"/>
  <c r="F17"/>
  <c r="J17"/>
  <c r="F18"/>
  <c r="J18"/>
  <c r="F19"/>
  <c r="J19"/>
  <c r="F20"/>
  <c r="J20"/>
  <c r="F21"/>
  <c r="J21"/>
  <c r="F22"/>
  <c r="J22"/>
  <c r="C23"/>
  <c r="D23"/>
  <c r="E23"/>
  <c r="G23"/>
  <c r="H23"/>
  <c r="I23"/>
  <c r="J23"/>
  <c r="K23"/>
  <c r="L23"/>
  <c r="M23"/>
  <c r="N23"/>
  <c r="O23"/>
  <c r="F24"/>
  <c r="F25" s="1"/>
  <c r="J24"/>
  <c r="C25"/>
  <c r="D25"/>
  <c r="E25"/>
  <c r="G25"/>
  <c r="H25"/>
  <c r="I25"/>
  <c r="J25"/>
  <c r="K25"/>
  <c r="L25"/>
  <c r="M25"/>
  <c r="N25"/>
  <c r="O25"/>
  <c r="F26"/>
  <c r="F30" s="1"/>
  <c r="J26"/>
  <c r="F27"/>
  <c r="J27"/>
  <c r="F28"/>
  <c r="J28"/>
  <c r="F29"/>
  <c r="J29"/>
  <c r="C30"/>
  <c r="D30"/>
  <c r="E30"/>
  <c r="G30"/>
  <c r="H30"/>
  <c r="I30"/>
  <c r="J30"/>
  <c r="K30"/>
  <c r="L30"/>
  <c r="M30"/>
  <c r="N30"/>
  <c r="O30"/>
  <c r="F31"/>
  <c r="J31"/>
  <c r="F32"/>
  <c r="J32"/>
  <c r="F33"/>
  <c r="J33"/>
  <c r="F34"/>
  <c r="J34"/>
  <c r="F35"/>
  <c r="J35"/>
  <c r="F36"/>
  <c r="J36"/>
  <c r="F37"/>
  <c r="J37"/>
  <c r="F38"/>
  <c r="J38"/>
  <c r="F39"/>
  <c r="J39"/>
  <c r="F40"/>
  <c r="J40"/>
  <c r="F41"/>
  <c r="J41"/>
  <c r="F42"/>
  <c r="J42"/>
  <c r="J43" s="1"/>
  <c r="C43"/>
  <c r="D43"/>
  <c r="E43"/>
  <c r="F43"/>
  <c r="G43"/>
  <c r="H43"/>
  <c r="I43"/>
  <c r="K43"/>
  <c r="L43"/>
  <c r="M43"/>
  <c r="N43"/>
  <c r="O43"/>
  <c r="F44"/>
  <c r="J44"/>
  <c r="F45"/>
  <c r="F46" s="1"/>
  <c r="J45"/>
  <c r="C46"/>
  <c r="D46"/>
  <c r="E46"/>
  <c r="G46"/>
  <c r="H46"/>
  <c r="I46"/>
  <c r="J46"/>
  <c r="K46"/>
  <c r="L46"/>
  <c r="M46"/>
  <c r="N46"/>
  <c r="O46"/>
  <c r="F47"/>
  <c r="F51" s="1"/>
  <c r="J47"/>
  <c r="J51" s="1"/>
  <c r="F48"/>
  <c r="J48"/>
  <c r="F49"/>
  <c r="J49"/>
  <c r="F50"/>
  <c r="J50"/>
  <c r="C51"/>
  <c r="D51"/>
  <c r="E51"/>
  <c r="G51"/>
  <c r="H51"/>
  <c r="I51"/>
  <c r="K51"/>
  <c r="L51"/>
  <c r="M51"/>
  <c r="N51"/>
  <c r="O51"/>
  <c r="F52"/>
  <c r="F59" s="1"/>
  <c r="J52"/>
  <c r="F53"/>
  <c r="J53"/>
  <c r="F54"/>
  <c r="J54"/>
  <c r="F55"/>
  <c r="J55"/>
  <c r="F56"/>
  <c r="J56"/>
  <c r="F57"/>
  <c r="J57"/>
  <c r="F58"/>
  <c r="J58"/>
  <c r="C59"/>
  <c r="D59"/>
  <c r="E59"/>
  <c r="G59"/>
  <c r="H59"/>
  <c r="I59"/>
  <c r="J59"/>
  <c r="K59"/>
  <c r="L59"/>
  <c r="M59"/>
  <c r="N59"/>
  <c r="O59"/>
  <c r="F60"/>
  <c r="J60"/>
  <c r="F61"/>
  <c r="J61"/>
  <c r="F62"/>
  <c r="J62"/>
  <c r="F63"/>
  <c r="J63"/>
  <c r="F64"/>
  <c r="J64"/>
  <c r="F65"/>
  <c r="J65"/>
  <c r="F66"/>
  <c r="J66"/>
  <c r="F67"/>
  <c r="J67"/>
  <c r="F68"/>
  <c r="J68"/>
  <c r="C69"/>
  <c r="D69"/>
  <c r="E69"/>
  <c r="F69"/>
  <c r="G69"/>
  <c r="H69"/>
  <c r="I69"/>
  <c r="J69"/>
  <c r="K69"/>
  <c r="L69"/>
  <c r="M69"/>
  <c r="N69"/>
  <c r="O69"/>
  <c r="F70"/>
  <c r="J70"/>
  <c r="F71"/>
  <c r="F80" s="1"/>
  <c r="J71"/>
  <c r="F72"/>
  <c r="J72"/>
  <c r="F73"/>
  <c r="J73"/>
  <c r="F74"/>
  <c r="J74"/>
  <c r="F75"/>
  <c r="J75"/>
  <c r="F76"/>
  <c r="J76"/>
  <c r="F77"/>
  <c r="J77"/>
  <c r="F78"/>
  <c r="J78"/>
  <c r="F79"/>
  <c r="J79"/>
  <c r="C80"/>
  <c r="D80"/>
  <c r="E80"/>
  <c r="G80"/>
  <c r="H80"/>
  <c r="I80"/>
  <c r="J80"/>
  <c r="K80"/>
  <c r="L80"/>
  <c r="M80"/>
  <c r="N80"/>
  <c r="O80"/>
  <c r="F81"/>
  <c r="J81"/>
  <c r="F82"/>
  <c r="J82"/>
  <c r="F83"/>
  <c r="J83"/>
  <c r="F84"/>
  <c r="J84"/>
  <c r="F85"/>
  <c r="J85"/>
  <c r="J86" s="1"/>
  <c r="C86"/>
  <c r="D86"/>
  <c r="E86"/>
  <c r="F86"/>
  <c r="G86"/>
  <c r="H86"/>
  <c r="I86"/>
  <c r="K86"/>
  <c r="L86"/>
  <c r="M86"/>
  <c r="N86"/>
  <c r="O86"/>
  <c r="F87"/>
  <c r="J87"/>
  <c r="F88"/>
  <c r="F89" s="1"/>
  <c r="J88"/>
  <c r="C89"/>
  <c r="D89"/>
  <c r="E89"/>
  <c r="G89"/>
  <c r="H89"/>
  <c r="I89"/>
  <c r="J89"/>
  <c r="K89"/>
  <c r="L89"/>
  <c r="M89"/>
  <c r="N89"/>
  <c r="O89"/>
  <c r="F90"/>
  <c r="J90"/>
  <c r="F91"/>
  <c r="J91"/>
  <c r="F92"/>
  <c r="J92"/>
  <c r="F93"/>
  <c r="J93"/>
  <c r="F94"/>
  <c r="J94"/>
  <c r="C95"/>
  <c r="D95"/>
  <c r="E95"/>
  <c r="F95"/>
  <c r="G95"/>
  <c r="H95"/>
  <c r="I95"/>
  <c r="J95"/>
  <c r="K95"/>
  <c r="L95"/>
  <c r="M95"/>
  <c r="N95"/>
  <c r="N145" s="1"/>
  <c r="O95"/>
  <c r="F96"/>
  <c r="J96"/>
  <c r="J98" s="1"/>
  <c r="F97"/>
  <c r="F98" s="1"/>
  <c r="J97"/>
  <c r="C98"/>
  <c r="D98"/>
  <c r="E98"/>
  <c r="G98"/>
  <c r="H98"/>
  <c r="I98"/>
  <c r="K98"/>
  <c r="L98"/>
  <c r="M98"/>
  <c r="N98"/>
  <c r="O98"/>
  <c r="F99"/>
  <c r="F103" s="1"/>
  <c r="J99"/>
  <c r="J103" s="1"/>
  <c r="F100"/>
  <c r="J100"/>
  <c r="F101"/>
  <c r="J101"/>
  <c r="F102"/>
  <c r="J102"/>
  <c r="C103"/>
  <c r="D103"/>
  <c r="E103"/>
  <c r="G103"/>
  <c r="H103"/>
  <c r="I103"/>
  <c r="K103"/>
  <c r="L103"/>
  <c r="M103"/>
  <c r="N103"/>
  <c r="O103"/>
  <c r="F104"/>
  <c r="F109" s="1"/>
  <c r="J104"/>
  <c r="F105"/>
  <c r="J105"/>
  <c r="J109" s="1"/>
  <c r="F106"/>
  <c r="J106"/>
  <c r="F107"/>
  <c r="J107"/>
  <c r="F108"/>
  <c r="J108"/>
  <c r="C109"/>
  <c r="D109"/>
  <c r="E109"/>
  <c r="G109"/>
  <c r="H109"/>
  <c r="I109"/>
  <c r="K109"/>
  <c r="L109"/>
  <c r="M109"/>
  <c r="N109"/>
  <c r="O109"/>
  <c r="F110"/>
  <c r="F116" s="1"/>
  <c r="J110"/>
  <c r="J116" s="1"/>
  <c r="F111"/>
  <c r="J111"/>
  <c r="F112"/>
  <c r="J112"/>
  <c r="F113"/>
  <c r="J113"/>
  <c r="F114"/>
  <c r="J114"/>
  <c r="F115"/>
  <c r="J115"/>
  <c r="C116"/>
  <c r="D116"/>
  <c r="E116"/>
  <c r="G116"/>
  <c r="H116"/>
  <c r="I116"/>
  <c r="K116"/>
  <c r="L116"/>
  <c r="M116"/>
  <c r="N116"/>
  <c r="O116"/>
  <c r="F117"/>
  <c r="F119" s="1"/>
  <c r="J117"/>
  <c r="F118"/>
  <c r="J118"/>
  <c r="C119"/>
  <c r="D119"/>
  <c r="E119"/>
  <c r="G119"/>
  <c r="H119"/>
  <c r="I119"/>
  <c r="J119"/>
  <c r="K119"/>
  <c r="L119"/>
  <c r="M119"/>
  <c r="N119"/>
  <c r="O119"/>
  <c r="F120"/>
  <c r="F125" s="1"/>
  <c r="J120"/>
  <c r="F121"/>
  <c r="J121"/>
  <c r="J125" s="1"/>
  <c r="F122"/>
  <c r="J122"/>
  <c r="F123"/>
  <c r="J123"/>
  <c r="F124"/>
  <c r="J124"/>
  <c r="C125"/>
  <c r="D125"/>
  <c r="E125"/>
  <c r="G125"/>
  <c r="H125"/>
  <c r="I125"/>
  <c r="K125"/>
  <c r="L125"/>
  <c r="M125"/>
  <c r="N125"/>
  <c r="O125"/>
  <c r="F126"/>
  <c r="F135" s="1"/>
  <c r="J126"/>
  <c r="F127"/>
  <c r="J127"/>
  <c r="J135" s="1"/>
  <c r="F128"/>
  <c r="J128"/>
  <c r="F129"/>
  <c r="J129"/>
  <c r="F130"/>
  <c r="J130"/>
  <c r="F131"/>
  <c r="J131"/>
  <c r="F132"/>
  <c r="J132"/>
  <c r="F133"/>
  <c r="J133"/>
  <c r="F134"/>
  <c r="J134"/>
  <c r="C135"/>
  <c r="D135"/>
  <c r="E135"/>
  <c r="G135"/>
  <c r="H135"/>
  <c r="I135"/>
  <c r="K135"/>
  <c r="L135"/>
  <c r="M135"/>
  <c r="N135"/>
  <c r="O135"/>
  <c r="F136"/>
  <c r="F144" s="1"/>
  <c r="J136"/>
  <c r="J144" s="1"/>
  <c r="F137"/>
  <c r="J137"/>
  <c r="F138"/>
  <c r="J138"/>
  <c r="F139"/>
  <c r="J139"/>
  <c r="F140"/>
  <c r="J140"/>
  <c r="F141"/>
  <c r="J141"/>
  <c r="F142"/>
  <c r="J142"/>
  <c r="F143"/>
  <c r="J143"/>
  <c r="C144"/>
  <c r="D144"/>
  <c r="D145" s="1"/>
  <c r="E144"/>
  <c r="E145" s="1"/>
  <c r="G144"/>
  <c r="H144"/>
  <c r="H145" s="1"/>
  <c r="I144"/>
  <c r="I145" s="1"/>
  <c r="K144"/>
  <c r="L144"/>
  <c r="L145" s="1"/>
  <c r="M144"/>
  <c r="M145" s="1"/>
  <c r="N144"/>
  <c r="O144"/>
  <c r="C145"/>
  <c r="G145"/>
  <c r="K145"/>
  <c r="O145"/>
  <c r="J145" i="1" l="1"/>
  <c r="F145"/>
  <c r="F145" i="2"/>
  <c r="J145"/>
</calcChain>
</file>

<file path=xl/sharedStrings.xml><?xml version="1.0" encoding="utf-8"?>
<sst xmlns="http://schemas.openxmlformats.org/spreadsheetml/2006/main" count="544" uniqueCount="271">
  <si>
    <t>Ministero dello Sviluppo Economico</t>
  </si>
  <si>
    <t>BOLLETTINO PETROLIFERO</t>
  </si>
  <si>
    <t>DGSAIE DIV.7</t>
  </si>
  <si>
    <t>VENDITE  PROVINCIALI</t>
  </si>
  <si>
    <t>BENZINA, GASOLIO, OLIO COMBUSTIBILE</t>
  </si>
  <si>
    <t>la materia è espressa in TONNELLATE intere</t>
  </si>
  <si>
    <t>Report costruito su dati provvisori</t>
  </si>
  <si>
    <t>Periodo: febbraio 2017</t>
  </si>
  <si>
    <t>Provincia</t>
  </si>
  <si>
    <t xml:space="preserve">Benzina </t>
  </si>
  <si>
    <t>Gasolio motori</t>
  </si>
  <si>
    <t>Gasolio altri usi</t>
  </si>
  <si>
    <t>Olio combustibile</t>
  </si>
  <si>
    <t>Codice</t>
  </si>
  <si>
    <t>Nome</t>
  </si>
  <si>
    <t>Totale</t>
  </si>
  <si>
    <t>Rete</t>
  </si>
  <si>
    <t>Extra Rete</t>
  </si>
  <si>
    <t>Rete ordinaria</t>
  </si>
  <si>
    <t>Autostrad.</t>
  </si>
  <si>
    <t>Extra rete</t>
  </si>
  <si>
    <t>Gasolio riscaldamento</t>
  </si>
  <si>
    <t>Gasolio  uso termoelettrico</t>
  </si>
  <si>
    <t>Gasolio uso agricolo</t>
  </si>
  <si>
    <t>Olio Comb.</t>
  </si>
  <si>
    <t>Ordinaria</t>
  </si>
  <si>
    <t>BTZ</t>
  </si>
  <si>
    <t>AL</t>
  </si>
  <si>
    <t>ALESSANDRIA</t>
  </si>
  <si>
    <t>AT</t>
  </si>
  <si>
    <t>ASTI</t>
  </si>
  <si>
    <t>BI</t>
  </si>
  <si>
    <t>BIELLA</t>
  </si>
  <si>
    <t>CN</t>
  </si>
  <si>
    <t>CUNEO</t>
  </si>
  <si>
    <t>NO</t>
  </si>
  <si>
    <t>NOVARA</t>
  </si>
  <si>
    <t>TO</t>
  </si>
  <si>
    <t>TORINO</t>
  </si>
  <si>
    <t>VB</t>
  </si>
  <si>
    <t>VERBANO-CUSIO-OSSOLA</t>
  </si>
  <si>
    <t>VC</t>
  </si>
  <si>
    <t>VERCELLI</t>
  </si>
  <si>
    <t>PIEMONTE</t>
  </si>
  <si>
    <t>AO</t>
  </si>
  <si>
    <t>AOSTA</t>
  </si>
  <si>
    <t>VALLE D'AOSTA</t>
  </si>
  <si>
    <t>GE</t>
  </si>
  <si>
    <t>GENOVA</t>
  </si>
  <si>
    <t>IM</t>
  </si>
  <si>
    <t>IMPERIA</t>
  </si>
  <si>
    <t>SP</t>
  </si>
  <si>
    <t>LA SPEZIA</t>
  </si>
  <si>
    <t>SV</t>
  </si>
  <si>
    <t>SAVONA</t>
  </si>
  <si>
    <t>LIGURIA</t>
  </si>
  <si>
    <t>BG</t>
  </si>
  <si>
    <t>BERGAMO</t>
  </si>
  <si>
    <t>BS</t>
  </si>
  <si>
    <t>BRESCIA</t>
  </si>
  <si>
    <t>CO</t>
  </si>
  <si>
    <t>COMO</t>
  </si>
  <si>
    <t>CR</t>
  </si>
  <si>
    <t>CREMONA</t>
  </si>
  <si>
    <t>LC</t>
  </si>
  <si>
    <t>LECCO</t>
  </si>
  <si>
    <t>LO</t>
  </si>
  <si>
    <t>LODI</t>
  </si>
  <si>
    <t>MN</t>
  </si>
  <si>
    <t>MANTOVA</t>
  </si>
  <si>
    <t>MI</t>
  </si>
  <si>
    <t>MILANO</t>
  </si>
  <si>
    <t>MB</t>
  </si>
  <si>
    <t>MONZA E BRIANZA</t>
  </si>
  <si>
    <t>PV</t>
  </si>
  <si>
    <t>PAVIA</t>
  </si>
  <si>
    <t>SO</t>
  </si>
  <si>
    <t>SONDRIO</t>
  </si>
  <si>
    <t>VA</t>
  </si>
  <si>
    <t>VARESE</t>
  </si>
  <si>
    <t>LOMBARDIA</t>
  </si>
  <si>
    <t>BZ</t>
  </si>
  <si>
    <t>BOLZANO</t>
  </si>
  <si>
    <t>TN</t>
  </si>
  <si>
    <t>TRENTO</t>
  </si>
  <si>
    <t>TRENTINO-ALTO ADIGE</t>
  </si>
  <si>
    <t>GO</t>
  </si>
  <si>
    <t>GORIZIA</t>
  </si>
  <si>
    <t>PN</t>
  </si>
  <si>
    <t>PORDENONE</t>
  </si>
  <si>
    <t>TS</t>
  </si>
  <si>
    <t>TRIESTE</t>
  </si>
  <si>
    <t>UD</t>
  </si>
  <si>
    <t>UDINE</t>
  </si>
  <si>
    <t>FRIULI-VENEZIA GIULIA</t>
  </si>
  <si>
    <t>BL</t>
  </si>
  <si>
    <t>BELLUNO</t>
  </si>
  <si>
    <t>PD</t>
  </si>
  <si>
    <t>PADOVA</t>
  </si>
  <si>
    <t>RO</t>
  </si>
  <si>
    <t>ROVIGO</t>
  </si>
  <si>
    <t>TV</t>
  </si>
  <si>
    <t>TREVISO</t>
  </si>
  <si>
    <t>VE</t>
  </si>
  <si>
    <t>VENEZIA</t>
  </si>
  <si>
    <t>VR</t>
  </si>
  <si>
    <t>VERONA</t>
  </si>
  <si>
    <t>VI</t>
  </si>
  <si>
    <t>VICENZA</t>
  </si>
  <si>
    <t>VENETO</t>
  </si>
  <si>
    <t>BO</t>
  </si>
  <si>
    <t>BOLOGNA</t>
  </si>
  <si>
    <t>FE</t>
  </si>
  <si>
    <t>FERRARA</t>
  </si>
  <si>
    <t>FC</t>
  </si>
  <si>
    <t>FORLI'-CESENA</t>
  </si>
  <si>
    <t>MO</t>
  </si>
  <si>
    <t>MODENA</t>
  </si>
  <si>
    <t>PR</t>
  </si>
  <si>
    <t>PARMA</t>
  </si>
  <si>
    <t>PC</t>
  </si>
  <si>
    <t>PIACENZA</t>
  </si>
  <si>
    <t>RA</t>
  </si>
  <si>
    <t>RAVENNA</t>
  </si>
  <si>
    <t>RE</t>
  </si>
  <si>
    <t>REGGIO EMILIA</t>
  </si>
  <si>
    <t>RN</t>
  </si>
  <si>
    <t>RIMINI</t>
  </si>
  <si>
    <t>EMILIA-ROMAGNA</t>
  </si>
  <si>
    <t>AR</t>
  </si>
  <si>
    <t>AREZZO</t>
  </si>
  <si>
    <t>FI</t>
  </si>
  <si>
    <t>FIRENZE</t>
  </si>
  <si>
    <t>GR</t>
  </si>
  <si>
    <t>GROSSETO</t>
  </si>
  <si>
    <t>LI</t>
  </si>
  <si>
    <t>LIVORNO</t>
  </si>
  <si>
    <t>LU</t>
  </si>
  <si>
    <t>LUCCA</t>
  </si>
  <si>
    <t>MS</t>
  </si>
  <si>
    <t>MASSA CARRARA</t>
  </si>
  <si>
    <t>PI</t>
  </si>
  <si>
    <t>PISA</t>
  </si>
  <si>
    <t>PT</t>
  </si>
  <si>
    <t>PISTOIA</t>
  </si>
  <si>
    <t>PO</t>
  </si>
  <si>
    <t>PRATO</t>
  </si>
  <si>
    <t>SI</t>
  </si>
  <si>
    <t>SIENA</t>
  </si>
  <si>
    <t>TOSCANA</t>
  </si>
  <si>
    <t>AN</t>
  </si>
  <si>
    <t>ANCONA</t>
  </si>
  <si>
    <t>AP</t>
  </si>
  <si>
    <t>ASCOLI PICENO</t>
  </si>
  <si>
    <t>FM</t>
  </si>
  <si>
    <t>FERMO</t>
  </si>
  <si>
    <t>MC</t>
  </si>
  <si>
    <t>MACERATA</t>
  </si>
  <si>
    <t>PU</t>
  </si>
  <si>
    <t>PESARO URBINO</t>
  </si>
  <si>
    <t>MARCHE</t>
  </si>
  <si>
    <t>PG</t>
  </si>
  <si>
    <t>PERUGIA</t>
  </si>
  <si>
    <t>TR</t>
  </si>
  <si>
    <t>TERNI</t>
  </si>
  <si>
    <t>UMBRIA</t>
  </si>
  <si>
    <t>FR</t>
  </si>
  <si>
    <t>FROSINONE</t>
  </si>
  <si>
    <t>LT</t>
  </si>
  <si>
    <t>LATINA</t>
  </si>
  <si>
    <t>RI</t>
  </si>
  <si>
    <t>RIETI</t>
  </si>
  <si>
    <t>RM</t>
  </si>
  <si>
    <t>ROMA</t>
  </si>
  <si>
    <t>VT</t>
  </si>
  <si>
    <t>VITERBO</t>
  </si>
  <si>
    <t>LAZIO</t>
  </si>
  <si>
    <t>CB</t>
  </si>
  <si>
    <t>CAMPOBASSO</t>
  </si>
  <si>
    <t>IS</t>
  </si>
  <si>
    <t>ISERNIA</t>
  </si>
  <si>
    <t>MOLISE</t>
  </si>
  <si>
    <t>CH</t>
  </si>
  <si>
    <t>CHIETI</t>
  </si>
  <si>
    <t>AQ</t>
  </si>
  <si>
    <t>L'AQUILA</t>
  </si>
  <si>
    <t>PE</t>
  </si>
  <si>
    <t>PESCARA</t>
  </si>
  <si>
    <t>TE</t>
  </si>
  <si>
    <t>TERAMO</t>
  </si>
  <si>
    <t>ABRUZZO</t>
  </si>
  <si>
    <t>AV</t>
  </si>
  <si>
    <t>AVELLINO</t>
  </si>
  <si>
    <t>BN</t>
  </si>
  <si>
    <t>BENEVENTO</t>
  </si>
  <si>
    <t>CE</t>
  </si>
  <si>
    <t>CASERTA</t>
  </si>
  <si>
    <t>NA</t>
  </si>
  <si>
    <t>NAPOLI</t>
  </si>
  <si>
    <t>SA</t>
  </si>
  <si>
    <t>SALERNO</t>
  </si>
  <si>
    <t>CAMPANIA</t>
  </si>
  <si>
    <t>BA</t>
  </si>
  <si>
    <t>BARI</t>
  </si>
  <si>
    <t>BT</t>
  </si>
  <si>
    <t>BARLETTA-ANDRIA-TRANI</t>
  </si>
  <si>
    <t>BR</t>
  </si>
  <si>
    <t>BRINDISI</t>
  </si>
  <si>
    <t>FG</t>
  </si>
  <si>
    <t>FOGGIA</t>
  </si>
  <si>
    <t>LE</t>
  </si>
  <si>
    <t>LECCE</t>
  </si>
  <si>
    <t>TA</t>
  </si>
  <si>
    <t>TARANTO</t>
  </si>
  <si>
    <t>PUGLIA</t>
  </si>
  <si>
    <t>MT</t>
  </si>
  <si>
    <t>MATERA</t>
  </si>
  <si>
    <t>PZ</t>
  </si>
  <si>
    <t>POTENZA</t>
  </si>
  <si>
    <t>BASILICATA</t>
  </si>
  <si>
    <t>CZ</t>
  </si>
  <si>
    <t>CATANZARO</t>
  </si>
  <si>
    <t>CS</t>
  </si>
  <si>
    <t>COSENZA</t>
  </si>
  <si>
    <t>KR</t>
  </si>
  <si>
    <t>CROTONE</t>
  </si>
  <si>
    <t>RC</t>
  </si>
  <si>
    <t>REGGIO CALABRIA</t>
  </si>
  <si>
    <t>VV</t>
  </si>
  <si>
    <t>VIBO VALENTIA</t>
  </si>
  <si>
    <t>CALABRIA</t>
  </si>
  <si>
    <t>AG</t>
  </si>
  <si>
    <t>AGRIGENTO</t>
  </si>
  <si>
    <t>CL</t>
  </si>
  <si>
    <t>CALTANISSETTA</t>
  </si>
  <si>
    <t>CT</t>
  </si>
  <si>
    <t>CATANIA</t>
  </si>
  <si>
    <t>EN</t>
  </si>
  <si>
    <t>ENNA</t>
  </si>
  <si>
    <t>ME</t>
  </si>
  <si>
    <t>MESSINA</t>
  </si>
  <si>
    <t>PA</t>
  </si>
  <si>
    <t>PALERMO</t>
  </si>
  <si>
    <t>RG</t>
  </si>
  <si>
    <t>RAGUSA</t>
  </si>
  <si>
    <t>SR</t>
  </si>
  <si>
    <t>SIRACUSA</t>
  </si>
  <si>
    <t>TP</t>
  </si>
  <si>
    <t>TRAPANI</t>
  </si>
  <si>
    <t>SICILIA</t>
  </si>
  <si>
    <t>CA</t>
  </si>
  <si>
    <t>CAGLIARI</t>
  </si>
  <si>
    <t>CI</t>
  </si>
  <si>
    <t>CARBONIA-IGLESIAS</t>
  </si>
  <si>
    <t>VS</t>
  </si>
  <si>
    <t>MEDIO CAMPIDANO</t>
  </si>
  <si>
    <t>NU</t>
  </si>
  <si>
    <t>NUORO</t>
  </si>
  <si>
    <t>OG</t>
  </si>
  <si>
    <t>OGLIASTRA</t>
  </si>
  <si>
    <t>OT</t>
  </si>
  <si>
    <t>OLBIA-TEMPIO</t>
  </si>
  <si>
    <t>OR</t>
  </si>
  <si>
    <t>ORISTANO</t>
  </si>
  <si>
    <t>SS</t>
  </si>
  <si>
    <t>SASSARI</t>
  </si>
  <si>
    <t>SARDEGNA</t>
  </si>
  <si>
    <t>TT</t>
  </si>
  <si>
    <t>TOTALE  ITALIA</t>
  </si>
  <si>
    <t>DGSAIE DIV.6</t>
  </si>
  <si>
    <t>Periodo: gennaio-febbraio 2017</t>
  </si>
</sst>
</file>

<file path=xl/styles.xml><?xml version="1.0" encoding="utf-8"?>
<styleSheet xmlns="http://schemas.openxmlformats.org/spreadsheetml/2006/main">
  <fonts count="16">
    <font>
      <sz val="10"/>
      <color indexed="8"/>
      <name val="Times New Roman"/>
    </font>
    <font>
      <sz val="9"/>
      <color indexed="8"/>
      <name val="Calibri"/>
    </font>
    <font>
      <b/>
      <sz val="10"/>
      <color indexed="8"/>
      <name val="Calibri"/>
    </font>
    <font>
      <sz val="10"/>
      <color indexed="8"/>
      <name val="Calibri"/>
    </font>
    <font>
      <sz val="9"/>
      <color indexed="9"/>
      <name val="Calibri"/>
    </font>
    <font>
      <b/>
      <sz val="9"/>
      <color indexed="9"/>
      <name val="Calibri"/>
    </font>
    <font>
      <sz val="10"/>
      <color indexed="11"/>
      <name val="Calibri"/>
    </font>
    <font>
      <b/>
      <sz val="10"/>
      <color indexed="11"/>
      <name val="Calibri"/>
    </font>
    <font>
      <b/>
      <sz val="12"/>
      <color indexed="11"/>
      <name val="Calibri"/>
    </font>
    <font>
      <sz val="9"/>
      <color indexed="11"/>
      <name val="Calibri"/>
    </font>
    <font>
      <b/>
      <sz val="11"/>
      <color indexed="11"/>
      <name val="Calibri"/>
    </font>
    <font>
      <b/>
      <sz val="9"/>
      <color indexed="11"/>
      <name val="Calibri"/>
    </font>
    <font>
      <b/>
      <sz val="8"/>
      <color indexed="11"/>
      <name val="Calibri"/>
    </font>
    <font>
      <sz val="10"/>
      <color indexed="9"/>
      <name val="Calibri"/>
    </font>
    <font>
      <b/>
      <sz val="10"/>
      <color indexed="9"/>
      <name val="Calibri"/>
    </font>
    <font>
      <b/>
      <sz val="9"/>
      <color indexed="14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1"/>
        <bgColor indexed="12"/>
      </patternFill>
    </fill>
    <fill>
      <patternFill patternType="solid">
        <fgColor indexed="13"/>
        <bgColor indexed="8"/>
      </patternFill>
    </fill>
  </fills>
  <borders count="22">
    <border>
      <left/>
      <right/>
      <top/>
      <bottom/>
      <diagonal/>
    </border>
    <border>
      <left/>
      <right/>
      <top/>
      <bottom style="double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hair">
        <color indexed="10"/>
      </left>
      <right style="thin">
        <color indexed="10"/>
      </right>
      <top style="thin">
        <color indexed="8"/>
      </top>
      <bottom/>
      <diagonal/>
    </border>
    <border>
      <left style="hair">
        <color indexed="10"/>
      </left>
      <right style="hair">
        <color indexed="10"/>
      </right>
      <top/>
      <bottom style="thin">
        <color indexed="8"/>
      </bottom>
      <diagonal/>
    </border>
    <border>
      <left style="hair">
        <color indexed="10"/>
      </left>
      <right style="thin">
        <color indexed="10"/>
      </right>
      <top/>
      <bottom style="thin">
        <color indexed="8"/>
      </bottom>
      <diagonal/>
    </border>
    <border>
      <left style="double">
        <color indexed="10"/>
      </left>
      <right style="hair">
        <color indexed="10"/>
      </right>
      <top/>
      <bottom style="thin">
        <color indexed="10"/>
      </bottom>
      <diagonal/>
    </border>
    <border>
      <left style="hair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hair">
        <color indexed="10"/>
      </right>
      <top/>
      <bottom style="thin">
        <color indexed="10"/>
      </bottom>
      <diagonal/>
    </border>
    <border>
      <left style="hair">
        <color indexed="10"/>
      </left>
      <right style="hair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/>
      <diagonal/>
    </border>
    <border>
      <left style="thin">
        <color indexed="10"/>
      </left>
      <right style="thin">
        <color indexed="10"/>
      </right>
      <top/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hair">
        <color indexed="10"/>
      </right>
      <top style="thin">
        <color indexed="8"/>
      </top>
      <bottom/>
      <diagonal/>
    </border>
    <border>
      <left style="thin">
        <color indexed="10"/>
      </left>
      <right style="hair">
        <color indexed="10"/>
      </right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double">
        <color indexed="10"/>
      </left>
      <right/>
      <top style="thin">
        <color indexed="8"/>
      </top>
      <bottom style="hair">
        <color indexed="10"/>
      </bottom>
      <diagonal/>
    </border>
    <border>
      <left style="double">
        <color indexed="10"/>
      </left>
      <right/>
      <top/>
      <bottom style="thin">
        <color indexed="8"/>
      </bottom>
      <diagonal/>
    </border>
    <border>
      <left style="hair">
        <color indexed="10"/>
      </left>
      <right style="thin">
        <color indexed="10"/>
      </right>
      <top style="thin">
        <color indexed="8"/>
      </top>
      <bottom style="hair">
        <color indexed="10"/>
      </bottom>
      <diagonal/>
    </border>
    <border>
      <left style="thin">
        <color indexed="10"/>
      </left>
      <right style="hair">
        <color indexed="10"/>
      </right>
      <top style="thin">
        <color indexed="8"/>
      </top>
      <bottom style="hair">
        <color indexed="10"/>
      </bottom>
      <diagonal/>
    </border>
    <border>
      <left style="double">
        <color indexed="10"/>
      </left>
      <right style="thin">
        <color indexed="10"/>
      </right>
      <top style="thin">
        <color indexed="8"/>
      </top>
      <bottom/>
      <diagonal/>
    </border>
  </borders>
  <cellStyleXfs count="1">
    <xf numFmtId="0" fontId="0" fillId="0" borderId="0" applyFill="0" applyProtection="0"/>
  </cellStyleXfs>
  <cellXfs count="52">
    <xf numFmtId="0" fontId="0" fillId="0" borderId="0" xfId="0" applyFill="1" applyProtection="1"/>
    <xf numFmtId="0" fontId="0" fillId="0" borderId="0" xfId="0" applyFill="1" applyAlignment="1" applyProtection="1">
      <alignment vertical="center"/>
    </xf>
    <xf numFmtId="0" fontId="0" fillId="0" borderId="0" xfId="0" applyFill="1" applyAlignment="1" applyProtection="1">
      <alignment horizontal="center" vertical="center"/>
    </xf>
    <xf numFmtId="0" fontId="0" fillId="0" borderId="1" xfId="0" applyFill="1" applyBorder="1" applyProtection="1"/>
    <xf numFmtId="0" fontId="1" fillId="0" borderId="2" xfId="0" applyFont="1" applyFill="1" applyBorder="1" applyAlignment="1" applyProtection="1">
      <alignment horizontal="center"/>
    </xf>
    <xf numFmtId="0" fontId="1" fillId="0" borderId="2" xfId="0" applyFont="1" applyFill="1" applyBorder="1" applyProtection="1"/>
    <xf numFmtId="0" fontId="2" fillId="0" borderId="2" xfId="0" applyFont="1" applyFill="1" applyBorder="1" applyProtection="1"/>
    <xf numFmtId="0" fontId="3" fillId="0" borderId="0" xfId="0" applyFont="1" applyFill="1" applyProtection="1"/>
    <xf numFmtId="0" fontId="4" fillId="2" borderId="2" xfId="0" applyFont="1" applyFill="1" applyBorder="1" applyAlignment="1" applyProtection="1">
      <alignment horizontal="center"/>
    </xf>
    <xf numFmtId="0" fontId="5" fillId="2" borderId="2" xfId="0" applyFont="1" applyFill="1" applyBorder="1" applyProtection="1"/>
    <xf numFmtId="0" fontId="5" fillId="2" borderId="2" xfId="0" applyFont="1" applyFill="1" applyBorder="1" applyAlignment="1" applyProtection="1">
      <alignment horizontal="center"/>
    </xf>
    <xf numFmtId="0" fontId="2" fillId="0" borderId="2" xfId="0" applyFont="1" applyFill="1" applyBorder="1" applyAlignment="1" applyProtection="1">
      <alignment horizontal="center"/>
    </xf>
    <xf numFmtId="0" fontId="3" fillId="0" borderId="0" xfId="0" applyFont="1" applyFill="1" applyAlignment="1" applyProtection="1">
      <alignment horizontal="center"/>
    </xf>
    <xf numFmtId="0" fontId="6" fillId="3" borderId="0" xfId="0" applyFont="1" applyFill="1" applyProtection="1"/>
    <xf numFmtId="0" fontId="7" fillId="3" borderId="0" xfId="0" applyFont="1" applyFill="1" applyAlignment="1" applyProtection="1">
      <alignment horizontal="center"/>
    </xf>
    <xf numFmtId="0" fontId="8" fillId="3" borderId="0" xfId="0" applyFont="1" applyFill="1" applyAlignment="1" applyProtection="1">
      <alignment horizontal="center"/>
    </xf>
    <xf numFmtId="0" fontId="6" fillId="3" borderId="0" xfId="0" applyFont="1" applyFill="1" applyAlignment="1" applyProtection="1">
      <alignment horizontal="center"/>
    </xf>
    <xf numFmtId="0" fontId="9" fillId="3" borderId="0" xfId="0" applyFont="1" applyFill="1" applyAlignment="1" applyProtection="1">
      <alignment horizontal="center" vertical="center"/>
    </xf>
    <xf numFmtId="0" fontId="10" fillId="3" borderId="0" xfId="0" applyFont="1" applyFill="1" applyProtection="1"/>
    <xf numFmtId="0" fontId="11" fillId="3" borderId="0" xfId="0" applyFont="1" applyFill="1" applyAlignment="1" applyProtection="1">
      <alignment horizontal="center"/>
    </xf>
    <xf numFmtId="0" fontId="7" fillId="3" borderId="3" xfId="0" applyFont="1" applyFill="1" applyBorder="1" applyAlignment="1" applyProtection="1">
      <alignment horizontal="center"/>
    </xf>
    <xf numFmtId="0" fontId="7" fillId="3" borderId="4" xfId="0" applyFont="1" applyFill="1" applyBorder="1" applyAlignment="1" applyProtection="1">
      <alignment horizontal="center" vertical="center"/>
    </xf>
    <xf numFmtId="0" fontId="7" fillId="3" borderId="5" xfId="0" applyFont="1" applyFill="1" applyBorder="1" applyAlignment="1" applyProtection="1">
      <alignment horizontal="center" vertical="center"/>
    </xf>
    <xf numFmtId="0" fontId="11" fillId="3" borderId="5" xfId="0" applyFont="1" applyFill="1" applyBorder="1" applyAlignment="1" applyProtection="1">
      <alignment horizontal="center" vertical="center"/>
    </xf>
    <xf numFmtId="0" fontId="12" fillId="3" borderId="6" xfId="0" applyFont="1" applyFill="1" applyBorder="1" applyAlignment="1" applyProtection="1">
      <alignment horizontal="center" vertical="center"/>
    </xf>
    <xf numFmtId="0" fontId="12" fillId="3" borderId="7" xfId="0" applyFont="1" applyFill="1" applyBorder="1" applyAlignment="1" applyProtection="1">
      <alignment horizontal="center" vertical="center"/>
    </xf>
    <xf numFmtId="0" fontId="12" fillId="3" borderId="8" xfId="0" applyFont="1" applyFill="1" applyBorder="1" applyAlignment="1" applyProtection="1">
      <alignment horizontal="center" vertical="center"/>
    </xf>
    <xf numFmtId="0" fontId="12" fillId="3" borderId="9" xfId="0" applyFont="1" applyFill="1" applyBorder="1" applyAlignment="1" applyProtection="1">
      <alignment horizontal="center" vertical="center"/>
    </xf>
    <xf numFmtId="3" fontId="3" fillId="0" borderId="2" xfId="0" applyNumberFormat="1" applyFont="1" applyFill="1" applyBorder="1" applyProtection="1"/>
    <xf numFmtId="3" fontId="13" fillId="2" borderId="2" xfId="0" applyNumberFormat="1" applyFont="1" applyFill="1" applyBorder="1" applyProtection="1"/>
    <xf numFmtId="3" fontId="14" fillId="2" borderId="2" xfId="0" applyNumberFormat="1" applyFont="1" applyFill="1" applyBorder="1" applyProtection="1"/>
    <xf numFmtId="3" fontId="2" fillId="0" borderId="2" xfId="0" applyNumberFormat="1" applyFont="1" applyFill="1" applyBorder="1" applyProtection="1"/>
    <xf numFmtId="0" fontId="8" fillId="3" borderId="0" xfId="0" applyFont="1" applyFill="1" applyAlignment="1" applyProtection="1">
      <alignment horizontal="center"/>
    </xf>
    <xf numFmtId="0" fontId="7" fillId="3" borderId="0" xfId="0" applyFont="1" applyFill="1" applyAlignment="1" applyProtection="1">
      <alignment horizontal="center"/>
    </xf>
    <xf numFmtId="0" fontId="11" fillId="3" borderId="17" xfId="0" applyFont="1" applyFill="1" applyBorder="1" applyAlignment="1" applyProtection="1">
      <alignment horizontal="center" vertical="center"/>
    </xf>
    <xf numFmtId="0" fontId="11" fillId="3" borderId="18" xfId="0" applyFont="1" applyFill="1" applyBorder="1" applyAlignment="1" applyProtection="1">
      <alignment horizontal="center" vertical="center"/>
    </xf>
    <xf numFmtId="0" fontId="7" fillId="3" borderId="19" xfId="0" applyFont="1" applyFill="1" applyBorder="1" applyAlignment="1" applyProtection="1">
      <alignment horizontal="center" vertical="center"/>
    </xf>
    <xf numFmtId="0" fontId="7" fillId="3" borderId="5" xfId="0" applyFont="1" applyFill="1" applyBorder="1" applyAlignment="1" applyProtection="1">
      <alignment horizontal="center" vertical="center"/>
    </xf>
    <xf numFmtId="0" fontId="7" fillId="3" borderId="20" xfId="0" applyFont="1" applyFill="1" applyBorder="1" applyAlignment="1" applyProtection="1">
      <alignment horizontal="center" vertical="center"/>
    </xf>
    <xf numFmtId="0" fontId="7" fillId="3" borderId="15" xfId="0" applyFont="1" applyFill="1" applyBorder="1" applyAlignment="1" applyProtection="1">
      <alignment horizontal="center" vertical="center"/>
    </xf>
    <xf numFmtId="0" fontId="7" fillId="3" borderId="12" xfId="0" applyFont="1" applyFill="1" applyBorder="1" applyAlignment="1" applyProtection="1">
      <alignment horizontal="center" vertical="center"/>
    </xf>
    <xf numFmtId="0" fontId="7" fillId="3" borderId="16" xfId="0" applyFont="1" applyFill="1" applyBorder="1" applyAlignment="1" applyProtection="1">
      <alignment horizontal="center" vertical="center"/>
    </xf>
    <xf numFmtId="0" fontId="7" fillId="3" borderId="13" xfId="0" applyFont="1" applyFill="1" applyBorder="1" applyAlignment="1" applyProtection="1">
      <alignment horizontal="center" vertical="center"/>
    </xf>
    <xf numFmtId="0" fontId="7" fillId="3" borderId="21" xfId="0" applyFont="1" applyFill="1" applyBorder="1" applyAlignment="1" applyProtection="1">
      <alignment horizontal="center" vertical="center"/>
    </xf>
    <xf numFmtId="0" fontId="7" fillId="3" borderId="10" xfId="0" applyFont="1" applyFill="1" applyBorder="1" applyAlignment="1" applyProtection="1">
      <alignment horizontal="center" vertical="center" wrapText="1"/>
    </xf>
    <xf numFmtId="0" fontId="7" fillId="3" borderId="11" xfId="0" applyFont="1" applyFill="1" applyBorder="1" applyAlignment="1" applyProtection="1">
      <alignment horizontal="center" vertical="center" wrapText="1"/>
    </xf>
    <xf numFmtId="0" fontId="6" fillId="3" borderId="0" xfId="0" applyFont="1" applyFill="1" applyAlignment="1" applyProtection="1">
      <alignment horizontal="center"/>
    </xf>
    <xf numFmtId="0" fontId="15" fillId="3" borderId="0" xfId="0" applyFont="1" applyFill="1" applyAlignment="1" applyProtection="1">
      <alignment horizontal="center" wrapText="1"/>
    </xf>
    <xf numFmtId="0" fontId="7" fillId="3" borderId="10" xfId="0" applyFont="1" applyFill="1" applyBorder="1" applyAlignment="1" applyProtection="1">
      <alignment horizontal="center" vertical="center"/>
    </xf>
    <xf numFmtId="0" fontId="7" fillId="3" borderId="11" xfId="0" applyFont="1" applyFill="1" applyBorder="1" applyAlignment="1" applyProtection="1">
      <alignment horizontal="center" vertical="center"/>
    </xf>
    <xf numFmtId="0" fontId="7" fillId="3" borderId="14" xfId="0" applyFont="1" applyFill="1" applyBorder="1" applyAlignment="1" applyProtection="1">
      <alignment horizontal="center" vertical="center" wrapText="1"/>
    </xf>
    <xf numFmtId="0" fontId="7" fillId="3" borderId="15" xfId="0" applyFont="1" applyFill="1" applyBorder="1" applyAlignment="1" applyProtection="1">
      <alignment horizontal="center" vertical="center" wrapText="1"/>
    </xf>
  </cellXfs>
  <cellStyles count="1">
    <cellStyle name="Normale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A3935"/>
      <rgbColor rgb="00333399"/>
      <rgbColor rgb="00808080"/>
      <rgbColor rgb="0099CCFF"/>
      <rgbColor rgb="00FF0000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V145"/>
  <sheetViews>
    <sheetView showGridLines="0" zoomScale="110" workbookViewId="0">
      <selection activeCell="F19" sqref="F19"/>
    </sheetView>
  </sheetViews>
  <sheetFormatPr defaultRowHeight="12.75" customHeight="1"/>
  <cols>
    <col min="1" max="1" width="6" style="12" customWidth="1"/>
    <col min="2" max="2" width="30" style="7" customWidth="1"/>
    <col min="3" max="3" width="11.44140625" style="7" customWidth="1"/>
    <col min="4" max="4" width="10.6640625" style="7" customWidth="1"/>
    <col min="5" max="5" width="10.109375" style="7" customWidth="1"/>
    <col min="6" max="6" width="11.6640625" style="7" customWidth="1"/>
    <col min="7" max="8" width="10.109375" style="7" customWidth="1"/>
    <col min="9" max="9" width="12.33203125" style="7" customWidth="1"/>
    <col min="10" max="10" width="11" style="7" customWidth="1"/>
    <col min="11" max="11" width="15" style="7" customWidth="1"/>
    <col min="12" max="12" width="15.109375" style="7" customWidth="1"/>
    <col min="13" max="13" width="16" style="7" customWidth="1"/>
    <col min="14" max="14" width="17.109375" customWidth="1"/>
    <col min="15" max="15" width="11.109375" customWidth="1"/>
    <col min="16" max="255" width="8.77734375" customWidth="1"/>
  </cols>
  <sheetData>
    <row r="1" spans="1:15" ht="15.75" customHeight="1">
      <c r="A1" s="33" t="s">
        <v>0</v>
      </c>
      <c r="B1" s="33"/>
      <c r="C1" s="33"/>
      <c r="D1" s="33"/>
      <c r="E1" s="32" t="s">
        <v>1</v>
      </c>
      <c r="F1" s="32"/>
      <c r="G1" s="32"/>
      <c r="H1" s="32"/>
      <c r="I1" s="32"/>
      <c r="J1" s="32"/>
      <c r="K1" s="32"/>
      <c r="L1" s="32"/>
      <c r="M1" s="14"/>
      <c r="N1" s="13"/>
      <c r="O1" s="13"/>
    </row>
    <row r="2" spans="1:15" ht="12" customHeight="1">
      <c r="A2" s="46" t="s">
        <v>2</v>
      </c>
      <c r="B2" s="46"/>
      <c r="C2" s="46"/>
      <c r="D2" s="46"/>
      <c r="E2" s="15"/>
      <c r="F2" s="16"/>
      <c r="G2" s="16"/>
      <c r="H2" s="16"/>
      <c r="I2" s="13"/>
      <c r="J2" s="13"/>
      <c r="K2" s="13"/>
      <c r="L2" s="13"/>
      <c r="M2" s="17"/>
      <c r="N2" s="13"/>
      <c r="O2" s="13"/>
    </row>
    <row r="3" spans="1:15" ht="10.5" customHeight="1">
      <c r="A3" s="46"/>
      <c r="B3" s="46"/>
      <c r="C3" s="46"/>
      <c r="D3" s="14"/>
      <c r="E3" s="33" t="s">
        <v>3</v>
      </c>
      <c r="F3" s="33"/>
      <c r="G3" s="33"/>
      <c r="H3" s="33"/>
      <c r="I3" s="33"/>
      <c r="J3" s="33"/>
      <c r="K3" s="33"/>
      <c r="L3" s="33"/>
      <c r="M3" s="13"/>
      <c r="N3" s="13"/>
      <c r="O3" s="13"/>
    </row>
    <row r="4" spans="1:15" ht="12.75" customHeight="1">
      <c r="A4" s="46"/>
      <c r="B4" s="46"/>
      <c r="C4" s="46"/>
      <c r="D4" s="14"/>
      <c r="E4" s="46" t="s">
        <v>4</v>
      </c>
      <c r="F4" s="46"/>
      <c r="G4" s="46"/>
      <c r="H4" s="46"/>
      <c r="I4" s="46"/>
      <c r="J4" s="46"/>
      <c r="K4" s="46"/>
      <c r="L4" s="46"/>
      <c r="M4" s="13"/>
      <c r="N4" s="13"/>
      <c r="O4" s="13"/>
    </row>
    <row r="5" spans="1:15" ht="15" customHeight="1">
      <c r="A5" s="16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</row>
    <row r="6" spans="1:15" ht="32.25" customHeight="1">
      <c r="A6" s="47" t="s">
        <v>5</v>
      </c>
      <c r="B6" s="47"/>
      <c r="C6" s="47"/>
      <c r="D6" s="47"/>
      <c r="E6" s="18"/>
      <c r="F6" s="13"/>
      <c r="G6" s="13"/>
      <c r="H6" s="13"/>
      <c r="I6" s="46"/>
      <c r="J6" s="46"/>
      <c r="K6" s="46"/>
      <c r="L6" s="46"/>
      <c r="M6" s="46"/>
      <c r="N6" s="13"/>
      <c r="O6" s="13"/>
    </row>
    <row r="7" spans="1:15" ht="15" customHeight="1">
      <c r="A7" s="19"/>
      <c r="B7" s="19"/>
      <c r="C7" s="19"/>
      <c r="D7" s="19"/>
      <c r="E7" s="18"/>
      <c r="F7" s="13"/>
      <c r="G7" s="13"/>
      <c r="H7" s="13"/>
      <c r="I7" s="13"/>
      <c r="J7" s="13"/>
      <c r="K7" s="13"/>
      <c r="L7" s="46" t="s">
        <v>6</v>
      </c>
      <c r="M7" s="46"/>
      <c r="N7" s="46"/>
      <c r="O7" s="46"/>
    </row>
    <row r="8" spans="1:15" ht="15" customHeight="1">
      <c r="A8" s="19"/>
      <c r="B8" s="19"/>
      <c r="C8" s="19"/>
      <c r="D8" s="19"/>
      <c r="E8" s="18"/>
      <c r="F8" s="13"/>
      <c r="G8" s="13"/>
      <c r="H8" s="13"/>
      <c r="I8" s="13"/>
      <c r="J8" s="13"/>
      <c r="K8" s="13"/>
      <c r="L8" s="46" t="s">
        <v>7</v>
      </c>
      <c r="M8" s="46"/>
      <c r="N8" s="46"/>
      <c r="O8" s="46"/>
    </row>
    <row r="9" spans="1:15" ht="15" customHeight="1">
      <c r="A9" s="19"/>
      <c r="B9" s="19"/>
      <c r="C9" s="19"/>
      <c r="D9" s="19"/>
      <c r="E9" s="18"/>
      <c r="F9" s="13"/>
      <c r="G9" s="13"/>
      <c r="H9" s="13"/>
      <c r="I9" s="13"/>
      <c r="J9" s="13"/>
      <c r="K9" s="13"/>
      <c r="L9" s="13"/>
      <c r="M9" s="13"/>
      <c r="N9" s="13"/>
      <c r="O9" s="13"/>
    </row>
    <row r="10" spans="1:15" ht="6.75" customHeight="1">
      <c r="A10" s="16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spans="1:15" s="1" customFormat="1" ht="17.25" customHeight="1">
      <c r="A11" s="43" t="s">
        <v>8</v>
      </c>
      <c r="B11" s="43"/>
      <c r="C11" s="40" t="s">
        <v>9</v>
      </c>
      <c r="D11" s="41"/>
      <c r="E11" s="41"/>
      <c r="F11" s="42"/>
      <c r="G11" s="40" t="s">
        <v>10</v>
      </c>
      <c r="H11" s="41"/>
      <c r="I11" s="41"/>
      <c r="J11" s="42"/>
      <c r="K11" s="40" t="s">
        <v>11</v>
      </c>
      <c r="L11" s="41"/>
      <c r="M11" s="41"/>
      <c r="N11" s="40" t="s">
        <v>12</v>
      </c>
      <c r="O11" s="42"/>
    </row>
    <row r="12" spans="1:15" ht="12.75" customHeight="1">
      <c r="A12" s="34" t="s">
        <v>13</v>
      </c>
      <c r="B12" s="36" t="s">
        <v>14</v>
      </c>
      <c r="C12" s="38" t="s">
        <v>15</v>
      </c>
      <c r="D12" s="36" t="s">
        <v>16</v>
      </c>
      <c r="E12" s="36"/>
      <c r="F12" s="38" t="s">
        <v>17</v>
      </c>
      <c r="G12" s="48" t="s">
        <v>15</v>
      </c>
      <c r="H12" s="44" t="s">
        <v>18</v>
      </c>
      <c r="I12" s="48" t="s">
        <v>19</v>
      </c>
      <c r="J12" s="48" t="s">
        <v>20</v>
      </c>
      <c r="K12" s="44" t="s">
        <v>21</v>
      </c>
      <c r="L12" s="44" t="s">
        <v>22</v>
      </c>
      <c r="M12" s="44" t="s">
        <v>23</v>
      </c>
      <c r="N12" s="50" t="s">
        <v>15</v>
      </c>
      <c r="O12" s="20" t="s">
        <v>24</v>
      </c>
    </row>
    <row r="13" spans="1:15" ht="12.75" customHeight="1">
      <c r="A13" s="35"/>
      <c r="B13" s="37"/>
      <c r="C13" s="39"/>
      <c r="D13" s="21" t="s">
        <v>25</v>
      </c>
      <c r="E13" s="22" t="s">
        <v>19</v>
      </c>
      <c r="F13" s="39"/>
      <c r="G13" s="49"/>
      <c r="H13" s="45"/>
      <c r="I13" s="49"/>
      <c r="J13" s="49"/>
      <c r="K13" s="45"/>
      <c r="L13" s="45"/>
      <c r="M13" s="45"/>
      <c r="N13" s="51"/>
      <c r="O13" s="23" t="s">
        <v>26</v>
      </c>
    </row>
    <row r="14" spans="1:15" s="2" customFormat="1" ht="10.5" customHeight="1">
      <c r="A14" s="24">
        <v>1</v>
      </c>
      <c r="B14" s="25">
        <v>2</v>
      </c>
      <c r="C14" s="26">
        <v>3</v>
      </c>
      <c r="D14" s="27">
        <v>4</v>
      </c>
      <c r="E14" s="26">
        <v>5</v>
      </c>
      <c r="F14" s="26">
        <v>6</v>
      </c>
      <c r="G14" s="26">
        <v>7</v>
      </c>
      <c r="H14" s="26">
        <v>8</v>
      </c>
      <c r="I14" s="26">
        <v>9</v>
      </c>
      <c r="J14" s="26">
        <v>10</v>
      </c>
      <c r="K14" s="26">
        <v>11</v>
      </c>
      <c r="L14" s="26">
        <v>12</v>
      </c>
      <c r="M14" s="26">
        <v>13</v>
      </c>
      <c r="N14" s="26">
        <v>14</v>
      </c>
      <c r="O14" s="25">
        <v>15</v>
      </c>
    </row>
    <row r="15" spans="1:15" ht="12.75" customHeight="1">
      <c r="A15" s="4" t="s">
        <v>27</v>
      </c>
      <c r="B15" s="5" t="s">
        <v>28</v>
      </c>
      <c r="C15" s="28">
        <v>3568</v>
      </c>
      <c r="D15" s="28">
        <v>2842</v>
      </c>
      <c r="E15" s="28">
        <v>242</v>
      </c>
      <c r="F15" s="28">
        <f t="shared" ref="F15:F22" si="0">SUM(C15-D15-E15)</f>
        <v>484</v>
      </c>
      <c r="G15" s="28">
        <v>20962</v>
      </c>
      <c r="H15" s="28">
        <v>8614</v>
      </c>
      <c r="I15" s="28">
        <v>2291</v>
      </c>
      <c r="J15" s="28">
        <f t="shared" ref="J15:J22" si="1">SUM(G15-H15-I15)</f>
        <v>10057</v>
      </c>
      <c r="K15" s="28">
        <v>1872</v>
      </c>
      <c r="L15" s="28">
        <v>0</v>
      </c>
      <c r="M15" s="28">
        <v>1485</v>
      </c>
      <c r="N15" s="28">
        <v>854</v>
      </c>
      <c r="O15" s="28">
        <v>603</v>
      </c>
    </row>
    <row r="16" spans="1:15" ht="12.75" customHeight="1">
      <c r="A16" s="4" t="s">
        <v>29</v>
      </c>
      <c r="B16" s="5" t="s">
        <v>30</v>
      </c>
      <c r="C16" s="28">
        <v>2603</v>
      </c>
      <c r="D16" s="28">
        <v>1225</v>
      </c>
      <c r="E16" s="28">
        <v>33</v>
      </c>
      <c r="F16" s="28">
        <f t="shared" si="0"/>
        <v>1345</v>
      </c>
      <c r="G16" s="28">
        <v>20632</v>
      </c>
      <c r="H16" s="28">
        <v>3473</v>
      </c>
      <c r="I16" s="28">
        <v>442</v>
      </c>
      <c r="J16" s="28">
        <f t="shared" si="1"/>
        <v>16717</v>
      </c>
      <c r="K16" s="28">
        <v>510</v>
      </c>
      <c r="L16" s="28">
        <v>0</v>
      </c>
      <c r="M16" s="28">
        <v>1095</v>
      </c>
      <c r="N16" s="28">
        <v>20</v>
      </c>
      <c r="O16" s="28">
        <v>20</v>
      </c>
    </row>
    <row r="17" spans="1:15" ht="12.75" customHeight="1">
      <c r="A17" s="4" t="s">
        <v>31</v>
      </c>
      <c r="B17" s="5" t="s">
        <v>32</v>
      </c>
      <c r="C17" s="28">
        <v>1702</v>
      </c>
      <c r="D17" s="28">
        <v>1408</v>
      </c>
      <c r="E17" s="28">
        <v>0</v>
      </c>
      <c r="F17" s="28">
        <f t="shared" si="0"/>
        <v>294</v>
      </c>
      <c r="G17" s="28">
        <v>3643</v>
      </c>
      <c r="H17" s="28">
        <v>2690</v>
      </c>
      <c r="I17" s="28">
        <v>0</v>
      </c>
      <c r="J17" s="28">
        <f t="shared" si="1"/>
        <v>953</v>
      </c>
      <c r="K17" s="28">
        <v>308</v>
      </c>
      <c r="L17" s="28">
        <v>0</v>
      </c>
      <c r="M17" s="28">
        <v>61</v>
      </c>
      <c r="N17" s="28">
        <v>185</v>
      </c>
      <c r="O17" s="28">
        <v>185</v>
      </c>
    </row>
    <row r="18" spans="1:15" ht="12.75" customHeight="1">
      <c r="A18" s="4" t="s">
        <v>33</v>
      </c>
      <c r="B18" s="5" t="s">
        <v>34</v>
      </c>
      <c r="C18" s="28">
        <v>4931</v>
      </c>
      <c r="D18" s="28">
        <v>3317</v>
      </c>
      <c r="E18" s="28">
        <v>44</v>
      </c>
      <c r="F18" s="28">
        <f t="shared" si="0"/>
        <v>1570</v>
      </c>
      <c r="G18" s="28">
        <v>13070</v>
      </c>
      <c r="H18" s="28">
        <v>9602</v>
      </c>
      <c r="I18" s="28">
        <v>338</v>
      </c>
      <c r="J18" s="28">
        <f t="shared" si="1"/>
        <v>3130</v>
      </c>
      <c r="K18" s="28">
        <v>656</v>
      </c>
      <c r="L18" s="28">
        <v>0</v>
      </c>
      <c r="M18" s="28">
        <v>255</v>
      </c>
      <c r="N18" s="28">
        <v>144</v>
      </c>
      <c r="O18" s="28">
        <v>144</v>
      </c>
    </row>
    <row r="19" spans="1:15" ht="12.75" customHeight="1">
      <c r="A19" s="4" t="s">
        <v>35</v>
      </c>
      <c r="B19" s="5" t="s">
        <v>36</v>
      </c>
      <c r="C19" s="28">
        <v>3094</v>
      </c>
      <c r="D19" s="28">
        <v>2987</v>
      </c>
      <c r="E19" s="28">
        <v>89</v>
      </c>
      <c r="F19" s="28">
        <f t="shared" si="0"/>
        <v>18</v>
      </c>
      <c r="G19" s="28">
        <v>9294</v>
      </c>
      <c r="H19" s="28">
        <v>7486</v>
      </c>
      <c r="I19" s="28">
        <v>620</v>
      </c>
      <c r="J19" s="28">
        <f t="shared" si="1"/>
        <v>1188</v>
      </c>
      <c r="K19" s="28">
        <v>201</v>
      </c>
      <c r="L19" s="28">
        <v>0</v>
      </c>
      <c r="M19" s="28">
        <v>19</v>
      </c>
      <c r="N19" s="28">
        <v>57</v>
      </c>
      <c r="O19" s="28">
        <v>57</v>
      </c>
    </row>
    <row r="20" spans="1:15" ht="12.75" customHeight="1">
      <c r="A20" s="4" t="s">
        <v>37</v>
      </c>
      <c r="B20" s="5" t="s">
        <v>38</v>
      </c>
      <c r="C20" s="28">
        <v>18491</v>
      </c>
      <c r="D20" s="28">
        <v>16710</v>
      </c>
      <c r="E20" s="28">
        <v>417</v>
      </c>
      <c r="F20" s="28">
        <f t="shared" si="0"/>
        <v>1364</v>
      </c>
      <c r="G20" s="28">
        <v>49915</v>
      </c>
      <c r="H20" s="28">
        <v>36107</v>
      </c>
      <c r="I20" s="28">
        <v>2489</v>
      </c>
      <c r="J20" s="28">
        <f t="shared" si="1"/>
        <v>11319</v>
      </c>
      <c r="K20" s="28">
        <v>2600</v>
      </c>
      <c r="L20" s="28">
        <v>0</v>
      </c>
      <c r="M20" s="28">
        <v>1043</v>
      </c>
      <c r="N20" s="28">
        <v>599</v>
      </c>
      <c r="O20" s="28">
        <v>599</v>
      </c>
    </row>
    <row r="21" spans="1:15" ht="12.75" customHeight="1">
      <c r="A21" s="4" t="s">
        <v>39</v>
      </c>
      <c r="B21" s="5" t="s">
        <v>40</v>
      </c>
      <c r="C21" s="28">
        <v>1346</v>
      </c>
      <c r="D21" s="28">
        <v>1335</v>
      </c>
      <c r="E21" s="28">
        <v>0</v>
      </c>
      <c r="F21" s="28">
        <f t="shared" si="0"/>
        <v>11</v>
      </c>
      <c r="G21" s="28">
        <v>2522</v>
      </c>
      <c r="H21" s="28">
        <v>2414</v>
      </c>
      <c r="I21" s="28">
        <v>0</v>
      </c>
      <c r="J21" s="28">
        <f t="shared" si="1"/>
        <v>108</v>
      </c>
      <c r="K21" s="28">
        <v>61</v>
      </c>
      <c r="L21" s="28">
        <v>0</v>
      </c>
      <c r="M21" s="28">
        <v>0</v>
      </c>
      <c r="N21" s="28">
        <v>23</v>
      </c>
      <c r="O21" s="28">
        <v>23</v>
      </c>
    </row>
    <row r="22" spans="1:15" ht="12.75" customHeight="1">
      <c r="A22" s="4" t="s">
        <v>41</v>
      </c>
      <c r="B22" s="5" t="s">
        <v>42</v>
      </c>
      <c r="C22" s="28">
        <v>1352</v>
      </c>
      <c r="D22" s="28">
        <v>1139</v>
      </c>
      <c r="E22" s="28">
        <v>119</v>
      </c>
      <c r="F22" s="28">
        <f t="shared" si="0"/>
        <v>94</v>
      </c>
      <c r="G22" s="28">
        <v>4078</v>
      </c>
      <c r="H22" s="28">
        <v>2501</v>
      </c>
      <c r="I22" s="28">
        <v>630</v>
      </c>
      <c r="J22" s="28">
        <f t="shared" si="1"/>
        <v>947</v>
      </c>
      <c r="K22" s="28">
        <v>426</v>
      </c>
      <c r="L22" s="28">
        <v>0</v>
      </c>
      <c r="M22" s="28">
        <v>380</v>
      </c>
      <c r="N22" s="28">
        <v>139</v>
      </c>
      <c r="O22" s="28">
        <v>139</v>
      </c>
    </row>
    <row r="23" spans="1:15" ht="12.75" customHeight="1">
      <c r="A23" s="8"/>
      <c r="B23" s="9" t="s">
        <v>43</v>
      </c>
      <c r="C23" s="29">
        <f t="shared" ref="C23:O23" si="2">SUM(C15:C22)</f>
        <v>37087</v>
      </c>
      <c r="D23" s="29">
        <f t="shared" si="2"/>
        <v>30963</v>
      </c>
      <c r="E23" s="29">
        <f t="shared" si="2"/>
        <v>944</v>
      </c>
      <c r="F23" s="29">
        <f t="shared" si="2"/>
        <v>5180</v>
      </c>
      <c r="G23" s="29">
        <f t="shared" si="2"/>
        <v>124116</v>
      </c>
      <c r="H23" s="29">
        <f t="shared" si="2"/>
        <v>72887</v>
      </c>
      <c r="I23" s="29">
        <f t="shared" si="2"/>
        <v>6810</v>
      </c>
      <c r="J23" s="29">
        <f t="shared" si="2"/>
        <v>44419</v>
      </c>
      <c r="K23" s="29">
        <f t="shared" si="2"/>
        <v>6634</v>
      </c>
      <c r="L23" s="29">
        <f t="shared" si="2"/>
        <v>0</v>
      </c>
      <c r="M23" s="29">
        <f t="shared" si="2"/>
        <v>4338</v>
      </c>
      <c r="N23" s="29">
        <f t="shared" si="2"/>
        <v>2021</v>
      </c>
      <c r="O23" s="29">
        <f t="shared" si="2"/>
        <v>1770</v>
      </c>
    </row>
    <row r="24" spans="1:15" ht="14.25" customHeight="1">
      <c r="A24" s="4" t="s">
        <v>44</v>
      </c>
      <c r="B24" s="5" t="s">
        <v>45</v>
      </c>
      <c r="C24" s="28">
        <v>1508</v>
      </c>
      <c r="D24" s="28">
        <v>1074</v>
      </c>
      <c r="E24" s="28">
        <v>69</v>
      </c>
      <c r="F24" s="28">
        <f>SUM(C24-D24-E24)</f>
        <v>365</v>
      </c>
      <c r="G24" s="28">
        <v>4077</v>
      </c>
      <c r="H24" s="28">
        <v>2087</v>
      </c>
      <c r="I24" s="28">
        <v>362</v>
      </c>
      <c r="J24" s="28">
        <f>SUM(G24-H24-I24)</f>
        <v>1628</v>
      </c>
      <c r="K24" s="28">
        <v>1564</v>
      </c>
      <c r="L24" s="28">
        <v>0</v>
      </c>
      <c r="M24" s="28">
        <v>184</v>
      </c>
      <c r="N24" s="28">
        <v>98</v>
      </c>
      <c r="O24" s="28">
        <v>98</v>
      </c>
    </row>
    <row r="25" spans="1:15" ht="14.25" customHeight="1">
      <c r="A25" s="10"/>
      <c r="B25" s="9" t="s">
        <v>46</v>
      </c>
      <c r="C25" s="29">
        <f t="shared" ref="C25:O25" si="3">SUM(C24)</f>
        <v>1508</v>
      </c>
      <c r="D25" s="29">
        <f t="shared" si="3"/>
        <v>1074</v>
      </c>
      <c r="E25" s="29">
        <f t="shared" si="3"/>
        <v>69</v>
      </c>
      <c r="F25" s="29">
        <f t="shared" si="3"/>
        <v>365</v>
      </c>
      <c r="G25" s="29">
        <f t="shared" si="3"/>
        <v>4077</v>
      </c>
      <c r="H25" s="29">
        <f t="shared" si="3"/>
        <v>2087</v>
      </c>
      <c r="I25" s="29">
        <f t="shared" si="3"/>
        <v>362</v>
      </c>
      <c r="J25" s="29">
        <f t="shared" si="3"/>
        <v>1628</v>
      </c>
      <c r="K25" s="29">
        <f t="shared" si="3"/>
        <v>1564</v>
      </c>
      <c r="L25" s="29">
        <f t="shared" si="3"/>
        <v>0</v>
      </c>
      <c r="M25" s="29">
        <f t="shared" si="3"/>
        <v>184</v>
      </c>
      <c r="N25" s="29">
        <f t="shared" si="3"/>
        <v>98</v>
      </c>
      <c r="O25" s="29">
        <f t="shared" si="3"/>
        <v>98</v>
      </c>
    </row>
    <row r="26" spans="1:15" ht="12.75" customHeight="1">
      <c r="A26" s="4" t="s">
        <v>47</v>
      </c>
      <c r="B26" s="5" t="s">
        <v>48</v>
      </c>
      <c r="C26" s="28">
        <v>13681</v>
      </c>
      <c r="D26" s="28">
        <v>5584</v>
      </c>
      <c r="E26" s="28">
        <v>276</v>
      </c>
      <c r="F26" s="28">
        <f>SUM(C26-D26-E26)</f>
        <v>7821</v>
      </c>
      <c r="G26" s="28">
        <v>32954</v>
      </c>
      <c r="H26" s="28">
        <v>10166</v>
      </c>
      <c r="I26" s="28">
        <v>1136</v>
      </c>
      <c r="J26" s="28">
        <f>SUM(G26-H26-I26)</f>
        <v>21652</v>
      </c>
      <c r="K26" s="28">
        <v>4161</v>
      </c>
      <c r="L26" s="28">
        <v>0</v>
      </c>
      <c r="M26" s="28">
        <v>439</v>
      </c>
      <c r="N26" s="28">
        <v>551</v>
      </c>
      <c r="O26" s="28">
        <v>551</v>
      </c>
    </row>
    <row r="27" spans="1:15" ht="12.75" customHeight="1">
      <c r="A27" s="4" t="s">
        <v>49</v>
      </c>
      <c r="B27" s="5" t="s">
        <v>50</v>
      </c>
      <c r="C27" s="28">
        <v>2058</v>
      </c>
      <c r="D27" s="28">
        <v>1730</v>
      </c>
      <c r="E27" s="28">
        <v>72</v>
      </c>
      <c r="F27" s="28">
        <f>SUM(C27-D27-E27)</f>
        <v>256</v>
      </c>
      <c r="G27" s="28">
        <v>4125</v>
      </c>
      <c r="H27" s="28">
        <v>2814</v>
      </c>
      <c r="I27" s="28">
        <v>224</v>
      </c>
      <c r="J27" s="28">
        <f>SUM(G27-H27-I27)</f>
        <v>1087</v>
      </c>
      <c r="K27" s="28">
        <v>579</v>
      </c>
      <c r="L27" s="28">
        <v>0</v>
      </c>
      <c r="M27" s="28">
        <v>122</v>
      </c>
      <c r="N27" s="28">
        <v>163</v>
      </c>
      <c r="O27" s="28">
        <v>163</v>
      </c>
    </row>
    <row r="28" spans="1:15" ht="12.75" customHeight="1">
      <c r="A28" s="4" t="s">
        <v>51</v>
      </c>
      <c r="B28" s="5" t="s">
        <v>52</v>
      </c>
      <c r="C28" s="28">
        <v>1941</v>
      </c>
      <c r="D28" s="28">
        <v>1265</v>
      </c>
      <c r="E28" s="28">
        <v>99</v>
      </c>
      <c r="F28" s="28">
        <f>SUM(C28-D28-E28)</f>
        <v>577</v>
      </c>
      <c r="G28" s="28">
        <v>5776</v>
      </c>
      <c r="H28" s="28">
        <v>3136</v>
      </c>
      <c r="I28" s="28">
        <v>843</v>
      </c>
      <c r="J28" s="28">
        <f>SUM(G28-H28-I28)</f>
        <v>1797</v>
      </c>
      <c r="K28" s="28">
        <v>194</v>
      </c>
      <c r="L28" s="28">
        <v>0</v>
      </c>
      <c r="M28" s="28">
        <v>33</v>
      </c>
      <c r="N28" s="28">
        <v>33</v>
      </c>
      <c r="O28" s="28">
        <v>33</v>
      </c>
    </row>
    <row r="29" spans="1:15" ht="12.75" customHeight="1">
      <c r="A29" s="4" t="s">
        <v>53</v>
      </c>
      <c r="B29" s="5" t="s">
        <v>54</v>
      </c>
      <c r="C29" s="28">
        <v>2319</v>
      </c>
      <c r="D29" s="28">
        <v>2059</v>
      </c>
      <c r="E29" s="28">
        <v>194</v>
      </c>
      <c r="F29" s="28">
        <f>SUM(C29-D29-E29)</f>
        <v>66</v>
      </c>
      <c r="G29" s="28">
        <v>5930</v>
      </c>
      <c r="H29" s="28">
        <v>4771</v>
      </c>
      <c r="I29" s="28">
        <v>984</v>
      </c>
      <c r="J29" s="28">
        <f>SUM(G29-H29-I29)</f>
        <v>175</v>
      </c>
      <c r="K29" s="28">
        <v>14</v>
      </c>
      <c r="L29" s="28">
        <v>0</v>
      </c>
      <c r="M29" s="28">
        <v>58</v>
      </c>
      <c r="N29" s="28">
        <v>59</v>
      </c>
      <c r="O29" s="28">
        <v>59</v>
      </c>
    </row>
    <row r="30" spans="1:15" ht="12.75" customHeight="1">
      <c r="A30" s="8"/>
      <c r="B30" s="9" t="s">
        <v>55</v>
      </c>
      <c r="C30" s="29">
        <f t="shared" ref="C30:O30" si="4">SUM(C26:C29)</f>
        <v>19999</v>
      </c>
      <c r="D30" s="29">
        <f t="shared" si="4"/>
        <v>10638</v>
      </c>
      <c r="E30" s="29">
        <f t="shared" si="4"/>
        <v>641</v>
      </c>
      <c r="F30" s="29">
        <f t="shared" si="4"/>
        <v>8720</v>
      </c>
      <c r="G30" s="29">
        <f t="shared" si="4"/>
        <v>48785</v>
      </c>
      <c r="H30" s="29">
        <f t="shared" si="4"/>
        <v>20887</v>
      </c>
      <c r="I30" s="29">
        <f t="shared" si="4"/>
        <v>3187</v>
      </c>
      <c r="J30" s="29">
        <f t="shared" si="4"/>
        <v>24711</v>
      </c>
      <c r="K30" s="29">
        <f t="shared" si="4"/>
        <v>4948</v>
      </c>
      <c r="L30" s="29">
        <f t="shared" si="4"/>
        <v>0</v>
      </c>
      <c r="M30" s="29">
        <f t="shared" si="4"/>
        <v>652</v>
      </c>
      <c r="N30" s="29">
        <f t="shared" si="4"/>
        <v>806</v>
      </c>
      <c r="O30" s="29">
        <f t="shared" si="4"/>
        <v>806</v>
      </c>
    </row>
    <row r="31" spans="1:15" ht="12.75" customHeight="1">
      <c r="A31" s="4" t="s">
        <v>56</v>
      </c>
      <c r="B31" s="5" t="s">
        <v>57</v>
      </c>
      <c r="C31" s="28">
        <v>8739</v>
      </c>
      <c r="D31" s="28">
        <v>7523</v>
      </c>
      <c r="E31" s="28">
        <v>145</v>
      </c>
      <c r="F31" s="28">
        <f t="shared" ref="F31:F42" si="5">SUM(C31-D31-E31)</f>
        <v>1071</v>
      </c>
      <c r="G31" s="28">
        <v>27766</v>
      </c>
      <c r="H31" s="28">
        <v>15892</v>
      </c>
      <c r="I31" s="28">
        <v>818</v>
      </c>
      <c r="J31" s="28">
        <f t="shared" ref="J31:J42" si="6">SUM(G31-H31-I31)</f>
        <v>11056</v>
      </c>
      <c r="K31" s="28">
        <v>1181</v>
      </c>
      <c r="L31" s="28">
        <v>0</v>
      </c>
      <c r="M31" s="28">
        <v>543</v>
      </c>
      <c r="N31" s="28">
        <v>121</v>
      </c>
      <c r="O31" s="28">
        <v>121</v>
      </c>
    </row>
    <row r="32" spans="1:15" ht="12.75" customHeight="1">
      <c r="A32" s="4" t="s">
        <v>58</v>
      </c>
      <c r="B32" s="5" t="s">
        <v>59</v>
      </c>
      <c r="C32" s="28">
        <v>10550</v>
      </c>
      <c r="D32" s="28">
        <v>9251</v>
      </c>
      <c r="E32" s="28">
        <v>282</v>
      </c>
      <c r="F32" s="28">
        <f t="shared" si="5"/>
        <v>1017</v>
      </c>
      <c r="G32" s="28">
        <v>42594</v>
      </c>
      <c r="H32" s="28">
        <v>24119</v>
      </c>
      <c r="I32" s="28">
        <v>2302</v>
      </c>
      <c r="J32" s="28">
        <f t="shared" si="6"/>
        <v>16173</v>
      </c>
      <c r="K32" s="28">
        <v>1948</v>
      </c>
      <c r="L32" s="28">
        <v>0</v>
      </c>
      <c r="M32" s="28">
        <v>4016</v>
      </c>
      <c r="N32" s="28">
        <v>314</v>
      </c>
      <c r="O32" s="28">
        <v>314</v>
      </c>
    </row>
    <row r="33" spans="1:256" ht="12.75" customHeight="1">
      <c r="A33" s="4" t="s">
        <v>60</v>
      </c>
      <c r="B33" s="5" t="s">
        <v>61</v>
      </c>
      <c r="C33" s="28">
        <v>6357</v>
      </c>
      <c r="D33" s="28">
        <v>4880</v>
      </c>
      <c r="E33" s="28">
        <v>109</v>
      </c>
      <c r="F33" s="28">
        <f t="shared" si="5"/>
        <v>1368</v>
      </c>
      <c r="G33" s="28">
        <v>24593</v>
      </c>
      <c r="H33" s="28">
        <v>6696</v>
      </c>
      <c r="I33" s="28">
        <v>374</v>
      </c>
      <c r="J33" s="28">
        <f t="shared" si="6"/>
        <v>17523</v>
      </c>
      <c r="K33" s="28">
        <v>3135</v>
      </c>
      <c r="L33" s="28">
        <v>0</v>
      </c>
      <c r="M33" s="28">
        <v>1134</v>
      </c>
      <c r="N33" s="28">
        <v>295</v>
      </c>
      <c r="O33" s="28">
        <v>295</v>
      </c>
    </row>
    <row r="34" spans="1:256" ht="12.75" customHeight="1">
      <c r="A34" s="4" t="s">
        <v>62</v>
      </c>
      <c r="B34" s="5" t="s">
        <v>63</v>
      </c>
      <c r="C34" s="28">
        <v>6391</v>
      </c>
      <c r="D34" s="28">
        <v>2201</v>
      </c>
      <c r="E34" s="28">
        <v>23</v>
      </c>
      <c r="F34" s="28">
        <f t="shared" si="5"/>
        <v>4167</v>
      </c>
      <c r="G34" s="28">
        <v>21009</v>
      </c>
      <c r="H34" s="28">
        <v>5949</v>
      </c>
      <c r="I34" s="28">
        <v>163</v>
      </c>
      <c r="J34" s="28">
        <f t="shared" si="6"/>
        <v>14897</v>
      </c>
      <c r="K34" s="28">
        <v>379</v>
      </c>
      <c r="L34" s="28">
        <v>18</v>
      </c>
      <c r="M34" s="28">
        <v>1447</v>
      </c>
      <c r="N34" s="28">
        <v>56</v>
      </c>
      <c r="O34" s="28">
        <v>56</v>
      </c>
    </row>
    <row r="35" spans="1:256" ht="12.75" customHeight="1">
      <c r="A35" s="4" t="s">
        <v>64</v>
      </c>
      <c r="B35" s="5" t="s">
        <v>65</v>
      </c>
      <c r="C35" s="28">
        <v>2934</v>
      </c>
      <c r="D35" s="28">
        <v>2867</v>
      </c>
      <c r="E35" s="28">
        <v>0</v>
      </c>
      <c r="F35" s="28">
        <f t="shared" si="5"/>
        <v>67</v>
      </c>
      <c r="G35" s="28">
        <v>5669</v>
      </c>
      <c r="H35" s="28">
        <v>5139</v>
      </c>
      <c r="I35" s="28">
        <v>0</v>
      </c>
      <c r="J35" s="28">
        <f t="shared" si="6"/>
        <v>530</v>
      </c>
      <c r="K35" s="28">
        <v>219</v>
      </c>
      <c r="L35" s="28">
        <v>0</v>
      </c>
      <c r="M35" s="28">
        <v>33</v>
      </c>
      <c r="N35" s="28">
        <v>296</v>
      </c>
      <c r="O35" s="28">
        <v>296</v>
      </c>
    </row>
    <row r="36" spans="1:256" ht="12.75" customHeight="1">
      <c r="A36" s="4" t="s">
        <v>66</v>
      </c>
      <c r="B36" s="5" t="s">
        <v>67</v>
      </c>
      <c r="C36" s="28">
        <v>1696</v>
      </c>
      <c r="D36" s="28">
        <v>1499</v>
      </c>
      <c r="E36" s="28">
        <v>67</v>
      </c>
      <c r="F36" s="28">
        <f t="shared" si="5"/>
        <v>130</v>
      </c>
      <c r="G36" s="28">
        <v>5027</v>
      </c>
      <c r="H36" s="28">
        <v>3978</v>
      </c>
      <c r="I36" s="28">
        <v>447</v>
      </c>
      <c r="J36" s="28">
        <f t="shared" si="6"/>
        <v>602</v>
      </c>
      <c r="K36" s="28">
        <v>20</v>
      </c>
      <c r="L36" s="28">
        <v>0</v>
      </c>
      <c r="M36" s="28">
        <v>217</v>
      </c>
      <c r="N36" s="28">
        <v>5</v>
      </c>
      <c r="O36" s="28">
        <v>5</v>
      </c>
    </row>
    <row r="37" spans="1:256" ht="12.75" customHeight="1">
      <c r="A37" s="4" t="s">
        <v>68</v>
      </c>
      <c r="B37" s="5" t="s">
        <v>69</v>
      </c>
      <c r="C37" s="28">
        <v>2813</v>
      </c>
      <c r="D37" s="28">
        <v>2408</v>
      </c>
      <c r="E37" s="28">
        <v>33</v>
      </c>
      <c r="F37" s="28">
        <f t="shared" si="5"/>
        <v>372</v>
      </c>
      <c r="G37" s="28">
        <v>11562</v>
      </c>
      <c r="H37" s="28">
        <v>6955</v>
      </c>
      <c r="I37" s="28">
        <v>189</v>
      </c>
      <c r="J37" s="28">
        <f t="shared" si="6"/>
        <v>4418</v>
      </c>
      <c r="K37" s="28">
        <v>137</v>
      </c>
      <c r="L37" s="28">
        <v>0</v>
      </c>
      <c r="M37" s="28">
        <v>562</v>
      </c>
      <c r="N37" s="28">
        <v>407</v>
      </c>
      <c r="O37" s="28">
        <v>407</v>
      </c>
    </row>
    <row r="38" spans="1:256" ht="12.75" customHeight="1">
      <c r="A38" s="4" t="s">
        <v>70</v>
      </c>
      <c r="B38" s="5" t="s">
        <v>71</v>
      </c>
      <c r="C38" s="28">
        <v>41656</v>
      </c>
      <c r="D38" s="28">
        <v>34181</v>
      </c>
      <c r="E38" s="28">
        <v>911</v>
      </c>
      <c r="F38" s="28">
        <f t="shared" si="5"/>
        <v>6564</v>
      </c>
      <c r="G38" s="28">
        <v>100885</v>
      </c>
      <c r="H38" s="28">
        <v>61408</v>
      </c>
      <c r="I38" s="28">
        <v>4591</v>
      </c>
      <c r="J38" s="28">
        <f t="shared" si="6"/>
        <v>34886</v>
      </c>
      <c r="K38" s="28">
        <v>9085</v>
      </c>
      <c r="L38" s="28">
        <v>0</v>
      </c>
      <c r="M38" s="28">
        <v>3487</v>
      </c>
      <c r="N38" s="28">
        <v>44543</v>
      </c>
      <c r="O38" s="28">
        <v>4593</v>
      </c>
    </row>
    <row r="39" spans="1:256" ht="12.75" customHeight="1">
      <c r="A39" s="4" t="s">
        <v>72</v>
      </c>
      <c r="B39" s="5" t="s">
        <v>73</v>
      </c>
      <c r="C39" s="28">
        <v>6380</v>
      </c>
      <c r="D39" s="28">
        <v>5991</v>
      </c>
      <c r="E39" s="28">
        <v>183</v>
      </c>
      <c r="F39" s="28">
        <f t="shared" si="5"/>
        <v>206</v>
      </c>
      <c r="G39" s="28">
        <v>12088</v>
      </c>
      <c r="H39" s="28">
        <v>10088</v>
      </c>
      <c r="I39" s="28">
        <v>1120</v>
      </c>
      <c r="J39" s="28">
        <f t="shared" si="6"/>
        <v>880</v>
      </c>
      <c r="K39" s="28">
        <v>216</v>
      </c>
      <c r="L39" s="28">
        <v>0</v>
      </c>
      <c r="M39" s="28">
        <v>1</v>
      </c>
      <c r="N39" s="28">
        <v>57</v>
      </c>
      <c r="O39" s="28">
        <v>57</v>
      </c>
    </row>
    <row r="40" spans="1:256" ht="12.75" customHeight="1">
      <c r="A40" s="4" t="s">
        <v>74</v>
      </c>
      <c r="B40" s="5" t="s">
        <v>75</v>
      </c>
      <c r="C40" s="28">
        <v>4534</v>
      </c>
      <c r="D40" s="28">
        <v>3932</v>
      </c>
      <c r="E40" s="28">
        <v>109</v>
      </c>
      <c r="F40" s="28">
        <f t="shared" si="5"/>
        <v>493</v>
      </c>
      <c r="G40" s="28">
        <v>13324</v>
      </c>
      <c r="H40" s="28">
        <v>8538</v>
      </c>
      <c r="I40" s="28">
        <v>736</v>
      </c>
      <c r="J40" s="28">
        <f t="shared" si="6"/>
        <v>4050</v>
      </c>
      <c r="K40" s="28">
        <v>639</v>
      </c>
      <c r="L40" s="28">
        <v>0</v>
      </c>
      <c r="M40" s="28">
        <v>1470</v>
      </c>
      <c r="N40" s="28">
        <v>72</v>
      </c>
      <c r="O40" s="28">
        <v>72</v>
      </c>
    </row>
    <row r="41" spans="1:256" ht="12.75" customHeight="1">
      <c r="A41" s="4" t="s">
        <v>76</v>
      </c>
      <c r="B41" s="5" t="s">
        <v>77</v>
      </c>
      <c r="C41" s="28">
        <v>1361</v>
      </c>
      <c r="D41" s="28">
        <v>1142</v>
      </c>
      <c r="E41" s="28">
        <v>0</v>
      </c>
      <c r="F41" s="28">
        <f t="shared" si="5"/>
        <v>219</v>
      </c>
      <c r="G41" s="28">
        <v>5698</v>
      </c>
      <c r="H41" s="28">
        <v>3565</v>
      </c>
      <c r="I41" s="28">
        <v>0</v>
      </c>
      <c r="J41" s="28">
        <f t="shared" si="6"/>
        <v>2133</v>
      </c>
      <c r="K41" s="28">
        <v>972</v>
      </c>
      <c r="L41" s="28">
        <v>0</v>
      </c>
      <c r="M41" s="28">
        <v>114</v>
      </c>
      <c r="N41" s="28">
        <v>394</v>
      </c>
      <c r="O41" s="28">
        <v>394</v>
      </c>
    </row>
    <row r="42" spans="1:256" ht="12.75" customHeight="1">
      <c r="A42" s="4" t="s">
        <v>78</v>
      </c>
      <c r="B42" s="5" t="s">
        <v>79</v>
      </c>
      <c r="C42" s="28">
        <v>9508</v>
      </c>
      <c r="D42" s="28">
        <v>8154</v>
      </c>
      <c r="E42" s="28">
        <v>179</v>
      </c>
      <c r="F42" s="28">
        <f t="shared" si="5"/>
        <v>1175</v>
      </c>
      <c r="G42" s="28">
        <v>17755</v>
      </c>
      <c r="H42" s="28">
        <v>13601</v>
      </c>
      <c r="I42" s="28">
        <v>541</v>
      </c>
      <c r="J42" s="28">
        <f t="shared" si="6"/>
        <v>3613</v>
      </c>
      <c r="K42" s="28">
        <v>790</v>
      </c>
      <c r="L42" s="28">
        <v>0</v>
      </c>
      <c r="M42" s="28">
        <v>23</v>
      </c>
      <c r="N42" s="28">
        <v>122</v>
      </c>
      <c r="O42" s="28">
        <v>122</v>
      </c>
    </row>
    <row r="43" spans="1:256" ht="12.75" customHeight="1">
      <c r="A43" s="8"/>
      <c r="B43" s="9" t="s">
        <v>80</v>
      </c>
      <c r="C43" s="29">
        <f t="shared" ref="C43:O43" si="7">SUM(C31:C42)</f>
        <v>102919</v>
      </c>
      <c r="D43" s="29">
        <f t="shared" si="7"/>
        <v>84029</v>
      </c>
      <c r="E43" s="29">
        <f t="shared" si="7"/>
        <v>2041</v>
      </c>
      <c r="F43" s="29">
        <f t="shared" si="7"/>
        <v>16849</v>
      </c>
      <c r="G43" s="29">
        <f t="shared" si="7"/>
        <v>287970</v>
      </c>
      <c r="H43" s="29">
        <f t="shared" si="7"/>
        <v>165928</v>
      </c>
      <c r="I43" s="29">
        <f t="shared" si="7"/>
        <v>11281</v>
      </c>
      <c r="J43" s="29">
        <f t="shared" si="7"/>
        <v>110761</v>
      </c>
      <c r="K43" s="29">
        <f t="shared" si="7"/>
        <v>18721</v>
      </c>
      <c r="L43" s="29">
        <f t="shared" si="7"/>
        <v>18</v>
      </c>
      <c r="M43" s="29">
        <f t="shared" si="7"/>
        <v>13047</v>
      </c>
      <c r="N43" s="29">
        <f t="shared" si="7"/>
        <v>46682</v>
      </c>
      <c r="O43" s="29">
        <f t="shared" si="7"/>
        <v>6732</v>
      </c>
    </row>
    <row r="44" spans="1:256" ht="12.75" customHeight="1">
      <c r="A44" s="4" t="s">
        <v>81</v>
      </c>
      <c r="B44" s="5" t="s">
        <v>82</v>
      </c>
      <c r="C44" s="28">
        <v>3173</v>
      </c>
      <c r="D44" s="28">
        <v>2748</v>
      </c>
      <c r="E44" s="28">
        <v>71</v>
      </c>
      <c r="F44" s="28">
        <f>SUM(C44-D44-E44)</f>
        <v>354</v>
      </c>
      <c r="G44" s="28">
        <v>13098</v>
      </c>
      <c r="H44" s="28">
        <v>7865</v>
      </c>
      <c r="I44" s="28">
        <v>416</v>
      </c>
      <c r="J44" s="28">
        <f>SUM(G44-H44-I44)</f>
        <v>4817</v>
      </c>
      <c r="K44" s="28">
        <v>1225</v>
      </c>
      <c r="L44" s="28">
        <v>0</v>
      </c>
      <c r="M44" s="28">
        <v>449</v>
      </c>
      <c r="N44" s="28">
        <v>201</v>
      </c>
      <c r="O44" s="28">
        <v>201</v>
      </c>
    </row>
    <row r="45" spans="1:256" ht="12.75" customHeight="1">
      <c r="A45" s="4" t="s">
        <v>83</v>
      </c>
      <c r="B45" s="5" t="s">
        <v>84</v>
      </c>
      <c r="C45" s="28">
        <v>4665</v>
      </c>
      <c r="D45" s="28">
        <v>3562</v>
      </c>
      <c r="E45" s="28">
        <v>99</v>
      </c>
      <c r="F45" s="28">
        <f>SUM(C45-D45-E45)</f>
        <v>1004</v>
      </c>
      <c r="G45" s="28">
        <v>22531</v>
      </c>
      <c r="H45" s="28">
        <v>9298</v>
      </c>
      <c r="I45" s="28">
        <v>656</v>
      </c>
      <c r="J45" s="28">
        <f>SUM(G45-H45-I45)</f>
        <v>12577</v>
      </c>
      <c r="K45" s="28">
        <v>6517</v>
      </c>
      <c r="L45" s="28">
        <v>0</v>
      </c>
      <c r="M45" s="28">
        <v>2534</v>
      </c>
      <c r="N45" s="28">
        <v>54</v>
      </c>
      <c r="O45" s="28">
        <v>54</v>
      </c>
      <c r="GM45" s="3"/>
      <c r="GN45" s="3"/>
      <c r="GO45" s="3"/>
      <c r="GP45" s="3"/>
      <c r="GQ45" s="3"/>
      <c r="GR45" s="3"/>
      <c r="GS45" s="3"/>
      <c r="GT45" s="3"/>
      <c r="GU45" s="3"/>
      <c r="GV45" s="3"/>
      <c r="GW45" s="3"/>
      <c r="GX45" s="3"/>
      <c r="GY45" s="3"/>
      <c r="GZ45" s="3"/>
      <c r="HA45" s="3"/>
      <c r="HB45" s="3"/>
      <c r="HC45" s="3"/>
      <c r="HD45" s="3"/>
      <c r="HE45" s="3"/>
      <c r="HF45" s="3"/>
      <c r="HG45" s="3"/>
      <c r="HH45" s="3"/>
      <c r="HI45" s="3"/>
      <c r="HJ45" s="3"/>
      <c r="HK45" s="3"/>
      <c r="HL45" s="3"/>
      <c r="HM45" s="3"/>
      <c r="HN45" s="3"/>
      <c r="HO45" s="3"/>
      <c r="HP45" s="3"/>
      <c r="HQ45" s="3"/>
      <c r="HR45" s="3"/>
      <c r="HS45" s="3"/>
      <c r="HT45" s="3"/>
      <c r="HU45" s="3"/>
      <c r="HV45" s="3"/>
      <c r="HW45" s="3"/>
      <c r="HX45" s="3"/>
      <c r="HY45" s="3"/>
      <c r="HZ45" s="3"/>
      <c r="IA45" s="3"/>
      <c r="IB45" s="3"/>
      <c r="IC45" s="3"/>
      <c r="ID45" s="3"/>
      <c r="IE45" s="3"/>
      <c r="IF45" s="3"/>
      <c r="IG45" s="3"/>
      <c r="IH45" s="3"/>
      <c r="II45" s="3"/>
      <c r="IJ45" s="3"/>
      <c r="IK45" s="3"/>
      <c r="IL45" s="3"/>
      <c r="IM45" s="3"/>
      <c r="IN45" s="3"/>
      <c r="IO45" s="3"/>
      <c r="IP45" s="3"/>
      <c r="IQ45" s="3"/>
      <c r="IR45" s="3"/>
      <c r="IS45" s="3"/>
      <c r="IT45" s="3"/>
      <c r="IU45" s="3"/>
      <c r="IV45" s="3"/>
    </row>
    <row r="46" spans="1:256" ht="12.75" customHeight="1">
      <c r="A46" s="8"/>
      <c r="B46" s="9" t="s">
        <v>85</v>
      </c>
      <c r="C46" s="29">
        <f t="shared" ref="C46:O46" si="8">SUM(C44:C45)</f>
        <v>7838</v>
      </c>
      <c r="D46" s="29">
        <f t="shared" si="8"/>
        <v>6310</v>
      </c>
      <c r="E46" s="29">
        <f t="shared" si="8"/>
        <v>170</v>
      </c>
      <c r="F46" s="29">
        <f t="shared" si="8"/>
        <v>1358</v>
      </c>
      <c r="G46" s="29">
        <f t="shared" si="8"/>
        <v>35629</v>
      </c>
      <c r="H46" s="29">
        <f t="shared" si="8"/>
        <v>17163</v>
      </c>
      <c r="I46" s="29">
        <f t="shared" si="8"/>
        <v>1072</v>
      </c>
      <c r="J46" s="29">
        <f t="shared" si="8"/>
        <v>17394</v>
      </c>
      <c r="K46" s="29">
        <f t="shared" si="8"/>
        <v>7742</v>
      </c>
      <c r="L46" s="29">
        <f t="shared" si="8"/>
        <v>0</v>
      </c>
      <c r="M46" s="29">
        <f t="shared" si="8"/>
        <v>2983</v>
      </c>
      <c r="N46" s="29">
        <f t="shared" si="8"/>
        <v>255</v>
      </c>
      <c r="O46" s="29">
        <f t="shared" si="8"/>
        <v>255</v>
      </c>
    </row>
    <row r="47" spans="1:256" ht="12.75" customHeight="1">
      <c r="A47" s="4" t="s">
        <v>86</v>
      </c>
      <c r="B47" s="5" t="s">
        <v>87</v>
      </c>
      <c r="C47" s="28">
        <v>911</v>
      </c>
      <c r="D47" s="28">
        <v>821</v>
      </c>
      <c r="E47" s="28">
        <v>0</v>
      </c>
      <c r="F47" s="28">
        <f>SUM(C47-D47-E47)</f>
        <v>90</v>
      </c>
      <c r="G47" s="28">
        <v>1065</v>
      </c>
      <c r="H47" s="28">
        <v>776</v>
      </c>
      <c r="I47" s="28">
        <v>0</v>
      </c>
      <c r="J47" s="28">
        <f>SUM(G47-H47-I47)</f>
        <v>289</v>
      </c>
      <c r="K47" s="28">
        <v>2</v>
      </c>
      <c r="L47" s="28">
        <v>0</v>
      </c>
      <c r="M47" s="28">
        <v>17</v>
      </c>
      <c r="N47" s="28">
        <v>0</v>
      </c>
      <c r="O47" s="28">
        <v>0</v>
      </c>
    </row>
    <row r="48" spans="1:256" ht="12.75" customHeight="1">
      <c r="A48" s="4" t="s">
        <v>88</v>
      </c>
      <c r="B48" s="5" t="s">
        <v>89</v>
      </c>
      <c r="C48" s="28">
        <v>2812</v>
      </c>
      <c r="D48" s="28">
        <v>2105</v>
      </c>
      <c r="E48" s="28">
        <v>16</v>
      </c>
      <c r="F48" s="28">
        <f>SUM(C48-D48-E48)</f>
        <v>691</v>
      </c>
      <c r="G48" s="28">
        <v>4966</v>
      </c>
      <c r="H48" s="28">
        <v>3971</v>
      </c>
      <c r="I48" s="28">
        <v>68</v>
      </c>
      <c r="J48" s="28">
        <f>SUM(G48-H48-I48)</f>
        <v>927</v>
      </c>
      <c r="K48" s="28">
        <v>15</v>
      </c>
      <c r="L48" s="28">
        <v>0</v>
      </c>
      <c r="M48" s="28">
        <v>151</v>
      </c>
      <c r="N48" s="28">
        <v>57</v>
      </c>
      <c r="O48" s="28">
        <v>57</v>
      </c>
    </row>
    <row r="49" spans="1:15" ht="12.75" customHeight="1">
      <c r="A49" s="4" t="s">
        <v>90</v>
      </c>
      <c r="B49" s="5" t="s">
        <v>91</v>
      </c>
      <c r="C49" s="28">
        <v>888</v>
      </c>
      <c r="D49" s="28">
        <v>827</v>
      </c>
      <c r="E49" s="28">
        <v>43</v>
      </c>
      <c r="F49" s="28">
        <f>SUM(C49-D49-E49)</f>
        <v>18</v>
      </c>
      <c r="G49" s="28">
        <v>1208</v>
      </c>
      <c r="H49" s="28">
        <v>1018</v>
      </c>
      <c r="I49" s="28">
        <v>119</v>
      </c>
      <c r="J49" s="28">
        <f>SUM(G49-H49-I49)</f>
        <v>71</v>
      </c>
      <c r="K49" s="28">
        <v>244</v>
      </c>
      <c r="L49" s="28">
        <v>0</v>
      </c>
      <c r="M49" s="28">
        <v>0</v>
      </c>
      <c r="N49" s="28">
        <v>0</v>
      </c>
      <c r="O49" s="28">
        <v>0</v>
      </c>
    </row>
    <row r="50" spans="1:15" ht="12.75" customHeight="1">
      <c r="A50" s="4" t="s">
        <v>92</v>
      </c>
      <c r="B50" s="5" t="s">
        <v>93</v>
      </c>
      <c r="C50" s="28">
        <v>8288</v>
      </c>
      <c r="D50" s="28">
        <v>8005</v>
      </c>
      <c r="E50" s="28">
        <v>74</v>
      </c>
      <c r="F50" s="28">
        <f>SUM(C50-D50-E50)</f>
        <v>209</v>
      </c>
      <c r="G50" s="28">
        <v>19009</v>
      </c>
      <c r="H50" s="28">
        <v>13509</v>
      </c>
      <c r="I50" s="28">
        <v>340</v>
      </c>
      <c r="J50" s="28">
        <f>SUM(G50-H50-I50)</f>
        <v>5160</v>
      </c>
      <c r="K50" s="28">
        <v>3428</v>
      </c>
      <c r="L50" s="28">
        <v>0</v>
      </c>
      <c r="M50" s="28">
        <v>863</v>
      </c>
      <c r="N50" s="28">
        <v>950</v>
      </c>
      <c r="O50" s="28">
        <v>950</v>
      </c>
    </row>
    <row r="51" spans="1:15" ht="12.75" customHeight="1">
      <c r="A51" s="8"/>
      <c r="B51" s="9" t="s">
        <v>94</v>
      </c>
      <c r="C51" s="29">
        <f t="shared" ref="C51:O51" si="9">SUM(C47:C50)</f>
        <v>12899</v>
      </c>
      <c r="D51" s="29">
        <f t="shared" si="9"/>
        <v>11758</v>
      </c>
      <c r="E51" s="29">
        <f t="shared" si="9"/>
        <v>133</v>
      </c>
      <c r="F51" s="29">
        <f t="shared" si="9"/>
        <v>1008</v>
      </c>
      <c r="G51" s="29">
        <f t="shared" si="9"/>
        <v>26248</v>
      </c>
      <c r="H51" s="29">
        <f t="shared" si="9"/>
        <v>19274</v>
      </c>
      <c r="I51" s="29">
        <f t="shared" si="9"/>
        <v>527</v>
      </c>
      <c r="J51" s="29">
        <f t="shared" si="9"/>
        <v>6447</v>
      </c>
      <c r="K51" s="29">
        <f t="shared" si="9"/>
        <v>3689</v>
      </c>
      <c r="L51" s="29">
        <f t="shared" si="9"/>
        <v>0</v>
      </c>
      <c r="M51" s="29">
        <f t="shared" si="9"/>
        <v>1031</v>
      </c>
      <c r="N51" s="29">
        <f t="shared" si="9"/>
        <v>1007</v>
      </c>
      <c r="O51" s="29">
        <f t="shared" si="9"/>
        <v>1007</v>
      </c>
    </row>
    <row r="52" spans="1:15" ht="12.75" customHeight="1">
      <c r="A52" s="4" t="s">
        <v>95</v>
      </c>
      <c r="B52" s="5" t="s">
        <v>96</v>
      </c>
      <c r="C52" s="28">
        <v>1603</v>
      </c>
      <c r="D52" s="28">
        <v>1051</v>
      </c>
      <c r="E52" s="28">
        <v>4</v>
      </c>
      <c r="F52" s="28">
        <f t="shared" ref="F52:F58" si="10">SUM(C52-D52-E52)</f>
        <v>548</v>
      </c>
      <c r="G52" s="28">
        <v>5690</v>
      </c>
      <c r="H52" s="28">
        <v>2922</v>
      </c>
      <c r="I52" s="28">
        <v>25</v>
      </c>
      <c r="J52" s="28">
        <f t="shared" ref="J52:J58" si="11">SUM(G52-H52-I52)</f>
        <v>2743</v>
      </c>
      <c r="K52" s="28">
        <v>2065</v>
      </c>
      <c r="L52" s="28">
        <v>0</v>
      </c>
      <c r="M52" s="28">
        <v>59</v>
      </c>
      <c r="N52" s="28">
        <v>117</v>
      </c>
      <c r="O52" s="28">
        <v>117</v>
      </c>
    </row>
    <row r="53" spans="1:15" ht="12.75" customHeight="1">
      <c r="A53" s="4" t="s">
        <v>97</v>
      </c>
      <c r="B53" s="5" t="s">
        <v>98</v>
      </c>
      <c r="C53" s="28">
        <v>7749</v>
      </c>
      <c r="D53" s="28">
        <v>5931</v>
      </c>
      <c r="E53" s="28">
        <v>86</v>
      </c>
      <c r="F53" s="28">
        <f t="shared" si="10"/>
        <v>1732</v>
      </c>
      <c r="G53" s="28">
        <v>26039</v>
      </c>
      <c r="H53" s="28">
        <v>16212</v>
      </c>
      <c r="I53" s="28">
        <v>812</v>
      </c>
      <c r="J53" s="28">
        <f t="shared" si="11"/>
        <v>9015</v>
      </c>
      <c r="K53" s="28">
        <v>1391</v>
      </c>
      <c r="L53" s="28">
        <v>0</v>
      </c>
      <c r="M53" s="28">
        <v>742</v>
      </c>
      <c r="N53" s="28">
        <v>391</v>
      </c>
      <c r="O53" s="28">
        <v>391</v>
      </c>
    </row>
    <row r="54" spans="1:15" ht="12.75" customHeight="1">
      <c r="A54" s="4" t="s">
        <v>99</v>
      </c>
      <c r="B54" s="5" t="s">
        <v>100</v>
      </c>
      <c r="C54" s="28">
        <v>1478</v>
      </c>
      <c r="D54" s="28">
        <v>767</v>
      </c>
      <c r="E54" s="28">
        <v>16</v>
      </c>
      <c r="F54" s="28">
        <f t="shared" si="10"/>
        <v>695</v>
      </c>
      <c r="G54" s="28">
        <v>5080</v>
      </c>
      <c r="H54" s="28">
        <v>2708</v>
      </c>
      <c r="I54" s="28">
        <v>297</v>
      </c>
      <c r="J54" s="28">
        <f t="shared" si="11"/>
        <v>2075</v>
      </c>
      <c r="K54" s="28">
        <v>120</v>
      </c>
      <c r="L54" s="28">
        <v>0</v>
      </c>
      <c r="M54" s="28">
        <v>280</v>
      </c>
      <c r="N54" s="28">
        <v>0</v>
      </c>
      <c r="O54" s="28">
        <v>0</v>
      </c>
    </row>
    <row r="55" spans="1:15" ht="12.75" customHeight="1">
      <c r="A55" s="4" t="s">
        <v>101</v>
      </c>
      <c r="B55" s="5" t="s">
        <v>102</v>
      </c>
      <c r="C55" s="28">
        <v>6154</v>
      </c>
      <c r="D55" s="28">
        <v>4072</v>
      </c>
      <c r="E55" s="28">
        <v>58</v>
      </c>
      <c r="F55" s="28">
        <f t="shared" si="10"/>
        <v>2024</v>
      </c>
      <c r="G55" s="28">
        <v>23452</v>
      </c>
      <c r="H55" s="28">
        <v>10703</v>
      </c>
      <c r="I55" s="28">
        <v>384</v>
      </c>
      <c r="J55" s="28">
        <f t="shared" si="11"/>
        <v>12365</v>
      </c>
      <c r="K55" s="28">
        <v>3753</v>
      </c>
      <c r="L55" s="28">
        <v>0</v>
      </c>
      <c r="M55" s="28">
        <v>1399</v>
      </c>
      <c r="N55" s="28">
        <v>1852</v>
      </c>
      <c r="O55" s="28">
        <v>1852</v>
      </c>
    </row>
    <row r="56" spans="1:15" ht="12.75" customHeight="1">
      <c r="A56" s="4" t="s">
        <v>103</v>
      </c>
      <c r="B56" s="5" t="s">
        <v>104</v>
      </c>
      <c r="C56" s="28">
        <v>7798</v>
      </c>
      <c r="D56" s="28">
        <v>3331</v>
      </c>
      <c r="E56" s="28">
        <v>271</v>
      </c>
      <c r="F56" s="28">
        <f t="shared" si="10"/>
        <v>4196</v>
      </c>
      <c r="G56" s="28">
        <v>27505</v>
      </c>
      <c r="H56" s="28">
        <v>8521</v>
      </c>
      <c r="I56" s="28">
        <v>1845</v>
      </c>
      <c r="J56" s="28">
        <f t="shared" si="11"/>
        <v>17139</v>
      </c>
      <c r="K56" s="28">
        <v>1549</v>
      </c>
      <c r="L56" s="28">
        <v>7</v>
      </c>
      <c r="M56" s="28">
        <v>2091</v>
      </c>
      <c r="N56" s="28">
        <v>5489</v>
      </c>
      <c r="O56" s="28">
        <v>460</v>
      </c>
    </row>
    <row r="57" spans="1:15" ht="12.75" customHeight="1">
      <c r="A57" s="4" t="s">
        <v>105</v>
      </c>
      <c r="B57" s="5" t="s">
        <v>106</v>
      </c>
      <c r="C57" s="28">
        <v>7385</v>
      </c>
      <c r="D57" s="28">
        <v>3985</v>
      </c>
      <c r="E57" s="28">
        <v>256</v>
      </c>
      <c r="F57" s="28">
        <f t="shared" si="10"/>
        <v>3144</v>
      </c>
      <c r="G57" s="28">
        <v>31321</v>
      </c>
      <c r="H57" s="28">
        <v>13440</v>
      </c>
      <c r="I57" s="28">
        <v>1783</v>
      </c>
      <c r="J57" s="28">
        <f t="shared" si="11"/>
        <v>16098</v>
      </c>
      <c r="K57" s="28">
        <v>467</v>
      </c>
      <c r="L57" s="28">
        <v>0</v>
      </c>
      <c r="M57" s="28">
        <v>2106</v>
      </c>
      <c r="N57" s="28">
        <v>27</v>
      </c>
      <c r="O57" s="28">
        <v>27</v>
      </c>
    </row>
    <row r="58" spans="1:15" ht="12.75" customHeight="1">
      <c r="A58" s="4" t="s">
        <v>107</v>
      </c>
      <c r="B58" s="5" t="s">
        <v>108</v>
      </c>
      <c r="C58" s="28">
        <v>7782</v>
      </c>
      <c r="D58" s="28">
        <v>4402</v>
      </c>
      <c r="E58" s="28">
        <v>99</v>
      </c>
      <c r="F58" s="28">
        <f t="shared" si="10"/>
        <v>3281</v>
      </c>
      <c r="G58" s="28">
        <v>30892</v>
      </c>
      <c r="H58" s="28">
        <v>11512</v>
      </c>
      <c r="I58" s="28">
        <v>664</v>
      </c>
      <c r="J58" s="28">
        <f t="shared" si="11"/>
        <v>18716</v>
      </c>
      <c r="K58" s="28">
        <v>1554</v>
      </c>
      <c r="L58" s="28">
        <v>26</v>
      </c>
      <c r="M58" s="28">
        <v>1359</v>
      </c>
      <c r="N58" s="28">
        <v>2780</v>
      </c>
      <c r="O58" s="28">
        <v>2780</v>
      </c>
    </row>
    <row r="59" spans="1:15" ht="12.75" customHeight="1">
      <c r="A59" s="8"/>
      <c r="B59" s="9" t="s">
        <v>109</v>
      </c>
      <c r="C59" s="29">
        <f t="shared" ref="C59:O59" si="12">SUM(C52:C58)</f>
        <v>39949</v>
      </c>
      <c r="D59" s="29">
        <f t="shared" si="12"/>
        <v>23539</v>
      </c>
      <c r="E59" s="29">
        <f t="shared" si="12"/>
        <v>790</v>
      </c>
      <c r="F59" s="29">
        <f t="shared" si="12"/>
        <v>15620</v>
      </c>
      <c r="G59" s="29">
        <f t="shared" si="12"/>
        <v>149979</v>
      </c>
      <c r="H59" s="29">
        <f t="shared" si="12"/>
        <v>66018</v>
      </c>
      <c r="I59" s="29">
        <f t="shared" si="12"/>
        <v>5810</v>
      </c>
      <c r="J59" s="29">
        <f t="shared" si="12"/>
        <v>78151</v>
      </c>
      <c r="K59" s="29">
        <f t="shared" si="12"/>
        <v>10899</v>
      </c>
      <c r="L59" s="29">
        <f t="shared" si="12"/>
        <v>33</v>
      </c>
      <c r="M59" s="29">
        <f t="shared" si="12"/>
        <v>8036</v>
      </c>
      <c r="N59" s="29">
        <f t="shared" si="12"/>
        <v>10656</v>
      </c>
      <c r="O59" s="29">
        <f t="shared" si="12"/>
        <v>5627</v>
      </c>
    </row>
    <row r="60" spans="1:15" ht="12.75" customHeight="1">
      <c r="A60" s="4" t="s">
        <v>110</v>
      </c>
      <c r="B60" s="5" t="s">
        <v>111</v>
      </c>
      <c r="C60" s="28">
        <v>8371</v>
      </c>
      <c r="D60" s="28">
        <v>6304</v>
      </c>
      <c r="E60" s="28">
        <v>312</v>
      </c>
      <c r="F60" s="28">
        <f t="shared" ref="F60:F68" si="13">SUM(C60-D60-E60)</f>
        <v>1755</v>
      </c>
      <c r="G60" s="28">
        <v>27875</v>
      </c>
      <c r="H60" s="28">
        <v>16619</v>
      </c>
      <c r="I60" s="28">
        <v>3041</v>
      </c>
      <c r="J60" s="28">
        <f t="shared" ref="J60:J68" si="14">SUM(G60-H60-I60)</f>
        <v>8215</v>
      </c>
      <c r="K60" s="28">
        <v>762</v>
      </c>
      <c r="L60" s="28">
        <v>0</v>
      </c>
      <c r="M60" s="28">
        <v>526</v>
      </c>
      <c r="N60" s="28">
        <v>219</v>
      </c>
      <c r="O60" s="28">
        <v>219</v>
      </c>
    </row>
    <row r="61" spans="1:15" ht="12.75" customHeight="1">
      <c r="A61" s="4" t="s">
        <v>112</v>
      </c>
      <c r="B61" s="5" t="s">
        <v>113</v>
      </c>
      <c r="C61" s="28">
        <v>2464</v>
      </c>
      <c r="D61" s="28">
        <v>1668</v>
      </c>
      <c r="E61" s="28">
        <v>18</v>
      </c>
      <c r="F61" s="28">
        <f t="shared" si="13"/>
        <v>778</v>
      </c>
      <c r="G61" s="28">
        <v>7413</v>
      </c>
      <c r="H61" s="28">
        <v>4552</v>
      </c>
      <c r="I61" s="28">
        <v>217</v>
      </c>
      <c r="J61" s="28">
        <f t="shared" si="14"/>
        <v>2644</v>
      </c>
      <c r="K61" s="28">
        <v>51</v>
      </c>
      <c r="L61" s="28">
        <v>0</v>
      </c>
      <c r="M61" s="28">
        <v>451</v>
      </c>
      <c r="N61" s="28">
        <v>0</v>
      </c>
      <c r="O61" s="28">
        <v>0</v>
      </c>
    </row>
    <row r="62" spans="1:15" ht="12.75" customHeight="1">
      <c r="A62" s="4" t="s">
        <v>114</v>
      </c>
      <c r="B62" s="5" t="s">
        <v>115</v>
      </c>
      <c r="C62" s="28">
        <v>3840</v>
      </c>
      <c r="D62" s="28">
        <v>1980</v>
      </c>
      <c r="E62" s="28">
        <v>78</v>
      </c>
      <c r="F62" s="28">
        <f t="shared" si="13"/>
        <v>1782</v>
      </c>
      <c r="G62" s="28">
        <v>19886</v>
      </c>
      <c r="H62" s="28">
        <v>5846</v>
      </c>
      <c r="I62" s="28">
        <v>874</v>
      </c>
      <c r="J62" s="28">
        <f t="shared" si="14"/>
        <v>13166</v>
      </c>
      <c r="K62" s="28">
        <v>556</v>
      </c>
      <c r="L62" s="28">
        <v>0</v>
      </c>
      <c r="M62" s="28">
        <v>920</v>
      </c>
      <c r="N62" s="28">
        <v>316</v>
      </c>
      <c r="O62" s="28">
        <v>316</v>
      </c>
    </row>
    <row r="63" spans="1:15" ht="12.75" customHeight="1">
      <c r="A63" s="4" t="s">
        <v>116</v>
      </c>
      <c r="B63" s="5" t="s">
        <v>117</v>
      </c>
      <c r="C63" s="28">
        <v>5657</v>
      </c>
      <c r="D63" s="28">
        <v>3677</v>
      </c>
      <c r="E63" s="28">
        <v>156</v>
      </c>
      <c r="F63" s="28">
        <f t="shared" si="13"/>
        <v>1824</v>
      </c>
      <c r="G63" s="28">
        <v>19625</v>
      </c>
      <c r="H63" s="28">
        <v>11287</v>
      </c>
      <c r="I63" s="28">
        <v>1848</v>
      </c>
      <c r="J63" s="28">
        <f t="shared" si="14"/>
        <v>6490</v>
      </c>
      <c r="K63" s="28">
        <v>278</v>
      </c>
      <c r="L63" s="28">
        <v>0</v>
      </c>
      <c r="M63" s="28">
        <v>704</v>
      </c>
      <c r="N63" s="28">
        <v>143</v>
      </c>
      <c r="O63" s="28">
        <v>143</v>
      </c>
    </row>
    <row r="64" spans="1:15" ht="12.75" customHeight="1">
      <c r="A64" s="4" t="s">
        <v>118</v>
      </c>
      <c r="B64" s="5" t="s">
        <v>119</v>
      </c>
      <c r="C64" s="28">
        <v>5302</v>
      </c>
      <c r="D64" s="28">
        <v>2669</v>
      </c>
      <c r="E64" s="28">
        <v>162</v>
      </c>
      <c r="F64" s="28">
        <f t="shared" si="13"/>
        <v>2471</v>
      </c>
      <c r="G64" s="28">
        <v>21950</v>
      </c>
      <c r="H64" s="28">
        <v>8390</v>
      </c>
      <c r="I64" s="28">
        <v>1569</v>
      </c>
      <c r="J64" s="28">
        <f t="shared" si="14"/>
        <v>11991</v>
      </c>
      <c r="K64" s="28">
        <v>51</v>
      </c>
      <c r="L64" s="28">
        <v>0</v>
      </c>
      <c r="M64" s="28">
        <v>363</v>
      </c>
      <c r="N64" s="28">
        <v>284</v>
      </c>
      <c r="O64" s="28">
        <v>284</v>
      </c>
    </row>
    <row r="65" spans="1:15" ht="12.75" customHeight="1">
      <c r="A65" s="4" t="s">
        <v>120</v>
      </c>
      <c r="B65" s="5" t="s">
        <v>121</v>
      </c>
      <c r="C65" s="28">
        <v>2561</v>
      </c>
      <c r="D65" s="28">
        <v>1814</v>
      </c>
      <c r="E65" s="28">
        <v>134</v>
      </c>
      <c r="F65" s="28">
        <f t="shared" si="13"/>
        <v>613</v>
      </c>
      <c r="G65" s="28">
        <v>14144</v>
      </c>
      <c r="H65" s="28">
        <v>5614</v>
      </c>
      <c r="I65" s="28">
        <v>1261</v>
      </c>
      <c r="J65" s="28">
        <f t="shared" si="14"/>
        <v>7269</v>
      </c>
      <c r="K65" s="28">
        <v>736</v>
      </c>
      <c r="L65" s="28">
        <v>0</v>
      </c>
      <c r="M65" s="28">
        <v>924</v>
      </c>
      <c r="N65" s="28">
        <v>64</v>
      </c>
      <c r="O65" s="28">
        <v>64</v>
      </c>
    </row>
    <row r="66" spans="1:15" ht="12.75" customHeight="1">
      <c r="A66" s="4" t="s">
        <v>122</v>
      </c>
      <c r="B66" s="5" t="s">
        <v>123</v>
      </c>
      <c r="C66" s="28">
        <v>5458</v>
      </c>
      <c r="D66" s="28">
        <v>1712</v>
      </c>
      <c r="E66" s="28">
        <v>45</v>
      </c>
      <c r="F66" s="28">
        <f t="shared" si="13"/>
        <v>3701</v>
      </c>
      <c r="G66" s="28">
        <v>28874</v>
      </c>
      <c r="H66" s="28">
        <v>5629</v>
      </c>
      <c r="I66" s="28">
        <v>442</v>
      </c>
      <c r="J66" s="28">
        <f t="shared" si="14"/>
        <v>22803</v>
      </c>
      <c r="K66" s="28">
        <v>2888</v>
      </c>
      <c r="L66" s="28">
        <v>44</v>
      </c>
      <c r="M66" s="28">
        <v>2857</v>
      </c>
      <c r="N66" s="28">
        <v>94</v>
      </c>
      <c r="O66" s="28">
        <v>94</v>
      </c>
    </row>
    <row r="67" spans="1:15" ht="12.75" customHeight="1">
      <c r="A67" s="4" t="s">
        <v>124</v>
      </c>
      <c r="B67" s="5" t="s">
        <v>125</v>
      </c>
      <c r="C67" s="28">
        <v>6878</v>
      </c>
      <c r="D67" s="28">
        <v>1999</v>
      </c>
      <c r="E67" s="28">
        <v>0</v>
      </c>
      <c r="F67" s="28">
        <f t="shared" si="13"/>
        <v>4879</v>
      </c>
      <c r="G67" s="28">
        <v>29332</v>
      </c>
      <c r="H67" s="28">
        <v>5945</v>
      </c>
      <c r="I67" s="28">
        <v>0</v>
      </c>
      <c r="J67" s="28">
        <f t="shared" si="14"/>
        <v>23387</v>
      </c>
      <c r="K67" s="28">
        <v>2231</v>
      </c>
      <c r="L67" s="28">
        <v>0</v>
      </c>
      <c r="M67" s="28">
        <v>4208</v>
      </c>
      <c r="N67" s="28">
        <v>76</v>
      </c>
      <c r="O67" s="28">
        <v>76</v>
      </c>
    </row>
    <row r="68" spans="1:15" ht="12.75" customHeight="1">
      <c r="A68" s="4" t="s">
        <v>126</v>
      </c>
      <c r="B68" s="5" t="s">
        <v>127</v>
      </c>
      <c r="C68" s="28">
        <v>6627</v>
      </c>
      <c r="D68" s="28">
        <v>2343</v>
      </c>
      <c r="E68" s="28">
        <v>37</v>
      </c>
      <c r="F68" s="28">
        <f t="shared" si="13"/>
        <v>4247</v>
      </c>
      <c r="G68" s="28">
        <v>14324</v>
      </c>
      <c r="H68" s="28">
        <v>5882</v>
      </c>
      <c r="I68" s="28">
        <v>519</v>
      </c>
      <c r="J68" s="28">
        <f t="shared" si="14"/>
        <v>7923</v>
      </c>
      <c r="K68" s="28">
        <v>66</v>
      </c>
      <c r="L68" s="28">
        <v>11</v>
      </c>
      <c r="M68" s="28">
        <v>233</v>
      </c>
      <c r="N68" s="28">
        <v>0</v>
      </c>
      <c r="O68" s="28">
        <v>0</v>
      </c>
    </row>
    <row r="69" spans="1:15" ht="12.75" customHeight="1">
      <c r="A69" s="8"/>
      <c r="B69" s="9" t="s">
        <v>128</v>
      </c>
      <c r="C69" s="29">
        <f t="shared" ref="C69:O69" si="15">SUM(C60:C68)</f>
        <v>47158</v>
      </c>
      <c r="D69" s="29">
        <f t="shared" si="15"/>
        <v>24166</v>
      </c>
      <c r="E69" s="29">
        <f t="shared" si="15"/>
        <v>942</v>
      </c>
      <c r="F69" s="29">
        <f t="shared" si="15"/>
        <v>22050</v>
      </c>
      <c r="G69" s="29">
        <f t="shared" si="15"/>
        <v>183423</v>
      </c>
      <c r="H69" s="29">
        <f t="shared" si="15"/>
        <v>69764</v>
      </c>
      <c r="I69" s="29">
        <f t="shared" si="15"/>
        <v>9771</v>
      </c>
      <c r="J69" s="29">
        <f t="shared" si="15"/>
        <v>103888</v>
      </c>
      <c r="K69" s="29">
        <f t="shared" si="15"/>
        <v>7619</v>
      </c>
      <c r="L69" s="29">
        <f t="shared" si="15"/>
        <v>55</v>
      </c>
      <c r="M69" s="29">
        <f t="shared" si="15"/>
        <v>11186</v>
      </c>
      <c r="N69" s="29">
        <f t="shared" si="15"/>
        <v>1196</v>
      </c>
      <c r="O69" s="29">
        <f t="shared" si="15"/>
        <v>1196</v>
      </c>
    </row>
    <row r="70" spans="1:15" ht="12.75" customHeight="1">
      <c r="A70" s="4" t="s">
        <v>129</v>
      </c>
      <c r="B70" s="5" t="s">
        <v>130</v>
      </c>
      <c r="C70" s="28">
        <v>2935</v>
      </c>
      <c r="D70" s="28">
        <v>2218</v>
      </c>
      <c r="E70" s="28">
        <v>114</v>
      </c>
      <c r="F70" s="28">
        <f t="shared" ref="F70:F79" si="16">SUM(C70-D70-E70)</f>
        <v>603</v>
      </c>
      <c r="G70" s="28">
        <v>10732</v>
      </c>
      <c r="H70" s="28">
        <v>6139</v>
      </c>
      <c r="I70" s="28">
        <v>1337</v>
      </c>
      <c r="J70" s="28">
        <f t="shared" ref="J70:J79" si="17">SUM(G70-H70-I70)</f>
        <v>3256</v>
      </c>
      <c r="K70" s="28">
        <v>420</v>
      </c>
      <c r="L70" s="28">
        <v>4</v>
      </c>
      <c r="M70" s="28">
        <v>648</v>
      </c>
      <c r="N70" s="28">
        <v>8</v>
      </c>
      <c r="O70" s="28">
        <v>8</v>
      </c>
    </row>
    <row r="71" spans="1:15" ht="12.75" customHeight="1">
      <c r="A71" s="4" t="s">
        <v>131</v>
      </c>
      <c r="B71" s="5" t="s">
        <v>132</v>
      </c>
      <c r="C71" s="28">
        <v>10688</v>
      </c>
      <c r="D71" s="28">
        <v>7421</v>
      </c>
      <c r="E71" s="28">
        <v>271</v>
      </c>
      <c r="F71" s="28">
        <f t="shared" si="16"/>
        <v>2996</v>
      </c>
      <c r="G71" s="28">
        <v>27780</v>
      </c>
      <c r="H71" s="28">
        <v>14246</v>
      </c>
      <c r="I71" s="28">
        <v>1807</v>
      </c>
      <c r="J71" s="28">
        <f t="shared" si="17"/>
        <v>11727</v>
      </c>
      <c r="K71" s="28">
        <v>1865</v>
      </c>
      <c r="L71" s="28">
        <v>0</v>
      </c>
      <c r="M71" s="28">
        <v>868</v>
      </c>
      <c r="N71" s="28">
        <v>2531</v>
      </c>
      <c r="O71" s="28">
        <v>2531</v>
      </c>
    </row>
    <row r="72" spans="1:15" ht="12.75" customHeight="1">
      <c r="A72" s="4" t="s">
        <v>133</v>
      </c>
      <c r="B72" s="5" t="s">
        <v>134</v>
      </c>
      <c r="C72" s="28">
        <v>1961</v>
      </c>
      <c r="D72" s="28">
        <v>1365</v>
      </c>
      <c r="E72" s="28">
        <v>0</v>
      </c>
      <c r="F72" s="28">
        <f t="shared" si="16"/>
        <v>596</v>
      </c>
      <c r="G72" s="28">
        <v>6912</v>
      </c>
      <c r="H72" s="28">
        <v>3810</v>
      </c>
      <c r="I72" s="28">
        <v>0</v>
      </c>
      <c r="J72" s="28">
        <f t="shared" si="17"/>
        <v>3102</v>
      </c>
      <c r="K72" s="28">
        <v>674</v>
      </c>
      <c r="L72" s="28">
        <v>21</v>
      </c>
      <c r="M72" s="28">
        <v>1128</v>
      </c>
      <c r="N72" s="28">
        <v>32</v>
      </c>
      <c r="O72" s="28">
        <v>32</v>
      </c>
    </row>
    <row r="73" spans="1:15" ht="12.75" customHeight="1">
      <c r="A73" s="4" t="s">
        <v>135</v>
      </c>
      <c r="B73" s="5" t="s">
        <v>136</v>
      </c>
      <c r="C73" s="28">
        <v>4554</v>
      </c>
      <c r="D73" s="28">
        <v>3456</v>
      </c>
      <c r="E73" s="28">
        <v>13</v>
      </c>
      <c r="F73" s="28">
        <f t="shared" si="16"/>
        <v>1085</v>
      </c>
      <c r="G73" s="28">
        <v>14618</v>
      </c>
      <c r="H73" s="28">
        <v>8387</v>
      </c>
      <c r="I73" s="28">
        <v>45</v>
      </c>
      <c r="J73" s="28">
        <f t="shared" si="17"/>
        <v>6186</v>
      </c>
      <c r="K73" s="28">
        <v>653</v>
      </c>
      <c r="L73" s="28">
        <v>0</v>
      </c>
      <c r="M73" s="28">
        <v>342</v>
      </c>
      <c r="N73" s="28">
        <v>4592</v>
      </c>
      <c r="O73" s="28">
        <v>4592</v>
      </c>
    </row>
    <row r="74" spans="1:15" ht="12.75" customHeight="1">
      <c r="A74" s="4" t="s">
        <v>137</v>
      </c>
      <c r="B74" s="5" t="s">
        <v>138</v>
      </c>
      <c r="C74" s="28">
        <v>4238</v>
      </c>
      <c r="D74" s="28">
        <v>3243</v>
      </c>
      <c r="E74" s="28">
        <v>73</v>
      </c>
      <c r="F74" s="28">
        <f t="shared" si="16"/>
        <v>922</v>
      </c>
      <c r="G74" s="28">
        <v>10428</v>
      </c>
      <c r="H74" s="28">
        <v>6272</v>
      </c>
      <c r="I74" s="28">
        <v>442</v>
      </c>
      <c r="J74" s="28">
        <f t="shared" si="17"/>
        <v>3714</v>
      </c>
      <c r="K74" s="28">
        <v>628</v>
      </c>
      <c r="L74" s="28">
        <v>0</v>
      </c>
      <c r="M74" s="28">
        <v>252</v>
      </c>
      <c r="N74" s="28">
        <v>336</v>
      </c>
      <c r="O74" s="28">
        <v>336</v>
      </c>
    </row>
    <row r="75" spans="1:15" ht="12.75" customHeight="1">
      <c r="A75" s="4" t="s">
        <v>139</v>
      </c>
      <c r="B75" s="5" t="s">
        <v>140</v>
      </c>
      <c r="C75" s="28">
        <v>1945</v>
      </c>
      <c r="D75" s="28">
        <v>1780</v>
      </c>
      <c r="E75" s="28">
        <v>45</v>
      </c>
      <c r="F75" s="28">
        <f t="shared" si="16"/>
        <v>120</v>
      </c>
      <c r="G75" s="28">
        <v>4175</v>
      </c>
      <c r="H75" s="28">
        <v>3352</v>
      </c>
      <c r="I75" s="28">
        <v>321</v>
      </c>
      <c r="J75" s="28">
        <f t="shared" si="17"/>
        <v>502</v>
      </c>
      <c r="K75" s="28">
        <v>120</v>
      </c>
      <c r="L75" s="28">
        <v>0</v>
      </c>
      <c r="M75" s="28">
        <v>22</v>
      </c>
      <c r="N75" s="28">
        <v>0</v>
      </c>
      <c r="O75" s="28">
        <v>0</v>
      </c>
    </row>
    <row r="76" spans="1:15" ht="12.75" customHeight="1">
      <c r="A76" s="4" t="s">
        <v>141</v>
      </c>
      <c r="B76" s="5" t="s">
        <v>142</v>
      </c>
      <c r="C76" s="28">
        <v>4279</v>
      </c>
      <c r="D76" s="28">
        <v>3014</v>
      </c>
      <c r="E76" s="28">
        <v>36</v>
      </c>
      <c r="F76" s="28">
        <f t="shared" si="16"/>
        <v>1229</v>
      </c>
      <c r="G76" s="28">
        <v>12677</v>
      </c>
      <c r="H76" s="28">
        <v>7286</v>
      </c>
      <c r="I76" s="28">
        <v>252</v>
      </c>
      <c r="J76" s="28">
        <f t="shared" si="17"/>
        <v>5139</v>
      </c>
      <c r="K76" s="28">
        <v>446</v>
      </c>
      <c r="L76" s="28">
        <v>51</v>
      </c>
      <c r="M76" s="28">
        <v>410</v>
      </c>
      <c r="N76" s="28">
        <v>217</v>
      </c>
      <c r="O76" s="28">
        <v>217</v>
      </c>
    </row>
    <row r="77" spans="1:15" ht="12.75" customHeight="1">
      <c r="A77" s="4" t="s">
        <v>143</v>
      </c>
      <c r="B77" s="5" t="s">
        <v>144</v>
      </c>
      <c r="C77" s="28">
        <v>3407</v>
      </c>
      <c r="D77" s="28">
        <v>2065</v>
      </c>
      <c r="E77" s="28">
        <v>38</v>
      </c>
      <c r="F77" s="28">
        <f t="shared" si="16"/>
        <v>1304</v>
      </c>
      <c r="G77" s="28">
        <v>9288</v>
      </c>
      <c r="H77" s="28">
        <v>4503</v>
      </c>
      <c r="I77" s="28">
        <v>151</v>
      </c>
      <c r="J77" s="28">
        <f t="shared" si="17"/>
        <v>4634</v>
      </c>
      <c r="K77" s="28">
        <v>806</v>
      </c>
      <c r="L77" s="28">
        <v>0</v>
      </c>
      <c r="M77" s="28">
        <v>515</v>
      </c>
      <c r="N77" s="28">
        <v>100</v>
      </c>
      <c r="O77" s="28">
        <v>100</v>
      </c>
    </row>
    <row r="78" spans="1:15" ht="12.75" customHeight="1">
      <c r="A78" s="4" t="s">
        <v>145</v>
      </c>
      <c r="B78" s="5" t="s">
        <v>146</v>
      </c>
      <c r="C78" s="28">
        <v>2581</v>
      </c>
      <c r="D78" s="28">
        <v>1757</v>
      </c>
      <c r="E78" s="28">
        <v>0</v>
      </c>
      <c r="F78" s="28">
        <f t="shared" si="16"/>
        <v>824</v>
      </c>
      <c r="G78" s="28">
        <v>5803</v>
      </c>
      <c r="H78" s="28">
        <v>3639</v>
      </c>
      <c r="I78" s="28">
        <v>0</v>
      </c>
      <c r="J78" s="28">
        <f t="shared" si="17"/>
        <v>2164</v>
      </c>
      <c r="K78" s="28">
        <v>210</v>
      </c>
      <c r="L78" s="28">
        <v>0</v>
      </c>
      <c r="M78" s="28">
        <v>16</v>
      </c>
      <c r="N78" s="28">
        <v>72</v>
      </c>
      <c r="O78" s="28">
        <v>72</v>
      </c>
    </row>
    <row r="79" spans="1:15" ht="12.75" customHeight="1">
      <c r="A79" s="4" t="s">
        <v>147</v>
      </c>
      <c r="B79" s="5" t="s">
        <v>148</v>
      </c>
      <c r="C79" s="28">
        <v>2499</v>
      </c>
      <c r="D79" s="28">
        <v>1801</v>
      </c>
      <c r="E79" s="28">
        <v>27</v>
      </c>
      <c r="F79" s="28">
        <f t="shared" si="16"/>
        <v>671</v>
      </c>
      <c r="G79" s="28">
        <v>8922</v>
      </c>
      <c r="H79" s="28">
        <v>4779</v>
      </c>
      <c r="I79" s="28">
        <v>289</v>
      </c>
      <c r="J79" s="28">
        <f t="shared" si="17"/>
        <v>3854</v>
      </c>
      <c r="K79" s="28">
        <v>669</v>
      </c>
      <c r="L79" s="28">
        <v>0</v>
      </c>
      <c r="M79" s="28">
        <v>769</v>
      </c>
      <c r="N79" s="28">
        <v>80</v>
      </c>
      <c r="O79" s="28">
        <v>80</v>
      </c>
    </row>
    <row r="80" spans="1:15" ht="12.75" customHeight="1">
      <c r="A80" s="8"/>
      <c r="B80" s="9" t="s">
        <v>149</v>
      </c>
      <c r="C80" s="29">
        <f t="shared" ref="C80:O80" si="18">SUM(C70:C79)</f>
        <v>39087</v>
      </c>
      <c r="D80" s="29">
        <f t="shared" si="18"/>
        <v>28120</v>
      </c>
      <c r="E80" s="29">
        <f t="shared" si="18"/>
        <v>617</v>
      </c>
      <c r="F80" s="29">
        <f t="shared" si="18"/>
        <v>10350</v>
      </c>
      <c r="G80" s="29">
        <f t="shared" si="18"/>
        <v>111335</v>
      </c>
      <c r="H80" s="29">
        <f t="shared" si="18"/>
        <v>62413</v>
      </c>
      <c r="I80" s="29">
        <f t="shared" si="18"/>
        <v>4644</v>
      </c>
      <c r="J80" s="29">
        <f t="shared" si="18"/>
        <v>44278</v>
      </c>
      <c r="K80" s="29">
        <f t="shared" si="18"/>
        <v>6491</v>
      </c>
      <c r="L80" s="29">
        <f t="shared" si="18"/>
        <v>76</v>
      </c>
      <c r="M80" s="29">
        <f t="shared" si="18"/>
        <v>4970</v>
      </c>
      <c r="N80" s="29">
        <f t="shared" si="18"/>
        <v>7968</v>
      </c>
      <c r="O80" s="29">
        <f t="shared" si="18"/>
        <v>7968</v>
      </c>
    </row>
    <row r="81" spans="1:15" ht="12.75" customHeight="1">
      <c r="A81" s="4" t="s">
        <v>150</v>
      </c>
      <c r="B81" s="5" t="s">
        <v>151</v>
      </c>
      <c r="C81" s="28">
        <v>4345</v>
      </c>
      <c r="D81" s="28">
        <v>2709</v>
      </c>
      <c r="E81" s="28">
        <v>54</v>
      </c>
      <c r="F81" s="28">
        <f>SUM(C81-D81-E81)</f>
        <v>1582</v>
      </c>
      <c r="G81" s="28">
        <v>18829</v>
      </c>
      <c r="H81" s="28">
        <v>9353</v>
      </c>
      <c r="I81" s="28">
        <v>822</v>
      </c>
      <c r="J81" s="28">
        <f>SUM(G81-H81-I81)</f>
        <v>8654</v>
      </c>
      <c r="K81" s="28">
        <v>389</v>
      </c>
      <c r="L81" s="28">
        <v>125</v>
      </c>
      <c r="M81" s="28">
        <v>771</v>
      </c>
      <c r="N81" s="28">
        <v>226</v>
      </c>
      <c r="O81" s="28">
        <v>226</v>
      </c>
    </row>
    <row r="82" spans="1:15" ht="12.75" customHeight="1">
      <c r="A82" s="4" t="s">
        <v>152</v>
      </c>
      <c r="B82" s="5" t="s">
        <v>153</v>
      </c>
      <c r="C82" s="28">
        <v>1618</v>
      </c>
      <c r="D82" s="28">
        <v>1161</v>
      </c>
      <c r="E82" s="28">
        <v>12</v>
      </c>
      <c r="F82" s="28">
        <f>SUM(C82-D82-E82)</f>
        <v>445</v>
      </c>
      <c r="G82" s="28">
        <v>9167</v>
      </c>
      <c r="H82" s="28">
        <v>4114</v>
      </c>
      <c r="I82" s="28">
        <v>182</v>
      </c>
      <c r="J82" s="28">
        <f>SUM(G82-H82-I82)</f>
        <v>4871</v>
      </c>
      <c r="K82" s="28">
        <v>157</v>
      </c>
      <c r="L82" s="28">
        <v>0</v>
      </c>
      <c r="M82" s="28">
        <v>633</v>
      </c>
      <c r="N82" s="28">
        <v>63</v>
      </c>
      <c r="O82" s="28">
        <v>63</v>
      </c>
    </row>
    <row r="83" spans="1:15" ht="12.75" customHeight="1">
      <c r="A83" s="4" t="s">
        <v>154</v>
      </c>
      <c r="B83" s="5" t="s">
        <v>155</v>
      </c>
      <c r="C83" s="28">
        <v>533</v>
      </c>
      <c r="D83" s="28">
        <v>521</v>
      </c>
      <c r="E83" s="28">
        <v>13</v>
      </c>
      <c r="F83" s="28">
        <f>SUM(C83-D83-E83)</f>
        <v>-1</v>
      </c>
      <c r="G83" s="28">
        <v>2242</v>
      </c>
      <c r="H83" s="28">
        <v>1802</v>
      </c>
      <c r="I83" s="28">
        <v>176</v>
      </c>
      <c r="J83" s="28">
        <f>SUM(G83-H83-I83)</f>
        <v>264</v>
      </c>
      <c r="K83" s="28">
        <v>0</v>
      </c>
      <c r="L83" s="28">
        <v>0</v>
      </c>
      <c r="M83" s="28">
        <v>0</v>
      </c>
      <c r="N83" s="28">
        <v>0</v>
      </c>
      <c r="O83" s="28">
        <v>0</v>
      </c>
    </row>
    <row r="84" spans="1:15" ht="12.75" customHeight="1">
      <c r="A84" s="4" t="s">
        <v>156</v>
      </c>
      <c r="B84" s="5" t="s">
        <v>157</v>
      </c>
      <c r="C84" s="28">
        <v>1679</v>
      </c>
      <c r="D84" s="28">
        <v>1509</v>
      </c>
      <c r="E84" s="28">
        <v>11</v>
      </c>
      <c r="F84" s="28">
        <f>SUM(C84-D84-E84)</f>
        <v>159</v>
      </c>
      <c r="G84" s="28">
        <v>8868</v>
      </c>
      <c r="H84" s="28">
        <v>5474</v>
      </c>
      <c r="I84" s="28">
        <v>168</v>
      </c>
      <c r="J84" s="28">
        <f>SUM(G84-H84-I84)</f>
        <v>3226</v>
      </c>
      <c r="K84" s="28">
        <v>220</v>
      </c>
      <c r="L84" s="28">
        <v>0</v>
      </c>
      <c r="M84" s="28">
        <v>420</v>
      </c>
      <c r="N84" s="28">
        <v>28</v>
      </c>
      <c r="O84" s="28">
        <v>28</v>
      </c>
    </row>
    <row r="85" spans="1:15" ht="12.75" customHeight="1">
      <c r="A85" s="4" t="s">
        <v>158</v>
      </c>
      <c r="B85" s="5" t="s">
        <v>159</v>
      </c>
      <c r="C85" s="28">
        <v>2599</v>
      </c>
      <c r="D85" s="28">
        <v>2124</v>
      </c>
      <c r="E85" s="28">
        <v>25</v>
      </c>
      <c r="F85" s="28">
        <f>SUM(C85-D85-E85)</f>
        <v>450</v>
      </c>
      <c r="G85" s="28">
        <v>9644</v>
      </c>
      <c r="H85" s="28">
        <v>6039</v>
      </c>
      <c r="I85" s="28">
        <v>404</v>
      </c>
      <c r="J85" s="28">
        <f>SUM(G85-H85-I85)</f>
        <v>3201</v>
      </c>
      <c r="K85" s="28">
        <v>400</v>
      </c>
      <c r="L85" s="28">
        <v>42</v>
      </c>
      <c r="M85" s="28">
        <v>356</v>
      </c>
      <c r="N85" s="28">
        <v>2941</v>
      </c>
      <c r="O85" s="28">
        <v>2941</v>
      </c>
    </row>
    <row r="86" spans="1:15" ht="12.75" customHeight="1">
      <c r="A86" s="8"/>
      <c r="B86" s="9" t="s">
        <v>160</v>
      </c>
      <c r="C86" s="29">
        <f t="shared" ref="C86:O86" si="19">SUM(C81:C85)</f>
        <v>10774</v>
      </c>
      <c r="D86" s="29">
        <f t="shared" si="19"/>
        <v>8024</v>
      </c>
      <c r="E86" s="29">
        <f t="shared" si="19"/>
        <v>115</v>
      </c>
      <c r="F86" s="29">
        <f t="shared" si="19"/>
        <v>2635</v>
      </c>
      <c r="G86" s="29">
        <f t="shared" si="19"/>
        <v>48750</v>
      </c>
      <c r="H86" s="29">
        <f t="shared" si="19"/>
        <v>26782</v>
      </c>
      <c r="I86" s="29">
        <f t="shared" si="19"/>
        <v>1752</v>
      </c>
      <c r="J86" s="29">
        <f t="shared" si="19"/>
        <v>20216</v>
      </c>
      <c r="K86" s="29">
        <f t="shared" si="19"/>
        <v>1166</v>
      </c>
      <c r="L86" s="29">
        <f t="shared" si="19"/>
        <v>167</v>
      </c>
      <c r="M86" s="29">
        <f t="shared" si="19"/>
        <v>2180</v>
      </c>
      <c r="N86" s="29">
        <f t="shared" si="19"/>
        <v>3258</v>
      </c>
      <c r="O86" s="29">
        <f t="shared" si="19"/>
        <v>3258</v>
      </c>
    </row>
    <row r="87" spans="1:15" ht="12.75" customHeight="1">
      <c r="A87" s="4" t="s">
        <v>161</v>
      </c>
      <c r="B87" s="5" t="s">
        <v>162</v>
      </c>
      <c r="C87" s="28">
        <v>4520</v>
      </c>
      <c r="D87" s="28">
        <v>3420</v>
      </c>
      <c r="E87" s="28">
        <v>0</v>
      </c>
      <c r="F87" s="28">
        <f>SUM(C87-D87-E87)</f>
        <v>1100</v>
      </c>
      <c r="G87" s="28">
        <v>22358</v>
      </c>
      <c r="H87" s="28">
        <v>11098</v>
      </c>
      <c r="I87" s="28">
        <v>0</v>
      </c>
      <c r="J87" s="28">
        <f>SUM(G87-H87-I87)</f>
        <v>11260</v>
      </c>
      <c r="K87" s="28">
        <v>431</v>
      </c>
      <c r="L87" s="28">
        <v>8</v>
      </c>
      <c r="M87" s="28">
        <v>876</v>
      </c>
      <c r="N87" s="28">
        <v>164</v>
      </c>
      <c r="O87" s="28">
        <v>164</v>
      </c>
    </row>
    <row r="88" spans="1:15" ht="12.75" customHeight="1">
      <c r="A88" s="4" t="s">
        <v>163</v>
      </c>
      <c r="B88" s="5" t="s">
        <v>164</v>
      </c>
      <c r="C88" s="28">
        <v>3507</v>
      </c>
      <c r="D88" s="28">
        <v>1738</v>
      </c>
      <c r="E88" s="28">
        <v>93</v>
      </c>
      <c r="F88" s="28">
        <f>SUM(C88-D88-E88)</f>
        <v>1676</v>
      </c>
      <c r="G88" s="28">
        <v>10705</v>
      </c>
      <c r="H88" s="28">
        <v>4563</v>
      </c>
      <c r="I88" s="28">
        <v>888</v>
      </c>
      <c r="J88" s="28">
        <f>SUM(G88-H88-I88)</f>
        <v>5254</v>
      </c>
      <c r="K88" s="28">
        <v>192</v>
      </c>
      <c r="L88" s="28">
        <v>0</v>
      </c>
      <c r="M88" s="28">
        <v>362</v>
      </c>
      <c r="N88" s="28">
        <v>0</v>
      </c>
      <c r="O88" s="28">
        <v>0</v>
      </c>
    </row>
    <row r="89" spans="1:15" ht="12.75" customHeight="1">
      <c r="A89" s="8"/>
      <c r="B89" s="9" t="s">
        <v>165</v>
      </c>
      <c r="C89" s="29">
        <f t="shared" ref="C89:O89" si="20">SUM(C87:C88)</f>
        <v>8027</v>
      </c>
      <c r="D89" s="29">
        <f t="shared" si="20"/>
        <v>5158</v>
      </c>
      <c r="E89" s="29">
        <f t="shared" si="20"/>
        <v>93</v>
      </c>
      <c r="F89" s="29">
        <f t="shared" si="20"/>
        <v>2776</v>
      </c>
      <c r="G89" s="29">
        <f t="shared" si="20"/>
        <v>33063</v>
      </c>
      <c r="H89" s="29">
        <f t="shared" si="20"/>
        <v>15661</v>
      </c>
      <c r="I89" s="29">
        <f t="shared" si="20"/>
        <v>888</v>
      </c>
      <c r="J89" s="29">
        <f t="shared" si="20"/>
        <v>16514</v>
      </c>
      <c r="K89" s="29">
        <f t="shared" si="20"/>
        <v>623</v>
      </c>
      <c r="L89" s="29">
        <f t="shared" si="20"/>
        <v>8</v>
      </c>
      <c r="M89" s="29">
        <f t="shared" si="20"/>
        <v>1238</v>
      </c>
      <c r="N89" s="29">
        <f t="shared" si="20"/>
        <v>164</v>
      </c>
      <c r="O89" s="29">
        <f t="shared" si="20"/>
        <v>164</v>
      </c>
    </row>
    <row r="90" spans="1:15" ht="12.75" customHeight="1">
      <c r="A90" s="4" t="s">
        <v>166</v>
      </c>
      <c r="B90" s="5" t="s">
        <v>167</v>
      </c>
      <c r="C90" s="28">
        <v>5742</v>
      </c>
      <c r="D90" s="28">
        <v>2471</v>
      </c>
      <c r="E90" s="28">
        <v>185</v>
      </c>
      <c r="F90" s="28">
        <f>SUM(C90-D90-E90)</f>
        <v>3086</v>
      </c>
      <c r="G90" s="28">
        <v>23624</v>
      </c>
      <c r="H90" s="28">
        <v>8494</v>
      </c>
      <c r="I90" s="28">
        <v>1622</v>
      </c>
      <c r="J90" s="28">
        <f>SUM(G90-H90-I90)</f>
        <v>13508</v>
      </c>
      <c r="K90" s="28">
        <v>287</v>
      </c>
      <c r="L90" s="28">
        <v>0</v>
      </c>
      <c r="M90" s="28">
        <v>1004</v>
      </c>
      <c r="N90" s="28">
        <v>54</v>
      </c>
      <c r="O90" s="28">
        <v>54</v>
      </c>
    </row>
    <row r="91" spans="1:15" ht="12.75" customHeight="1">
      <c r="A91" s="4" t="s">
        <v>168</v>
      </c>
      <c r="B91" s="5" t="s">
        <v>169</v>
      </c>
      <c r="C91" s="28">
        <v>4810</v>
      </c>
      <c r="D91" s="28">
        <v>3418</v>
      </c>
      <c r="E91" s="28">
        <v>0</v>
      </c>
      <c r="F91" s="28">
        <f>SUM(C91-D91-E91)</f>
        <v>1392</v>
      </c>
      <c r="G91" s="28">
        <v>21399</v>
      </c>
      <c r="H91" s="28">
        <v>9406</v>
      </c>
      <c r="I91" s="28">
        <v>0</v>
      </c>
      <c r="J91" s="28">
        <f>SUM(G91-H91-I91)</f>
        <v>11993</v>
      </c>
      <c r="K91" s="28">
        <v>137</v>
      </c>
      <c r="L91" s="28">
        <v>23</v>
      </c>
      <c r="M91" s="28">
        <v>1619</v>
      </c>
      <c r="N91" s="28">
        <v>33</v>
      </c>
      <c r="O91" s="28">
        <v>33</v>
      </c>
    </row>
    <row r="92" spans="1:15" ht="12.75" customHeight="1">
      <c r="A92" s="4" t="s">
        <v>170</v>
      </c>
      <c r="B92" s="5" t="s">
        <v>171</v>
      </c>
      <c r="C92" s="28">
        <v>818</v>
      </c>
      <c r="D92" s="28">
        <v>665</v>
      </c>
      <c r="E92" s="28">
        <v>84</v>
      </c>
      <c r="F92" s="28">
        <f>SUM(C92-D92-E92)</f>
        <v>69</v>
      </c>
      <c r="G92" s="28">
        <v>3403</v>
      </c>
      <c r="H92" s="28">
        <v>1958</v>
      </c>
      <c r="I92" s="28">
        <v>869</v>
      </c>
      <c r="J92" s="28">
        <f>SUM(G92-H92-I92)</f>
        <v>576</v>
      </c>
      <c r="K92" s="28">
        <v>101</v>
      </c>
      <c r="L92" s="28">
        <v>0</v>
      </c>
      <c r="M92" s="28">
        <v>116</v>
      </c>
      <c r="N92" s="28">
        <v>29</v>
      </c>
      <c r="O92" s="28">
        <v>29</v>
      </c>
    </row>
    <row r="93" spans="1:15" ht="12.75" customHeight="1">
      <c r="A93" s="4" t="s">
        <v>172</v>
      </c>
      <c r="B93" s="5" t="s">
        <v>173</v>
      </c>
      <c r="C93" s="28">
        <v>52966</v>
      </c>
      <c r="D93" s="28">
        <v>34291</v>
      </c>
      <c r="E93" s="28">
        <v>1956</v>
      </c>
      <c r="F93" s="28">
        <f>SUM(C93-D93-E93)</f>
        <v>16719</v>
      </c>
      <c r="G93" s="28">
        <v>155879</v>
      </c>
      <c r="H93" s="28">
        <v>60663</v>
      </c>
      <c r="I93" s="28">
        <v>6953</v>
      </c>
      <c r="J93" s="28">
        <f>SUM(G93-H93-I93)</f>
        <v>88263</v>
      </c>
      <c r="K93" s="28">
        <v>19172</v>
      </c>
      <c r="L93" s="28">
        <v>0</v>
      </c>
      <c r="M93" s="28">
        <v>6422</v>
      </c>
      <c r="N93" s="28">
        <v>2189</v>
      </c>
      <c r="O93" s="28">
        <v>2189</v>
      </c>
    </row>
    <row r="94" spans="1:15" ht="12.75" customHeight="1">
      <c r="A94" s="4" t="s">
        <v>174</v>
      </c>
      <c r="B94" s="5" t="s">
        <v>175</v>
      </c>
      <c r="C94" s="28">
        <v>3312</v>
      </c>
      <c r="D94" s="28">
        <v>957</v>
      </c>
      <c r="E94" s="28">
        <v>24</v>
      </c>
      <c r="F94" s="28">
        <f>SUM(C94-D94-E94)</f>
        <v>2331</v>
      </c>
      <c r="G94" s="28">
        <v>10392</v>
      </c>
      <c r="H94" s="28">
        <v>3271</v>
      </c>
      <c r="I94" s="28">
        <v>474</v>
      </c>
      <c r="J94" s="28">
        <f>SUM(G94-H94-I94)</f>
        <v>6647</v>
      </c>
      <c r="K94" s="28">
        <v>210</v>
      </c>
      <c r="L94" s="28">
        <v>33</v>
      </c>
      <c r="M94" s="28">
        <v>1009</v>
      </c>
      <c r="N94" s="28">
        <v>26</v>
      </c>
      <c r="O94" s="28">
        <v>26</v>
      </c>
    </row>
    <row r="95" spans="1:15" ht="12.75" customHeight="1">
      <c r="A95" s="8"/>
      <c r="B95" s="9" t="s">
        <v>176</v>
      </c>
      <c r="C95" s="29">
        <f t="shared" ref="C95:O95" si="21">SUM(C90:C94)</f>
        <v>67648</v>
      </c>
      <c r="D95" s="29">
        <f t="shared" si="21"/>
        <v>41802</v>
      </c>
      <c r="E95" s="29">
        <f t="shared" si="21"/>
        <v>2249</v>
      </c>
      <c r="F95" s="29">
        <f t="shared" si="21"/>
        <v>23597</v>
      </c>
      <c r="G95" s="29">
        <f t="shared" si="21"/>
        <v>214697</v>
      </c>
      <c r="H95" s="29">
        <f t="shared" si="21"/>
        <v>83792</v>
      </c>
      <c r="I95" s="29">
        <f t="shared" si="21"/>
        <v>9918</v>
      </c>
      <c r="J95" s="29">
        <f t="shared" si="21"/>
        <v>120987</v>
      </c>
      <c r="K95" s="29">
        <f t="shared" si="21"/>
        <v>19907</v>
      </c>
      <c r="L95" s="29">
        <f t="shared" si="21"/>
        <v>56</v>
      </c>
      <c r="M95" s="29">
        <f t="shared" si="21"/>
        <v>10170</v>
      </c>
      <c r="N95" s="29">
        <f t="shared" si="21"/>
        <v>2331</v>
      </c>
      <c r="O95" s="29">
        <f t="shared" si="21"/>
        <v>2331</v>
      </c>
    </row>
    <row r="96" spans="1:15" ht="12.75" customHeight="1">
      <c r="A96" s="4" t="s">
        <v>177</v>
      </c>
      <c r="B96" s="5" t="s">
        <v>178</v>
      </c>
      <c r="C96" s="28">
        <v>910</v>
      </c>
      <c r="D96" s="28">
        <v>679</v>
      </c>
      <c r="E96" s="28">
        <v>14</v>
      </c>
      <c r="F96" s="28">
        <f>SUM(C96-D96-E96)</f>
        <v>217</v>
      </c>
      <c r="G96" s="28">
        <v>5002</v>
      </c>
      <c r="H96" s="28">
        <v>2882</v>
      </c>
      <c r="I96" s="28">
        <v>173</v>
      </c>
      <c r="J96" s="28">
        <f>SUM(G96-H96-I96)</f>
        <v>1947</v>
      </c>
      <c r="K96" s="28">
        <v>0</v>
      </c>
      <c r="L96" s="28">
        <v>0</v>
      </c>
      <c r="M96" s="28">
        <v>805</v>
      </c>
      <c r="N96" s="28">
        <v>0</v>
      </c>
      <c r="O96" s="28">
        <v>0</v>
      </c>
    </row>
    <row r="97" spans="1:15" ht="12.75" customHeight="1">
      <c r="A97" s="4" t="s">
        <v>179</v>
      </c>
      <c r="B97" s="5" t="s">
        <v>180</v>
      </c>
      <c r="C97" s="28">
        <v>300</v>
      </c>
      <c r="D97" s="28">
        <v>275</v>
      </c>
      <c r="E97" s="28">
        <v>0</v>
      </c>
      <c r="F97" s="28">
        <f>SUM(C97-D97-E97)</f>
        <v>25</v>
      </c>
      <c r="G97" s="28">
        <v>1215</v>
      </c>
      <c r="H97" s="28">
        <v>1017</v>
      </c>
      <c r="I97" s="28">
        <v>0</v>
      </c>
      <c r="J97" s="28">
        <f>SUM(G97-H97-I97)</f>
        <v>198</v>
      </c>
      <c r="K97" s="28">
        <v>0</v>
      </c>
      <c r="L97" s="28">
        <v>0</v>
      </c>
      <c r="M97" s="28">
        <v>62</v>
      </c>
      <c r="N97" s="28">
        <v>0</v>
      </c>
      <c r="O97" s="28">
        <v>0</v>
      </c>
    </row>
    <row r="98" spans="1:15" ht="12.75" customHeight="1">
      <c r="A98" s="8"/>
      <c r="B98" s="9" t="s">
        <v>181</v>
      </c>
      <c r="C98" s="29">
        <f t="shared" ref="C98:O98" si="22">SUM(C96:C97)</f>
        <v>1210</v>
      </c>
      <c r="D98" s="29">
        <f t="shared" si="22"/>
        <v>954</v>
      </c>
      <c r="E98" s="29">
        <f t="shared" si="22"/>
        <v>14</v>
      </c>
      <c r="F98" s="29">
        <f t="shared" si="22"/>
        <v>242</v>
      </c>
      <c r="G98" s="29">
        <f t="shared" si="22"/>
        <v>6217</v>
      </c>
      <c r="H98" s="29">
        <f t="shared" si="22"/>
        <v>3899</v>
      </c>
      <c r="I98" s="29">
        <f t="shared" si="22"/>
        <v>173</v>
      </c>
      <c r="J98" s="29">
        <f t="shared" si="22"/>
        <v>2145</v>
      </c>
      <c r="K98" s="29">
        <f t="shared" si="22"/>
        <v>0</v>
      </c>
      <c r="L98" s="29">
        <f t="shared" si="22"/>
        <v>0</v>
      </c>
      <c r="M98" s="29">
        <f t="shared" si="22"/>
        <v>867</v>
      </c>
      <c r="N98" s="29">
        <f t="shared" si="22"/>
        <v>0</v>
      </c>
      <c r="O98" s="29">
        <f t="shared" si="22"/>
        <v>0</v>
      </c>
    </row>
    <row r="99" spans="1:15" ht="12.75" customHeight="1">
      <c r="A99" s="4" t="s">
        <v>182</v>
      </c>
      <c r="B99" s="5" t="s">
        <v>183</v>
      </c>
      <c r="C99" s="28">
        <v>2347</v>
      </c>
      <c r="D99" s="28">
        <v>1968</v>
      </c>
      <c r="E99" s="28">
        <v>14</v>
      </c>
      <c r="F99" s="28">
        <f>SUM(C99-D99-E99)</f>
        <v>365</v>
      </c>
      <c r="G99" s="28">
        <v>11958</v>
      </c>
      <c r="H99" s="28">
        <v>6837</v>
      </c>
      <c r="I99" s="28">
        <v>438</v>
      </c>
      <c r="J99" s="28">
        <f>SUM(G99-H99-I99)</f>
        <v>4683</v>
      </c>
      <c r="K99" s="28">
        <v>46</v>
      </c>
      <c r="L99" s="28">
        <v>0</v>
      </c>
      <c r="M99" s="28">
        <v>954</v>
      </c>
      <c r="N99" s="28">
        <v>40</v>
      </c>
      <c r="O99" s="28">
        <v>40</v>
      </c>
    </row>
    <row r="100" spans="1:15" ht="12.75" customHeight="1">
      <c r="A100" s="4" t="s">
        <v>184</v>
      </c>
      <c r="B100" s="5" t="s">
        <v>185</v>
      </c>
      <c r="C100" s="28">
        <v>1977</v>
      </c>
      <c r="D100" s="28">
        <v>1166</v>
      </c>
      <c r="E100" s="28">
        <v>65</v>
      </c>
      <c r="F100" s="28">
        <f>SUM(C100-D100-E100)</f>
        <v>746</v>
      </c>
      <c r="G100" s="28">
        <v>8171</v>
      </c>
      <c r="H100" s="28">
        <v>3456</v>
      </c>
      <c r="I100" s="28">
        <v>448</v>
      </c>
      <c r="J100" s="28">
        <f>SUM(G100-H100-I100)</f>
        <v>4267</v>
      </c>
      <c r="K100" s="28">
        <v>430</v>
      </c>
      <c r="L100" s="28">
        <v>0</v>
      </c>
      <c r="M100" s="28">
        <v>229</v>
      </c>
      <c r="N100" s="28">
        <v>13</v>
      </c>
      <c r="O100" s="28">
        <v>13</v>
      </c>
    </row>
    <row r="101" spans="1:15" ht="12.75" customHeight="1">
      <c r="A101" s="4" t="s">
        <v>186</v>
      </c>
      <c r="B101" s="5" t="s">
        <v>187</v>
      </c>
      <c r="C101" s="28">
        <v>1164</v>
      </c>
      <c r="D101" s="28">
        <v>1043</v>
      </c>
      <c r="E101" s="28">
        <v>0</v>
      </c>
      <c r="F101" s="28">
        <f>SUM(C101-D101-E101)</f>
        <v>121</v>
      </c>
      <c r="G101" s="28">
        <v>4624</v>
      </c>
      <c r="H101" s="28">
        <v>3052</v>
      </c>
      <c r="I101" s="28">
        <v>0</v>
      </c>
      <c r="J101" s="28">
        <f>SUM(G101-H101-I101)</f>
        <v>1572</v>
      </c>
      <c r="K101" s="28">
        <v>28</v>
      </c>
      <c r="L101" s="28">
        <v>0</v>
      </c>
      <c r="M101" s="28">
        <v>286</v>
      </c>
      <c r="N101" s="28">
        <v>29</v>
      </c>
      <c r="O101" s="28">
        <v>29</v>
      </c>
    </row>
    <row r="102" spans="1:15" ht="12.75" customHeight="1">
      <c r="A102" s="4" t="s">
        <v>188</v>
      </c>
      <c r="B102" s="5" t="s">
        <v>189</v>
      </c>
      <c r="C102" s="28">
        <v>1934</v>
      </c>
      <c r="D102" s="28">
        <v>1706</v>
      </c>
      <c r="E102" s="28">
        <v>44</v>
      </c>
      <c r="F102" s="28">
        <f>SUM(C102-D102-E102)</f>
        <v>184</v>
      </c>
      <c r="G102" s="28">
        <v>8036</v>
      </c>
      <c r="H102" s="28">
        <v>4857</v>
      </c>
      <c r="I102" s="28">
        <v>782</v>
      </c>
      <c r="J102" s="28">
        <f>SUM(G102-H102-I102)</f>
        <v>2397</v>
      </c>
      <c r="K102" s="28">
        <v>428</v>
      </c>
      <c r="L102" s="28">
        <v>0</v>
      </c>
      <c r="M102" s="28">
        <v>353</v>
      </c>
      <c r="N102" s="28">
        <v>0</v>
      </c>
      <c r="O102" s="28">
        <v>0</v>
      </c>
    </row>
    <row r="103" spans="1:15" ht="12.75" customHeight="1">
      <c r="A103" s="8"/>
      <c r="B103" s="9" t="s">
        <v>190</v>
      </c>
      <c r="C103" s="29">
        <f t="shared" ref="C103:O103" si="23">SUM(C99:C102)</f>
        <v>7422</v>
      </c>
      <c r="D103" s="29">
        <f t="shared" si="23"/>
        <v>5883</v>
      </c>
      <c r="E103" s="29">
        <f t="shared" si="23"/>
        <v>123</v>
      </c>
      <c r="F103" s="29">
        <f t="shared" si="23"/>
        <v>1416</v>
      </c>
      <c r="G103" s="29">
        <f t="shared" si="23"/>
        <v>32789</v>
      </c>
      <c r="H103" s="29">
        <f t="shared" si="23"/>
        <v>18202</v>
      </c>
      <c r="I103" s="29">
        <f t="shared" si="23"/>
        <v>1668</v>
      </c>
      <c r="J103" s="29">
        <f t="shared" si="23"/>
        <v>12919</v>
      </c>
      <c r="K103" s="29">
        <f t="shared" si="23"/>
        <v>932</v>
      </c>
      <c r="L103" s="29">
        <f t="shared" si="23"/>
        <v>0</v>
      </c>
      <c r="M103" s="29">
        <f t="shared" si="23"/>
        <v>1822</v>
      </c>
      <c r="N103" s="29">
        <f t="shared" si="23"/>
        <v>82</v>
      </c>
      <c r="O103" s="29">
        <f t="shared" si="23"/>
        <v>82</v>
      </c>
    </row>
    <row r="104" spans="1:15" ht="12.75" customHeight="1">
      <c r="A104" s="4" t="s">
        <v>191</v>
      </c>
      <c r="B104" s="5" t="s">
        <v>192</v>
      </c>
      <c r="C104" s="28">
        <v>1448</v>
      </c>
      <c r="D104" s="28">
        <v>1234</v>
      </c>
      <c r="E104" s="28">
        <v>26</v>
      </c>
      <c r="F104" s="28">
        <f>SUM(C104-D104-E104)</f>
        <v>188</v>
      </c>
      <c r="G104" s="28">
        <v>7076</v>
      </c>
      <c r="H104" s="28">
        <v>4385</v>
      </c>
      <c r="I104" s="28">
        <v>372</v>
      </c>
      <c r="J104" s="28">
        <f>SUM(G104-H104-I104)</f>
        <v>2319</v>
      </c>
      <c r="K104" s="28">
        <v>88</v>
      </c>
      <c r="L104" s="28">
        <v>0</v>
      </c>
      <c r="M104" s="28">
        <v>43</v>
      </c>
      <c r="N104" s="28">
        <v>17</v>
      </c>
      <c r="O104" s="28">
        <v>17</v>
      </c>
    </row>
    <row r="105" spans="1:15" ht="12.75" customHeight="1">
      <c r="A105" s="4" t="s">
        <v>193</v>
      </c>
      <c r="B105" s="5" t="s">
        <v>194</v>
      </c>
      <c r="C105" s="28">
        <v>1328</v>
      </c>
      <c r="D105" s="28">
        <v>700</v>
      </c>
      <c r="E105" s="28">
        <v>0</v>
      </c>
      <c r="F105" s="28">
        <f>SUM(C105-D105-E105)</f>
        <v>628</v>
      </c>
      <c r="G105" s="28">
        <v>5711</v>
      </c>
      <c r="H105" s="28">
        <v>2551</v>
      </c>
      <c r="I105" s="28">
        <v>0</v>
      </c>
      <c r="J105" s="28">
        <f>SUM(G105-H105-I105)</f>
        <v>3160</v>
      </c>
      <c r="K105" s="28">
        <v>73</v>
      </c>
      <c r="L105" s="28">
        <v>0</v>
      </c>
      <c r="M105" s="28">
        <v>21</v>
      </c>
      <c r="N105" s="28">
        <v>48</v>
      </c>
      <c r="O105" s="28">
        <v>48</v>
      </c>
    </row>
    <row r="106" spans="1:15" ht="12.75" customHeight="1">
      <c r="A106" s="4" t="s">
        <v>195</v>
      </c>
      <c r="B106" s="5" t="s">
        <v>196</v>
      </c>
      <c r="C106" s="28">
        <v>5969</v>
      </c>
      <c r="D106" s="28">
        <v>3918</v>
      </c>
      <c r="E106" s="28">
        <v>116</v>
      </c>
      <c r="F106" s="28">
        <f>SUM(C106-D106-E106)</f>
        <v>1935</v>
      </c>
      <c r="G106" s="28">
        <v>25643</v>
      </c>
      <c r="H106" s="28">
        <v>11770</v>
      </c>
      <c r="I106" s="28">
        <v>961</v>
      </c>
      <c r="J106" s="28">
        <f>SUM(G106-H106-I106)</f>
        <v>12912</v>
      </c>
      <c r="K106" s="28">
        <v>88</v>
      </c>
      <c r="L106" s="28">
        <v>0</v>
      </c>
      <c r="M106" s="28">
        <v>2762</v>
      </c>
      <c r="N106" s="28">
        <v>66</v>
      </c>
      <c r="O106" s="28">
        <v>66</v>
      </c>
    </row>
    <row r="107" spans="1:15" ht="12.75" customHeight="1">
      <c r="A107" s="4" t="s">
        <v>197</v>
      </c>
      <c r="B107" s="5" t="s">
        <v>198</v>
      </c>
      <c r="C107" s="28">
        <v>17552</v>
      </c>
      <c r="D107" s="28">
        <v>12342</v>
      </c>
      <c r="E107" s="28">
        <v>449</v>
      </c>
      <c r="F107" s="28">
        <f>SUM(C107-D107-E107)</f>
        <v>4761</v>
      </c>
      <c r="G107" s="28">
        <v>50205</v>
      </c>
      <c r="H107" s="28">
        <v>25148</v>
      </c>
      <c r="I107" s="28">
        <v>1262</v>
      </c>
      <c r="J107" s="28">
        <f>SUM(G107-H107-I107)</f>
        <v>23795</v>
      </c>
      <c r="K107" s="28">
        <v>2604</v>
      </c>
      <c r="L107" s="28">
        <v>0</v>
      </c>
      <c r="M107" s="28">
        <v>339</v>
      </c>
      <c r="N107" s="28">
        <v>1069</v>
      </c>
      <c r="O107" s="28">
        <v>1069</v>
      </c>
    </row>
    <row r="108" spans="1:15" ht="12.75" customHeight="1">
      <c r="A108" s="4" t="s">
        <v>199</v>
      </c>
      <c r="B108" s="5" t="s">
        <v>200</v>
      </c>
      <c r="C108" s="28">
        <v>6166</v>
      </c>
      <c r="D108" s="28">
        <v>3352</v>
      </c>
      <c r="E108" s="28">
        <v>92</v>
      </c>
      <c r="F108" s="28">
        <f>SUM(C108-D108-E108)</f>
        <v>2722</v>
      </c>
      <c r="G108" s="28">
        <v>40890</v>
      </c>
      <c r="H108" s="28">
        <v>11391</v>
      </c>
      <c r="I108" s="28">
        <v>1018</v>
      </c>
      <c r="J108" s="28">
        <f>SUM(G108-H108-I108)</f>
        <v>28481</v>
      </c>
      <c r="K108" s="28">
        <v>275</v>
      </c>
      <c r="L108" s="28">
        <v>0</v>
      </c>
      <c r="M108" s="28">
        <v>635</v>
      </c>
      <c r="N108" s="28">
        <v>510</v>
      </c>
      <c r="O108" s="28">
        <v>510</v>
      </c>
    </row>
    <row r="109" spans="1:15" ht="12.75" customHeight="1">
      <c r="A109" s="8"/>
      <c r="B109" s="9" t="s">
        <v>201</v>
      </c>
      <c r="C109" s="29">
        <f t="shared" ref="C109:O109" si="24">SUM(C104:C108)</f>
        <v>32463</v>
      </c>
      <c r="D109" s="29">
        <f t="shared" si="24"/>
        <v>21546</v>
      </c>
      <c r="E109" s="29">
        <f t="shared" si="24"/>
        <v>683</v>
      </c>
      <c r="F109" s="29">
        <f t="shared" si="24"/>
        <v>10234</v>
      </c>
      <c r="G109" s="29">
        <f t="shared" si="24"/>
        <v>129525</v>
      </c>
      <c r="H109" s="29">
        <f t="shared" si="24"/>
        <v>55245</v>
      </c>
      <c r="I109" s="29">
        <f t="shared" si="24"/>
        <v>3613</v>
      </c>
      <c r="J109" s="29">
        <f t="shared" si="24"/>
        <v>70667</v>
      </c>
      <c r="K109" s="29">
        <f t="shared" si="24"/>
        <v>3128</v>
      </c>
      <c r="L109" s="29">
        <f t="shared" si="24"/>
        <v>0</v>
      </c>
      <c r="M109" s="29">
        <f t="shared" si="24"/>
        <v>3800</v>
      </c>
      <c r="N109" s="29">
        <f t="shared" si="24"/>
        <v>1710</v>
      </c>
      <c r="O109" s="29">
        <f t="shared" si="24"/>
        <v>1710</v>
      </c>
    </row>
    <row r="110" spans="1:15" ht="12.75" customHeight="1">
      <c r="A110" s="4" t="s">
        <v>202</v>
      </c>
      <c r="B110" s="5" t="s">
        <v>203</v>
      </c>
      <c r="C110" s="28">
        <v>8930</v>
      </c>
      <c r="D110" s="28">
        <v>7473</v>
      </c>
      <c r="E110" s="28">
        <v>30</v>
      </c>
      <c r="F110" s="28">
        <f t="shared" ref="F110:F115" si="25">SUM(C110-D110-E110)</f>
        <v>1427</v>
      </c>
      <c r="G110" s="28">
        <v>41838</v>
      </c>
      <c r="H110" s="28">
        <v>25785</v>
      </c>
      <c r="I110" s="28">
        <v>469</v>
      </c>
      <c r="J110" s="28">
        <f t="shared" ref="J110:J115" si="26">SUM(G110-H110-I110)</f>
        <v>15584</v>
      </c>
      <c r="K110" s="28">
        <v>719</v>
      </c>
      <c r="L110" s="28">
        <v>0</v>
      </c>
      <c r="M110" s="28">
        <v>2916</v>
      </c>
      <c r="N110" s="28">
        <v>135</v>
      </c>
      <c r="O110" s="28">
        <v>135</v>
      </c>
    </row>
    <row r="111" spans="1:15" ht="12.75" customHeight="1">
      <c r="A111" s="4" t="s">
        <v>204</v>
      </c>
      <c r="B111" s="5" t="s">
        <v>205</v>
      </c>
      <c r="C111" s="28">
        <v>1126</v>
      </c>
      <c r="D111" s="28">
        <v>1062</v>
      </c>
      <c r="E111" s="28">
        <v>7</v>
      </c>
      <c r="F111" s="28">
        <f t="shared" si="25"/>
        <v>57</v>
      </c>
      <c r="G111" s="28">
        <v>3890</v>
      </c>
      <c r="H111" s="28">
        <v>3531</v>
      </c>
      <c r="I111" s="28">
        <v>147</v>
      </c>
      <c r="J111" s="28">
        <f t="shared" si="26"/>
        <v>212</v>
      </c>
      <c r="K111" s="28">
        <v>0</v>
      </c>
      <c r="L111" s="28">
        <v>0</v>
      </c>
      <c r="M111" s="28">
        <v>113</v>
      </c>
      <c r="N111" s="28">
        <v>50</v>
      </c>
      <c r="O111" s="28">
        <v>50</v>
      </c>
    </row>
    <row r="112" spans="1:15" ht="12.75" customHeight="1">
      <c r="A112" s="4" t="s">
        <v>206</v>
      </c>
      <c r="B112" s="5" t="s">
        <v>207</v>
      </c>
      <c r="C112" s="28">
        <v>2775</v>
      </c>
      <c r="D112" s="28">
        <v>2074</v>
      </c>
      <c r="E112" s="28">
        <v>0</v>
      </c>
      <c r="F112" s="28">
        <f t="shared" si="25"/>
        <v>701</v>
      </c>
      <c r="G112" s="28">
        <v>10327</v>
      </c>
      <c r="H112" s="28">
        <v>6808</v>
      </c>
      <c r="I112" s="28">
        <v>0</v>
      </c>
      <c r="J112" s="28">
        <f t="shared" si="26"/>
        <v>3519</v>
      </c>
      <c r="K112" s="28">
        <v>3098</v>
      </c>
      <c r="L112" s="28">
        <v>0</v>
      </c>
      <c r="M112" s="28">
        <v>693</v>
      </c>
      <c r="N112" s="28">
        <v>0</v>
      </c>
      <c r="O112" s="28">
        <v>0</v>
      </c>
    </row>
    <row r="113" spans="1:15" ht="12.75" customHeight="1">
      <c r="A113" s="4" t="s">
        <v>208</v>
      </c>
      <c r="B113" s="5" t="s">
        <v>209</v>
      </c>
      <c r="C113" s="28">
        <v>2642</v>
      </c>
      <c r="D113" s="28">
        <v>1692</v>
      </c>
      <c r="E113" s="28">
        <v>26</v>
      </c>
      <c r="F113" s="28">
        <f t="shared" si="25"/>
        <v>924</v>
      </c>
      <c r="G113" s="28">
        <v>11752</v>
      </c>
      <c r="H113" s="28">
        <v>5550</v>
      </c>
      <c r="I113" s="28">
        <v>252</v>
      </c>
      <c r="J113" s="28">
        <f t="shared" si="26"/>
        <v>5950</v>
      </c>
      <c r="K113" s="28">
        <v>416</v>
      </c>
      <c r="L113" s="28">
        <v>0</v>
      </c>
      <c r="M113" s="28">
        <v>1325</v>
      </c>
      <c r="N113" s="28">
        <v>13</v>
      </c>
      <c r="O113" s="28">
        <v>13</v>
      </c>
    </row>
    <row r="114" spans="1:15" ht="12.75" customHeight="1">
      <c r="A114" s="4" t="s">
        <v>210</v>
      </c>
      <c r="B114" s="5" t="s">
        <v>211</v>
      </c>
      <c r="C114" s="28">
        <v>6117</v>
      </c>
      <c r="D114" s="28">
        <v>4366</v>
      </c>
      <c r="E114" s="28">
        <v>0</v>
      </c>
      <c r="F114" s="28">
        <f t="shared" si="25"/>
        <v>1751</v>
      </c>
      <c r="G114" s="28">
        <v>19152</v>
      </c>
      <c r="H114" s="28">
        <v>11196</v>
      </c>
      <c r="I114" s="28">
        <v>0</v>
      </c>
      <c r="J114" s="28">
        <f t="shared" si="26"/>
        <v>7956</v>
      </c>
      <c r="K114" s="28">
        <v>1112</v>
      </c>
      <c r="L114" s="28">
        <v>0</v>
      </c>
      <c r="M114" s="28">
        <v>1969</v>
      </c>
      <c r="N114" s="28">
        <v>82</v>
      </c>
      <c r="O114" s="28">
        <v>82</v>
      </c>
    </row>
    <row r="115" spans="1:15" ht="12.75" customHeight="1">
      <c r="A115" s="4" t="s">
        <v>212</v>
      </c>
      <c r="B115" s="5" t="s">
        <v>213</v>
      </c>
      <c r="C115" s="28">
        <v>4275</v>
      </c>
      <c r="D115" s="28">
        <v>3669</v>
      </c>
      <c r="E115" s="28">
        <v>0</v>
      </c>
      <c r="F115" s="28">
        <f t="shared" si="25"/>
        <v>606</v>
      </c>
      <c r="G115" s="28">
        <v>15727</v>
      </c>
      <c r="H115" s="28">
        <v>11857</v>
      </c>
      <c r="I115" s="28">
        <v>0</v>
      </c>
      <c r="J115" s="28">
        <f t="shared" si="26"/>
        <v>3870</v>
      </c>
      <c r="K115" s="28">
        <v>879</v>
      </c>
      <c r="L115" s="28">
        <v>0</v>
      </c>
      <c r="M115" s="28">
        <v>1351</v>
      </c>
      <c r="N115" s="28">
        <v>110</v>
      </c>
      <c r="O115" s="28">
        <v>110</v>
      </c>
    </row>
    <row r="116" spans="1:15" ht="12.75" customHeight="1">
      <c r="A116" s="8"/>
      <c r="B116" s="9" t="s">
        <v>214</v>
      </c>
      <c r="C116" s="29">
        <f t="shared" ref="C116:O116" si="27">SUM(C110:C115)</f>
        <v>25865</v>
      </c>
      <c r="D116" s="29">
        <f t="shared" si="27"/>
        <v>20336</v>
      </c>
      <c r="E116" s="29">
        <f t="shared" si="27"/>
        <v>63</v>
      </c>
      <c r="F116" s="29">
        <f t="shared" si="27"/>
        <v>5466</v>
      </c>
      <c r="G116" s="29">
        <f t="shared" si="27"/>
        <v>102686</v>
      </c>
      <c r="H116" s="29">
        <f t="shared" si="27"/>
        <v>64727</v>
      </c>
      <c r="I116" s="29">
        <f t="shared" si="27"/>
        <v>868</v>
      </c>
      <c r="J116" s="29">
        <f t="shared" si="27"/>
        <v>37091</v>
      </c>
      <c r="K116" s="29">
        <f t="shared" si="27"/>
        <v>6224</v>
      </c>
      <c r="L116" s="29">
        <f t="shared" si="27"/>
        <v>0</v>
      </c>
      <c r="M116" s="29">
        <f t="shared" si="27"/>
        <v>8367</v>
      </c>
      <c r="N116" s="29">
        <f t="shared" si="27"/>
        <v>390</v>
      </c>
      <c r="O116" s="29">
        <f t="shared" si="27"/>
        <v>390</v>
      </c>
    </row>
    <row r="117" spans="1:15" ht="12.75" customHeight="1">
      <c r="A117" s="4" t="s">
        <v>215</v>
      </c>
      <c r="B117" s="5" t="s">
        <v>216</v>
      </c>
      <c r="C117" s="28">
        <v>986</v>
      </c>
      <c r="D117" s="28">
        <v>698</v>
      </c>
      <c r="E117" s="28">
        <v>0</v>
      </c>
      <c r="F117" s="28">
        <f>SUM(C117-D117-E117)</f>
        <v>288</v>
      </c>
      <c r="G117" s="28">
        <v>4532</v>
      </c>
      <c r="H117" s="28">
        <v>2734</v>
      </c>
      <c r="I117" s="28">
        <v>0</v>
      </c>
      <c r="J117" s="28">
        <f>SUM(G117-H117-I117)</f>
        <v>1798</v>
      </c>
      <c r="K117" s="28">
        <v>0</v>
      </c>
      <c r="L117" s="28">
        <v>0</v>
      </c>
      <c r="M117" s="28">
        <v>748</v>
      </c>
      <c r="N117" s="28">
        <v>27</v>
      </c>
      <c r="O117" s="28">
        <v>27</v>
      </c>
    </row>
    <row r="118" spans="1:15" ht="12.75" customHeight="1">
      <c r="A118" s="4" t="s">
        <v>217</v>
      </c>
      <c r="B118" s="5" t="s">
        <v>218</v>
      </c>
      <c r="C118" s="28">
        <v>2319</v>
      </c>
      <c r="D118" s="28">
        <v>1892</v>
      </c>
      <c r="E118" s="28">
        <v>26</v>
      </c>
      <c r="F118" s="28">
        <f>SUM(C118-D118-E118)</f>
        <v>401</v>
      </c>
      <c r="G118" s="28">
        <v>9537</v>
      </c>
      <c r="H118" s="28">
        <v>6139</v>
      </c>
      <c r="I118" s="28">
        <v>304</v>
      </c>
      <c r="J118" s="28">
        <f>SUM(G118-H118-I118)</f>
        <v>3094</v>
      </c>
      <c r="K118" s="28">
        <v>51</v>
      </c>
      <c r="L118" s="28">
        <v>0</v>
      </c>
      <c r="M118" s="28">
        <v>506</v>
      </c>
      <c r="N118" s="28">
        <v>39</v>
      </c>
      <c r="O118" s="28">
        <v>39</v>
      </c>
    </row>
    <row r="119" spans="1:15" ht="12.75" customHeight="1">
      <c r="A119" s="8"/>
      <c r="B119" s="9" t="s">
        <v>219</v>
      </c>
      <c r="C119" s="29">
        <f t="shared" ref="C119:O119" si="28">SUM(C117:C118)</f>
        <v>3305</v>
      </c>
      <c r="D119" s="29">
        <f t="shared" si="28"/>
        <v>2590</v>
      </c>
      <c r="E119" s="29">
        <f t="shared" si="28"/>
        <v>26</v>
      </c>
      <c r="F119" s="29">
        <f t="shared" si="28"/>
        <v>689</v>
      </c>
      <c r="G119" s="29">
        <f t="shared" si="28"/>
        <v>14069</v>
      </c>
      <c r="H119" s="29">
        <f t="shared" si="28"/>
        <v>8873</v>
      </c>
      <c r="I119" s="29">
        <f t="shared" si="28"/>
        <v>304</v>
      </c>
      <c r="J119" s="29">
        <f t="shared" si="28"/>
        <v>4892</v>
      </c>
      <c r="K119" s="29">
        <f t="shared" si="28"/>
        <v>51</v>
      </c>
      <c r="L119" s="29">
        <f t="shared" si="28"/>
        <v>0</v>
      </c>
      <c r="M119" s="29">
        <f t="shared" si="28"/>
        <v>1254</v>
      </c>
      <c r="N119" s="29">
        <f t="shared" si="28"/>
        <v>66</v>
      </c>
      <c r="O119" s="29">
        <f t="shared" si="28"/>
        <v>66</v>
      </c>
    </row>
    <row r="120" spans="1:15" ht="12.75" customHeight="1">
      <c r="A120" s="4" t="s">
        <v>220</v>
      </c>
      <c r="B120" s="5" t="s">
        <v>221</v>
      </c>
      <c r="C120" s="28">
        <v>2629</v>
      </c>
      <c r="D120" s="28">
        <v>2350</v>
      </c>
      <c r="E120" s="28">
        <v>28</v>
      </c>
      <c r="F120" s="28">
        <f>SUM(C120-D120-E120)</f>
        <v>251</v>
      </c>
      <c r="G120" s="28">
        <v>9330</v>
      </c>
      <c r="H120" s="28">
        <v>7126</v>
      </c>
      <c r="I120" s="28">
        <v>397</v>
      </c>
      <c r="J120" s="28">
        <f>SUM(G120-H120-I120)</f>
        <v>1807</v>
      </c>
      <c r="K120" s="28">
        <v>532</v>
      </c>
      <c r="L120" s="28">
        <v>0</v>
      </c>
      <c r="M120" s="28">
        <v>399</v>
      </c>
      <c r="N120" s="28">
        <v>555</v>
      </c>
      <c r="O120" s="28">
        <v>555</v>
      </c>
    </row>
    <row r="121" spans="1:15" ht="12.75" customHeight="1">
      <c r="A121" s="4" t="s">
        <v>222</v>
      </c>
      <c r="B121" s="5" t="s">
        <v>223</v>
      </c>
      <c r="C121" s="28">
        <v>4111</v>
      </c>
      <c r="D121" s="28">
        <v>3788</v>
      </c>
      <c r="E121" s="28">
        <v>61</v>
      </c>
      <c r="F121" s="28">
        <f>SUM(C121-D121-E121)</f>
        <v>262</v>
      </c>
      <c r="G121" s="28">
        <v>16580</v>
      </c>
      <c r="H121" s="28">
        <v>11708</v>
      </c>
      <c r="I121" s="28">
        <v>639</v>
      </c>
      <c r="J121" s="28">
        <f>SUM(G121-H121-I121)</f>
        <v>4233</v>
      </c>
      <c r="K121" s="28">
        <v>144</v>
      </c>
      <c r="L121" s="28">
        <v>0</v>
      </c>
      <c r="M121" s="28">
        <v>618</v>
      </c>
      <c r="N121" s="28">
        <v>63</v>
      </c>
      <c r="O121" s="28">
        <v>63</v>
      </c>
    </row>
    <row r="122" spans="1:15" ht="12.75" customHeight="1">
      <c r="A122" s="4" t="s">
        <v>224</v>
      </c>
      <c r="B122" s="5" t="s">
        <v>225</v>
      </c>
      <c r="C122" s="28">
        <v>794</v>
      </c>
      <c r="D122" s="28">
        <v>668</v>
      </c>
      <c r="E122" s="28">
        <v>0</v>
      </c>
      <c r="F122" s="28">
        <f>SUM(C122-D122-E122)</f>
        <v>126</v>
      </c>
      <c r="G122" s="28">
        <v>2827</v>
      </c>
      <c r="H122" s="28">
        <v>1872</v>
      </c>
      <c r="I122" s="28">
        <v>0</v>
      </c>
      <c r="J122" s="28">
        <f>SUM(G122-H122-I122)</f>
        <v>955</v>
      </c>
      <c r="K122" s="28">
        <v>27</v>
      </c>
      <c r="L122" s="28">
        <v>0</v>
      </c>
      <c r="M122" s="28">
        <v>803</v>
      </c>
      <c r="N122" s="28">
        <v>35</v>
      </c>
      <c r="O122" s="28">
        <v>35</v>
      </c>
    </row>
    <row r="123" spans="1:15" ht="12.75" customHeight="1">
      <c r="A123" s="4" t="s">
        <v>226</v>
      </c>
      <c r="B123" s="5" t="s">
        <v>227</v>
      </c>
      <c r="C123" s="28">
        <v>4009</v>
      </c>
      <c r="D123" s="28">
        <v>3365</v>
      </c>
      <c r="E123" s="28">
        <v>37</v>
      </c>
      <c r="F123" s="28">
        <f>SUM(C123-D123-E123)</f>
        <v>607</v>
      </c>
      <c r="G123" s="28">
        <v>13711</v>
      </c>
      <c r="H123" s="28">
        <v>8868</v>
      </c>
      <c r="I123" s="28">
        <v>347</v>
      </c>
      <c r="J123" s="28">
        <f>SUM(G123-H123-I123)</f>
        <v>4496</v>
      </c>
      <c r="K123" s="28">
        <v>327</v>
      </c>
      <c r="L123" s="28">
        <v>0</v>
      </c>
      <c r="M123" s="28">
        <v>627</v>
      </c>
      <c r="N123" s="28">
        <v>221</v>
      </c>
      <c r="O123" s="28">
        <v>221</v>
      </c>
    </row>
    <row r="124" spans="1:15" ht="12.75" customHeight="1">
      <c r="A124" s="4" t="s">
        <v>228</v>
      </c>
      <c r="B124" s="5" t="s">
        <v>229</v>
      </c>
      <c r="C124" s="28">
        <v>1298</v>
      </c>
      <c r="D124" s="28">
        <v>1177</v>
      </c>
      <c r="E124" s="28">
        <v>30</v>
      </c>
      <c r="F124" s="28">
        <f>SUM(C124-D124-E124)</f>
        <v>91</v>
      </c>
      <c r="G124" s="28">
        <v>4195</v>
      </c>
      <c r="H124" s="28">
        <v>3115</v>
      </c>
      <c r="I124" s="28">
        <v>286</v>
      </c>
      <c r="J124" s="28">
        <f>SUM(G124-H124-I124)</f>
        <v>794</v>
      </c>
      <c r="K124" s="28">
        <v>71</v>
      </c>
      <c r="L124" s="28">
        <v>0</v>
      </c>
      <c r="M124" s="28">
        <v>15</v>
      </c>
      <c r="N124" s="28">
        <v>109</v>
      </c>
      <c r="O124" s="28">
        <v>109</v>
      </c>
    </row>
    <row r="125" spans="1:15" ht="12.75" customHeight="1">
      <c r="A125" s="8"/>
      <c r="B125" s="9" t="s">
        <v>230</v>
      </c>
      <c r="C125" s="29">
        <f t="shared" ref="C125:O125" si="29">SUM(C120:C124)</f>
        <v>12841</v>
      </c>
      <c r="D125" s="29">
        <f t="shared" si="29"/>
        <v>11348</v>
      </c>
      <c r="E125" s="29">
        <f t="shared" si="29"/>
        <v>156</v>
      </c>
      <c r="F125" s="29">
        <f t="shared" si="29"/>
        <v>1337</v>
      </c>
      <c r="G125" s="29">
        <f t="shared" si="29"/>
        <v>46643</v>
      </c>
      <c r="H125" s="29">
        <f t="shared" si="29"/>
        <v>32689</v>
      </c>
      <c r="I125" s="29">
        <f t="shared" si="29"/>
        <v>1669</v>
      </c>
      <c r="J125" s="29">
        <f t="shared" si="29"/>
        <v>12285</v>
      </c>
      <c r="K125" s="29">
        <f t="shared" si="29"/>
        <v>1101</v>
      </c>
      <c r="L125" s="29">
        <f t="shared" si="29"/>
        <v>0</v>
      </c>
      <c r="M125" s="29">
        <f t="shared" si="29"/>
        <v>2462</v>
      </c>
      <c r="N125" s="29">
        <f t="shared" si="29"/>
        <v>983</v>
      </c>
      <c r="O125" s="29">
        <f t="shared" si="29"/>
        <v>983</v>
      </c>
    </row>
    <row r="126" spans="1:15" ht="12.75" customHeight="1">
      <c r="A126" s="4" t="s">
        <v>231</v>
      </c>
      <c r="B126" s="5" t="s">
        <v>232</v>
      </c>
      <c r="C126" s="28">
        <v>2559</v>
      </c>
      <c r="D126" s="28">
        <v>1847</v>
      </c>
      <c r="E126" s="28">
        <v>0</v>
      </c>
      <c r="F126" s="28">
        <f t="shared" ref="F126:F134" si="30">SUM(C126-D126-E126)</f>
        <v>712</v>
      </c>
      <c r="G126" s="28">
        <v>7845</v>
      </c>
      <c r="H126" s="28">
        <v>4609</v>
      </c>
      <c r="I126" s="28">
        <v>0</v>
      </c>
      <c r="J126" s="28">
        <f t="shared" ref="J126:J134" si="31">SUM(G126-H126-I126)</f>
        <v>3236</v>
      </c>
      <c r="K126" s="28">
        <v>80</v>
      </c>
      <c r="L126" s="28">
        <v>0</v>
      </c>
      <c r="M126" s="28">
        <v>472</v>
      </c>
      <c r="N126" s="28">
        <v>74</v>
      </c>
      <c r="O126" s="28">
        <v>74</v>
      </c>
    </row>
    <row r="127" spans="1:15" ht="12.75" customHeight="1">
      <c r="A127" s="4" t="s">
        <v>233</v>
      </c>
      <c r="B127" s="5" t="s">
        <v>234</v>
      </c>
      <c r="C127" s="28">
        <v>1261</v>
      </c>
      <c r="D127" s="28">
        <v>1073</v>
      </c>
      <c r="E127" s="28">
        <v>0</v>
      </c>
      <c r="F127" s="28">
        <f t="shared" si="30"/>
        <v>188</v>
      </c>
      <c r="G127" s="28">
        <v>4571</v>
      </c>
      <c r="H127" s="28">
        <v>3656</v>
      </c>
      <c r="I127" s="28">
        <v>0</v>
      </c>
      <c r="J127" s="28">
        <f t="shared" si="31"/>
        <v>915</v>
      </c>
      <c r="K127" s="28">
        <v>16</v>
      </c>
      <c r="L127" s="28">
        <v>0</v>
      </c>
      <c r="M127" s="28">
        <v>75</v>
      </c>
      <c r="N127" s="28">
        <v>0</v>
      </c>
      <c r="O127" s="28">
        <v>0</v>
      </c>
    </row>
    <row r="128" spans="1:15" ht="12.75" customHeight="1">
      <c r="A128" s="4" t="s">
        <v>235</v>
      </c>
      <c r="B128" s="5" t="s">
        <v>236</v>
      </c>
      <c r="C128" s="28">
        <v>8536</v>
      </c>
      <c r="D128" s="28">
        <v>6539</v>
      </c>
      <c r="E128" s="28">
        <v>141</v>
      </c>
      <c r="F128" s="28">
        <f t="shared" si="30"/>
        <v>1856</v>
      </c>
      <c r="G128" s="28">
        <v>22337</v>
      </c>
      <c r="H128" s="28">
        <v>14879</v>
      </c>
      <c r="I128" s="28">
        <v>731</v>
      </c>
      <c r="J128" s="28">
        <f t="shared" si="31"/>
        <v>6727</v>
      </c>
      <c r="K128" s="28">
        <v>741</v>
      </c>
      <c r="L128" s="28">
        <v>0</v>
      </c>
      <c r="M128" s="28">
        <v>949</v>
      </c>
      <c r="N128" s="28">
        <v>264</v>
      </c>
      <c r="O128" s="28">
        <v>264</v>
      </c>
    </row>
    <row r="129" spans="1:15" ht="12.75" customHeight="1">
      <c r="A129" s="4" t="s">
        <v>237</v>
      </c>
      <c r="B129" s="5" t="s">
        <v>238</v>
      </c>
      <c r="C129" s="28">
        <v>863</v>
      </c>
      <c r="D129" s="28">
        <v>683</v>
      </c>
      <c r="E129" s="28">
        <v>35</v>
      </c>
      <c r="F129" s="28">
        <f t="shared" si="30"/>
        <v>145</v>
      </c>
      <c r="G129" s="28">
        <v>3773</v>
      </c>
      <c r="H129" s="28">
        <v>1762</v>
      </c>
      <c r="I129" s="28">
        <v>415</v>
      </c>
      <c r="J129" s="28">
        <f t="shared" si="31"/>
        <v>1596</v>
      </c>
      <c r="K129" s="28">
        <v>56</v>
      </c>
      <c r="L129" s="28">
        <v>0</v>
      </c>
      <c r="M129" s="28">
        <v>260</v>
      </c>
      <c r="N129" s="28">
        <v>0</v>
      </c>
      <c r="O129" s="28">
        <v>0</v>
      </c>
    </row>
    <row r="130" spans="1:15" ht="12.75" customHeight="1">
      <c r="A130" s="4" t="s">
        <v>239</v>
      </c>
      <c r="B130" s="5" t="s">
        <v>240</v>
      </c>
      <c r="C130" s="28">
        <v>5258</v>
      </c>
      <c r="D130" s="28">
        <v>4416</v>
      </c>
      <c r="E130" s="28">
        <v>240</v>
      </c>
      <c r="F130" s="28">
        <f t="shared" si="30"/>
        <v>602</v>
      </c>
      <c r="G130" s="28">
        <v>14181</v>
      </c>
      <c r="H130" s="28">
        <v>7732</v>
      </c>
      <c r="I130" s="28">
        <v>1264</v>
      </c>
      <c r="J130" s="28">
        <f t="shared" si="31"/>
        <v>5185</v>
      </c>
      <c r="K130" s="28">
        <v>476</v>
      </c>
      <c r="L130" s="28">
        <v>0</v>
      </c>
      <c r="M130" s="28">
        <v>205</v>
      </c>
      <c r="N130" s="28">
        <v>665</v>
      </c>
      <c r="O130" s="28">
        <v>665</v>
      </c>
    </row>
    <row r="131" spans="1:15" ht="12.75" customHeight="1">
      <c r="A131" s="4" t="s">
        <v>241</v>
      </c>
      <c r="B131" s="5" t="s">
        <v>242</v>
      </c>
      <c r="C131" s="28">
        <v>9661</v>
      </c>
      <c r="D131" s="28">
        <v>8432</v>
      </c>
      <c r="E131" s="28">
        <v>51</v>
      </c>
      <c r="F131" s="28">
        <f t="shared" si="30"/>
        <v>1178</v>
      </c>
      <c r="G131" s="28">
        <v>28759</v>
      </c>
      <c r="H131" s="28">
        <v>14060</v>
      </c>
      <c r="I131" s="28">
        <v>422</v>
      </c>
      <c r="J131" s="28">
        <f t="shared" si="31"/>
        <v>14277</v>
      </c>
      <c r="K131" s="28">
        <v>521</v>
      </c>
      <c r="L131" s="28">
        <v>0</v>
      </c>
      <c r="M131" s="28">
        <v>354</v>
      </c>
      <c r="N131" s="28">
        <v>220</v>
      </c>
      <c r="O131" s="28">
        <v>220</v>
      </c>
    </row>
    <row r="132" spans="1:15" ht="12.75" customHeight="1">
      <c r="A132" s="4" t="s">
        <v>243</v>
      </c>
      <c r="B132" s="5" t="s">
        <v>244</v>
      </c>
      <c r="C132" s="28">
        <v>4771</v>
      </c>
      <c r="D132" s="28">
        <v>3983</v>
      </c>
      <c r="E132" s="28">
        <v>0</v>
      </c>
      <c r="F132" s="28">
        <f t="shared" si="30"/>
        <v>788</v>
      </c>
      <c r="G132" s="28">
        <v>15156</v>
      </c>
      <c r="H132" s="28">
        <v>8720</v>
      </c>
      <c r="I132" s="28">
        <v>0</v>
      </c>
      <c r="J132" s="28">
        <f t="shared" si="31"/>
        <v>6436</v>
      </c>
      <c r="K132" s="28">
        <v>526</v>
      </c>
      <c r="L132" s="28">
        <v>0</v>
      </c>
      <c r="M132" s="28">
        <v>1328</v>
      </c>
      <c r="N132" s="28">
        <v>109</v>
      </c>
      <c r="O132" s="28">
        <v>109</v>
      </c>
    </row>
    <row r="133" spans="1:15" ht="12.75" customHeight="1">
      <c r="A133" s="4" t="s">
        <v>245</v>
      </c>
      <c r="B133" s="5" t="s">
        <v>246</v>
      </c>
      <c r="C133" s="28">
        <v>4267</v>
      </c>
      <c r="D133" s="28">
        <v>3787</v>
      </c>
      <c r="E133" s="28">
        <v>0</v>
      </c>
      <c r="F133" s="28">
        <f t="shared" si="30"/>
        <v>480</v>
      </c>
      <c r="G133" s="28">
        <v>10303</v>
      </c>
      <c r="H133" s="28">
        <v>8358</v>
      </c>
      <c r="I133" s="28">
        <v>0</v>
      </c>
      <c r="J133" s="28">
        <f t="shared" si="31"/>
        <v>1945</v>
      </c>
      <c r="K133" s="28">
        <v>5544</v>
      </c>
      <c r="L133" s="28">
        <v>0</v>
      </c>
      <c r="M133" s="28">
        <v>812</v>
      </c>
      <c r="N133" s="28">
        <v>80</v>
      </c>
      <c r="O133" s="28">
        <v>80</v>
      </c>
    </row>
    <row r="134" spans="1:15" ht="12.75" customHeight="1">
      <c r="A134" s="4" t="s">
        <v>247</v>
      </c>
      <c r="B134" s="5" t="s">
        <v>248</v>
      </c>
      <c r="C134" s="28">
        <v>2361</v>
      </c>
      <c r="D134" s="28">
        <v>1943</v>
      </c>
      <c r="E134" s="28">
        <v>0</v>
      </c>
      <c r="F134" s="28">
        <f t="shared" si="30"/>
        <v>418</v>
      </c>
      <c r="G134" s="28">
        <v>5966</v>
      </c>
      <c r="H134" s="28">
        <v>4385</v>
      </c>
      <c r="I134" s="28">
        <v>0</v>
      </c>
      <c r="J134" s="28">
        <f t="shared" si="31"/>
        <v>1581</v>
      </c>
      <c r="K134" s="28">
        <v>60</v>
      </c>
      <c r="L134" s="28">
        <v>0</v>
      </c>
      <c r="M134" s="28">
        <v>436</v>
      </c>
      <c r="N134" s="28">
        <v>0</v>
      </c>
      <c r="O134" s="28">
        <v>0</v>
      </c>
    </row>
    <row r="135" spans="1:15" ht="12.75" customHeight="1">
      <c r="A135" s="10"/>
      <c r="B135" s="9" t="s">
        <v>249</v>
      </c>
      <c r="C135" s="29">
        <f t="shared" ref="C135:O135" si="32">SUM(C126:C134)</f>
        <v>39537</v>
      </c>
      <c r="D135" s="29">
        <f t="shared" si="32"/>
        <v>32703</v>
      </c>
      <c r="E135" s="29">
        <f t="shared" si="32"/>
        <v>467</v>
      </c>
      <c r="F135" s="29">
        <f t="shared" si="32"/>
        <v>6367</v>
      </c>
      <c r="G135" s="29">
        <f t="shared" si="32"/>
        <v>112891</v>
      </c>
      <c r="H135" s="29">
        <f t="shared" si="32"/>
        <v>68161</v>
      </c>
      <c r="I135" s="29">
        <f t="shared" si="32"/>
        <v>2832</v>
      </c>
      <c r="J135" s="29">
        <f t="shared" si="32"/>
        <v>41898</v>
      </c>
      <c r="K135" s="29">
        <f t="shared" si="32"/>
        <v>8020</v>
      </c>
      <c r="L135" s="29">
        <f t="shared" si="32"/>
        <v>0</v>
      </c>
      <c r="M135" s="29">
        <f t="shared" si="32"/>
        <v>4891</v>
      </c>
      <c r="N135" s="29">
        <f t="shared" si="32"/>
        <v>1412</v>
      </c>
      <c r="O135" s="29">
        <f t="shared" si="32"/>
        <v>1412</v>
      </c>
    </row>
    <row r="136" spans="1:15" ht="12.75" customHeight="1">
      <c r="A136" s="4" t="s">
        <v>250</v>
      </c>
      <c r="B136" s="5" t="s">
        <v>251</v>
      </c>
      <c r="C136" s="28">
        <v>5943</v>
      </c>
      <c r="D136" s="28">
        <v>5467</v>
      </c>
      <c r="E136" s="28">
        <v>0</v>
      </c>
      <c r="F136" s="28">
        <f t="shared" ref="F136:F143" si="33">SUM(C136-D136-E136)</f>
        <v>476</v>
      </c>
      <c r="G136" s="28">
        <v>15198</v>
      </c>
      <c r="H136" s="28">
        <v>11518</v>
      </c>
      <c r="I136" s="28">
        <v>0</v>
      </c>
      <c r="J136" s="28">
        <f t="shared" ref="J136:J143" si="34">SUM(G136-H136-I136)</f>
        <v>3680</v>
      </c>
      <c r="K136" s="28">
        <v>2769</v>
      </c>
      <c r="L136" s="28">
        <v>360</v>
      </c>
      <c r="M136" s="28">
        <v>369</v>
      </c>
      <c r="N136" s="28">
        <v>2618</v>
      </c>
      <c r="O136" s="28">
        <v>2618</v>
      </c>
    </row>
    <row r="137" spans="1:15" ht="12.75" customHeight="1">
      <c r="A137" s="4" t="s">
        <v>252</v>
      </c>
      <c r="B137" s="5" t="s">
        <v>253</v>
      </c>
      <c r="C137" s="28">
        <v>834</v>
      </c>
      <c r="D137" s="28">
        <v>834</v>
      </c>
      <c r="E137" s="28">
        <v>0</v>
      </c>
      <c r="F137" s="28">
        <f t="shared" si="33"/>
        <v>0</v>
      </c>
      <c r="G137" s="28">
        <v>1983</v>
      </c>
      <c r="H137" s="28">
        <v>1957</v>
      </c>
      <c r="I137" s="28">
        <v>0</v>
      </c>
      <c r="J137" s="28">
        <f t="shared" si="34"/>
        <v>26</v>
      </c>
      <c r="K137" s="28">
        <v>31</v>
      </c>
      <c r="L137" s="28">
        <v>0</v>
      </c>
      <c r="M137" s="28">
        <v>0</v>
      </c>
      <c r="N137" s="28">
        <v>58</v>
      </c>
      <c r="O137" s="28">
        <v>58</v>
      </c>
    </row>
    <row r="138" spans="1:15" ht="12.75" customHeight="1">
      <c r="A138" s="4" t="s">
        <v>254</v>
      </c>
      <c r="B138" s="5" t="s">
        <v>255</v>
      </c>
      <c r="C138" s="28">
        <v>539</v>
      </c>
      <c r="D138" s="28">
        <v>539</v>
      </c>
      <c r="E138" s="28">
        <v>0</v>
      </c>
      <c r="F138" s="28">
        <f t="shared" si="33"/>
        <v>0</v>
      </c>
      <c r="G138" s="28">
        <v>1932</v>
      </c>
      <c r="H138" s="28">
        <v>1767</v>
      </c>
      <c r="I138" s="28">
        <v>0</v>
      </c>
      <c r="J138" s="28">
        <f t="shared" si="34"/>
        <v>165</v>
      </c>
      <c r="K138" s="28">
        <v>343</v>
      </c>
      <c r="L138" s="28">
        <v>0</v>
      </c>
      <c r="M138" s="28">
        <v>98</v>
      </c>
      <c r="N138" s="28">
        <v>331</v>
      </c>
      <c r="O138" s="28">
        <v>331</v>
      </c>
    </row>
    <row r="139" spans="1:15" ht="12.75" customHeight="1">
      <c r="A139" s="4" t="s">
        <v>256</v>
      </c>
      <c r="B139" s="5" t="s">
        <v>257</v>
      </c>
      <c r="C139" s="28">
        <v>1393</v>
      </c>
      <c r="D139" s="28">
        <v>1279</v>
      </c>
      <c r="E139" s="28">
        <v>0</v>
      </c>
      <c r="F139" s="28">
        <f t="shared" si="33"/>
        <v>114</v>
      </c>
      <c r="G139" s="28">
        <v>4526</v>
      </c>
      <c r="H139" s="28">
        <v>3796</v>
      </c>
      <c r="I139" s="28">
        <v>0</v>
      </c>
      <c r="J139" s="28">
        <f t="shared" si="34"/>
        <v>730</v>
      </c>
      <c r="K139" s="28">
        <v>1352</v>
      </c>
      <c r="L139" s="28">
        <v>31</v>
      </c>
      <c r="M139" s="28">
        <v>567</v>
      </c>
      <c r="N139" s="28">
        <v>290</v>
      </c>
      <c r="O139" s="28">
        <v>290</v>
      </c>
    </row>
    <row r="140" spans="1:15" ht="12.75" customHeight="1">
      <c r="A140" s="4" t="s">
        <v>258</v>
      </c>
      <c r="B140" s="5" t="s">
        <v>259</v>
      </c>
      <c r="C140" s="28">
        <v>266</v>
      </c>
      <c r="D140" s="28">
        <v>265</v>
      </c>
      <c r="E140" s="28">
        <v>0</v>
      </c>
      <c r="F140" s="28">
        <f t="shared" si="33"/>
        <v>1</v>
      </c>
      <c r="G140" s="28">
        <v>657</v>
      </c>
      <c r="H140" s="28">
        <v>645</v>
      </c>
      <c r="I140" s="28">
        <v>0</v>
      </c>
      <c r="J140" s="28">
        <f t="shared" si="34"/>
        <v>12</v>
      </c>
      <c r="K140" s="28">
        <v>0</v>
      </c>
      <c r="L140" s="28">
        <v>0</v>
      </c>
      <c r="M140" s="28">
        <v>0</v>
      </c>
      <c r="N140" s="28">
        <v>0</v>
      </c>
      <c r="O140" s="28">
        <v>0</v>
      </c>
    </row>
    <row r="141" spans="1:15" ht="12.75" customHeight="1">
      <c r="A141" s="4" t="s">
        <v>260</v>
      </c>
      <c r="B141" s="5" t="s">
        <v>261</v>
      </c>
      <c r="C141" s="28">
        <v>1439</v>
      </c>
      <c r="D141" s="28">
        <v>1403</v>
      </c>
      <c r="E141" s="28">
        <v>0</v>
      </c>
      <c r="F141" s="28">
        <f t="shared" si="33"/>
        <v>36</v>
      </c>
      <c r="G141" s="28">
        <v>3239</v>
      </c>
      <c r="H141" s="28">
        <v>2951</v>
      </c>
      <c r="I141" s="28">
        <v>0</v>
      </c>
      <c r="J141" s="28">
        <f t="shared" si="34"/>
        <v>288</v>
      </c>
      <c r="K141" s="28">
        <v>69</v>
      </c>
      <c r="L141" s="28">
        <v>0</v>
      </c>
      <c r="M141" s="28">
        <v>0</v>
      </c>
      <c r="N141" s="28">
        <v>198</v>
      </c>
      <c r="O141" s="28">
        <v>198</v>
      </c>
    </row>
    <row r="142" spans="1:15" ht="12.75" customHeight="1">
      <c r="A142" s="4" t="s">
        <v>262</v>
      </c>
      <c r="B142" s="5" t="s">
        <v>263</v>
      </c>
      <c r="C142" s="28">
        <v>1401</v>
      </c>
      <c r="D142" s="28">
        <v>1014</v>
      </c>
      <c r="E142" s="28">
        <v>0</v>
      </c>
      <c r="F142" s="28">
        <f t="shared" si="33"/>
        <v>387</v>
      </c>
      <c r="G142" s="28">
        <v>4573</v>
      </c>
      <c r="H142" s="28">
        <v>3585</v>
      </c>
      <c r="I142" s="28">
        <v>0</v>
      </c>
      <c r="J142" s="28">
        <f t="shared" si="34"/>
        <v>988</v>
      </c>
      <c r="K142" s="28">
        <v>935</v>
      </c>
      <c r="L142" s="28">
        <v>0</v>
      </c>
      <c r="M142" s="28">
        <v>394</v>
      </c>
      <c r="N142" s="28">
        <v>582</v>
      </c>
      <c r="O142" s="28">
        <v>582</v>
      </c>
    </row>
    <row r="143" spans="1:15" ht="12.75" customHeight="1">
      <c r="A143" s="4" t="s">
        <v>264</v>
      </c>
      <c r="B143" s="5" t="s">
        <v>265</v>
      </c>
      <c r="C143" s="28">
        <v>3468</v>
      </c>
      <c r="D143" s="28">
        <v>2847</v>
      </c>
      <c r="E143" s="28">
        <v>0</v>
      </c>
      <c r="F143" s="28">
        <f t="shared" si="33"/>
        <v>621</v>
      </c>
      <c r="G143" s="28">
        <v>11984</v>
      </c>
      <c r="H143" s="28">
        <v>5648</v>
      </c>
      <c r="I143" s="28">
        <v>0</v>
      </c>
      <c r="J143" s="28">
        <f t="shared" si="34"/>
        <v>6336</v>
      </c>
      <c r="K143" s="28">
        <v>6560</v>
      </c>
      <c r="L143" s="28">
        <v>62</v>
      </c>
      <c r="M143" s="28">
        <v>911</v>
      </c>
      <c r="N143" s="28">
        <v>707</v>
      </c>
      <c r="O143" s="28">
        <v>707</v>
      </c>
    </row>
    <row r="144" spans="1:15" ht="12.75" customHeight="1">
      <c r="A144" s="10"/>
      <c r="B144" s="9" t="s">
        <v>266</v>
      </c>
      <c r="C144" s="30">
        <f t="shared" ref="C144:O144" si="35">SUM(C136:C143)</f>
        <v>15283</v>
      </c>
      <c r="D144" s="30">
        <f t="shared" si="35"/>
        <v>13648</v>
      </c>
      <c r="E144" s="30">
        <f t="shared" si="35"/>
        <v>0</v>
      </c>
      <c r="F144" s="30">
        <f t="shared" si="35"/>
        <v>1635</v>
      </c>
      <c r="G144" s="30">
        <f t="shared" si="35"/>
        <v>44092</v>
      </c>
      <c r="H144" s="30">
        <f t="shared" si="35"/>
        <v>31867</v>
      </c>
      <c r="I144" s="30">
        <f t="shared" si="35"/>
        <v>0</v>
      </c>
      <c r="J144" s="30">
        <f t="shared" si="35"/>
        <v>12225</v>
      </c>
      <c r="K144" s="30">
        <f t="shared" si="35"/>
        <v>12059</v>
      </c>
      <c r="L144" s="30">
        <f t="shared" si="35"/>
        <v>453</v>
      </c>
      <c r="M144" s="30">
        <f t="shared" si="35"/>
        <v>2339</v>
      </c>
      <c r="N144" s="30">
        <f t="shared" si="35"/>
        <v>4784</v>
      </c>
      <c r="O144" s="30">
        <f t="shared" si="35"/>
        <v>4784</v>
      </c>
    </row>
    <row r="145" spans="1:15" ht="12.75" customHeight="1">
      <c r="A145" s="11" t="s">
        <v>267</v>
      </c>
      <c r="B145" s="6" t="s">
        <v>268</v>
      </c>
      <c r="C145" s="31">
        <f t="shared" ref="C145:O145" si="36">C144+C135+C125+C119+C116+C109+C103+C98+C95+C89+C86+C80+C69+C59+C51+C46+C43+C30+C25+C23</f>
        <v>532819</v>
      </c>
      <c r="D145" s="31">
        <f t="shared" si="36"/>
        <v>384589</v>
      </c>
      <c r="E145" s="31">
        <f t="shared" si="36"/>
        <v>10336</v>
      </c>
      <c r="F145" s="31">
        <f t="shared" si="36"/>
        <v>137894</v>
      </c>
      <c r="G145" s="31">
        <f t="shared" si="36"/>
        <v>1756984</v>
      </c>
      <c r="H145" s="31">
        <f t="shared" si="36"/>
        <v>906319</v>
      </c>
      <c r="I145" s="31">
        <f t="shared" si="36"/>
        <v>67149</v>
      </c>
      <c r="J145" s="31">
        <f t="shared" si="36"/>
        <v>783516</v>
      </c>
      <c r="K145" s="31">
        <f t="shared" si="36"/>
        <v>121518</v>
      </c>
      <c r="L145" s="31">
        <f t="shared" si="36"/>
        <v>866</v>
      </c>
      <c r="M145" s="31">
        <f t="shared" si="36"/>
        <v>85817</v>
      </c>
      <c r="N145" s="31">
        <f t="shared" si="36"/>
        <v>85869</v>
      </c>
      <c r="O145" s="31">
        <f t="shared" si="36"/>
        <v>40639</v>
      </c>
    </row>
  </sheetData>
  <sheetProtection selectLockedCells="1" selectUnlockedCells="1"/>
  <mergeCells count="29">
    <mergeCell ref="L7:O7"/>
    <mergeCell ref="L8:O8"/>
    <mergeCell ref="N11:O11"/>
    <mergeCell ref="N12:N13"/>
    <mergeCell ref="G11:J11"/>
    <mergeCell ref="J12:J13"/>
    <mergeCell ref="I12:I13"/>
    <mergeCell ref="H12:H13"/>
    <mergeCell ref="K12:K13"/>
    <mergeCell ref="M12:M13"/>
    <mergeCell ref="K11:M11"/>
    <mergeCell ref="A1:D1"/>
    <mergeCell ref="A2:D2"/>
    <mergeCell ref="A6:D6"/>
    <mergeCell ref="I6:M6"/>
    <mergeCell ref="A3:C3"/>
    <mergeCell ref="A4:C4"/>
    <mergeCell ref="E4:L4"/>
    <mergeCell ref="G12:G13"/>
    <mergeCell ref="E1:L1"/>
    <mergeCell ref="E3:L3"/>
    <mergeCell ref="A12:A13"/>
    <mergeCell ref="B12:B13"/>
    <mergeCell ref="C12:C13"/>
    <mergeCell ref="D12:E12"/>
    <mergeCell ref="C11:F11"/>
    <mergeCell ref="F12:F13"/>
    <mergeCell ref="A11:B11"/>
    <mergeCell ref="L12:L13"/>
  </mergeCells>
  <printOptions horizontalCentered="1" verticalCentered="1"/>
  <pageMargins left="0.2361111111111111" right="0.2361111111111111" top="0.19652777777777777" bottom="0.51180555555555551" header="0.51180555555555551" footer="0.51180555555555551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IV145"/>
  <sheetViews>
    <sheetView tabSelected="1" workbookViewId="0">
      <selection activeCell="B145" sqref="B145"/>
    </sheetView>
  </sheetViews>
  <sheetFormatPr defaultRowHeight="12.75" customHeight="1"/>
  <cols>
    <col min="1" max="1" width="6" style="12" customWidth="1"/>
    <col min="2" max="2" width="26.44140625" style="7" customWidth="1"/>
    <col min="3" max="3" width="11.44140625" style="7" customWidth="1"/>
    <col min="4" max="4" width="10.6640625" style="7" customWidth="1"/>
    <col min="5" max="5" width="10.109375" style="7" customWidth="1"/>
    <col min="6" max="6" width="11.6640625" style="7" customWidth="1"/>
    <col min="7" max="8" width="10.109375" style="7" customWidth="1"/>
    <col min="9" max="9" width="12.33203125" style="7" customWidth="1"/>
    <col min="10" max="10" width="11" style="7" customWidth="1"/>
    <col min="11" max="11" width="15" style="7" customWidth="1"/>
    <col min="12" max="12" width="15.109375" style="7" customWidth="1"/>
    <col min="13" max="13" width="16" style="7" customWidth="1"/>
    <col min="14" max="14" width="17.109375" customWidth="1"/>
    <col min="15" max="15" width="11.109375" customWidth="1"/>
    <col min="16" max="255" width="8.77734375" customWidth="1"/>
  </cols>
  <sheetData>
    <row r="1" spans="1:15" ht="15.75" customHeight="1">
      <c r="A1" s="33" t="s">
        <v>0</v>
      </c>
      <c r="B1" s="33"/>
      <c r="C1" s="33"/>
      <c r="D1" s="33"/>
      <c r="E1" s="32" t="s">
        <v>1</v>
      </c>
      <c r="F1" s="32"/>
      <c r="G1" s="32"/>
      <c r="H1" s="32"/>
      <c r="I1" s="32"/>
      <c r="J1" s="32"/>
      <c r="K1" s="32"/>
      <c r="L1" s="32"/>
      <c r="M1" s="14"/>
      <c r="N1" s="13"/>
      <c r="O1" s="13"/>
    </row>
    <row r="2" spans="1:15" ht="12" customHeight="1">
      <c r="A2" s="46" t="s">
        <v>269</v>
      </c>
      <c r="B2" s="46"/>
      <c r="C2" s="46"/>
      <c r="D2" s="46"/>
      <c r="E2" s="15"/>
      <c r="F2" s="16"/>
      <c r="G2" s="16"/>
      <c r="H2" s="16"/>
      <c r="I2" s="13"/>
      <c r="J2" s="13"/>
      <c r="K2" s="13"/>
      <c r="L2" s="13"/>
      <c r="M2" s="17"/>
      <c r="N2" s="13"/>
      <c r="O2" s="13"/>
    </row>
    <row r="3" spans="1:15" ht="10.5" customHeight="1">
      <c r="A3" s="46"/>
      <c r="B3" s="46"/>
      <c r="C3" s="46"/>
      <c r="D3" s="14"/>
      <c r="E3" s="33" t="s">
        <v>3</v>
      </c>
      <c r="F3" s="33"/>
      <c r="G3" s="33"/>
      <c r="H3" s="33"/>
      <c r="I3" s="33"/>
      <c r="J3" s="33"/>
      <c r="K3" s="33"/>
      <c r="L3" s="33"/>
      <c r="M3" s="13"/>
      <c r="N3" s="13"/>
      <c r="O3" s="13"/>
    </row>
    <row r="4" spans="1:15" ht="12.75" customHeight="1">
      <c r="A4" s="46"/>
      <c r="B4" s="46"/>
      <c r="C4" s="46"/>
      <c r="D4" s="14"/>
      <c r="E4" s="46" t="s">
        <v>4</v>
      </c>
      <c r="F4" s="46"/>
      <c r="G4" s="46"/>
      <c r="H4" s="46"/>
      <c r="I4" s="46"/>
      <c r="J4" s="46"/>
      <c r="K4" s="46"/>
      <c r="L4" s="46"/>
      <c r="M4" s="13"/>
      <c r="N4" s="13"/>
      <c r="O4" s="13"/>
    </row>
    <row r="5" spans="1:15" ht="15" customHeight="1">
      <c r="A5" s="16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</row>
    <row r="6" spans="1:15" ht="32.25" customHeight="1">
      <c r="A6" s="47" t="s">
        <v>5</v>
      </c>
      <c r="B6" s="47"/>
      <c r="C6" s="47"/>
      <c r="D6" s="47"/>
      <c r="E6" s="18"/>
      <c r="F6" s="13"/>
      <c r="G6" s="13"/>
      <c r="H6" s="13"/>
      <c r="I6" s="46"/>
      <c r="J6" s="46"/>
      <c r="K6" s="46"/>
      <c r="L6" s="46"/>
      <c r="M6" s="46"/>
      <c r="N6" s="13"/>
      <c r="O6" s="13"/>
    </row>
    <row r="7" spans="1:15" ht="15" customHeight="1">
      <c r="A7" s="19"/>
      <c r="B7" s="19"/>
      <c r="C7" s="19"/>
      <c r="D7" s="19"/>
      <c r="E7" s="18"/>
      <c r="F7" s="13"/>
      <c r="G7" s="13"/>
      <c r="H7" s="13"/>
      <c r="I7" s="13"/>
      <c r="J7" s="13"/>
      <c r="K7" s="13"/>
      <c r="L7" s="46" t="s">
        <v>6</v>
      </c>
      <c r="M7" s="46"/>
      <c r="N7" s="46"/>
      <c r="O7" s="46"/>
    </row>
    <row r="8" spans="1:15" ht="15" customHeight="1">
      <c r="A8" s="19"/>
      <c r="B8" s="19"/>
      <c r="C8" s="19"/>
      <c r="D8" s="19"/>
      <c r="E8" s="18"/>
      <c r="F8" s="13"/>
      <c r="G8" s="13"/>
      <c r="H8" s="13"/>
      <c r="I8" s="13"/>
      <c r="J8" s="13"/>
      <c r="K8" s="13"/>
      <c r="L8" s="46" t="s">
        <v>270</v>
      </c>
      <c r="M8" s="46"/>
      <c r="N8" s="46"/>
      <c r="O8" s="46"/>
    </row>
    <row r="9" spans="1:15" ht="15" customHeight="1">
      <c r="A9" s="19"/>
      <c r="B9" s="19"/>
      <c r="C9" s="19"/>
      <c r="D9" s="19"/>
      <c r="E9" s="18"/>
      <c r="F9" s="13"/>
      <c r="G9" s="13"/>
      <c r="H9" s="13"/>
      <c r="I9" s="13"/>
      <c r="J9" s="13"/>
      <c r="K9" s="13"/>
      <c r="L9" s="13"/>
      <c r="M9" s="13"/>
      <c r="N9" s="13"/>
      <c r="O9" s="13"/>
    </row>
    <row r="10" spans="1:15" ht="6.75" customHeight="1">
      <c r="A10" s="16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spans="1:15" s="1" customFormat="1" ht="17.25" customHeight="1">
      <c r="A11" s="43" t="s">
        <v>8</v>
      </c>
      <c r="B11" s="43"/>
      <c r="C11" s="40" t="s">
        <v>9</v>
      </c>
      <c r="D11" s="41"/>
      <c r="E11" s="41"/>
      <c r="F11" s="42"/>
      <c r="G11" s="40" t="s">
        <v>10</v>
      </c>
      <c r="H11" s="41"/>
      <c r="I11" s="41"/>
      <c r="J11" s="42"/>
      <c r="K11" s="40" t="s">
        <v>11</v>
      </c>
      <c r="L11" s="41"/>
      <c r="M11" s="41"/>
      <c r="N11" s="40" t="s">
        <v>12</v>
      </c>
      <c r="O11" s="42"/>
    </row>
    <row r="12" spans="1:15" ht="12.75" customHeight="1">
      <c r="A12" s="34" t="s">
        <v>13</v>
      </c>
      <c r="B12" s="36" t="s">
        <v>14</v>
      </c>
      <c r="C12" s="38" t="s">
        <v>15</v>
      </c>
      <c r="D12" s="36" t="s">
        <v>16</v>
      </c>
      <c r="E12" s="36"/>
      <c r="F12" s="38" t="s">
        <v>17</v>
      </c>
      <c r="G12" s="48" t="s">
        <v>15</v>
      </c>
      <c r="H12" s="44" t="s">
        <v>18</v>
      </c>
      <c r="I12" s="48" t="s">
        <v>19</v>
      </c>
      <c r="J12" s="48" t="s">
        <v>20</v>
      </c>
      <c r="K12" s="44" t="s">
        <v>21</v>
      </c>
      <c r="L12" s="44" t="s">
        <v>22</v>
      </c>
      <c r="M12" s="44" t="s">
        <v>23</v>
      </c>
      <c r="N12" s="50" t="s">
        <v>15</v>
      </c>
      <c r="O12" s="20" t="s">
        <v>24</v>
      </c>
    </row>
    <row r="13" spans="1:15" ht="12.75" customHeight="1">
      <c r="A13" s="35"/>
      <c r="B13" s="37"/>
      <c r="C13" s="39"/>
      <c r="D13" s="21" t="s">
        <v>25</v>
      </c>
      <c r="E13" s="22" t="s">
        <v>19</v>
      </c>
      <c r="F13" s="39"/>
      <c r="G13" s="49"/>
      <c r="H13" s="45"/>
      <c r="I13" s="49"/>
      <c r="J13" s="49"/>
      <c r="K13" s="45"/>
      <c r="L13" s="45"/>
      <c r="M13" s="45"/>
      <c r="N13" s="51"/>
      <c r="O13" s="23" t="s">
        <v>26</v>
      </c>
    </row>
    <row r="14" spans="1:15" s="2" customFormat="1" ht="10.5" customHeight="1">
      <c r="A14" s="24">
        <v>1</v>
      </c>
      <c r="B14" s="25">
        <v>2</v>
      </c>
      <c r="C14" s="26">
        <v>3</v>
      </c>
      <c r="D14" s="27">
        <v>4</v>
      </c>
      <c r="E14" s="26">
        <v>5</v>
      </c>
      <c r="F14" s="26">
        <v>6</v>
      </c>
      <c r="G14" s="26">
        <v>7</v>
      </c>
      <c r="H14" s="26">
        <v>8</v>
      </c>
      <c r="I14" s="26">
        <v>9</v>
      </c>
      <c r="J14" s="26">
        <v>10</v>
      </c>
      <c r="K14" s="26">
        <v>11</v>
      </c>
      <c r="L14" s="26">
        <v>12</v>
      </c>
      <c r="M14" s="26">
        <v>13</v>
      </c>
      <c r="N14" s="26">
        <v>14</v>
      </c>
      <c r="O14" s="25">
        <v>15</v>
      </c>
    </row>
    <row r="15" spans="1:15" ht="12.75" customHeight="1">
      <c r="A15" s="4" t="s">
        <v>27</v>
      </c>
      <c r="B15" s="5" t="s">
        <v>28</v>
      </c>
      <c r="C15" s="28">
        <v>7530</v>
      </c>
      <c r="D15" s="28">
        <v>5941</v>
      </c>
      <c r="E15" s="28">
        <v>543</v>
      </c>
      <c r="F15" s="28">
        <f t="shared" ref="F15:F22" si="0">SUM(C15-D15-E15)</f>
        <v>1046</v>
      </c>
      <c r="G15" s="28">
        <v>42371</v>
      </c>
      <c r="H15" s="28">
        <v>17433</v>
      </c>
      <c r="I15" s="28">
        <v>4676</v>
      </c>
      <c r="J15" s="28">
        <f t="shared" ref="J15:J22" si="1">SUM(G15-H15-I15)</f>
        <v>20262</v>
      </c>
      <c r="K15" s="28">
        <v>3967</v>
      </c>
      <c r="L15" s="28">
        <v>0</v>
      </c>
      <c r="M15" s="28">
        <v>2482</v>
      </c>
      <c r="N15" s="28">
        <v>1845</v>
      </c>
      <c r="O15" s="28">
        <v>1118</v>
      </c>
    </row>
    <row r="16" spans="1:15" ht="12.75" customHeight="1">
      <c r="A16" s="4" t="s">
        <v>29</v>
      </c>
      <c r="B16" s="5" t="s">
        <v>30</v>
      </c>
      <c r="C16" s="28">
        <v>4969</v>
      </c>
      <c r="D16" s="28">
        <v>2496</v>
      </c>
      <c r="E16" s="28">
        <v>88</v>
      </c>
      <c r="F16" s="28">
        <f t="shared" si="0"/>
        <v>2385</v>
      </c>
      <c r="G16" s="28">
        <v>39942</v>
      </c>
      <c r="H16" s="28">
        <v>6935</v>
      </c>
      <c r="I16" s="28">
        <v>852</v>
      </c>
      <c r="J16" s="28">
        <f t="shared" si="1"/>
        <v>32155</v>
      </c>
      <c r="K16" s="28">
        <v>1465</v>
      </c>
      <c r="L16" s="28">
        <v>0</v>
      </c>
      <c r="M16" s="28">
        <v>1857</v>
      </c>
      <c r="N16" s="28">
        <v>62</v>
      </c>
      <c r="O16" s="28">
        <v>62</v>
      </c>
    </row>
    <row r="17" spans="1:15" ht="12.75" customHeight="1">
      <c r="A17" s="4" t="s">
        <v>31</v>
      </c>
      <c r="B17" s="5" t="s">
        <v>32</v>
      </c>
      <c r="C17" s="28">
        <v>3330</v>
      </c>
      <c r="D17" s="28">
        <v>2777</v>
      </c>
      <c r="E17" s="28">
        <v>0</v>
      </c>
      <c r="F17" s="28">
        <f t="shared" si="0"/>
        <v>553</v>
      </c>
      <c r="G17" s="28">
        <v>7248</v>
      </c>
      <c r="H17" s="28">
        <v>5423</v>
      </c>
      <c r="I17" s="28">
        <v>0</v>
      </c>
      <c r="J17" s="28">
        <f t="shared" si="1"/>
        <v>1825</v>
      </c>
      <c r="K17" s="28">
        <v>639</v>
      </c>
      <c r="L17" s="28">
        <v>0</v>
      </c>
      <c r="M17" s="28">
        <v>107</v>
      </c>
      <c r="N17" s="28">
        <v>378</v>
      </c>
      <c r="O17" s="28">
        <v>378</v>
      </c>
    </row>
    <row r="18" spans="1:15" ht="12.75" customHeight="1">
      <c r="A18" s="4" t="s">
        <v>33</v>
      </c>
      <c r="B18" s="5" t="s">
        <v>34</v>
      </c>
      <c r="C18" s="28">
        <v>10287</v>
      </c>
      <c r="D18" s="28">
        <v>6950</v>
      </c>
      <c r="E18" s="28">
        <v>98</v>
      </c>
      <c r="F18" s="28">
        <f t="shared" si="0"/>
        <v>3239</v>
      </c>
      <c r="G18" s="28">
        <v>27554</v>
      </c>
      <c r="H18" s="28">
        <v>19552</v>
      </c>
      <c r="I18" s="28">
        <v>625</v>
      </c>
      <c r="J18" s="28">
        <f t="shared" si="1"/>
        <v>7377</v>
      </c>
      <c r="K18" s="28">
        <v>2017</v>
      </c>
      <c r="L18" s="28">
        <v>0</v>
      </c>
      <c r="M18" s="28">
        <v>618</v>
      </c>
      <c r="N18" s="28">
        <v>289</v>
      </c>
      <c r="O18" s="28">
        <v>289</v>
      </c>
    </row>
    <row r="19" spans="1:15" ht="12.75" customHeight="1">
      <c r="A19" s="4" t="s">
        <v>35</v>
      </c>
      <c r="B19" s="5" t="s">
        <v>36</v>
      </c>
      <c r="C19" s="28">
        <v>6338</v>
      </c>
      <c r="D19" s="28">
        <v>6107</v>
      </c>
      <c r="E19" s="28">
        <v>187</v>
      </c>
      <c r="F19" s="28">
        <f t="shared" si="0"/>
        <v>44</v>
      </c>
      <c r="G19" s="28">
        <v>18888</v>
      </c>
      <c r="H19" s="28">
        <v>15160</v>
      </c>
      <c r="I19" s="28">
        <v>1141</v>
      </c>
      <c r="J19" s="28">
        <f t="shared" si="1"/>
        <v>2587</v>
      </c>
      <c r="K19" s="28">
        <v>424</v>
      </c>
      <c r="L19" s="28">
        <v>0</v>
      </c>
      <c r="M19" s="28">
        <v>62</v>
      </c>
      <c r="N19" s="28">
        <v>85</v>
      </c>
      <c r="O19" s="28">
        <v>85</v>
      </c>
    </row>
    <row r="20" spans="1:15" ht="12.75" customHeight="1">
      <c r="A20" s="4" t="s">
        <v>37</v>
      </c>
      <c r="B20" s="5" t="s">
        <v>38</v>
      </c>
      <c r="C20" s="28">
        <v>37922</v>
      </c>
      <c r="D20" s="28">
        <v>33987</v>
      </c>
      <c r="E20" s="28">
        <v>878</v>
      </c>
      <c r="F20" s="28">
        <f t="shared" si="0"/>
        <v>3057</v>
      </c>
      <c r="G20" s="28">
        <v>100449</v>
      </c>
      <c r="H20" s="28">
        <v>72990</v>
      </c>
      <c r="I20" s="28">
        <v>5082</v>
      </c>
      <c r="J20" s="28">
        <f t="shared" si="1"/>
        <v>22377</v>
      </c>
      <c r="K20" s="28">
        <v>6284</v>
      </c>
      <c r="L20" s="28">
        <v>0</v>
      </c>
      <c r="M20" s="28">
        <v>1838</v>
      </c>
      <c r="N20" s="28">
        <v>1579</v>
      </c>
      <c r="O20" s="28">
        <v>1579</v>
      </c>
    </row>
    <row r="21" spans="1:15" ht="12.75" customHeight="1">
      <c r="A21" s="4" t="s">
        <v>39</v>
      </c>
      <c r="B21" s="5" t="s">
        <v>40</v>
      </c>
      <c r="C21" s="28">
        <v>2729</v>
      </c>
      <c r="D21" s="28">
        <v>2718</v>
      </c>
      <c r="E21" s="28">
        <v>0</v>
      </c>
      <c r="F21" s="28">
        <f t="shared" si="0"/>
        <v>11</v>
      </c>
      <c r="G21" s="28">
        <v>5062</v>
      </c>
      <c r="H21" s="28">
        <v>4902</v>
      </c>
      <c r="I21" s="28">
        <v>0</v>
      </c>
      <c r="J21" s="28">
        <f t="shared" si="1"/>
        <v>160</v>
      </c>
      <c r="K21" s="28">
        <v>61</v>
      </c>
      <c r="L21" s="28">
        <v>0</v>
      </c>
      <c r="M21" s="28">
        <v>0</v>
      </c>
      <c r="N21" s="28">
        <v>31</v>
      </c>
      <c r="O21" s="28">
        <v>31</v>
      </c>
    </row>
    <row r="22" spans="1:15" ht="12.75" customHeight="1">
      <c r="A22" s="4" t="s">
        <v>41</v>
      </c>
      <c r="B22" s="5" t="s">
        <v>42</v>
      </c>
      <c r="C22" s="28">
        <v>2840</v>
      </c>
      <c r="D22" s="28">
        <v>2317</v>
      </c>
      <c r="E22" s="28">
        <v>255</v>
      </c>
      <c r="F22" s="28">
        <f t="shared" si="0"/>
        <v>268</v>
      </c>
      <c r="G22" s="28">
        <v>8493</v>
      </c>
      <c r="H22" s="28">
        <v>5150</v>
      </c>
      <c r="I22" s="28">
        <v>1259</v>
      </c>
      <c r="J22" s="28">
        <f t="shared" si="1"/>
        <v>2084</v>
      </c>
      <c r="K22" s="28">
        <v>1092</v>
      </c>
      <c r="L22" s="28">
        <v>0</v>
      </c>
      <c r="M22" s="28">
        <v>698</v>
      </c>
      <c r="N22" s="28">
        <v>493</v>
      </c>
      <c r="O22" s="28">
        <v>493</v>
      </c>
    </row>
    <row r="23" spans="1:15" ht="12.75" customHeight="1">
      <c r="A23" s="8"/>
      <c r="B23" s="9" t="s">
        <v>43</v>
      </c>
      <c r="C23" s="29">
        <f t="shared" ref="C23:O23" si="2">SUM(C15:C22)</f>
        <v>75945</v>
      </c>
      <c r="D23" s="29">
        <f t="shared" si="2"/>
        <v>63293</v>
      </c>
      <c r="E23" s="29">
        <f t="shared" si="2"/>
        <v>2049</v>
      </c>
      <c r="F23" s="29">
        <f t="shared" si="2"/>
        <v>10603</v>
      </c>
      <c r="G23" s="29">
        <f t="shared" si="2"/>
        <v>250007</v>
      </c>
      <c r="H23" s="29">
        <f t="shared" si="2"/>
        <v>147545</v>
      </c>
      <c r="I23" s="29">
        <f t="shared" si="2"/>
        <v>13635</v>
      </c>
      <c r="J23" s="29">
        <f t="shared" si="2"/>
        <v>88827</v>
      </c>
      <c r="K23" s="29">
        <f t="shared" si="2"/>
        <v>15949</v>
      </c>
      <c r="L23" s="29">
        <f t="shared" si="2"/>
        <v>0</v>
      </c>
      <c r="M23" s="29">
        <f t="shared" si="2"/>
        <v>7662</v>
      </c>
      <c r="N23" s="29">
        <f t="shared" si="2"/>
        <v>4762</v>
      </c>
      <c r="O23" s="29">
        <f t="shared" si="2"/>
        <v>4035</v>
      </c>
    </row>
    <row r="24" spans="1:15" ht="14.25" customHeight="1">
      <c r="A24" s="4" t="s">
        <v>44</v>
      </c>
      <c r="B24" s="5" t="s">
        <v>45</v>
      </c>
      <c r="C24" s="28">
        <v>3183</v>
      </c>
      <c r="D24" s="28">
        <v>2290</v>
      </c>
      <c r="E24" s="28">
        <v>164</v>
      </c>
      <c r="F24" s="28">
        <f>SUM(C24-D24-E24)</f>
        <v>729</v>
      </c>
      <c r="G24" s="28">
        <v>8600</v>
      </c>
      <c r="H24" s="28">
        <v>4555</v>
      </c>
      <c r="I24" s="28">
        <v>755</v>
      </c>
      <c r="J24" s="28">
        <f>SUM(G24-H24-I24)</f>
        <v>3290</v>
      </c>
      <c r="K24" s="28">
        <v>3599</v>
      </c>
      <c r="L24" s="28">
        <v>0</v>
      </c>
      <c r="M24" s="28">
        <v>275</v>
      </c>
      <c r="N24" s="28">
        <v>179</v>
      </c>
      <c r="O24" s="28">
        <v>179</v>
      </c>
    </row>
    <row r="25" spans="1:15" ht="14.25" customHeight="1">
      <c r="A25" s="10"/>
      <c r="B25" s="9" t="s">
        <v>46</v>
      </c>
      <c r="C25" s="29">
        <f t="shared" ref="C25:O25" si="3">SUM(C24)</f>
        <v>3183</v>
      </c>
      <c r="D25" s="29">
        <f t="shared" si="3"/>
        <v>2290</v>
      </c>
      <c r="E25" s="29">
        <f t="shared" si="3"/>
        <v>164</v>
      </c>
      <c r="F25" s="29">
        <f t="shared" si="3"/>
        <v>729</v>
      </c>
      <c r="G25" s="29">
        <f t="shared" si="3"/>
        <v>8600</v>
      </c>
      <c r="H25" s="29">
        <f t="shared" si="3"/>
        <v>4555</v>
      </c>
      <c r="I25" s="29">
        <f t="shared" si="3"/>
        <v>755</v>
      </c>
      <c r="J25" s="29">
        <f t="shared" si="3"/>
        <v>3290</v>
      </c>
      <c r="K25" s="29">
        <f t="shared" si="3"/>
        <v>3599</v>
      </c>
      <c r="L25" s="29">
        <f t="shared" si="3"/>
        <v>0</v>
      </c>
      <c r="M25" s="29">
        <f t="shared" si="3"/>
        <v>275</v>
      </c>
      <c r="N25" s="29">
        <f t="shared" si="3"/>
        <v>179</v>
      </c>
      <c r="O25" s="29">
        <f t="shared" si="3"/>
        <v>179</v>
      </c>
    </row>
    <row r="26" spans="1:15" ht="12.75" customHeight="1">
      <c r="A26" s="4" t="s">
        <v>47</v>
      </c>
      <c r="B26" s="5" t="s">
        <v>48</v>
      </c>
      <c r="C26" s="28">
        <v>27632</v>
      </c>
      <c r="D26" s="28">
        <v>11462</v>
      </c>
      <c r="E26" s="28">
        <v>542</v>
      </c>
      <c r="F26" s="28">
        <f>SUM(C26-D26-E26)</f>
        <v>15628</v>
      </c>
      <c r="G26" s="28">
        <v>67508</v>
      </c>
      <c r="H26" s="28">
        <v>20707</v>
      </c>
      <c r="I26" s="28">
        <v>2330</v>
      </c>
      <c r="J26" s="28">
        <f>SUM(G26-H26-I26)</f>
        <v>44471</v>
      </c>
      <c r="K26" s="28">
        <v>10226</v>
      </c>
      <c r="L26" s="28">
        <v>0</v>
      </c>
      <c r="M26" s="28">
        <v>814</v>
      </c>
      <c r="N26" s="28">
        <v>1136</v>
      </c>
      <c r="O26" s="28">
        <v>1136</v>
      </c>
    </row>
    <row r="27" spans="1:15" ht="12.75" customHeight="1">
      <c r="A27" s="4" t="s">
        <v>49</v>
      </c>
      <c r="B27" s="5" t="s">
        <v>50</v>
      </c>
      <c r="C27" s="28">
        <v>4228</v>
      </c>
      <c r="D27" s="28">
        <v>3525</v>
      </c>
      <c r="E27" s="28">
        <v>150</v>
      </c>
      <c r="F27" s="28">
        <f>SUM(C27-D27-E27)</f>
        <v>553</v>
      </c>
      <c r="G27" s="28">
        <v>8666</v>
      </c>
      <c r="H27" s="28">
        <v>5763</v>
      </c>
      <c r="I27" s="28">
        <v>621</v>
      </c>
      <c r="J27" s="28">
        <f>SUM(G27-H27-I27)</f>
        <v>2282</v>
      </c>
      <c r="K27" s="28">
        <v>1481</v>
      </c>
      <c r="L27" s="28">
        <v>0</v>
      </c>
      <c r="M27" s="28">
        <v>334</v>
      </c>
      <c r="N27" s="28">
        <v>354</v>
      </c>
      <c r="O27" s="28">
        <v>354</v>
      </c>
    </row>
    <row r="28" spans="1:15" ht="12.75" customHeight="1">
      <c r="A28" s="4" t="s">
        <v>51</v>
      </c>
      <c r="B28" s="5" t="s">
        <v>52</v>
      </c>
      <c r="C28" s="28">
        <v>3982</v>
      </c>
      <c r="D28" s="28">
        <v>2566</v>
      </c>
      <c r="E28" s="28">
        <v>223</v>
      </c>
      <c r="F28" s="28">
        <f>SUM(C28-D28-E28)</f>
        <v>1193</v>
      </c>
      <c r="G28" s="28">
        <v>11781</v>
      </c>
      <c r="H28" s="28">
        <v>6259</v>
      </c>
      <c r="I28" s="28">
        <v>1707</v>
      </c>
      <c r="J28" s="28">
        <f>SUM(G28-H28-I28)</f>
        <v>3815</v>
      </c>
      <c r="K28" s="28">
        <v>449</v>
      </c>
      <c r="L28" s="28">
        <v>0</v>
      </c>
      <c r="M28" s="28">
        <v>108</v>
      </c>
      <c r="N28" s="28">
        <v>49</v>
      </c>
      <c r="O28" s="28">
        <v>49</v>
      </c>
    </row>
    <row r="29" spans="1:15" ht="12.75" customHeight="1">
      <c r="A29" s="4" t="s">
        <v>53</v>
      </c>
      <c r="B29" s="5" t="s">
        <v>54</v>
      </c>
      <c r="C29" s="28">
        <v>4887</v>
      </c>
      <c r="D29" s="28">
        <v>4303</v>
      </c>
      <c r="E29" s="28">
        <v>370</v>
      </c>
      <c r="F29" s="28">
        <f>SUM(C29-D29-E29)</f>
        <v>214</v>
      </c>
      <c r="G29" s="28">
        <v>12317</v>
      </c>
      <c r="H29" s="28">
        <v>9850</v>
      </c>
      <c r="I29" s="28">
        <v>1947</v>
      </c>
      <c r="J29" s="28">
        <f>SUM(G29-H29-I29)</f>
        <v>520</v>
      </c>
      <c r="K29" s="28">
        <v>26</v>
      </c>
      <c r="L29" s="28">
        <v>0</v>
      </c>
      <c r="M29" s="28">
        <v>58</v>
      </c>
      <c r="N29" s="28">
        <v>89</v>
      </c>
      <c r="O29" s="28">
        <v>89</v>
      </c>
    </row>
    <row r="30" spans="1:15" ht="12.75" customHeight="1">
      <c r="A30" s="8"/>
      <c r="B30" s="9" t="s">
        <v>55</v>
      </c>
      <c r="C30" s="29">
        <f t="shared" ref="C30:O30" si="4">SUM(C26:C29)</f>
        <v>40729</v>
      </c>
      <c r="D30" s="29">
        <f t="shared" si="4"/>
        <v>21856</v>
      </c>
      <c r="E30" s="29">
        <f t="shared" si="4"/>
        <v>1285</v>
      </c>
      <c r="F30" s="29">
        <f t="shared" si="4"/>
        <v>17588</v>
      </c>
      <c r="G30" s="29">
        <f t="shared" si="4"/>
        <v>100272</v>
      </c>
      <c r="H30" s="29">
        <f t="shared" si="4"/>
        <v>42579</v>
      </c>
      <c r="I30" s="29">
        <f t="shared" si="4"/>
        <v>6605</v>
      </c>
      <c r="J30" s="29">
        <f t="shared" si="4"/>
        <v>51088</v>
      </c>
      <c r="K30" s="29">
        <f t="shared" si="4"/>
        <v>12182</v>
      </c>
      <c r="L30" s="29">
        <f t="shared" si="4"/>
        <v>0</v>
      </c>
      <c r="M30" s="29">
        <f t="shared" si="4"/>
        <v>1314</v>
      </c>
      <c r="N30" s="29">
        <f t="shared" si="4"/>
        <v>1628</v>
      </c>
      <c r="O30" s="29">
        <f t="shared" si="4"/>
        <v>1628</v>
      </c>
    </row>
    <row r="31" spans="1:15" ht="12.75" customHeight="1">
      <c r="A31" s="4" t="s">
        <v>56</v>
      </c>
      <c r="B31" s="5" t="s">
        <v>57</v>
      </c>
      <c r="C31" s="28">
        <v>18451</v>
      </c>
      <c r="D31" s="28">
        <v>15306</v>
      </c>
      <c r="E31" s="28">
        <v>300</v>
      </c>
      <c r="F31" s="28">
        <f t="shared" ref="F31:F42" si="5">SUM(C31-D31-E31)</f>
        <v>2845</v>
      </c>
      <c r="G31" s="28">
        <v>56724</v>
      </c>
      <c r="H31" s="28">
        <v>31969</v>
      </c>
      <c r="I31" s="28">
        <v>1571</v>
      </c>
      <c r="J31" s="28">
        <f t="shared" ref="J31:J42" si="6">SUM(G31-H31-I31)</f>
        <v>23184</v>
      </c>
      <c r="K31" s="28">
        <v>2660</v>
      </c>
      <c r="L31" s="28">
        <v>0</v>
      </c>
      <c r="M31" s="28">
        <v>711</v>
      </c>
      <c r="N31" s="28">
        <v>259</v>
      </c>
      <c r="O31" s="28">
        <v>259</v>
      </c>
    </row>
    <row r="32" spans="1:15" ht="12.75" customHeight="1">
      <c r="A32" s="4" t="s">
        <v>58</v>
      </c>
      <c r="B32" s="5" t="s">
        <v>59</v>
      </c>
      <c r="C32" s="28">
        <v>21281</v>
      </c>
      <c r="D32" s="28">
        <v>18756</v>
      </c>
      <c r="E32" s="28">
        <v>664</v>
      </c>
      <c r="F32" s="28">
        <f t="shared" si="5"/>
        <v>1861</v>
      </c>
      <c r="G32" s="28">
        <v>84101</v>
      </c>
      <c r="H32" s="28">
        <v>48470</v>
      </c>
      <c r="I32" s="28">
        <v>4543</v>
      </c>
      <c r="J32" s="28">
        <f t="shared" si="6"/>
        <v>31088</v>
      </c>
      <c r="K32" s="28">
        <v>4500</v>
      </c>
      <c r="L32" s="28">
        <v>0</v>
      </c>
      <c r="M32" s="28">
        <v>5856</v>
      </c>
      <c r="N32" s="28">
        <v>522</v>
      </c>
      <c r="O32" s="28">
        <v>522</v>
      </c>
    </row>
    <row r="33" spans="1:256" ht="12.75" customHeight="1">
      <c r="A33" s="4" t="s">
        <v>60</v>
      </c>
      <c r="B33" s="5" t="s">
        <v>61</v>
      </c>
      <c r="C33" s="28">
        <v>13167</v>
      </c>
      <c r="D33" s="28">
        <v>9997</v>
      </c>
      <c r="E33" s="28">
        <v>218</v>
      </c>
      <c r="F33" s="28">
        <f t="shared" si="5"/>
        <v>2952</v>
      </c>
      <c r="G33" s="28">
        <v>47726</v>
      </c>
      <c r="H33" s="28">
        <v>13515</v>
      </c>
      <c r="I33" s="28">
        <v>741</v>
      </c>
      <c r="J33" s="28">
        <f t="shared" si="6"/>
        <v>33470</v>
      </c>
      <c r="K33" s="28">
        <v>8218</v>
      </c>
      <c r="L33" s="28">
        <v>0</v>
      </c>
      <c r="M33" s="28">
        <v>1702</v>
      </c>
      <c r="N33" s="28">
        <v>603</v>
      </c>
      <c r="O33" s="28">
        <v>603</v>
      </c>
    </row>
    <row r="34" spans="1:256" ht="12.75" customHeight="1">
      <c r="A34" s="4" t="s">
        <v>62</v>
      </c>
      <c r="B34" s="5" t="s">
        <v>63</v>
      </c>
      <c r="C34" s="28">
        <v>13632</v>
      </c>
      <c r="D34" s="28">
        <v>4481</v>
      </c>
      <c r="E34" s="28">
        <v>47</v>
      </c>
      <c r="F34" s="28">
        <f t="shared" si="5"/>
        <v>9104</v>
      </c>
      <c r="G34" s="28">
        <v>43425</v>
      </c>
      <c r="H34" s="28">
        <v>12019</v>
      </c>
      <c r="I34" s="28">
        <v>287</v>
      </c>
      <c r="J34" s="28">
        <f t="shared" si="6"/>
        <v>31119</v>
      </c>
      <c r="K34" s="28">
        <v>842</v>
      </c>
      <c r="L34" s="28">
        <v>18</v>
      </c>
      <c r="M34" s="28">
        <v>1993</v>
      </c>
      <c r="N34" s="28">
        <v>83</v>
      </c>
      <c r="O34" s="28">
        <v>83</v>
      </c>
    </row>
    <row r="35" spans="1:256" ht="12.75" customHeight="1">
      <c r="A35" s="4" t="s">
        <v>64</v>
      </c>
      <c r="B35" s="5" t="s">
        <v>65</v>
      </c>
      <c r="C35" s="28">
        <v>5946</v>
      </c>
      <c r="D35" s="28">
        <v>5787</v>
      </c>
      <c r="E35" s="28">
        <v>0</v>
      </c>
      <c r="F35" s="28">
        <f t="shared" si="5"/>
        <v>159</v>
      </c>
      <c r="G35" s="28">
        <v>11236</v>
      </c>
      <c r="H35" s="28">
        <v>10141</v>
      </c>
      <c r="I35" s="28">
        <v>0</v>
      </c>
      <c r="J35" s="28">
        <f t="shared" si="6"/>
        <v>1095</v>
      </c>
      <c r="K35" s="28">
        <v>651</v>
      </c>
      <c r="L35" s="28">
        <v>0</v>
      </c>
      <c r="M35" s="28">
        <v>33</v>
      </c>
      <c r="N35" s="28">
        <v>620</v>
      </c>
      <c r="O35" s="28">
        <v>620</v>
      </c>
    </row>
    <row r="36" spans="1:256" ht="12.75" customHeight="1">
      <c r="A36" s="4" t="s">
        <v>66</v>
      </c>
      <c r="B36" s="5" t="s">
        <v>67</v>
      </c>
      <c r="C36" s="28">
        <v>3553</v>
      </c>
      <c r="D36" s="28">
        <v>3056</v>
      </c>
      <c r="E36" s="28">
        <v>170</v>
      </c>
      <c r="F36" s="28">
        <f t="shared" si="5"/>
        <v>327</v>
      </c>
      <c r="G36" s="28">
        <v>10468</v>
      </c>
      <c r="H36" s="28">
        <v>7769</v>
      </c>
      <c r="I36" s="28">
        <v>1254</v>
      </c>
      <c r="J36" s="28">
        <f t="shared" si="6"/>
        <v>1445</v>
      </c>
      <c r="K36" s="28">
        <v>101</v>
      </c>
      <c r="L36" s="28">
        <v>0</v>
      </c>
      <c r="M36" s="28">
        <v>252</v>
      </c>
      <c r="N36" s="28">
        <v>5</v>
      </c>
      <c r="O36" s="28">
        <v>5</v>
      </c>
    </row>
    <row r="37" spans="1:256" ht="12.75" customHeight="1">
      <c r="A37" s="4" t="s">
        <v>68</v>
      </c>
      <c r="B37" s="5" t="s">
        <v>69</v>
      </c>
      <c r="C37" s="28">
        <v>5731</v>
      </c>
      <c r="D37" s="28">
        <v>4942</v>
      </c>
      <c r="E37" s="28">
        <v>71</v>
      </c>
      <c r="F37" s="28">
        <f t="shared" si="5"/>
        <v>718</v>
      </c>
      <c r="G37" s="28">
        <v>24544</v>
      </c>
      <c r="H37" s="28">
        <v>13980</v>
      </c>
      <c r="I37" s="28">
        <v>400</v>
      </c>
      <c r="J37" s="28">
        <f t="shared" si="6"/>
        <v>10164</v>
      </c>
      <c r="K37" s="28">
        <v>379</v>
      </c>
      <c r="L37" s="28">
        <v>0</v>
      </c>
      <c r="M37" s="28">
        <v>791</v>
      </c>
      <c r="N37" s="28">
        <v>614</v>
      </c>
      <c r="O37" s="28">
        <v>614</v>
      </c>
    </row>
    <row r="38" spans="1:256" ht="12.75" customHeight="1">
      <c r="A38" s="4" t="s">
        <v>70</v>
      </c>
      <c r="B38" s="5" t="s">
        <v>71</v>
      </c>
      <c r="C38" s="28">
        <v>85101</v>
      </c>
      <c r="D38" s="28">
        <v>69602</v>
      </c>
      <c r="E38" s="28">
        <v>2116</v>
      </c>
      <c r="F38" s="28">
        <f t="shared" si="5"/>
        <v>13383</v>
      </c>
      <c r="G38" s="28">
        <v>204215</v>
      </c>
      <c r="H38" s="28">
        <v>122975</v>
      </c>
      <c r="I38" s="28">
        <v>9530</v>
      </c>
      <c r="J38" s="28">
        <f t="shared" si="6"/>
        <v>71710</v>
      </c>
      <c r="K38" s="28">
        <v>20275</v>
      </c>
      <c r="L38" s="28">
        <v>0</v>
      </c>
      <c r="M38" s="28">
        <v>5108</v>
      </c>
      <c r="N38" s="28">
        <v>89402</v>
      </c>
      <c r="O38" s="28">
        <v>10067</v>
      </c>
    </row>
    <row r="39" spans="1:256" ht="12.75" customHeight="1">
      <c r="A39" s="4" t="s">
        <v>72</v>
      </c>
      <c r="B39" s="5" t="s">
        <v>73</v>
      </c>
      <c r="C39" s="28">
        <v>12871</v>
      </c>
      <c r="D39" s="28">
        <v>12070</v>
      </c>
      <c r="E39" s="28">
        <v>353</v>
      </c>
      <c r="F39" s="28">
        <f t="shared" si="5"/>
        <v>448</v>
      </c>
      <c r="G39" s="28">
        <v>24304</v>
      </c>
      <c r="H39" s="28">
        <v>20138</v>
      </c>
      <c r="I39" s="28">
        <v>2193</v>
      </c>
      <c r="J39" s="28">
        <f t="shared" si="6"/>
        <v>1973</v>
      </c>
      <c r="K39" s="28">
        <v>574</v>
      </c>
      <c r="L39" s="28">
        <v>0</v>
      </c>
      <c r="M39" s="28">
        <v>1</v>
      </c>
      <c r="N39" s="28">
        <v>57</v>
      </c>
      <c r="O39" s="28">
        <v>57</v>
      </c>
    </row>
    <row r="40" spans="1:256" ht="12.75" customHeight="1">
      <c r="A40" s="4" t="s">
        <v>74</v>
      </c>
      <c r="B40" s="5" t="s">
        <v>75</v>
      </c>
      <c r="C40" s="28">
        <v>9217</v>
      </c>
      <c r="D40" s="28">
        <v>8016</v>
      </c>
      <c r="E40" s="28">
        <v>249</v>
      </c>
      <c r="F40" s="28">
        <f t="shared" si="5"/>
        <v>952</v>
      </c>
      <c r="G40" s="28">
        <v>26414</v>
      </c>
      <c r="H40" s="28">
        <v>17023</v>
      </c>
      <c r="I40" s="28">
        <v>1455</v>
      </c>
      <c r="J40" s="28">
        <f t="shared" si="6"/>
        <v>7936</v>
      </c>
      <c r="K40" s="28">
        <v>1460</v>
      </c>
      <c r="L40" s="28">
        <v>0</v>
      </c>
      <c r="M40" s="28">
        <v>1845</v>
      </c>
      <c r="N40" s="28">
        <v>116</v>
      </c>
      <c r="O40" s="28">
        <v>116</v>
      </c>
    </row>
    <row r="41" spans="1:256" ht="12.75" customHeight="1">
      <c r="A41" s="4" t="s">
        <v>76</v>
      </c>
      <c r="B41" s="5" t="s">
        <v>77</v>
      </c>
      <c r="C41" s="28">
        <v>2856</v>
      </c>
      <c r="D41" s="28">
        <v>2243</v>
      </c>
      <c r="E41" s="28">
        <v>0</v>
      </c>
      <c r="F41" s="28">
        <f t="shared" si="5"/>
        <v>613</v>
      </c>
      <c r="G41" s="28">
        <v>11854</v>
      </c>
      <c r="H41" s="28">
        <v>7370</v>
      </c>
      <c r="I41" s="28">
        <v>0</v>
      </c>
      <c r="J41" s="28">
        <f t="shared" si="6"/>
        <v>4484</v>
      </c>
      <c r="K41" s="28">
        <v>2512</v>
      </c>
      <c r="L41" s="28">
        <v>0</v>
      </c>
      <c r="M41" s="28">
        <v>144</v>
      </c>
      <c r="N41" s="28">
        <v>927</v>
      </c>
      <c r="O41" s="28">
        <v>927</v>
      </c>
    </row>
    <row r="42" spans="1:256" ht="12.75" customHeight="1">
      <c r="A42" s="4" t="s">
        <v>78</v>
      </c>
      <c r="B42" s="5" t="s">
        <v>79</v>
      </c>
      <c r="C42" s="28">
        <v>18941</v>
      </c>
      <c r="D42" s="28">
        <v>16723</v>
      </c>
      <c r="E42" s="28">
        <v>373</v>
      </c>
      <c r="F42" s="28">
        <f t="shared" si="5"/>
        <v>1845</v>
      </c>
      <c r="G42" s="28">
        <v>35684</v>
      </c>
      <c r="H42" s="28">
        <v>27580</v>
      </c>
      <c r="I42" s="28">
        <v>1012</v>
      </c>
      <c r="J42" s="28">
        <f t="shared" si="6"/>
        <v>7092</v>
      </c>
      <c r="K42" s="28">
        <v>1850</v>
      </c>
      <c r="L42" s="28">
        <v>0</v>
      </c>
      <c r="M42" s="28">
        <v>93</v>
      </c>
      <c r="N42" s="28">
        <v>243</v>
      </c>
      <c r="O42" s="28">
        <v>243</v>
      </c>
    </row>
    <row r="43" spans="1:256" ht="12.75" customHeight="1">
      <c r="A43" s="8"/>
      <c r="B43" s="9" t="s">
        <v>80</v>
      </c>
      <c r="C43" s="29">
        <f t="shared" ref="C43:O43" si="7">SUM(C31:C42)</f>
        <v>210747</v>
      </c>
      <c r="D43" s="29">
        <f t="shared" si="7"/>
        <v>170979</v>
      </c>
      <c r="E43" s="29">
        <f t="shared" si="7"/>
        <v>4561</v>
      </c>
      <c r="F43" s="29">
        <f t="shared" si="7"/>
        <v>35207</v>
      </c>
      <c r="G43" s="29">
        <f t="shared" si="7"/>
        <v>580695</v>
      </c>
      <c r="H43" s="29">
        <f t="shared" si="7"/>
        <v>332949</v>
      </c>
      <c r="I43" s="29">
        <f t="shared" si="7"/>
        <v>22986</v>
      </c>
      <c r="J43" s="29">
        <f t="shared" si="7"/>
        <v>224760</v>
      </c>
      <c r="K43" s="29">
        <f t="shared" si="7"/>
        <v>44022</v>
      </c>
      <c r="L43" s="29">
        <f t="shared" si="7"/>
        <v>18</v>
      </c>
      <c r="M43" s="29">
        <f t="shared" si="7"/>
        <v>18529</v>
      </c>
      <c r="N43" s="29">
        <f t="shared" si="7"/>
        <v>93451</v>
      </c>
      <c r="O43" s="29">
        <f t="shared" si="7"/>
        <v>14116</v>
      </c>
    </row>
    <row r="44" spans="1:256" ht="12.75" customHeight="1">
      <c r="A44" s="4" t="s">
        <v>81</v>
      </c>
      <c r="B44" s="5" t="s">
        <v>82</v>
      </c>
      <c r="C44" s="28">
        <v>6663</v>
      </c>
      <c r="D44" s="28">
        <v>5767</v>
      </c>
      <c r="E44" s="28">
        <v>152</v>
      </c>
      <c r="F44" s="28">
        <f>SUM(C44-D44-E44)</f>
        <v>744</v>
      </c>
      <c r="G44" s="28">
        <v>26621</v>
      </c>
      <c r="H44" s="28">
        <v>16467</v>
      </c>
      <c r="I44" s="28">
        <v>811</v>
      </c>
      <c r="J44" s="28">
        <f>SUM(G44-H44-I44)</f>
        <v>9343</v>
      </c>
      <c r="K44" s="28">
        <v>2898</v>
      </c>
      <c r="L44" s="28">
        <v>0</v>
      </c>
      <c r="M44" s="28">
        <v>615</v>
      </c>
      <c r="N44" s="28">
        <v>375</v>
      </c>
      <c r="O44" s="28">
        <v>375</v>
      </c>
    </row>
    <row r="45" spans="1:256" ht="12.75" customHeight="1">
      <c r="A45" s="4" t="s">
        <v>83</v>
      </c>
      <c r="B45" s="5" t="s">
        <v>84</v>
      </c>
      <c r="C45" s="28">
        <v>9859</v>
      </c>
      <c r="D45" s="28">
        <v>7379</v>
      </c>
      <c r="E45" s="28">
        <v>220</v>
      </c>
      <c r="F45" s="28">
        <f>SUM(C45-D45-E45)</f>
        <v>2260</v>
      </c>
      <c r="G45" s="28">
        <v>45950</v>
      </c>
      <c r="H45" s="28">
        <v>19682</v>
      </c>
      <c r="I45" s="28">
        <v>1406</v>
      </c>
      <c r="J45" s="28">
        <f>SUM(G45-H45-I45)</f>
        <v>24862</v>
      </c>
      <c r="K45" s="28">
        <v>13447</v>
      </c>
      <c r="L45" s="28">
        <v>0</v>
      </c>
      <c r="M45" s="28">
        <v>4132</v>
      </c>
      <c r="N45" s="28">
        <v>83</v>
      </c>
      <c r="O45" s="28">
        <v>83</v>
      </c>
    </row>
    <row r="46" spans="1:256" ht="12.75" customHeight="1">
      <c r="A46" s="8"/>
      <c r="B46" s="9" t="s">
        <v>85</v>
      </c>
      <c r="C46" s="29">
        <f t="shared" ref="C46:O46" si="8">SUM(C44:C45)</f>
        <v>16522</v>
      </c>
      <c r="D46" s="29">
        <f t="shared" si="8"/>
        <v>13146</v>
      </c>
      <c r="E46" s="29">
        <f t="shared" si="8"/>
        <v>372</v>
      </c>
      <c r="F46" s="29">
        <f t="shared" si="8"/>
        <v>3004</v>
      </c>
      <c r="G46" s="29">
        <f t="shared" si="8"/>
        <v>72571</v>
      </c>
      <c r="H46" s="29">
        <f t="shared" si="8"/>
        <v>36149</v>
      </c>
      <c r="I46" s="29">
        <f t="shared" si="8"/>
        <v>2217</v>
      </c>
      <c r="J46" s="29">
        <f t="shared" si="8"/>
        <v>34205</v>
      </c>
      <c r="K46" s="29">
        <f t="shared" si="8"/>
        <v>16345</v>
      </c>
      <c r="L46" s="29">
        <f t="shared" si="8"/>
        <v>0</v>
      </c>
      <c r="M46" s="29">
        <f t="shared" si="8"/>
        <v>4747</v>
      </c>
      <c r="N46" s="29">
        <f t="shared" si="8"/>
        <v>458</v>
      </c>
      <c r="O46" s="29">
        <f t="shared" si="8"/>
        <v>458</v>
      </c>
      <c r="GM46" s="3"/>
      <c r="GN46" s="3"/>
      <c r="GO46" s="3"/>
      <c r="GP46" s="3"/>
      <c r="GQ46" s="3"/>
      <c r="GR46" s="3"/>
      <c r="GS46" s="3"/>
      <c r="GT46" s="3"/>
      <c r="GU46" s="3"/>
      <c r="GV46" s="3"/>
      <c r="GW46" s="3"/>
      <c r="GX46" s="3"/>
      <c r="GY46" s="3"/>
      <c r="GZ46" s="3"/>
      <c r="HA46" s="3"/>
      <c r="HB46" s="3"/>
      <c r="HC46" s="3"/>
      <c r="HD46" s="3"/>
      <c r="HE46" s="3"/>
      <c r="HF46" s="3"/>
      <c r="HG46" s="3"/>
      <c r="HH46" s="3"/>
      <c r="HI46" s="3"/>
      <c r="HJ46" s="3"/>
      <c r="HK46" s="3"/>
      <c r="HL46" s="3"/>
      <c r="HM46" s="3"/>
      <c r="HN46" s="3"/>
      <c r="HO46" s="3"/>
      <c r="HP46" s="3"/>
      <c r="HQ46" s="3"/>
      <c r="HR46" s="3"/>
      <c r="HS46" s="3"/>
      <c r="HT46" s="3"/>
      <c r="HU46" s="3"/>
      <c r="HV46" s="3"/>
      <c r="HW46" s="3"/>
      <c r="HX46" s="3"/>
      <c r="HY46" s="3"/>
      <c r="HZ46" s="3"/>
      <c r="IA46" s="3"/>
      <c r="IB46" s="3"/>
      <c r="IC46" s="3"/>
      <c r="ID46" s="3"/>
      <c r="IE46" s="3"/>
      <c r="IF46" s="3"/>
      <c r="IG46" s="3"/>
      <c r="IH46" s="3"/>
      <c r="II46" s="3"/>
      <c r="IJ46" s="3"/>
      <c r="IK46" s="3"/>
      <c r="IL46" s="3"/>
      <c r="IM46" s="3"/>
      <c r="IN46" s="3"/>
      <c r="IO46" s="3"/>
      <c r="IP46" s="3"/>
      <c r="IQ46" s="3"/>
      <c r="IR46" s="3"/>
      <c r="IS46" s="3"/>
      <c r="IT46" s="3"/>
      <c r="IU46" s="3"/>
      <c r="IV46" s="3"/>
    </row>
    <row r="47" spans="1:256" ht="13.5" customHeight="1">
      <c r="A47" s="4" t="s">
        <v>86</v>
      </c>
      <c r="B47" s="5" t="s">
        <v>87</v>
      </c>
      <c r="C47" s="28">
        <v>1852</v>
      </c>
      <c r="D47" s="28">
        <v>1674</v>
      </c>
      <c r="E47" s="28">
        <v>0</v>
      </c>
      <c r="F47" s="28">
        <f>SUM(C47-D47-E47)</f>
        <v>178</v>
      </c>
      <c r="G47" s="28">
        <v>2052</v>
      </c>
      <c r="H47" s="28">
        <v>1513</v>
      </c>
      <c r="I47" s="28">
        <v>0</v>
      </c>
      <c r="J47" s="28">
        <f>SUM(G47-H47-I47)</f>
        <v>539</v>
      </c>
      <c r="K47" s="28">
        <v>2</v>
      </c>
      <c r="L47" s="28">
        <v>0</v>
      </c>
      <c r="M47" s="28">
        <v>17</v>
      </c>
      <c r="N47" s="28">
        <v>0</v>
      </c>
      <c r="O47" s="28">
        <v>0</v>
      </c>
    </row>
    <row r="48" spans="1:256" ht="12.75" customHeight="1">
      <c r="A48" s="4" t="s">
        <v>88</v>
      </c>
      <c r="B48" s="5" t="s">
        <v>89</v>
      </c>
      <c r="C48" s="28">
        <v>5430</v>
      </c>
      <c r="D48" s="28">
        <v>4275</v>
      </c>
      <c r="E48" s="28">
        <v>36</v>
      </c>
      <c r="F48" s="28">
        <f>SUM(C48-D48-E48)</f>
        <v>1119</v>
      </c>
      <c r="G48" s="28">
        <v>10056</v>
      </c>
      <c r="H48" s="28">
        <v>7972</v>
      </c>
      <c r="I48" s="28">
        <v>129</v>
      </c>
      <c r="J48" s="28">
        <f>SUM(G48-H48-I48)</f>
        <v>1955</v>
      </c>
      <c r="K48" s="28">
        <v>47</v>
      </c>
      <c r="L48" s="28">
        <v>0</v>
      </c>
      <c r="M48" s="28">
        <v>333</v>
      </c>
      <c r="N48" s="28">
        <v>142</v>
      </c>
      <c r="O48" s="28">
        <v>142</v>
      </c>
    </row>
    <row r="49" spans="1:15" ht="12.75" customHeight="1">
      <c r="A49" s="4" t="s">
        <v>90</v>
      </c>
      <c r="B49" s="5" t="s">
        <v>91</v>
      </c>
      <c r="C49" s="28">
        <v>1717</v>
      </c>
      <c r="D49" s="28">
        <v>1586</v>
      </c>
      <c r="E49" s="28">
        <v>86</v>
      </c>
      <c r="F49" s="28">
        <f>SUM(C49-D49-E49)</f>
        <v>45</v>
      </c>
      <c r="G49" s="28">
        <v>2299</v>
      </c>
      <c r="H49" s="28">
        <v>1901</v>
      </c>
      <c r="I49" s="28">
        <v>251</v>
      </c>
      <c r="J49" s="28">
        <f>SUM(G49-H49-I49)</f>
        <v>147</v>
      </c>
      <c r="K49" s="28">
        <v>864</v>
      </c>
      <c r="L49" s="28">
        <v>0</v>
      </c>
      <c r="M49" s="28">
        <v>0</v>
      </c>
      <c r="N49" s="28">
        <v>0</v>
      </c>
      <c r="O49" s="28">
        <v>0</v>
      </c>
    </row>
    <row r="50" spans="1:15" ht="12.75" customHeight="1">
      <c r="A50" s="4" t="s">
        <v>92</v>
      </c>
      <c r="B50" s="5" t="s">
        <v>93</v>
      </c>
      <c r="C50" s="28">
        <v>16796</v>
      </c>
      <c r="D50" s="28">
        <v>16238</v>
      </c>
      <c r="E50" s="28">
        <v>149</v>
      </c>
      <c r="F50" s="28">
        <f>SUM(C50-D50-E50)</f>
        <v>409</v>
      </c>
      <c r="G50" s="28">
        <v>37396</v>
      </c>
      <c r="H50" s="28">
        <v>27091</v>
      </c>
      <c r="I50" s="28">
        <v>765</v>
      </c>
      <c r="J50" s="28">
        <f>SUM(G50-H50-I50)</f>
        <v>9540</v>
      </c>
      <c r="K50" s="28">
        <v>8785</v>
      </c>
      <c r="L50" s="28">
        <v>0</v>
      </c>
      <c r="M50" s="28">
        <v>1680</v>
      </c>
      <c r="N50" s="28">
        <v>2215</v>
      </c>
      <c r="O50" s="28">
        <v>2215</v>
      </c>
    </row>
    <row r="51" spans="1:15" ht="12.75" customHeight="1">
      <c r="A51" s="8"/>
      <c r="B51" s="9" t="s">
        <v>94</v>
      </c>
      <c r="C51" s="29">
        <f t="shared" ref="C51:O51" si="9">SUM(C47:C50)</f>
        <v>25795</v>
      </c>
      <c r="D51" s="29">
        <f t="shared" si="9"/>
        <v>23773</v>
      </c>
      <c r="E51" s="29">
        <f t="shared" si="9"/>
        <v>271</v>
      </c>
      <c r="F51" s="29">
        <f t="shared" si="9"/>
        <v>1751</v>
      </c>
      <c r="G51" s="29">
        <f t="shared" si="9"/>
        <v>51803</v>
      </c>
      <c r="H51" s="29">
        <f t="shared" si="9"/>
        <v>38477</v>
      </c>
      <c r="I51" s="29">
        <f t="shared" si="9"/>
        <v>1145</v>
      </c>
      <c r="J51" s="29">
        <f t="shared" si="9"/>
        <v>12181</v>
      </c>
      <c r="K51" s="29">
        <f t="shared" si="9"/>
        <v>9698</v>
      </c>
      <c r="L51" s="29">
        <f t="shared" si="9"/>
        <v>0</v>
      </c>
      <c r="M51" s="29">
        <f t="shared" si="9"/>
        <v>2030</v>
      </c>
      <c r="N51" s="29">
        <f t="shared" si="9"/>
        <v>2357</v>
      </c>
      <c r="O51" s="29">
        <f t="shared" si="9"/>
        <v>2357</v>
      </c>
    </row>
    <row r="52" spans="1:15" ht="12.75" customHeight="1">
      <c r="A52" s="4" t="s">
        <v>95</v>
      </c>
      <c r="B52" s="5" t="s">
        <v>96</v>
      </c>
      <c r="C52" s="28">
        <v>3253</v>
      </c>
      <c r="D52" s="28">
        <v>2186</v>
      </c>
      <c r="E52" s="28">
        <v>8</v>
      </c>
      <c r="F52" s="28">
        <f t="shared" ref="F52:F58" si="10">SUM(C52-D52-E52)</f>
        <v>1059</v>
      </c>
      <c r="G52" s="28">
        <v>11472</v>
      </c>
      <c r="H52" s="28">
        <v>6138</v>
      </c>
      <c r="I52" s="28">
        <v>51</v>
      </c>
      <c r="J52" s="28">
        <f t="shared" ref="J52:J58" si="11">SUM(G52-H52-I52)</f>
        <v>5283</v>
      </c>
      <c r="K52" s="28">
        <v>4558</v>
      </c>
      <c r="L52" s="28">
        <v>0</v>
      </c>
      <c r="M52" s="28">
        <v>59</v>
      </c>
      <c r="N52" s="28">
        <v>291</v>
      </c>
      <c r="O52" s="28">
        <v>291</v>
      </c>
    </row>
    <row r="53" spans="1:15" ht="12.75" customHeight="1">
      <c r="A53" s="4" t="s">
        <v>97</v>
      </c>
      <c r="B53" s="5" t="s">
        <v>98</v>
      </c>
      <c r="C53" s="28">
        <v>15201</v>
      </c>
      <c r="D53" s="28">
        <v>11963</v>
      </c>
      <c r="E53" s="28">
        <v>191</v>
      </c>
      <c r="F53" s="28">
        <f t="shared" si="10"/>
        <v>3047</v>
      </c>
      <c r="G53" s="28">
        <v>50085</v>
      </c>
      <c r="H53" s="28">
        <v>32469</v>
      </c>
      <c r="I53" s="28">
        <v>1547</v>
      </c>
      <c r="J53" s="28">
        <f t="shared" si="11"/>
        <v>16069</v>
      </c>
      <c r="K53" s="28">
        <v>2926</v>
      </c>
      <c r="L53" s="28">
        <v>0</v>
      </c>
      <c r="M53" s="28">
        <v>1035</v>
      </c>
      <c r="N53" s="28">
        <v>877</v>
      </c>
      <c r="O53" s="28">
        <v>877</v>
      </c>
    </row>
    <row r="54" spans="1:15" ht="12.75" customHeight="1">
      <c r="A54" s="4" t="s">
        <v>99</v>
      </c>
      <c r="B54" s="5" t="s">
        <v>100</v>
      </c>
      <c r="C54" s="28">
        <v>2647</v>
      </c>
      <c r="D54" s="28">
        <v>1544</v>
      </c>
      <c r="E54" s="28">
        <v>56</v>
      </c>
      <c r="F54" s="28">
        <f t="shared" si="10"/>
        <v>1047</v>
      </c>
      <c r="G54" s="28">
        <v>9505</v>
      </c>
      <c r="H54" s="28">
        <v>5321</v>
      </c>
      <c r="I54" s="28">
        <v>615</v>
      </c>
      <c r="J54" s="28">
        <f t="shared" si="11"/>
        <v>3569</v>
      </c>
      <c r="K54" s="28">
        <v>190</v>
      </c>
      <c r="L54" s="28">
        <v>0</v>
      </c>
      <c r="M54" s="28">
        <v>389</v>
      </c>
      <c r="N54" s="28">
        <v>0</v>
      </c>
      <c r="O54" s="28">
        <v>0</v>
      </c>
    </row>
    <row r="55" spans="1:15" ht="12.75" customHeight="1">
      <c r="A55" s="4" t="s">
        <v>101</v>
      </c>
      <c r="B55" s="5" t="s">
        <v>102</v>
      </c>
      <c r="C55" s="28">
        <v>12421</v>
      </c>
      <c r="D55" s="28">
        <v>8323</v>
      </c>
      <c r="E55" s="28">
        <v>151</v>
      </c>
      <c r="F55" s="28">
        <f t="shared" si="10"/>
        <v>3947</v>
      </c>
      <c r="G55" s="28">
        <v>46566</v>
      </c>
      <c r="H55" s="28">
        <v>21554</v>
      </c>
      <c r="I55" s="28">
        <v>771</v>
      </c>
      <c r="J55" s="28">
        <f t="shared" si="11"/>
        <v>24241</v>
      </c>
      <c r="K55" s="28">
        <v>9695</v>
      </c>
      <c r="L55" s="28">
        <v>0</v>
      </c>
      <c r="M55" s="28">
        <v>2411</v>
      </c>
      <c r="N55" s="28">
        <v>4022</v>
      </c>
      <c r="O55" s="28">
        <v>4022</v>
      </c>
    </row>
    <row r="56" spans="1:15" ht="12.75" customHeight="1">
      <c r="A56" s="4" t="s">
        <v>103</v>
      </c>
      <c r="B56" s="5" t="s">
        <v>104</v>
      </c>
      <c r="C56" s="28">
        <v>20798</v>
      </c>
      <c r="D56" s="28">
        <v>6765</v>
      </c>
      <c r="E56" s="28">
        <v>564</v>
      </c>
      <c r="F56" s="28">
        <f t="shared" si="10"/>
        <v>13469</v>
      </c>
      <c r="G56" s="28">
        <v>67031</v>
      </c>
      <c r="H56" s="28">
        <v>17255</v>
      </c>
      <c r="I56" s="28">
        <v>3543</v>
      </c>
      <c r="J56" s="28">
        <f t="shared" si="11"/>
        <v>46233</v>
      </c>
      <c r="K56" s="28">
        <v>3657</v>
      </c>
      <c r="L56" s="28">
        <v>66</v>
      </c>
      <c r="M56" s="28">
        <v>3010</v>
      </c>
      <c r="N56" s="28">
        <v>6005</v>
      </c>
      <c r="O56" s="28">
        <v>976</v>
      </c>
    </row>
    <row r="57" spans="1:15" ht="12.75" customHeight="1">
      <c r="A57" s="4" t="s">
        <v>105</v>
      </c>
      <c r="B57" s="5" t="s">
        <v>106</v>
      </c>
      <c r="C57" s="28">
        <v>14497</v>
      </c>
      <c r="D57" s="28">
        <v>8016</v>
      </c>
      <c r="E57" s="28">
        <v>580</v>
      </c>
      <c r="F57" s="28">
        <f t="shared" si="10"/>
        <v>5901</v>
      </c>
      <c r="G57" s="28">
        <v>61692</v>
      </c>
      <c r="H57" s="28">
        <v>26903</v>
      </c>
      <c r="I57" s="28">
        <v>3541</v>
      </c>
      <c r="J57" s="28">
        <f t="shared" si="11"/>
        <v>31248</v>
      </c>
      <c r="K57" s="28">
        <v>1317</v>
      </c>
      <c r="L57" s="28">
        <v>0</v>
      </c>
      <c r="M57" s="28">
        <v>3308</v>
      </c>
      <c r="N57" s="28">
        <v>97</v>
      </c>
      <c r="O57" s="28">
        <v>97</v>
      </c>
    </row>
    <row r="58" spans="1:15" ht="12.75" customHeight="1">
      <c r="A58" s="4" t="s">
        <v>107</v>
      </c>
      <c r="B58" s="5" t="s">
        <v>108</v>
      </c>
      <c r="C58" s="28">
        <v>15756</v>
      </c>
      <c r="D58" s="28">
        <v>8997</v>
      </c>
      <c r="E58" s="28">
        <v>201</v>
      </c>
      <c r="F58" s="28">
        <f t="shared" si="10"/>
        <v>6558</v>
      </c>
      <c r="G58" s="28">
        <v>59400</v>
      </c>
      <c r="H58" s="28">
        <v>23167</v>
      </c>
      <c r="I58" s="28">
        <v>1244</v>
      </c>
      <c r="J58" s="28">
        <f t="shared" si="11"/>
        <v>34989</v>
      </c>
      <c r="K58" s="28">
        <v>3771</v>
      </c>
      <c r="L58" s="28">
        <v>50</v>
      </c>
      <c r="M58" s="28">
        <v>2045</v>
      </c>
      <c r="N58" s="28">
        <v>5558</v>
      </c>
      <c r="O58" s="28">
        <v>5558</v>
      </c>
    </row>
    <row r="59" spans="1:15" ht="12.75" customHeight="1">
      <c r="A59" s="8"/>
      <c r="B59" s="9" t="s">
        <v>109</v>
      </c>
      <c r="C59" s="29">
        <f t="shared" ref="C59:O59" si="12">SUM(C52:C58)</f>
        <v>84573</v>
      </c>
      <c r="D59" s="29">
        <f t="shared" si="12"/>
        <v>47794</v>
      </c>
      <c r="E59" s="29">
        <f t="shared" si="12"/>
        <v>1751</v>
      </c>
      <c r="F59" s="29">
        <f t="shared" si="12"/>
        <v>35028</v>
      </c>
      <c r="G59" s="29">
        <f t="shared" si="12"/>
        <v>305751</v>
      </c>
      <c r="H59" s="29">
        <f t="shared" si="12"/>
        <v>132807</v>
      </c>
      <c r="I59" s="29">
        <f t="shared" si="12"/>
        <v>11312</v>
      </c>
      <c r="J59" s="29">
        <f t="shared" si="12"/>
        <v>161632</v>
      </c>
      <c r="K59" s="29">
        <f t="shared" si="12"/>
        <v>26114</v>
      </c>
      <c r="L59" s="29">
        <f t="shared" si="12"/>
        <v>116</v>
      </c>
      <c r="M59" s="29">
        <f t="shared" si="12"/>
        <v>12257</v>
      </c>
      <c r="N59" s="29">
        <f t="shared" si="12"/>
        <v>16850</v>
      </c>
      <c r="O59" s="29">
        <f t="shared" si="12"/>
        <v>11821</v>
      </c>
    </row>
    <row r="60" spans="1:15" ht="12.75" customHeight="1">
      <c r="A60" s="4" t="s">
        <v>110</v>
      </c>
      <c r="B60" s="5" t="s">
        <v>111</v>
      </c>
      <c r="C60" s="28">
        <v>17004</v>
      </c>
      <c r="D60" s="28">
        <v>12879</v>
      </c>
      <c r="E60" s="28">
        <v>768</v>
      </c>
      <c r="F60" s="28">
        <f t="shared" ref="F60:F68" si="13">SUM(C60-D60-E60)</f>
        <v>3357</v>
      </c>
      <c r="G60" s="28">
        <v>54902</v>
      </c>
      <c r="H60" s="28">
        <v>33381</v>
      </c>
      <c r="I60" s="28">
        <v>6412</v>
      </c>
      <c r="J60" s="28">
        <f t="shared" ref="J60:J68" si="14">SUM(G60-H60-I60)</f>
        <v>15109</v>
      </c>
      <c r="K60" s="28">
        <v>1514</v>
      </c>
      <c r="L60" s="28">
        <v>0</v>
      </c>
      <c r="M60" s="28">
        <v>641</v>
      </c>
      <c r="N60" s="28">
        <v>269</v>
      </c>
      <c r="O60" s="28">
        <v>269</v>
      </c>
    </row>
    <row r="61" spans="1:15" ht="12.75" customHeight="1">
      <c r="A61" s="4" t="s">
        <v>112</v>
      </c>
      <c r="B61" s="5" t="s">
        <v>113</v>
      </c>
      <c r="C61" s="28">
        <v>4912</v>
      </c>
      <c r="D61" s="28">
        <v>3446</v>
      </c>
      <c r="E61" s="28">
        <v>39</v>
      </c>
      <c r="F61" s="28">
        <f t="shared" si="13"/>
        <v>1427</v>
      </c>
      <c r="G61" s="28">
        <v>14446</v>
      </c>
      <c r="H61" s="28">
        <v>9201</v>
      </c>
      <c r="I61" s="28">
        <v>518</v>
      </c>
      <c r="J61" s="28">
        <f t="shared" si="14"/>
        <v>4727</v>
      </c>
      <c r="K61" s="28">
        <v>77</v>
      </c>
      <c r="L61" s="28">
        <v>0</v>
      </c>
      <c r="M61" s="28">
        <v>552</v>
      </c>
      <c r="N61" s="28">
        <v>0</v>
      </c>
      <c r="O61" s="28">
        <v>0</v>
      </c>
    </row>
    <row r="62" spans="1:15" ht="12.75" customHeight="1">
      <c r="A62" s="4" t="s">
        <v>114</v>
      </c>
      <c r="B62" s="5" t="s">
        <v>115</v>
      </c>
      <c r="C62" s="28">
        <v>7936</v>
      </c>
      <c r="D62" s="28">
        <v>4063</v>
      </c>
      <c r="E62" s="28">
        <v>200</v>
      </c>
      <c r="F62" s="28">
        <f t="shared" si="13"/>
        <v>3673</v>
      </c>
      <c r="G62" s="28">
        <v>39120</v>
      </c>
      <c r="H62" s="28">
        <v>11749</v>
      </c>
      <c r="I62" s="28">
        <v>1874</v>
      </c>
      <c r="J62" s="28">
        <f t="shared" si="14"/>
        <v>25497</v>
      </c>
      <c r="K62" s="28">
        <v>1769</v>
      </c>
      <c r="L62" s="28">
        <v>0</v>
      </c>
      <c r="M62" s="28">
        <v>1276</v>
      </c>
      <c r="N62" s="28">
        <v>791</v>
      </c>
      <c r="O62" s="28">
        <v>791</v>
      </c>
    </row>
    <row r="63" spans="1:15" ht="12.75" customHeight="1">
      <c r="A63" s="4" t="s">
        <v>116</v>
      </c>
      <c r="B63" s="5" t="s">
        <v>117</v>
      </c>
      <c r="C63" s="28">
        <v>11399</v>
      </c>
      <c r="D63" s="28">
        <v>7800</v>
      </c>
      <c r="E63" s="28">
        <v>285</v>
      </c>
      <c r="F63" s="28">
        <f t="shared" si="13"/>
        <v>3314</v>
      </c>
      <c r="G63" s="28">
        <v>38924</v>
      </c>
      <c r="H63" s="28">
        <v>22834</v>
      </c>
      <c r="I63" s="28">
        <v>3587</v>
      </c>
      <c r="J63" s="28">
        <f t="shared" si="14"/>
        <v>12503</v>
      </c>
      <c r="K63" s="28">
        <v>737</v>
      </c>
      <c r="L63" s="28">
        <v>0</v>
      </c>
      <c r="M63" s="28">
        <v>1095</v>
      </c>
      <c r="N63" s="28">
        <v>201</v>
      </c>
      <c r="O63" s="28">
        <v>201</v>
      </c>
    </row>
    <row r="64" spans="1:15" ht="12.75" customHeight="1">
      <c r="A64" s="4" t="s">
        <v>118</v>
      </c>
      <c r="B64" s="5" t="s">
        <v>119</v>
      </c>
      <c r="C64" s="28">
        <v>10671</v>
      </c>
      <c r="D64" s="28">
        <v>5524</v>
      </c>
      <c r="E64" s="28">
        <v>359</v>
      </c>
      <c r="F64" s="28">
        <f t="shared" si="13"/>
        <v>4788</v>
      </c>
      <c r="G64" s="28">
        <v>43092</v>
      </c>
      <c r="H64" s="28">
        <v>17076</v>
      </c>
      <c r="I64" s="28">
        <v>3110</v>
      </c>
      <c r="J64" s="28">
        <f t="shared" si="14"/>
        <v>22906</v>
      </c>
      <c r="K64" s="28">
        <v>191</v>
      </c>
      <c r="L64" s="28">
        <v>0</v>
      </c>
      <c r="M64" s="28">
        <v>490</v>
      </c>
      <c r="N64" s="28">
        <v>569</v>
      </c>
      <c r="O64" s="28">
        <v>569</v>
      </c>
    </row>
    <row r="65" spans="1:15" ht="12.75" customHeight="1">
      <c r="A65" s="4" t="s">
        <v>120</v>
      </c>
      <c r="B65" s="5" t="s">
        <v>121</v>
      </c>
      <c r="C65" s="28">
        <v>4983</v>
      </c>
      <c r="D65" s="28">
        <v>3615</v>
      </c>
      <c r="E65" s="28">
        <v>270</v>
      </c>
      <c r="F65" s="28">
        <f t="shared" si="13"/>
        <v>1098</v>
      </c>
      <c r="G65" s="28">
        <v>28277</v>
      </c>
      <c r="H65" s="28">
        <v>11106</v>
      </c>
      <c r="I65" s="28">
        <v>2390</v>
      </c>
      <c r="J65" s="28">
        <f t="shared" si="14"/>
        <v>14781</v>
      </c>
      <c r="K65" s="28">
        <v>2123</v>
      </c>
      <c r="L65" s="28">
        <v>0</v>
      </c>
      <c r="M65" s="28">
        <v>1242</v>
      </c>
      <c r="N65" s="28">
        <v>104</v>
      </c>
      <c r="O65" s="28">
        <v>104</v>
      </c>
    </row>
    <row r="66" spans="1:15" ht="12.75" customHeight="1">
      <c r="A66" s="4" t="s">
        <v>122</v>
      </c>
      <c r="B66" s="5" t="s">
        <v>123</v>
      </c>
      <c r="C66" s="28">
        <v>10914</v>
      </c>
      <c r="D66" s="28">
        <v>3493</v>
      </c>
      <c r="E66" s="28">
        <v>121</v>
      </c>
      <c r="F66" s="28">
        <f t="shared" si="13"/>
        <v>7300</v>
      </c>
      <c r="G66" s="28">
        <v>55643</v>
      </c>
      <c r="H66" s="28">
        <v>11209</v>
      </c>
      <c r="I66" s="28">
        <v>905</v>
      </c>
      <c r="J66" s="28">
        <f t="shared" si="14"/>
        <v>43529</v>
      </c>
      <c r="K66" s="28">
        <v>6893</v>
      </c>
      <c r="L66" s="28">
        <v>76</v>
      </c>
      <c r="M66" s="28">
        <v>4426</v>
      </c>
      <c r="N66" s="28">
        <v>227</v>
      </c>
      <c r="O66" s="28">
        <v>227</v>
      </c>
    </row>
    <row r="67" spans="1:15" ht="12.75" customHeight="1">
      <c r="A67" s="4" t="s">
        <v>124</v>
      </c>
      <c r="B67" s="5" t="s">
        <v>125</v>
      </c>
      <c r="C67" s="28">
        <v>13805</v>
      </c>
      <c r="D67" s="28">
        <v>4158</v>
      </c>
      <c r="E67" s="28">
        <v>0</v>
      </c>
      <c r="F67" s="28">
        <f t="shared" si="13"/>
        <v>9647</v>
      </c>
      <c r="G67" s="28">
        <v>59418</v>
      </c>
      <c r="H67" s="28">
        <v>12013</v>
      </c>
      <c r="I67" s="28">
        <v>0</v>
      </c>
      <c r="J67" s="28">
        <f t="shared" si="14"/>
        <v>47405</v>
      </c>
      <c r="K67" s="28">
        <v>5662</v>
      </c>
      <c r="L67" s="28">
        <v>0</v>
      </c>
      <c r="M67" s="28">
        <v>6887</v>
      </c>
      <c r="N67" s="28">
        <v>206</v>
      </c>
      <c r="O67" s="28">
        <v>206</v>
      </c>
    </row>
    <row r="68" spans="1:15" ht="12.75" customHeight="1">
      <c r="A68" s="4" t="s">
        <v>126</v>
      </c>
      <c r="B68" s="5" t="s">
        <v>127</v>
      </c>
      <c r="C68" s="28">
        <v>12380</v>
      </c>
      <c r="D68" s="28">
        <v>4826</v>
      </c>
      <c r="E68" s="28">
        <v>65</v>
      </c>
      <c r="F68" s="28">
        <f t="shared" si="13"/>
        <v>7489</v>
      </c>
      <c r="G68" s="28">
        <v>29976</v>
      </c>
      <c r="H68" s="28">
        <v>11990</v>
      </c>
      <c r="I68" s="28">
        <v>1066</v>
      </c>
      <c r="J68" s="28">
        <f t="shared" si="14"/>
        <v>16920</v>
      </c>
      <c r="K68" s="28">
        <v>239</v>
      </c>
      <c r="L68" s="28">
        <v>42</v>
      </c>
      <c r="M68" s="28">
        <v>354</v>
      </c>
      <c r="N68" s="28">
        <v>0</v>
      </c>
      <c r="O68" s="28">
        <v>0</v>
      </c>
    </row>
    <row r="69" spans="1:15" ht="12.75" customHeight="1">
      <c r="A69" s="8"/>
      <c r="B69" s="9" t="s">
        <v>128</v>
      </c>
      <c r="C69" s="29">
        <f t="shared" ref="C69:O69" si="15">SUM(C60:C68)</f>
        <v>94004</v>
      </c>
      <c r="D69" s="29">
        <f t="shared" si="15"/>
        <v>49804</v>
      </c>
      <c r="E69" s="29">
        <f t="shared" si="15"/>
        <v>2107</v>
      </c>
      <c r="F69" s="29">
        <f t="shared" si="15"/>
        <v>42093</v>
      </c>
      <c r="G69" s="29">
        <f t="shared" si="15"/>
        <v>363798</v>
      </c>
      <c r="H69" s="29">
        <f t="shared" si="15"/>
        <v>140559</v>
      </c>
      <c r="I69" s="29">
        <f t="shared" si="15"/>
        <v>19862</v>
      </c>
      <c r="J69" s="29">
        <f t="shared" si="15"/>
        <v>203377</v>
      </c>
      <c r="K69" s="29">
        <f t="shared" si="15"/>
        <v>19205</v>
      </c>
      <c r="L69" s="29">
        <f t="shared" si="15"/>
        <v>118</v>
      </c>
      <c r="M69" s="29">
        <f t="shared" si="15"/>
        <v>16963</v>
      </c>
      <c r="N69" s="29">
        <f t="shared" si="15"/>
        <v>2367</v>
      </c>
      <c r="O69" s="29">
        <f t="shared" si="15"/>
        <v>2367</v>
      </c>
    </row>
    <row r="70" spans="1:15" ht="12.75" customHeight="1">
      <c r="A70" s="4" t="s">
        <v>129</v>
      </c>
      <c r="B70" s="5" t="s">
        <v>130</v>
      </c>
      <c r="C70" s="28">
        <v>5994</v>
      </c>
      <c r="D70" s="28">
        <v>4503</v>
      </c>
      <c r="E70" s="28">
        <v>276</v>
      </c>
      <c r="F70" s="28">
        <f t="shared" ref="F70:F79" si="16">SUM(C70-D70-E70)</f>
        <v>1215</v>
      </c>
      <c r="G70" s="28">
        <v>21987</v>
      </c>
      <c r="H70" s="28">
        <v>12479</v>
      </c>
      <c r="I70" s="28">
        <v>2802</v>
      </c>
      <c r="J70" s="28">
        <f t="shared" ref="J70:J79" si="17">SUM(G70-H70-I70)</f>
        <v>6706</v>
      </c>
      <c r="K70" s="28">
        <v>1072</v>
      </c>
      <c r="L70" s="28">
        <v>4</v>
      </c>
      <c r="M70" s="28">
        <v>1146</v>
      </c>
      <c r="N70" s="28">
        <v>40</v>
      </c>
      <c r="O70" s="28">
        <v>40</v>
      </c>
    </row>
    <row r="71" spans="1:15" ht="12.75" customHeight="1">
      <c r="A71" s="4" t="s">
        <v>131</v>
      </c>
      <c r="B71" s="5" t="s">
        <v>132</v>
      </c>
      <c r="C71" s="28">
        <v>21644</v>
      </c>
      <c r="D71" s="28">
        <v>15279</v>
      </c>
      <c r="E71" s="28">
        <v>559</v>
      </c>
      <c r="F71" s="28">
        <f t="shared" si="16"/>
        <v>5806</v>
      </c>
      <c r="G71" s="28">
        <v>56274</v>
      </c>
      <c r="H71" s="28">
        <v>29180</v>
      </c>
      <c r="I71" s="28">
        <v>3743</v>
      </c>
      <c r="J71" s="28">
        <f t="shared" si="17"/>
        <v>23351</v>
      </c>
      <c r="K71" s="28">
        <v>4965</v>
      </c>
      <c r="L71" s="28">
        <v>0</v>
      </c>
      <c r="M71" s="28">
        <v>1595</v>
      </c>
      <c r="N71" s="28">
        <v>5912</v>
      </c>
      <c r="O71" s="28">
        <v>5912</v>
      </c>
    </row>
    <row r="72" spans="1:15" ht="12.75" customHeight="1">
      <c r="A72" s="4" t="s">
        <v>133</v>
      </c>
      <c r="B72" s="5" t="s">
        <v>134</v>
      </c>
      <c r="C72" s="28">
        <v>3899</v>
      </c>
      <c r="D72" s="28">
        <v>2745</v>
      </c>
      <c r="E72" s="28">
        <v>0</v>
      </c>
      <c r="F72" s="28">
        <f t="shared" si="16"/>
        <v>1154</v>
      </c>
      <c r="G72" s="28">
        <v>14135</v>
      </c>
      <c r="H72" s="28">
        <v>7815</v>
      </c>
      <c r="I72" s="28">
        <v>0</v>
      </c>
      <c r="J72" s="28">
        <f t="shared" si="17"/>
        <v>6320</v>
      </c>
      <c r="K72" s="28">
        <v>1771</v>
      </c>
      <c r="L72" s="28">
        <v>75</v>
      </c>
      <c r="M72" s="28">
        <v>1821</v>
      </c>
      <c r="N72" s="28">
        <v>67</v>
      </c>
      <c r="O72" s="28">
        <v>67</v>
      </c>
    </row>
    <row r="73" spans="1:15" ht="12.75" customHeight="1">
      <c r="A73" s="4" t="s">
        <v>135</v>
      </c>
      <c r="B73" s="5" t="s">
        <v>136</v>
      </c>
      <c r="C73" s="28">
        <v>9304</v>
      </c>
      <c r="D73" s="28">
        <v>7009</v>
      </c>
      <c r="E73" s="28">
        <v>35</v>
      </c>
      <c r="F73" s="28">
        <f t="shared" si="16"/>
        <v>2260</v>
      </c>
      <c r="G73" s="28">
        <v>30146</v>
      </c>
      <c r="H73" s="28">
        <v>17041</v>
      </c>
      <c r="I73" s="28">
        <v>135</v>
      </c>
      <c r="J73" s="28">
        <f t="shared" si="17"/>
        <v>12970</v>
      </c>
      <c r="K73" s="28">
        <v>1890</v>
      </c>
      <c r="L73" s="28">
        <v>36</v>
      </c>
      <c r="M73" s="28">
        <v>670</v>
      </c>
      <c r="N73" s="28">
        <v>9175</v>
      </c>
      <c r="O73" s="28">
        <v>9175</v>
      </c>
    </row>
    <row r="74" spans="1:15" ht="12.75" customHeight="1">
      <c r="A74" s="4" t="s">
        <v>137</v>
      </c>
      <c r="B74" s="5" t="s">
        <v>138</v>
      </c>
      <c r="C74" s="28">
        <v>8577</v>
      </c>
      <c r="D74" s="28">
        <v>6550</v>
      </c>
      <c r="E74" s="28">
        <v>169</v>
      </c>
      <c r="F74" s="28">
        <f t="shared" si="16"/>
        <v>1858</v>
      </c>
      <c r="G74" s="28">
        <v>21235</v>
      </c>
      <c r="H74" s="28">
        <v>12789</v>
      </c>
      <c r="I74" s="28">
        <v>938</v>
      </c>
      <c r="J74" s="28">
        <f t="shared" si="17"/>
        <v>7508</v>
      </c>
      <c r="K74" s="28">
        <v>1718</v>
      </c>
      <c r="L74" s="28">
        <v>0</v>
      </c>
      <c r="M74" s="28">
        <v>626</v>
      </c>
      <c r="N74" s="28">
        <v>618</v>
      </c>
      <c r="O74" s="28">
        <v>618</v>
      </c>
    </row>
    <row r="75" spans="1:15" ht="12.75" customHeight="1">
      <c r="A75" s="4" t="s">
        <v>139</v>
      </c>
      <c r="B75" s="5" t="s">
        <v>140</v>
      </c>
      <c r="C75" s="28">
        <v>4024</v>
      </c>
      <c r="D75" s="28">
        <v>3714</v>
      </c>
      <c r="E75" s="28">
        <v>64</v>
      </c>
      <c r="F75" s="28">
        <f t="shared" si="16"/>
        <v>246</v>
      </c>
      <c r="G75" s="28">
        <v>8671</v>
      </c>
      <c r="H75" s="28">
        <v>6851</v>
      </c>
      <c r="I75" s="28">
        <v>608</v>
      </c>
      <c r="J75" s="28">
        <f t="shared" si="17"/>
        <v>1212</v>
      </c>
      <c r="K75" s="28">
        <v>249</v>
      </c>
      <c r="L75" s="28">
        <v>0</v>
      </c>
      <c r="M75" s="28">
        <v>33</v>
      </c>
      <c r="N75" s="28">
        <v>0</v>
      </c>
      <c r="O75" s="28">
        <v>0</v>
      </c>
    </row>
    <row r="76" spans="1:15" ht="12.75" customHeight="1">
      <c r="A76" s="4" t="s">
        <v>141</v>
      </c>
      <c r="B76" s="5" t="s">
        <v>142</v>
      </c>
      <c r="C76" s="28">
        <v>8540</v>
      </c>
      <c r="D76" s="28">
        <v>6051</v>
      </c>
      <c r="E76" s="28">
        <v>74</v>
      </c>
      <c r="F76" s="28">
        <f t="shared" si="16"/>
        <v>2415</v>
      </c>
      <c r="G76" s="28">
        <v>25569</v>
      </c>
      <c r="H76" s="28">
        <v>14676</v>
      </c>
      <c r="I76" s="28">
        <v>437</v>
      </c>
      <c r="J76" s="28">
        <f t="shared" si="17"/>
        <v>10456</v>
      </c>
      <c r="K76" s="28">
        <v>1054</v>
      </c>
      <c r="L76" s="28">
        <v>217</v>
      </c>
      <c r="M76" s="28">
        <v>700</v>
      </c>
      <c r="N76" s="28">
        <v>425</v>
      </c>
      <c r="O76" s="28">
        <v>425</v>
      </c>
    </row>
    <row r="77" spans="1:15" ht="12.75" customHeight="1">
      <c r="A77" s="4" t="s">
        <v>143</v>
      </c>
      <c r="B77" s="5" t="s">
        <v>144</v>
      </c>
      <c r="C77" s="28">
        <v>6613</v>
      </c>
      <c r="D77" s="28">
        <v>3831</v>
      </c>
      <c r="E77" s="28">
        <v>89</v>
      </c>
      <c r="F77" s="28">
        <f t="shared" si="16"/>
        <v>2693</v>
      </c>
      <c r="G77" s="28">
        <v>18065</v>
      </c>
      <c r="H77" s="28">
        <v>8493</v>
      </c>
      <c r="I77" s="28">
        <v>306</v>
      </c>
      <c r="J77" s="28">
        <f t="shared" si="17"/>
        <v>9266</v>
      </c>
      <c r="K77" s="28">
        <v>2245</v>
      </c>
      <c r="L77" s="28">
        <v>0</v>
      </c>
      <c r="M77" s="28">
        <v>1426</v>
      </c>
      <c r="N77" s="28">
        <v>250</v>
      </c>
      <c r="O77" s="28">
        <v>250</v>
      </c>
    </row>
    <row r="78" spans="1:15" ht="12.75" customHeight="1">
      <c r="A78" s="4" t="s">
        <v>145</v>
      </c>
      <c r="B78" s="5" t="s">
        <v>146</v>
      </c>
      <c r="C78" s="28">
        <v>5267</v>
      </c>
      <c r="D78" s="28">
        <v>3562</v>
      </c>
      <c r="E78" s="28">
        <v>0</v>
      </c>
      <c r="F78" s="28">
        <f t="shared" si="16"/>
        <v>1705</v>
      </c>
      <c r="G78" s="28">
        <v>11926</v>
      </c>
      <c r="H78" s="28">
        <v>7398</v>
      </c>
      <c r="I78" s="28">
        <v>0</v>
      </c>
      <c r="J78" s="28">
        <f t="shared" si="17"/>
        <v>4528</v>
      </c>
      <c r="K78" s="28">
        <v>587</v>
      </c>
      <c r="L78" s="28">
        <v>0</v>
      </c>
      <c r="M78" s="28">
        <v>16</v>
      </c>
      <c r="N78" s="28">
        <v>144</v>
      </c>
      <c r="O78" s="28">
        <v>144</v>
      </c>
    </row>
    <row r="79" spans="1:15" ht="12.75" customHeight="1">
      <c r="A79" s="4" t="s">
        <v>147</v>
      </c>
      <c r="B79" s="5" t="s">
        <v>148</v>
      </c>
      <c r="C79" s="28">
        <v>4995</v>
      </c>
      <c r="D79" s="28">
        <v>3699</v>
      </c>
      <c r="E79" s="28">
        <v>79</v>
      </c>
      <c r="F79" s="28">
        <f t="shared" si="16"/>
        <v>1217</v>
      </c>
      <c r="G79" s="28">
        <v>18319</v>
      </c>
      <c r="H79" s="28">
        <v>9969</v>
      </c>
      <c r="I79" s="28">
        <v>579</v>
      </c>
      <c r="J79" s="28">
        <f t="shared" si="17"/>
        <v>7771</v>
      </c>
      <c r="K79" s="28">
        <v>2197</v>
      </c>
      <c r="L79" s="28">
        <v>0</v>
      </c>
      <c r="M79" s="28">
        <v>1324</v>
      </c>
      <c r="N79" s="28">
        <v>154</v>
      </c>
      <c r="O79" s="28">
        <v>154</v>
      </c>
    </row>
    <row r="80" spans="1:15" ht="12.75" customHeight="1">
      <c r="A80" s="8"/>
      <c r="B80" s="9" t="s">
        <v>149</v>
      </c>
      <c r="C80" s="29">
        <f t="shared" ref="C80:O80" si="18">SUM(C70:C79)</f>
        <v>78857</v>
      </c>
      <c r="D80" s="29">
        <f t="shared" si="18"/>
        <v>56943</v>
      </c>
      <c r="E80" s="29">
        <f t="shared" si="18"/>
        <v>1345</v>
      </c>
      <c r="F80" s="29">
        <f t="shared" si="18"/>
        <v>20569</v>
      </c>
      <c r="G80" s="29">
        <f t="shared" si="18"/>
        <v>226327</v>
      </c>
      <c r="H80" s="29">
        <f t="shared" si="18"/>
        <v>126691</v>
      </c>
      <c r="I80" s="29">
        <f t="shared" si="18"/>
        <v>9548</v>
      </c>
      <c r="J80" s="29">
        <f t="shared" si="18"/>
        <v>90088</v>
      </c>
      <c r="K80" s="29">
        <f t="shared" si="18"/>
        <v>17748</v>
      </c>
      <c r="L80" s="29">
        <f t="shared" si="18"/>
        <v>332</v>
      </c>
      <c r="M80" s="29">
        <f t="shared" si="18"/>
        <v>9357</v>
      </c>
      <c r="N80" s="29">
        <f t="shared" si="18"/>
        <v>16785</v>
      </c>
      <c r="O80" s="29">
        <f t="shared" si="18"/>
        <v>16785</v>
      </c>
    </row>
    <row r="81" spans="1:15" ht="12.75" customHeight="1">
      <c r="A81" s="4" t="s">
        <v>150</v>
      </c>
      <c r="B81" s="5" t="s">
        <v>151</v>
      </c>
      <c r="C81" s="28">
        <v>8598</v>
      </c>
      <c r="D81" s="28">
        <v>5470</v>
      </c>
      <c r="E81" s="28">
        <v>99</v>
      </c>
      <c r="F81" s="28">
        <f>SUM(C81-D81-E81)</f>
        <v>3029</v>
      </c>
      <c r="G81" s="28">
        <v>36756</v>
      </c>
      <c r="H81" s="28">
        <v>18692</v>
      </c>
      <c r="I81" s="28">
        <v>1622</v>
      </c>
      <c r="J81" s="28">
        <f>SUM(G81-H81-I81)</f>
        <v>16442</v>
      </c>
      <c r="K81" s="28">
        <v>1038</v>
      </c>
      <c r="L81" s="28">
        <v>125</v>
      </c>
      <c r="M81" s="28">
        <v>1131</v>
      </c>
      <c r="N81" s="28">
        <v>464</v>
      </c>
      <c r="O81" s="28">
        <v>464</v>
      </c>
    </row>
    <row r="82" spans="1:15" ht="12.75" customHeight="1">
      <c r="A82" s="4" t="s">
        <v>152</v>
      </c>
      <c r="B82" s="5" t="s">
        <v>153</v>
      </c>
      <c r="C82" s="28">
        <v>3310</v>
      </c>
      <c r="D82" s="28">
        <v>2396</v>
      </c>
      <c r="E82" s="28">
        <v>30</v>
      </c>
      <c r="F82" s="28">
        <f>SUM(C82-D82-E82)</f>
        <v>884</v>
      </c>
      <c r="G82" s="28">
        <v>17989</v>
      </c>
      <c r="H82" s="28">
        <v>8154</v>
      </c>
      <c r="I82" s="28">
        <v>358</v>
      </c>
      <c r="J82" s="28">
        <f>SUM(G82-H82-I82)</f>
        <v>9477</v>
      </c>
      <c r="K82" s="28">
        <v>467</v>
      </c>
      <c r="L82" s="28">
        <v>0</v>
      </c>
      <c r="M82" s="28">
        <v>878</v>
      </c>
      <c r="N82" s="28">
        <v>133</v>
      </c>
      <c r="O82" s="28">
        <v>133</v>
      </c>
    </row>
    <row r="83" spans="1:15" ht="12.75" customHeight="1">
      <c r="A83" s="4" t="s">
        <v>154</v>
      </c>
      <c r="B83" s="5" t="s">
        <v>155</v>
      </c>
      <c r="C83" s="28">
        <v>1053</v>
      </c>
      <c r="D83" s="28">
        <v>1022</v>
      </c>
      <c r="E83" s="28">
        <v>31</v>
      </c>
      <c r="F83" s="28">
        <f>SUM(C83-D83-E83)</f>
        <v>0</v>
      </c>
      <c r="G83" s="28">
        <v>4393</v>
      </c>
      <c r="H83" s="28">
        <v>3552</v>
      </c>
      <c r="I83" s="28">
        <v>427</v>
      </c>
      <c r="J83" s="28">
        <f>SUM(G83-H83-I83)</f>
        <v>414</v>
      </c>
      <c r="K83" s="28">
        <v>1</v>
      </c>
      <c r="L83" s="28">
        <v>0</v>
      </c>
      <c r="M83" s="28">
        <v>0</v>
      </c>
      <c r="N83" s="28">
        <v>0</v>
      </c>
      <c r="O83" s="28">
        <v>0</v>
      </c>
    </row>
    <row r="84" spans="1:15" ht="12.75" customHeight="1">
      <c r="A84" s="4" t="s">
        <v>156</v>
      </c>
      <c r="B84" s="5" t="s">
        <v>157</v>
      </c>
      <c r="C84" s="28">
        <v>3440</v>
      </c>
      <c r="D84" s="28">
        <v>3083</v>
      </c>
      <c r="E84" s="28">
        <v>46</v>
      </c>
      <c r="F84" s="28">
        <f>SUM(C84-D84-E84)</f>
        <v>311</v>
      </c>
      <c r="G84" s="28">
        <v>17467</v>
      </c>
      <c r="H84" s="28">
        <v>10953</v>
      </c>
      <c r="I84" s="28">
        <v>452</v>
      </c>
      <c r="J84" s="28">
        <f>SUM(G84-H84-I84)</f>
        <v>6062</v>
      </c>
      <c r="K84" s="28">
        <v>723</v>
      </c>
      <c r="L84" s="28">
        <v>0</v>
      </c>
      <c r="M84" s="28">
        <v>569</v>
      </c>
      <c r="N84" s="28">
        <v>76</v>
      </c>
      <c r="O84" s="28">
        <v>76</v>
      </c>
    </row>
    <row r="85" spans="1:15" ht="12.75" customHeight="1">
      <c r="A85" s="4" t="s">
        <v>158</v>
      </c>
      <c r="B85" s="5" t="s">
        <v>159</v>
      </c>
      <c r="C85" s="28">
        <v>5208</v>
      </c>
      <c r="D85" s="28">
        <v>4300</v>
      </c>
      <c r="E85" s="28">
        <v>121</v>
      </c>
      <c r="F85" s="28">
        <f>SUM(C85-D85-E85)</f>
        <v>787</v>
      </c>
      <c r="G85" s="28">
        <v>18805</v>
      </c>
      <c r="H85" s="28">
        <v>11985</v>
      </c>
      <c r="I85" s="28">
        <v>962</v>
      </c>
      <c r="J85" s="28">
        <f>SUM(G85-H85-I85)</f>
        <v>5858</v>
      </c>
      <c r="K85" s="28">
        <v>1030</v>
      </c>
      <c r="L85" s="28">
        <v>89</v>
      </c>
      <c r="M85" s="28">
        <v>508</v>
      </c>
      <c r="N85" s="28">
        <v>6571</v>
      </c>
      <c r="O85" s="28">
        <v>6571</v>
      </c>
    </row>
    <row r="86" spans="1:15" ht="12.75" customHeight="1">
      <c r="A86" s="8"/>
      <c r="B86" s="9" t="s">
        <v>160</v>
      </c>
      <c r="C86" s="29">
        <f t="shared" ref="C86:O86" si="19">SUM(C81:C85)</f>
        <v>21609</v>
      </c>
      <c r="D86" s="29">
        <f t="shared" si="19"/>
        <v>16271</v>
      </c>
      <c r="E86" s="29">
        <f t="shared" si="19"/>
        <v>327</v>
      </c>
      <c r="F86" s="29">
        <f t="shared" si="19"/>
        <v>5011</v>
      </c>
      <c r="G86" s="29">
        <f t="shared" si="19"/>
        <v>95410</v>
      </c>
      <c r="H86" s="29">
        <f t="shared" si="19"/>
        <v>53336</v>
      </c>
      <c r="I86" s="29">
        <f t="shared" si="19"/>
        <v>3821</v>
      </c>
      <c r="J86" s="29">
        <f t="shared" si="19"/>
        <v>38253</v>
      </c>
      <c r="K86" s="29">
        <f t="shared" si="19"/>
        <v>3259</v>
      </c>
      <c r="L86" s="29">
        <f t="shared" si="19"/>
        <v>214</v>
      </c>
      <c r="M86" s="29">
        <f t="shared" si="19"/>
        <v>3086</v>
      </c>
      <c r="N86" s="29">
        <f t="shared" si="19"/>
        <v>7244</v>
      </c>
      <c r="O86" s="29">
        <f t="shared" si="19"/>
        <v>7244</v>
      </c>
    </row>
    <row r="87" spans="1:15" ht="12.75" customHeight="1">
      <c r="A87" s="4" t="s">
        <v>161</v>
      </c>
      <c r="B87" s="5" t="s">
        <v>162</v>
      </c>
      <c r="C87" s="28">
        <v>9210</v>
      </c>
      <c r="D87" s="28">
        <v>6986</v>
      </c>
      <c r="E87" s="28">
        <v>0</v>
      </c>
      <c r="F87" s="28">
        <f>SUM(C87-D87-E87)</f>
        <v>2224</v>
      </c>
      <c r="G87" s="28">
        <v>44093</v>
      </c>
      <c r="H87" s="28">
        <v>22387</v>
      </c>
      <c r="I87" s="28">
        <v>0</v>
      </c>
      <c r="J87" s="28">
        <f>SUM(G87-H87-I87)</f>
        <v>21706</v>
      </c>
      <c r="K87" s="28">
        <v>1140</v>
      </c>
      <c r="L87" s="28">
        <v>10</v>
      </c>
      <c r="M87" s="28">
        <v>1281</v>
      </c>
      <c r="N87" s="28">
        <v>304</v>
      </c>
      <c r="O87" s="28">
        <v>304</v>
      </c>
    </row>
    <row r="88" spans="1:15" ht="12.75" customHeight="1">
      <c r="A88" s="4" t="s">
        <v>163</v>
      </c>
      <c r="B88" s="5" t="s">
        <v>164</v>
      </c>
      <c r="C88" s="28">
        <v>7368</v>
      </c>
      <c r="D88" s="28">
        <v>3601</v>
      </c>
      <c r="E88" s="28">
        <v>198</v>
      </c>
      <c r="F88" s="28">
        <f>SUM(C88-D88-E88)</f>
        <v>3569</v>
      </c>
      <c r="G88" s="28">
        <v>22406</v>
      </c>
      <c r="H88" s="28">
        <v>9295</v>
      </c>
      <c r="I88" s="28">
        <v>1893</v>
      </c>
      <c r="J88" s="28">
        <f>SUM(G88-H88-I88)</f>
        <v>11218</v>
      </c>
      <c r="K88" s="28">
        <v>555</v>
      </c>
      <c r="L88" s="28">
        <v>0</v>
      </c>
      <c r="M88" s="28">
        <v>532</v>
      </c>
      <c r="N88" s="28">
        <v>0</v>
      </c>
      <c r="O88" s="28">
        <v>0</v>
      </c>
    </row>
    <row r="89" spans="1:15" ht="12.75" customHeight="1">
      <c r="A89" s="8"/>
      <c r="B89" s="9" t="s">
        <v>165</v>
      </c>
      <c r="C89" s="29">
        <f t="shared" ref="C89:O89" si="20">SUM(C87:C88)</f>
        <v>16578</v>
      </c>
      <c r="D89" s="29">
        <f t="shared" si="20"/>
        <v>10587</v>
      </c>
      <c r="E89" s="29">
        <f t="shared" si="20"/>
        <v>198</v>
      </c>
      <c r="F89" s="29">
        <f t="shared" si="20"/>
        <v>5793</v>
      </c>
      <c r="G89" s="29">
        <f t="shared" si="20"/>
        <v>66499</v>
      </c>
      <c r="H89" s="29">
        <f t="shared" si="20"/>
        <v>31682</v>
      </c>
      <c r="I89" s="29">
        <f t="shared" si="20"/>
        <v>1893</v>
      </c>
      <c r="J89" s="29">
        <f t="shared" si="20"/>
        <v>32924</v>
      </c>
      <c r="K89" s="29">
        <f t="shared" si="20"/>
        <v>1695</v>
      </c>
      <c r="L89" s="29">
        <f t="shared" si="20"/>
        <v>10</v>
      </c>
      <c r="M89" s="29">
        <f t="shared" si="20"/>
        <v>1813</v>
      </c>
      <c r="N89" s="29">
        <f t="shared" si="20"/>
        <v>304</v>
      </c>
      <c r="O89" s="29">
        <f t="shared" si="20"/>
        <v>304</v>
      </c>
    </row>
    <row r="90" spans="1:15" ht="12.75" customHeight="1">
      <c r="A90" s="4" t="s">
        <v>166</v>
      </c>
      <c r="B90" s="5" t="s">
        <v>167</v>
      </c>
      <c r="C90" s="28">
        <v>10610</v>
      </c>
      <c r="D90" s="28">
        <v>5077</v>
      </c>
      <c r="E90" s="28">
        <v>372</v>
      </c>
      <c r="F90" s="28">
        <f>SUM(C90-D90-E90)</f>
        <v>5161</v>
      </c>
      <c r="G90" s="28">
        <v>46332</v>
      </c>
      <c r="H90" s="28">
        <v>17194</v>
      </c>
      <c r="I90" s="28">
        <v>3218</v>
      </c>
      <c r="J90" s="28">
        <f>SUM(G90-H90-I90)</f>
        <v>25920</v>
      </c>
      <c r="K90" s="28">
        <v>685</v>
      </c>
      <c r="L90" s="28">
        <v>0</v>
      </c>
      <c r="M90" s="28">
        <v>1364</v>
      </c>
      <c r="N90" s="28">
        <v>77</v>
      </c>
      <c r="O90" s="28">
        <v>77</v>
      </c>
    </row>
    <row r="91" spans="1:15" ht="12.75" customHeight="1">
      <c r="A91" s="4" t="s">
        <v>168</v>
      </c>
      <c r="B91" s="5" t="s">
        <v>169</v>
      </c>
      <c r="C91" s="28">
        <v>9882</v>
      </c>
      <c r="D91" s="28">
        <v>6913</v>
      </c>
      <c r="E91" s="28">
        <v>0</v>
      </c>
      <c r="F91" s="28">
        <f>SUM(C91-D91-E91)</f>
        <v>2969</v>
      </c>
      <c r="G91" s="28">
        <v>42087</v>
      </c>
      <c r="H91" s="28">
        <v>18887</v>
      </c>
      <c r="I91" s="28">
        <v>0</v>
      </c>
      <c r="J91" s="28">
        <f>SUM(G91-H91-I91)</f>
        <v>23200</v>
      </c>
      <c r="K91" s="28">
        <v>378</v>
      </c>
      <c r="L91" s="28">
        <v>35</v>
      </c>
      <c r="M91" s="28">
        <v>2760</v>
      </c>
      <c r="N91" s="28">
        <v>39</v>
      </c>
      <c r="O91" s="28">
        <v>39</v>
      </c>
    </row>
    <row r="92" spans="1:15" ht="12.75" customHeight="1">
      <c r="A92" s="4" t="s">
        <v>170</v>
      </c>
      <c r="B92" s="5" t="s">
        <v>171</v>
      </c>
      <c r="C92" s="28">
        <v>1752</v>
      </c>
      <c r="D92" s="28">
        <v>1350</v>
      </c>
      <c r="E92" s="28">
        <v>176</v>
      </c>
      <c r="F92" s="28">
        <f>SUM(C92-D92-E92)</f>
        <v>226</v>
      </c>
      <c r="G92" s="28">
        <v>6991</v>
      </c>
      <c r="H92" s="28">
        <v>3908</v>
      </c>
      <c r="I92" s="28">
        <v>1803</v>
      </c>
      <c r="J92" s="28">
        <f>SUM(G92-H92-I92)</f>
        <v>1280</v>
      </c>
      <c r="K92" s="28">
        <v>251</v>
      </c>
      <c r="L92" s="28">
        <v>0</v>
      </c>
      <c r="M92" s="28">
        <v>138</v>
      </c>
      <c r="N92" s="28">
        <v>29</v>
      </c>
      <c r="O92" s="28">
        <v>29</v>
      </c>
    </row>
    <row r="93" spans="1:15" ht="12.75" customHeight="1">
      <c r="A93" s="4" t="s">
        <v>172</v>
      </c>
      <c r="B93" s="5" t="s">
        <v>173</v>
      </c>
      <c r="C93" s="28">
        <v>106552</v>
      </c>
      <c r="D93" s="28">
        <v>68939</v>
      </c>
      <c r="E93" s="28">
        <v>3915</v>
      </c>
      <c r="F93" s="28">
        <f>SUM(C93-D93-E93)</f>
        <v>33698</v>
      </c>
      <c r="G93" s="28">
        <v>313903</v>
      </c>
      <c r="H93" s="28">
        <v>123023</v>
      </c>
      <c r="I93" s="28">
        <v>14256</v>
      </c>
      <c r="J93" s="28">
        <f>SUM(G93-H93-I93)</f>
        <v>176624</v>
      </c>
      <c r="K93" s="28">
        <v>45593</v>
      </c>
      <c r="L93" s="28">
        <v>0</v>
      </c>
      <c r="M93" s="28">
        <v>11377</v>
      </c>
      <c r="N93" s="28">
        <v>5372</v>
      </c>
      <c r="O93" s="28">
        <v>5372</v>
      </c>
    </row>
    <row r="94" spans="1:15" ht="12.75" customHeight="1">
      <c r="A94" s="4" t="s">
        <v>174</v>
      </c>
      <c r="B94" s="5" t="s">
        <v>175</v>
      </c>
      <c r="C94" s="28">
        <v>6554</v>
      </c>
      <c r="D94" s="28">
        <v>1902</v>
      </c>
      <c r="E94" s="28">
        <v>86</v>
      </c>
      <c r="F94" s="28">
        <f>SUM(C94-D94-E94)</f>
        <v>4566</v>
      </c>
      <c r="G94" s="28">
        <v>20749</v>
      </c>
      <c r="H94" s="28">
        <v>6706</v>
      </c>
      <c r="I94" s="28">
        <v>1081</v>
      </c>
      <c r="J94" s="28">
        <f>SUM(G94-H94-I94)</f>
        <v>12962</v>
      </c>
      <c r="K94" s="28">
        <v>717</v>
      </c>
      <c r="L94" s="28">
        <v>153</v>
      </c>
      <c r="M94" s="28">
        <v>1402</v>
      </c>
      <c r="N94" s="28">
        <v>53</v>
      </c>
      <c r="O94" s="28">
        <v>53</v>
      </c>
    </row>
    <row r="95" spans="1:15" ht="12.75" customHeight="1">
      <c r="A95" s="8"/>
      <c r="B95" s="9" t="s">
        <v>176</v>
      </c>
      <c r="C95" s="29">
        <f t="shared" ref="C95:O95" si="21">SUM(C90:C94)</f>
        <v>135350</v>
      </c>
      <c r="D95" s="29">
        <f t="shared" si="21"/>
        <v>84181</v>
      </c>
      <c r="E95" s="29">
        <f t="shared" si="21"/>
        <v>4549</v>
      </c>
      <c r="F95" s="29">
        <f t="shared" si="21"/>
        <v>46620</v>
      </c>
      <c r="G95" s="29">
        <f t="shared" si="21"/>
        <v>430062</v>
      </c>
      <c r="H95" s="29">
        <f t="shared" si="21"/>
        <v>169718</v>
      </c>
      <c r="I95" s="29">
        <f t="shared" si="21"/>
        <v>20358</v>
      </c>
      <c r="J95" s="29">
        <f t="shared" si="21"/>
        <v>239986</v>
      </c>
      <c r="K95" s="29">
        <f t="shared" si="21"/>
        <v>47624</v>
      </c>
      <c r="L95" s="29">
        <f t="shared" si="21"/>
        <v>188</v>
      </c>
      <c r="M95" s="29">
        <f t="shared" si="21"/>
        <v>17041</v>
      </c>
      <c r="N95" s="29">
        <f t="shared" si="21"/>
        <v>5570</v>
      </c>
      <c r="O95" s="29">
        <f t="shared" si="21"/>
        <v>5570</v>
      </c>
    </row>
    <row r="96" spans="1:15" ht="12.75" customHeight="1">
      <c r="A96" s="4" t="s">
        <v>177</v>
      </c>
      <c r="B96" s="5" t="s">
        <v>178</v>
      </c>
      <c r="C96" s="28">
        <v>1785</v>
      </c>
      <c r="D96" s="28">
        <v>1351</v>
      </c>
      <c r="E96" s="28">
        <v>30</v>
      </c>
      <c r="F96" s="28">
        <f>SUM(C96-D96-E96)</f>
        <v>404</v>
      </c>
      <c r="G96" s="28">
        <v>9817</v>
      </c>
      <c r="H96" s="28">
        <v>5493</v>
      </c>
      <c r="I96" s="28">
        <v>341</v>
      </c>
      <c r="J96" s="28">
        <f>SUM(G96-H96-I96)</f>
        <v>3983</v>
      </c>
      <c r="K96" s="28">
        <v>14</v>
      </c>
      <c r="L96" s="28">
        <v>0</v>
      </c>
      <c r="M96" s="28">
        <v>1020</v>
      </c>
      <c r="N96" s="28">
        <v>0</v>
      </c>
      <c r="O96" s="28">
        <v>0</v>
      </c>
    </row>
    <row r="97" spans="1:15" ht="12.75" customHeight="1">
      <c r="A97" s="4" t="s">
        <v>179</v>
      </c>
      <c r="B97" s="5" t="s">
        <v>180</v>
      </c>
      <c r="C97" s="28">
        <v>579</v>
      </c>
      <c r="D97" s="28">
        <v>544</v>
      </c>
      <c r="E97" s="28">
        <v>0</v>
      </c>
      <c r="F97" s="28">
        <f>SUM(C97-D97-E97)</f>
        <v>35</v>
      </c>
      <c r="G97" s="28">
        <v>2407</v>
      </c>
      <c r="H97" s="28">
        <v>2037</v>
      </c>
      <c r="I97" s="28">
        <v>0</v>
      </c>
      <c r="J97" s="28">
        <f>SUM(G97-H97-I97)</f>
        <v>370</v>
      </c>
      <c r="K97" s="28">
        <v>15</v>
      </c>
      <c r="L97" s="28">
        <v>0</v>
      </c>
      <c r="M97" s="28">
        <v>109</v>
      </c>
      <c r="N97" s="28">
        <v>0</v>
      </c>
      <c r="O97" s="28">
        <v>0</v>
      </c>
    </row>
    <row r="98" spans="1:15" ht="12.75" customHeight="1">
      <c r="A98" s="8"/>
      <c r="B98" s="9" t="s">
        <v>181</v>
      </c>
      <c r="C98" s="29">
        <f t="shared" ref="C98:O98" si="22">SUM(C96:C97)</f>
        <v>2364</v>
      </c>
      <c r="D98" s="29">
        <f t="shared" si="22"/>
        <v>1895</v>
      </c>
      <c r="E98" s="29">
        <f t="shared" si="22"/>
        <v>30</v>
      </c>
      <c r="F98" s="29">
        <f t="shared" si="22"/>
        <v>439</v>
      </c>
      <c r="G98" s="29">
        <f t="shared" si="22"/>
        <v>12224</v>
      </c>
      <c r="H98" s="29">
        <f t="shared" si="22"/>
        <v>7530</v>
      </c>
      <c r="I98" s="29">
        <f t="shared" si="22"/>
        <v>341</v>
      </c>
      <c r="J98" s="29">
        <f t="shared" si="22"/>
        <v>4353</v>
      </c>
      <c r="K98" s="29">
        <f t="shared" si="22"/>
        <v>29</v>
      </c>
      <c r="L98" s="29">
        <f t="shared" si="22"/>
        <v>0</v>
      </c>
      <c r="M98" s="29">
        <f t="shared" si="22"/>
        <v>1129</v>
      </c>
      <c r="N98" s="29">
        <f t="shared" si="22"/>
        <v>0</v>
      </c>
      <c r="O98" s="29">
        <f t="shared" si="22"/>
        <v>0</v>
      </c>
    </row>
    <row r="99" spans="1:15" ht="12.75" customHeight="1">
      <c r="A99" s="4" t="s">
        <v>182</v>
      </c>
      <c r="B99" s="5" t="s">
        <v>183</v>
      </c>
      <c r="C99" s="28">
        <v>4716</v>
      </c>
      <c r="D99" s="28">
        <v>3955</v>
      </c>
      <c r="E99" s="28">
        <v>63</v>
      </c>
      <c r="F99" s="28">
        <f>SUM(C99-D99-E99)</f>
        <v>698</v>
      </c>
      <c r="G99" s="28">
        <v>22726</v>
      </c>
      <c r="H99" s="28">
        <v>13034</v>
      </c>
      <c r="I99" s="28">
        <v>901</v>
      </c>
      <c r="J99" s="28">
        <f>SUM(G99-H99-I99)</f>
        <v>8791</v>
      </c>
      <c r="K99" s="28">
        <v>99</v>
      </c>
      <c r="L99" s="28">
        <v>0</v>
      </c>
      <c r="M99" s="28">
        <v>1102</v>
      </c>
      <c r="N99" s="28">
        <v>53</v>
      </c>
      <c r="O99" s="28">
        <v>53</v>
      </c>
    </row>
    <row r="100" spans="1:15" ht="12.75" customHeight="1">
      <c r="A100" s="4" t="s">
        <v>184</v>
      </c>
      <c r="B100" s="5" t="s">
        <v>185</v>
      </c>
      <c r="C100" s="28">
        <v>4395</v>
      </c>
      <c r="D100" s="28">
        <v>2364</v>
      </c>
      <c r="E100" s="28">
        <v>125</v>
      </c>
      <c r="F100" s="28">
        <f>SUM(C100-D100-E100)</f>
        <v>1906</v>
      </c>
      <c r="G100" s="28">
        <v>17559</v>
      </c>
      <c r="H100" s="28">
        <v>7110</v>
      </c>
      <c r="I100" s="28">
        <v>838</v>
      </c>
      <c r="J100" s="28">
        <f>SUM(G100-H100-I100)</f>
        <v>9611</v>
      </c>
      <c r="K100" s="28">
        <v>1395</v>
      </c>
      <c r="L100" s="28">
        <v>0</v>
      </c>
      <c r="M100" s="28">
        <v>278</v>
      </c>
      <c r="N100" s="28">
        <v>66</v>
      </c>
      <c r="O100" s="28">
        <v>66</v>
      </c>
    </row>
    <row r="101" spans="1:15" ht="12.75" customHeight="1">
      <c r="A101" s="4" t="s">
        <v>186</v>
      </c>
      <c r="B101" s="5" t="s">
        <v>187</v>
      </c>
      <c r="C101" s="28">
        <v>2332</v>
      </c>
      <c r="D101" s="28">
        <v>2003</v>
      </c>
      <c r="E101" s="28">
        <v>0</v>
      </c>
      <c r="F101" s="28">
        <f>SUM(C101-D101-E101)</f>
        <v>329</v>
      </c>
      <c r="G101" s="28">
        <v>8792</v>
      </c>
      <c r="H101" s="28">
        <v>5908</v>
      </c>
      <c r="I101" s="28">
        <v>0</v>
      </c>
      <c r="J101" s="28">
        <f>SUM(G101-H101-I101)</f>
        <v>2884</v>
      </c>
      <c r="K101" s="28">
        <v>51</v>
      </c>
      <c r="L101" s="28">
        <v>0</v>
      </c>
      <c r="M101" s="28">
        <v>423</v>
      </c>
      <c r="N101" s="28">
        <v>29</v>
      </c>
      <c r="O101" s="28">
        <v>29</v>
      </c>
    </row>
    <row r="102" spans="1:15" ht="12.75" customHeight="1">
      <c r="A102" s="4" t="s">
        <v>188</v>
      </c>
      <c r="B102" s="5" t="s">
        <v>189</v>
      </c>
      <c r="C102" s="28">
        <v>3978</v>
      </c>
      <c r="D102" s="28">
        <v>3470</v>
      </c>
      <c r="E102" s="28">
        <v>131</v>
      </c>
      <c r="F102" s="28">
        <f>SUM(C102-D102-E102)</f>
        <v>377</v>
      </c>
      <c r="G102" s="28">
        <v>15578</v>
      </c>
      <c r="H102" s="28">
        <v>9491</v>
      </c>
      <c r="I102" s="28">
        <v>1647</v>
      </c>
      <c r="J102" s="28">
        <f>SUM(G102-H102-I102)</f>
        <v>4440</v>
      </c>
      <c r="K102" s="28">
        <v>944</v>
      </c>
      <c r="L102" s="28">
        <v>0</v>
      </c>
      <c r="M102" s="28">
        <v>462</v>
      </c>
      <c r="N102" s="28">
        <v>7</v>
      </c>
      <c r="O102" s="28">
        <v>7</v>
      </c>
    </row>
    <row r="103" spans="1:15" ht="12.75" customHeight="1">
      <c r="A103" s="8"/>
      <c r="B103" s="9" t="s">
        <v>190</v>
      </c>
      <c r="C103" s="29">
        <f t="shared" ref="C103:O103" si="23">SUM(C99:C102)</f>
        <v>15421</v>
      </c>
      <c r="D103" s="29">
        <f t="shared" si="23"/>
        <v>11792</v>
      </c>
      <c r="E103" s="29">
        <f t="shared" si="23"/>
        <v>319</v>
      </c>
      <c r="F103" s="29">
        <f t="shared" si="23"/>
        <v>3310</v>
      </c>
      <c r="G103" s="29">
        <f t="shared" si="23"/>
        <v>64655</v>
      </c>
      <c r="H103" s="29">
        <f t="shared" si="23"/>
        <v>35543</v>
      </c>
      <c r="I103" s="29">
        <f t="shared" si="23"/>
        <v>3386</v>
      </c>
      <c r="J103" s="29">
        <f t="shared" si="23"/>
        <v>25726</v>
      </c>
      <c r="K103" s="29">
        <f t="shared" si="23"/>
        <v>2489</v>
      </c>
      <c r="L103" s="29">
        <f t="shared" si="23"/>
        <v>0</v>
      </c>
      <c r="M103" s="29">
        <f t="shared" si="23"/>
        <v>2265</v>
      </c>
      <c r="N103" s="29">
        <f t="shared" si="23"/>
        <v>155</v>
      </c>
      <c r="O103" s="29">
        <f t="shared" si="23"/>
        <v>155</v>
      </c>
    </row>
    <row r="104" spans="1:15" ht="12.75" customHeight="1">
      <c r="A104" s="4" t="s">
        <v>191</v>
      </c>
      <c r="B104" s="5" t="s">
        <v>192</v>
      </c>
      <c r="C104" s="28">
        <v>2843</v>
      </c>
      <c r="D104" s="28">
        <v>2428</v>
      </c>
      <c r="E104" s="28">
        <v>54</v>
      </c>
      <c r="F104" s="28">
        <f>SUM(C104-D104-E104)</f>
        <v>361</v>
      </c>
      <c r="G104" s="28">
        <v>13335</v>
      </c>
      <c r="H104" s="28">
        <v>8509</v>
      </c>
      <c r="I104" s="28">
        <v>725</v>
      </c>
      <c r="J104" s="28">
        <f>SUM(G104-H104-I104)</f>
        <v>4101</v>
      </c>
      <c r="K104" s="28">
        <v>253</v>
      </c>
      <c r="L104" s="28">
        <v>0</v>
      </c>
      <c r="M104" s="28">
        <v>51</v>
      </c>
      <c r="N104" s="28">
        <v>59</v>
      </c>
      <c r="O104" s="28">
        <v>59</v>
      </c>
    </row>
    <row r="105" spans="1:15" ht="12.75" customHeight="1">
      <c r="A105" s="4" t="s">
        <v>193</v>
      </c>
      <c r="B105" s="5" t="s">
        <v>194</v>
      </c>
      <c r="C105" s="28">
        <v>2376</v>
      </c>
      <c r="D105" s="28">
        <v>1395</v>
      </c>
      <c r="E105" s="28">
        <v>0</v>
      </c>
      <c r="F105" s="28">
        <f>SUM(C105-D105-E105)</f>
        <v>981</v>
      </c>
      <c r="G105" s="28">
        <v>10162</v>
      </c>
      <c r="H105" s="28">
        <v>4989</v>
      </c>
      <c r="I105" s="28">
        <v>0</v>
      </c>
      <c r="J105" s="28">
        <f>SUM(G105-H105-I105)</f>
        <v>5173</v>
      </c>
      <c r="K105" s="28">
        <v>123</v>
      </c>
      <c r="L105" s="28">
        <v>0</v>
      </c>
      <c r="M105" s="28">
        <v>34</v>
      </c>
      <c r="N105" s="28">
        <v>70</v>
      </c>
      <c r="O105" s="28">
        <v>70</v>
      </c>
    </row>
    <row r="106" spans="1:15" ht="12.75" customHeight="1">
      <c r="A106" s="4" t="s">
        <v>195</v>
      </c>
      <c r="B106" s="5" t="s">
        <v>196</v>
      </c>
      <c r="C106" s="28">
        <v>11329</v>
      </c>
      <c r="D106" s="28">
        <v>7717</v>
      </c>
      <c r="E106" s="28">
        <v>241</v>
      </c>
      <c r="F106" s="28">
        <f>SUM(C106-D106-E106)</f>
        <v>3371</v>
      </c>
      <c r="G106" s="28">
        <v>51845</v>
      </c>
      <c r="H106" s="28">
        <v>23460</v>
      </c>
      <c r="I106" s="28">
        <v>1954</v>
      </c>
      <c r="J106" s="28">
        <f>SUM(G106-H106-I106)</f>
        <v>26431</v>
      </c>
      <c r="K106" s="28">
        <v>253</v>
      </c>
      <c r="L106" s="28">
        <v>0</v>
      </c>
      <c r="M106" s="28">
        <v>3557</v>
      </c>
      <c r="N106" s="28">
        <v>166</v>
      </c>
      <c r="O106" s="28">
        <v>166</v>
      </c>
    </row>
    <row r="107" spans="1:15" ht="12.75" customHeight="1">
      <c r="A107" s="4" t="s">
        <v>197</v>
      </c>
      <c r="B107" s="5" t="s">
        <v>198</v>
      </c>
      <c r="C107" s="28">
        <v>36121</v>
      </c>
      <c r="D107" s="28">
        <v>25061</v>
      </c>
      <c r="E107" s="28">
        <v>903</v>
      </c>
      <c r="F107" s="28">
        <f>SUM(C107-D107-E107)</f>
        <v>10157</v>
      </c>
      <c r="G107" s="28">
        <v>114396</v>
      </c>
      <c r="H107" s="28">
        <v>50467</v>
      </c>
      <c r="I107" s="28">
        <v>2617</v>
      </c>
      <c r="J107" s="28">
        <f>SUM(G107-H107-I107)</f>
        <v>61312</v>
      </c>
      <c r="K107" s="28">
        <v>5232</v>
      </c>
      <c r="L107" s="28">
        <v>0</v>
      </c>
      <c r="M107" s="28">
        <v>551</v>
      </c>
      <c r="N107" s="28">
        <v>2366</v>
      </c>
      <c r="O107" s="28">
        <v>2366</v>
      </c>
    </row>
    <row r="108" spans="1:15" ht="12.75" customHeight="1">
      <c r="A108" s="4" t="s">
        <v>199</v>
      </c>
      <c r="B108" s="5" t="s">
        <v>200</v>
      </c>
      <c r="C108" s="28">
        <v>12582</v>
      </c>
      <c r="D108" s="28">
        <v>6657</v>
      </c>
      <c r="E108" s="28">
        <v>214</v>
      </c>
      <c r="F108" s="28">
        <f>SUM(C108-D108-E108)</f>
        <v>5711</v>
      </c>
      <c r="G108" s="28">
        <v>80492</v>
      </c>
      <c r="H108" s="28">
        <v>22938</v>
      </c>
      <c r="I108" s="28">
        <v>2122</v>
      </c>
      <c r="J108" s="28">
        <f>SUM(G108-H108-I108)</f>
        <v>55432</v>
      </c>
      <c r="K108" s="28">
        <v>803</v>
      </c>
      <c r="L108" s="28">
        <v>0</v>
      </c>
      <c r="M108" s="28">
        <v>843</v>
      </c>
      <c r="N108" s="28">
        <v>936</v>
      </c>
      <c r="O108" s="28">
        <v>936</v>
      </c>
    </row>
    <row r="109" spans="1:15" ht="12.75" customHeight="1">
      <c r="A109" s="8"/>
      <c r="B109" s="9" t="s">
        <v>201</v>
      </c>
      <c r="C109" s="29">
        <f t="shared" ref="C109:O109" si="24">SUM(C104:C108)</f>
        <v>65251</v>
      </c>
      <c r="D109" s="29">
        <f t="shared" si="24"/>
        <v>43258</v>
      </c>
      <c r="E109" s="29">
        <f t="shared" si="24"/>
        <v>1412</v>
      </c>
      <c r="F109" s="29">
        <f t="shared" si="24"/>
        <v>20581</v>
      </c>
      <c r="G109" s="29">
        <f t="shared" si="24"/>
        <v>270230</v>
      </c>
      <c r="H109" s="29">
        <f t="shared" si="24"/>
        <v>110363</v>
      </c>
      <c r="I109" s="29">
        <f t="shared" si="24"/>
        <v>7418</v>
      </c>
      <c r="J109" s="29">
        <f t="shared" si="24"/>
        <v>152449</v>
      </c>
      <c r="K109" s="29">
        <f t="shared" si="24"/>
        <v>6664</v>
      </c>
      <c r="L109" s="29">
        <f t="shared" si="24"/>
        <v>0</v>
      </c>
      <c r="M109" s="29">
        <f t="shared" si="24"/>
        <v>5036</v>
      </c>
      <c r="N109" s="29">
        <f t="shared" si="24"/>
        <v>3597</v>
      </c>
      <c r="O109" s="29">
        <f t="shared" si="24"/>
        <v>3597</v>
      </c>
    </row>
    <row r="110" spans="1:15" ht="12.75" customHeight="1">
      <c r="A110" s="4" t="s">
        <v>202</v>
      </c>
      <c r="B110" s="5" t="s">
        <v>203</v>
      </c>
      <c r="C110" s="28">
        <v>17026</v>
      </c>
      <c r="D110" s="28">
        <v>14195</v>
      </c>
      <c r="E110" s="28">
        <v>68</v>
      </c>
      <c r="F110" s="28">
        <f t="shared" ref="F110:F115" si="25">SUM(C110-D110-E110)</f>
        <v>2763</v>
      </c>
      <c r="G110" s="28">
        <v>80747</v>
      </c>
      <c r="H110" s="28">
        <v>49907</v>
      </c>
      <c r="I110" s="28">
        <v>954</v>
      </c>
      <c r="J110" s="28">
        <f t="shared" ref="J110:J115" si="26">SUM(G110-H110-I110)</f>
        <v>29886</v>
      </c>
      <c r="K110" s="28">
        <v>1917</v>
      </c>
      <c r="L110" s="28">
        <v>0</v>
      </c>
      <c r="M110" s="28">
        <v>3772</v>
      </c>
      <c r="N110" s="28">
        <v>256</v>
      </c>
      <c r="O110" s="28">
        <v>256</v>
      </c>
    </row>
    <row r="111" spans="1:15" ht="12.75" customHeight="1">
      <c r="A111" s="4" t="s">
        <v>204</v>
      </c>
      <c r="B111" s="5" t="s">
        <v>205</v>
      </c>
      <c r="C111" s="28">
        <v>2252</v>
      </c>
      <c r="D111" s="28">
        <v>2125</v>
      </c>
      <c r="E111" s="28">
        <v>24</v>
      </c>
      <c r="F111" s="28">
        <f t="shared" si="25"/>
        <v>103</v>
      </c>
      <c r="G111" s="28">
        <v>7684</v>
      </c>
      <c r="H111" s="28">
        <v>6887</v>
      </c>
      <c r="I111" s="28">
        <v>287</v>
      </c>
      <c r="J111" s="28">
        <f t="shared" si="26"/>
        <v>510</v>
      </c>
      <c r="K111" s="28">
        <v>0</v>
      </c>
      <c r="L111" s="28">
        <v>0</v>
      </c>
      <c r="M111" s="28">
        <v>113</v>
      </c>
      <c r="N111" s="28">
        <v>50</v>
      </c>
      <c r="O111" s="28">
        <v>50</v>
      </c>
    </row>
    <row r="112" spans="1:15" ht="12.75" customHeight="1">
      <c r="A112" s="4" t="s">
        <v>206</v>
      </c>
      <c r="B112" s="5" t="s">
        <v>207</v>
      </c>
      <c r="C112" s="28">
        <v>5347</v>
      </c>
      <c r="D112" s="28">
        <v>3989</v>
      </c>
      <c r="E112" s="28">
        <v>0</v>
      </c>
      <c r="F112" s="28">
        <f t="shared" si="25"/>
        <v>1358</v>
      </c>
      <c r="G112" s="28">
        <v>20253</v>
      </c>
      <c r="H112" s="28">
        <v>13468</v>
      </c>
      <c r="I112" s="28">
        <v>0</v>
      </c>
      <c r="J112" s="28">
        <f t="shared" si="26"/>
        <v>6785</v>
      </c>
      <c r="K112" s="28">
        <v>7428</v>
      </c>
      <c r="L112" s="28">
        <v>0</v>
      </c>
      <c r="M112" s="28">
        <v>980</v>
      </c>
      <c r="N112" s="28">
        <v>0</v>
      </c>
      <c r="O112" s="28">
        <v>0</v>
      </c>
    </row>
    <row r="113" spans="1:15" ht="12.75" customHeight="1">
      <c r="A113" s="4" t="s">
        <v>208</v>
      </c>
      <c r="B113" s="5" t="s">
        <v>209</v>
      </c>
      <c r="C113" s="28">
        <v>5224</v>
      </c>
      <c r="D113" s="28">
        <v>3378</v>
      </c>
      <c r="E113" s="28">
        <v>51</v>
      </c>
      <c r="F113" s="28">
        <f t="shared" si="25"/>
        <v>1795</v>
      </c>
      <c r="G113" s="28">
        <v>22694</v>
      </c>
      <c r="H113" s="28">
        <v>10931</v>
      </c>
      <c r="I113" s="28">
        <v>441</v>
      </c>
      <c r="J113" s="28">
        <f t="shared" si="26"/>
        <v>11322</v>
      </c>
      <c r="K113" s="28">
        <v>1029</v>
      </c>
      <c r="L113" s="28">
        <v>0</v>
      </c>
      <c r="M113" s="28">
        <v>1530</v>
      </c>
      <c r="N113" s="28">
        <v>13</v>
      </c>
      <c r="O113" s="28">
        <v>13</v>
      </c>
    </row>
    <row r="114" spans="1:15" ht="12.75" customHeight="1">
      <c r="A114" s="4" t="s">
        <v>210</v>
      </c>
      <c r="B114" s="5" t="s">
        <v>211</v>
      </c>
      <c r="C114" s="28">
        <v>11920</v>
      </c>
      <c r="D114" s="28">
        <v>8596</v>
      </c>
      <c r="E114" s="28">
        <v>0</v>
      </c>
      <c r="F114" s="28">
        <f t="shared" si="25"/>
        <v>3324</v>
      </c>
      <c r="G114" s="28">
        <v>38249</v>
      </c>
      <c r="H114" s="28">
        <v>22838</v>
      </c>
      <c r="I114" s="28">
        <v>0</v>
      </c>
      <c r="J114" s="28">
        <f t="shared" si="26"/>
        <v>15411</v>
      </c>
      <c r="K114" s="28">
        <v>3103</v>
      </c>
      <c r="L114" s="28">
        <v>0</v>
      </c>
      <c r="M114" s="28">
        <v>3225</v>
      </c>
      <c r="N114" s="28">
        <v>243</v>
      </c>
      <c r="O114" s="28">
        <v>243</v>
      </c>
    </row>
    <row r="115" spans="1:15" ht="12.75" customHeight="1">
      <c r="A115" s="4" t="s">
        <v>212</v>
      </c>
      <c r="B115" s="5" t="s">
        <v>213</v>
      </c>
      <c r="C115" s="28">
        <v>8333</v>
      </c>
      <c r="D115" s="28">
        <v>7102</v>
      </c>
      <c r="E115" s="28">
        <v>0</v>
      </c>
      <c r="F115" s="28">
        <f t="shared" si="25"/>
        <v>1231</v>
      </c>
      <c r="G115" s="28">
        <v>31267</v>
      </c>
      <c r="H115" s="28">
        <v>23452</v>
      </c>
      <c r="I115" s="28">
        <v>0</v>
      </c>
      <c r="J115" s="28">
        <f t="shared" si="26"/>
        <v>7815</v>
      </c>
      <c r="K115" s="28">
        <v>2067</v>
      </c>
      <c r="L115" s="28">
        <v>0</v>
      </c>
      <c r="M115" s="28">
        <v>1594</v>
      </c>
      <c r="N115" s="28">
        <v>167</v>
      </c>
      <c r="O115" s="28">
        <v>167</v>
      </c>
    </row>
    <row r="116" spans="1:15" ht="12.75" customHeight="1">
      <c r="A116" s="8"/>
      <c r="B116" s="9" t="s">
        <v>214</v>
      </c>
      <c r="C116" s="29">
        <f t="shared" ref="C116:O116" si="27">SUM(C110:C115)</f>
        <v>50102</v>
      </c>
      <c r="D116" s="29">
        <f t="shared" si="27"/>
        <v>39385</v>
      </c>
      <c r="E116" s="29">
        <f t="shared" si="27"/>
        <v>143</v>
      </c>
      <c r="F116" s="29">
        <f t="shared" si="27"/>
        <v>10574</v>
      </c>
      <c r="G116" s="29">
        <f t="shared" si="27"/>
        <v>200894</v>
      </c>
      <c r="H116" s="29">
        <f t="shared" si="27"/>
        <v>127483</v>
      </c>
      <c r="I116" s="29">
        <f t="shared" si="27"/>
        <v>1682</v>
      </c>
      <c r="J116" s="29">
        <f t="shared" si="27"/>
        <v>71729</v>
      </c>
      <c r="K116" s="29">
        <f t="shared" si="27"/>
        <v>15544</v>
      </c>
      <c r="L116" s="29">
        <f t="shared" si="27"/>
        <v>0</v>
      </c>
      <c r="M116" s="29">
        <f t="shared" si="27"/>
        <v>11214</v>
      </c>
      <c r="N116" s="29">
        <f t="shared" si="27"/>
        <v>729</v>
      </c>
      <c r="O116" s="29">
        <f t="shared" si="27"/>
        <v>729</v>
      </c>
    </row>
    <row r="117" spans="1:15" ht="12.75" customHeight="1">
      <c r="A117" s="4" t="s">
        <v>215</v>
      </c>
      <c r="B117" s="5" t="s">
        <v>216</v>
      </c>
      <c r="C117" s="28">
        <v>1842</v>
      </c>
      <c r="D117" s="28">
        <v>1338</v>
      </c>
      <c r="E117" s="28">
        <v>0</v>
      </c>
      <c r="F117" s="28">
        <f>SUM(C117-D117-E117)</f>
        <v>504</v>
      </c>
      <c r="G117" s="28">
        <v>8647</v>
      </c>
      <c r="H117" s="28">
        <v>5347</v>
      </c>
      <c r="I117" s="28">
        <v>0</v>
      </c>
      <c r="J117" s="28">
        <f>SUM(G117-H117-I117)</f>
        <v>3300</v>
      </c>
      <c r="K117" s="28">
        <v>0</v>
      </c>
      <c r="L117" s="28">
        <v>0</v>
      </c>
      <c r="M117" s="28">
        <v>937</v>
      </c>
      <c r="N117" s="28">
        <v>52</v>
      </c>
      <c r="O117" s="28">
        <v>52</v>
      </c>
    </row>
    <row r="118" spans="1:15" ht="12.75" customHeight="1">
      <c r="A118" s="4" t="s">
        <v>217</v>
      </c>
      <c r="B118" s="5" t="s">
        <v>218</v>
      </c>
      <c r="C118" s="28">
        <v>4681</v>
      </c>
      <c r="D118" s="28">
        <v>3801</v>
      </c>
      <c r="E118" s="28">
        <v>53</v>
      </c>
      <c r="F118" s="28">
        <f>SUM(C118-D118-E118)</f>
        <v>827</v>
      </c>
      <c r="G118" s="28">
        <v>18658</v>
      </c>
      <c r="H118" s="28">
        <v>11819</v>
      </c>
      <c r="I118" s="28">
        <v>579</v>
      </c>
      <c r="J118" s="28">
        <f>SUM(G118-H118-I118)</f>
        <v>6260</v>
      </c>
      <c r="K118" s="28">
        <v>88</v>
      </c>
      <c r="L118" s="28">
        <v>0</v>
      </c>
      <c r="M118" s="28">
        <v>718</v>
      </c>
      <c r="N118" s="28">
        <v>67</v>
      </c>
      <c r="O118" s="28">
        <v>67</v>
      </c>
    </row>
    <row r="119" spans="1:15" ht="12.75" customHeight="1">
      <c r="A119" s="8"/>
      <c r="B119" s="9" t="s">
        <v>219</v>
      </c>
      <c r="C119" s="29">
        <f t="shared" ref="C119:O119" si="28">SUM(C117:C118)</f>
        <v>6523</v>
      </c>
      <c r="D119" s="29">
        <f t="shared" si="28"/>
        <v>5139</v>
      </c>
      <c r="E119" s="29">
        <f t="shared" si="28"/>
        <v>53</v>
      </c>
      <c r="F119" s="29">
        <f t="shared" si="28"/>
        <v>1331</v>
      </c>
      <c r="G119" s="29">
        <f t="shared" si="28"/>
        <v>27305</v>
      </c>
      <c r="H119" s="29">
        <f t="shared" si="28"/>
        <v>17166</v>
      </c>
      <c r="I119" s="29">
        <f t="shared" si="28"/>
        <v>579</v>
      </c>
      <c r="J119" s="29">
        <f t="shared" si="28"/>
        <v>9560</v>
      </c>
      <c r="K119" s="29">
        <f t="shared" si="28"/>
        <v>88</v>
      </c>
      <c r="L119" s="29">
        <f t="shared" si="28"/>
        <v>0</v>
      </c>
      <c r="M119" s="29">
        <f t="shared" si="28"/>
        <v>1655</v>
      </c>
      <c r="N119" s="29">
        <f t="shared" si="28"/>
        <v>119</v>
      </c>
      <c r="O119" s="29">
        <f t="shared" si="28"/>
        <v>119</v>
      </c>
    </row>
    <row r="120" spans="1:15" ht="12.75" customHeight="1">
      <c r="A120" s="4" t="s">
        <v>220</v>
      </c>
      <c r="B120" s="5" t="s">
        <v>221</v>
      </c>
      <c r="C120" s="28">
        <v>5208</v>
      </c>
      <c r="D120" s="28">
        <v>4640</v>
      </c>
      <c r="E120" s="28">
        <v>52</v>
      </c>
      <c r="F120" s="28">
        <f>SUM(C120-D120-E120)</f>
        <v>516</v>
      </c>
      <c r="G120" s="28">
        <v>18424</v>
      </c>
      <c r="H120" s="28">
        <v>14055</v>
      </c>
      <c r="I120" s="28">
        <v>732</v>
      </c>
      <c r="J120" s="28">
        <f>SUM(G120-H120-I120)</f>
        <v>3637</v>
      </c>
      <c r="K120" s="28">
        <v>1310</v>
      </c>
      <c r="L120" s="28">
        <v>0</v>
      </c>
      <c r="M120" s="28">
        <v>488</v>
      </c>
      <c r="N120" s="28">
        <v>1137</v>
      </c>
      <c r="O120" s="28">
        <v>1137</v>
      </c>
    </row>
    <row r="121" spans="1:15" ht="12.75" customHeight="1">
      <c r="A121" s="4" t="s">
        <v>222</v>
      </c>
      <c r="B121" s="5" t="s">
        <v>223</v>
      </c>
      <c r="C121" s="28">
        <v>8047</v>
      </c>
      <c r="D121" s="28">
        <v>7428</v>
      </c>
      <c r="E121" s="28">
        <v>124</v>
      </c>
      <c r="F121" s="28">
        <f>SUM(C121-D121-E121)</f>
        <v>495</v>
      </c>
      <c r="G121" s="28">
        <v>32190</v>
      </c>
      <c r="H121" s="28">
        <v>23095</v>
      </c>
      <c r="I121" s="28">
        <v>1284</v>
      </c>
      <c r="J121" s="28">
        <f>SUM(G121-H121-I121)</f>
        <v>7811</v>
      </c>
      <c r="K121" s="28">
        <v>251</v>
      </c>
      <c r="L121" s="28">
        <v>0</v>
      </c>
      <c r="M121" s="28">
        <v>686</v>
      </c>
      <c r="N121" s="28">
        <v>63</v>
      </c>
      <c r="O121" s="28">
        <v>63</v>
      </c>
    </row>
    <row r="122" spans="1:15" ht="12.75" customHeight="1">
      <c r="A122" s="4" t="s">
        <v>224</v>
      </c>
      <c r="B122" s="5" t="s">
        <v>225</v>
      </c>
      <c r="C122" s="28">
        <v>1501</v>
      </c>
      <c r="D122" s="28">
        <v>1293</v>
      </c>
      <c r="E122" s="28">
        <v>0</v>
      </c>
      <c r="F122" s="28">
        <f>SUM(C122-D122-E122)</f>
        <v>208</v>
      </c>
      <c r="G122" s="28">
        <v>5493</v>
      </c>
      <c r="H122" s="28">
        <v>3637</v>
      </c>
      <c r="I122" s="28">
        <v>0</v>
      </c>
      <c r="J122" s="28">
        <f>SUM(G122-H122-I122)</f>
        <v>1856</v>
      </c>
      <c r="K122" s="28">
        <v>50</v>
      </c>
      <c r="L122" s="28">
        <v>0</v>
      </c>
      <c r="M122" s="28">
        <v>985</v>
      </c>
      <c r="N122" s="28">
        <v>35</v>
      </c>
      <c r="O122" s="28">
        <v>35</v>
      </c>
    </row>
    <row r="123" spans="1:15" ht="12.75" customHeight="1">
      <c r="A123" s="4" t="s">
        <v>226</v>
      </c>
      <c r="B123" s="5" t="s">
        <v>227</v>
      </c>
      <c r="C123" s="28">
        <v>7995</v>
      </c>
      <c r="D123" s="28">
        <v>6682</v>
      </c>
      <c r="E123" s="28">
        <v>75</v>
      </c>
      <c r="F123" s="28">
        <f>SUM(C123-D123-E123)</f>
        <v>1238</v>
      </c>
      <c r="G123" s="28">
        <v>27580</v>
      </c>
      <c r="H123" s="28">
        <v>17830</v>
      </c>
      <c r="I123" s="28">
        <v>673</v>
      </c>
      <c r="J123" s="28">
        <f>SUM(G123-H123-I123)</f>
        <v>9077</v>
      </c>
      <c r="K123" s="28">
        <v>761</v>
      </c>
      <c r="L123" s="28">
        <v>0</v>
      </c>
      <c r="M123" s="28">
        <v>753</v>
      </c>
      <c r="N123" s="28">
        <v>390</v>
      </c>
      <c r="O123" s="28">
        <v>390</v>
      </c>
    </row>
    <row r="124" spans="1:15" ht="12.75" customHeight="1">
      <c r="A124" s="4" t="s">
        <v>228</v>
      </c>
      <c r="B124" s="5" t="s">
        <v>229</v>
      </c>
      <c r="C124" s="28">
        <v>2540</v>
      </c>
      <c r="D124" s="28">
        <v>2307</v>
      </c>
      <c r="E124" s="28">
        <v>61</v>
      </c>
      <c r="F124" s="28">
        <f>SUM(C124-D124-E124)</f>
        <v>172</v>
      </c>
      <c r="G124" s="28">
        <v>8065</v>
      </c>
      <c r="H124" s="28">
        <v>6094</v>
      </c>
      <c r="I124" s="28">
        <v>565</v>
      </c>
      <c r="J124" s="28">
        <f>SUM(G124-H124-I124)</f>
        <v>1406</v>
      </c>
      <c r="K124" s="28">
        <v>187</v>
      </c>
      <c r="L124" s="28">
        <v>0</v>
      </c>
      <c r="M124" s="28">
        <v>23</v>
      </c>
      <c r="N124" s="28">
        <v>245</v>
      </c>
      <c r="O124" s="28">
        <v>245</v>
      </c>
    </row>
    <row r="125" spans="1:15" ht="12.75" customHeight="1">
      <c r="A125" s="8"/>
      <c r="B125" s="9" t="s">
        <v>230</v>
      </c>
      <c r="C125" s="29">
        <f t="shared" ref="C125:O125" si="29">SUM(C120:C124)</f>
        <v>25291</v>
      </c>
      <c r="D125" s="29">
        <f t="shared" si="29"/>
        <v>22350</v>
      </c>
      <c r="E125" s="29">
        <f t="shared" si="29"/>
        <v>312</v>
      </c>
      <c r="F125" s="29">
        <f t="shared" si="29"/>
        <v>2629</v>
      </c>
      <c r="G125" s="29">
        <f t="shared" si="29"/>
        <v>91752</v>
      </c>
      <c r="H125" s="29">
        <f t="shared" si="29"/>
        <v>64711</v>
      </c>
      <c r="I125" s="29">
        <f t="shared" si="29"/>
        <v>3254</v>
      </c>
      <c r="J125" s="29">
        <f t="shared" si="29"/>
        <v>23787</v>
      </c>
      <c r="K125" s="29">
        <f t="shared" si="29"/>
        <v>2559</v>
      </c>
      <c r="L125" s="29">
        <f t="shared" si="29"/>
        <v>0</v>
      </c>
      <c r="M125" s="29">
        <f t="shared" si="29"/>
        <v>2935</v>
      </c>
      <c r="N125" s="29">
        <f t="shared" si="29"/>
        <v>1870</v>
      </c>
      <c r="O125" s="29">
        <f t="shared" si="29"/>
        <v>1870</v>
      </c>
    </row>
    <row r="126" spans="1:15" ht="12.75" customHeight="1">
      <c r="A126" s="4" t="s">
        <v>231</v>
      </c>
      <c r="B126" s="5" t="s">
        <v>232</v>
      </c>
      <c r="C126" s="28">
        <v>4995</v>
      </c>
      <c r="D126" s="28">
        <v>3623</v>
      </c>
      <c r="E126" s="28">
        <v>0</v>
      </c>
      <c r="F126" s="28">
        <f t="shared" ref="F126:F134" si="30">SUM(C126-D126-E126)</f>
        <v>1372</v>
      </c>
      <c r="G126" s="28">
        <v>15436</v>
      </c>
      <c r="H126" s="28">
        <v>8997</v>
      </c>
      <c r="I126" s="28">
        <v>0</v>
      </c>
      <c r="J126" s="28">
        <f t="shared" ref="J126:J134" si="31">SUM(G126-H126-I126)</f>
        <v>6439</v>
      </c>
      <c r="K126" s="28">
        <v>174</v>
      </c>
      <c r="L126" s="28">
        <v>0</v>
      </c>
      <c r="M126" s="28">
        <v>704</v>
      </c>
      <c r="N126" s="28">
        <v>128</v>
      </c>
      <c r="O126" s="28">
        <v>128</v>
      </c>
    </row>
    <row r="127" spans="1:15" ht="12.75" customHeight="1">
      <c r="A127" s="4" t="s">
        <v>233</v>
      </c>
      <c r="B127" s="5" t="s">
        <v>234</v>
      </c>
      <c r="C127" s="28">
        <v>2511</v>
      </c>
      <c r="D127" s="28">
        <v>2120</v>
      </c>
      <c r="E127" s="28">
        <v>0</v>
      </c>
      <c r="F127" s="28">
        <f t="shared" si="30"/>
        <v>391</v>
      </c>
      <c r="G127" s="28">
        <v>9156</v>
      </c>
      <c r="H127" s="28">
        <v>7180</v>
      </c>
      <c r="I127" s="28">
        <v>0</v>
      </c>
      <c r="J127" s="28">
        <f t="shared" si="31"/>
        <v>1976</v>
      </c>
      <c r="K127" s="28">
        <v>72</v>
      </c>
      <c r="L127" s="28">
        <v>0</v>
      </c>
      <c r="M127" s="28">
        <v>104</v>
      </c>
      <c r="N127" s="28">
        <v>13</v>
      </c>
      <c r="O127" s="28">
        <v>13</v>
      </c>
    </row>
    <row r="128" spans="1:15" ht="12.75" customHeight="1">
      <c r="A128" s="4" t="s">
        <v>235</v>
      </c>
      <c r="B128" s="5" t="s">
        <v>236</v>
      </c>
      <c r="C128" s="28">
        <v>16943</v>
      </c>
      <c r="D128" s="28">
        <v>13386</v>
      </c>
      <c r="E128" s="28">
        <v>272</v>
      </c>
      <c r="F128" s="28">
        <f t="shared" si="30"/>
        <v>3285</v>
      </c>
      <c r="G128" s="28">
        <v>44786</v>
      </c>
      <c r="H128" s="28">
        <v>30377</v>
      </c>
      <c r="I128" s="28">
        <v>1407</v>
      </c>
      <c r="J128" s="28">
        <f t="shared" si="31"/>
        <v>13002</v>
      </c>
      <c r="K128" s="28">
        <v>1702</v>
      </c>
      <c r="L128" s="28">
        <v>0</v>
      </c>
      <c r="M128" s="28">
        <v>1588</v>
      </c>
      <c r="N128" s="28">
        <v>429</v>
      </c>
      <c r="O128" s="28">
        <v>429</v>
      </c>
    </row>
    <row r="129" spans="1:15" ht="12.75" customHeight="1">
      <c r="A129" s="4" t="s">
        <v>237</v>
      </c>
      <c r="B129" s="5" t="s">
        <v>238</v>
      </c>
      <c r="C129" s="28">
        <v>1671</v>
      </c>
      <c r="D129" s="28">
        <v>1309</v>
      </c>
      <c r="E129" s="28">
        <v>64</v>
      </c>
      <c r="F129" s="28">
        <f t="shared" si="30"/>
        <v>298</v>
      </c>
      <c r="G129" s="28">
        <v>7200</v>
      </c>
      <c r="H129" s="28">
        <v>3381</v>
      </c>
      <c r="I129" s="28">
        <v>793</v>
      </c>
      <c r="J129" s="28">
        <f t="shared" si="31"/>
        <v>3026</v>
      </c>
      <c r="K129" s="28">
        <v>155</v>
      </c>
      <c r="L129" s="28">
        <v>0</v>
      </c>
      <c r="M129" s="28">
        <v>278</v>
      </c>
      <c r="N129" s="28">
        <v>0</v>
      </c>
      <c r="O129" s="28">
        <v>0</v>
      </c>
    </row>
    <row r="130" spans="1:15" ht="12.75" customHeight="1">
      <c r="A130" s="4" t="s">
        <v>239</v>
      </c>
      <c r="B130" s="5" t="s">
        <v>240</v>
      </c>
      <c r="C130" s="28">
        <v>10431</v>
      </c>
      <c r="D130" s="28">
        <v>8776</v>
      </c>
      <c r="E130" s="28">
        <v>478</v>
      </c>
      <c r="F130" s="28">
        <f t="shared" si="30"/>
        <v>1177</v>
      </c>
      <c r="G130" s="28">
        <v>28729</v>
      </c>
      <c r="H130" s="28">
        <v>15752</v>
      </c>
      <c r="I130" s="28">
        <v>2536</v>
      </c>
      <c r="J130" s="28">
        <f t="shared" si="31"/>
        <v>10441</v>
      </c>
      <c r="K130" s="28">
        <v>885</v>
      </c>
      <c r="L130" s="28">
        <v>0</v>
      </c>
      <c r="M130" s="28">
        <v>381</v>
      </c>
      <c r="N130" s="28">
        <v>1138</v>
      </c>
      <c r="O130" s="28">
        <v>1138</v>
      </c>
    </row>
    <row r="131" spans="1:15" ht="12.75" customHeight="1">
      <c r="A131" s="4" t="s">
        <v>241</v>
      </c>
      <c r="B131" s="5" t="s">
        <v>242</v>
      </c>
      <c r="C131" s="28">
        <v>18747</v>
      </c>
      <c r="D131" s="28">
        <v>16677</v>
      </c>
      <c r="E131" s="28">
        <v>109</v>
      </c>
      <c r="F131" s="28">
        <f t="shared" si="30"/>
        <v>1961</v>
      </c>
      <c r="G131" s="28">
        <v>54835</v>
      </c>
      <c r="H131" s="28">
        <v>28128</v>
      </c>
      <c r="I131" s="28">
        <v>770</v>
      </c>
      <c r="J131" s="28">
        <f t="shared" si="31"/>
        <v>25937</v>
      </c>
      <c r="K131" s="28">
        <v>1113</v>
      </c>
      <c r="L131" s="28">
        <v>0</v>
      </c>
      <c r="M131" s="28">
        <v>418</v>
      </c>
      <c r="N131" s="28">
        <v>247</v>
      </c>
      <c r="O131" s="28">
        <v>247</v>
      </c>
    </row>
    <row r="132" spans="1:15" ht="12.75" customHeight="1">
      <c r="A132" s="4" t="s">
        <v>243</v>
      </c>
      <c r="B132" s="5" t="s">
        <v>244</v>
      </c>
      <c r="C132" s="28">
        <v>9583</v>
      </c>
      <c r="D132" s="28">
        <v>8126</v>
      </c>
      <c r="E132" s="28">
        <v>0</v>
      </c>
      <c r="F132" s="28">
        <f t="shared" si="30"/>
        <v>1457</v>
      </c>
      <c r="G132" s="28">
        <v>30283</v>
      </c>
      <c r="H132" s="28">
        <v>18053</v>
      </c>
      <c r="I132" s="28">
        <v>0</v>
      </c>
      <c r="J132" s="28">
        <f t="shared" si="31"/>
        <v>12230</v>
      </c>
      <c r="K132" s="28">
        <v>1475</v>
      </c>
      <c r="L132" s="28">
        <v>0</v>
      </c>
      <c r="M132" s="28">
        <v>2328</v>
      </c>
      <c r="N132" s="28">
        <v>216</v>
      </c>
      <c r="O132" s="28">
        <v>216</v>
      </c>
    </row>
    <row r="133" spans="1:15" ht="12.75" customHeight="1">
      <c r="A133" s="4" t="s">
        <v>245</v>
      </c>
      <c r="B133" s="5" t="s">
        <v>246</v>
      </c>
      <c r="C133" s="28">
        <v>8345</v>
      </c>
      <c r="D133" s="28">
        <v>7512</v>
      </c>
      <c r="E133" s="28">
        <v>0</v>
      </c>
      <c r="F133" s="28">
        <f t="shared" si="30"/>
        <v>833</v>
      </c>
      <c r="G133" s="28">
        <v>22014</v>
      </c>
      <c r="H133" s="28">
        <v>16825</v>
      </c>
      <c r="I133" s="28">
        <v>0</v>
      </c>
      <c r="J133" s="28">
        <f t="shared" si="31"/>
        <v>5189</v>
      </c>
      <c r="K133" s="28">
        <v>5936</v>
      </c>
      <c r="L133" s="28">
        <v>0</v>
      </c>
      <c r="M133" s="28">
        <v>1185</v>
      </c>
      <c r="N133" s="28">
        <v>277</v>
      </c>
      <c r="O133" s="28">
        <v>277</v>
      </c>
    </row>
    <row r="134" spans="1:15" ht="12.75" customHeight="1">
      <c r="A134" s="4" t="s">
        <v>247</v>
      </c>
      <c r="B134" s="5" t="s">
        <v>248</v>
      </c>
      <c r="C134" s="28">
        <v>4755</v>
      </c>
      <c r="D134" s="28">
        <v>3849</v>
      </c>
      <c r="E134" s="28">
        <v>0</v>
      </c>
      <c r="F134" s="28">
        <f t="shared" si="30"/>
        <v>906</v>
      </c>
      <c r="G134" s="28">
        <v>12079</v>
      </c>
      <c r="H134" s="28">
        <v>8733</v>
      </c>
      <c r="I134" s="28">
        <v>0</v>
      </c>
      <c r="J134" s="28">
        <f t="shared" si="31"/>
        <v>3346</v>
      </c>
      <c r="K134" s="28">
        <v>95</v>
      </c>
      <c r="L134" s="28">
        <v>0</v>
      </c>
      <c r="M134" s="28">
        <v>625</v>
      </c>
      <c r="N134" s="28">
        <v>27</v>
      </c>
      <c r="O134" s="28">
        <v>27</v>
      </c>
    </row>
    <row r="135" spans="1:15" ht="12.75" customHeight="1">
      <c r="A135" s="10"/>
      <c r="B135" s="9" t="s">
        <v>249</v>
      </c>
      <c r="C135" s="29">
        <f t="shared" ref="C135:O135" si="32">SUM(C126:C134)</f>
        <v>77981</v>
      </c>
      <c r="D135" s="29">
        <f t="shared" si="32"/>
        <v>65378</v>
      </c>
      <c r="E135" s="29">
        <f t="shared" si="32"/>
        <v>923</v>
      </c>
      <c r="F135" s="29">
        <f t="shared" si="32"/>
        <v>11680</v>
      </c>
      <c r="G135" s="29">
        <f t="shared" si="32"/>
        <v>224518</v>
      </c>
      <c r="H135" s="29">
        <f t="shared" si="32"/>
        <v>137426</v>
      </c>
      <c r="I135" s="29">
        <f t="shared" si="32"/>
        <v>5506</v>
      </c>
      <c r="J135" s="29">
        <f t="shared" si="32"/>
        <v>81586</v>
      </c>
      <c r="K135" s="29">
        <f t="shared" si="32"/>
        <v>11607</v>
      </c>
      <c r="L135" s="29">
        <f t="shared" si="32"/>
        <v>0</v>
      </c>
      <c r="M135" s="29">
        <f t="shared" si="32"/>
        <v>7611</v>
      </c>
      <c r="N135" s="29">
        <f t="shared" si="32"/>
        <v>2475</v>
      </c>
      <c r="O135" s="29">
        <f t="shared" si="32"/>
        <v>2475</v>
      </c>
    </row>
    <row r="136" spans="1:15" ht="12.75" customHeight="1">
      <c r="A136" s="4" t="s">
        <v>250</v>
      </c>
      <c r="B136" s="5" t="s">
        <v>251</v>
      </c>
      <c r="C136" s="28">
        <v>12042</v>
      </c>
      <c r="D136" s="28">
        <v>11062</v>
      </c>
      <c r="E136" s="28">
        <v>0</v>
      </c>
      <c r="F136" s="28">
        <f t="shared" ref="F136:F143" si="33">SUM(C136-D136-E136)</f>
        <v>980</v>
      </c>
      <c r="G136" s="28">
        <v>30626</v>
      </c>
      <c r="H136" s="28">
        <v>23029</v>
      </c>
      <c r="I136" s="28">
        <v>0</v>
      </c>
      <c r="J136" s="28">
        <f t="shared" ref="J136:J143" si="34">SUM(G136-H136-I136)</f>
        <v>7597</v>
      </c>
      <c r="K136" s="28">
        <v>6328</v>
      </c>
      <c r="L136" s="28">
        <v>1212</v>
      </c>
      <c r="M136" s="28">
        <v>493</v>
      </c>
      <c r="N136" s="28">
        <v>4379</v>
      </c>
      <c r="O136" s="28">
        <v>4379</v>
      </c>
    </row>
    <row r="137" spans="1:15" ht="12.75" customHeight="1">
      <c r="A137" s="4" t="s">
        <v>252</v>
      </c>
      <c r="B137" s="5" t="s">
        <v>253</v>
      </c>
      <c r="C137" s="28">
        <v>1727</v>
      </c>
      <c r="D137" s="28">
        <v>1727</v>
      </c>
      <c r="E137" s="28">
        <v>0</v>
      </c>
      <c r="F137" s="28">
        <f t="shared" si="33"/>
        <v>0</v>
      </c>
      <c r="G137" s="28">
        <v>4001</v>
      </c>
      <c r="H137" s="28">
        <v>3962</v>
      </c>
      <c r="I137" s="28">
        <v>0</v>
      </c>
      <c r="J137" s="28">
        <f t="shared" si="34"/>
        <v>39</v>
      </c>
      <c r="K137" s="28">
        <v>98</v>
      </c>
      <c r="L137" s="28">
        <v>0</v>
      </c>
      <c r="M137" s="28">
        <v>0</v>
      </c>
      <c r="N137" s="28">
        <v>292</v>
      </c>
      <c r="O137" s="28">
        <v>292</v>
      </c>
    </row>
    <row r="138" spans="1:15" ht="12.75" customHeight="1">
      <c r="A138" s="4" t="s">
        <v>254</v>
      </c>
      <c r="B138" s="5" t="s">
        <v>255</v>
      </c>
      <c r="C138" s="28">
        <v>1076</v>
      </c>
      <c r="D138" s="28">
        <v>1076</v>
      </c>
      <c r="E138" s="28">
        <v>0</v>
      </c>
      <c r="F138" s="28">
        <f t="shared" si="33"/>
        <v>0</v>
      </c>
      <c r="G138" s="28">
        <v>3830</v>
      </c>
      <c r="H138" s="28">
        <v>3484</v>
      </c>
      <c r="I138" s="28">
        <v>0</v>
      </c>
      <c r="J138" s="28">
        <f t="shared" si="34"/>
        <v>346</v>
      </c>
      <c r="K138" s="28">
        <v>773</v>
      </c>
      <c r="L138" s="28">
        <v>0</v>
      </c>
      <c r="M138" s="28">
        <v>98</v>
      </c>
      <c r="N138" s="28">
        <v>672</v>
      </c>
      <c r="O138" s="28">
        <v>672</v>
      </c>
    </row>
    <row r="139" spans="1:15" ht="12.75" customHeight="1">
      <c r="A139" s="4" t="s">
        <v>256</v>
      </c>
      <c r="B139" s="5" t="s">
        <v>257</v>
      </c>
      <c r="C139" s="28">
        <v>2750</v>
      </c>
      <c r="D139" s="28">
        <v>2547</v>
      </c>
      <c r="E139" s="28">
        <v>0</v>
      </c>
      <c r="F139" s="28">
        <f t="shared" si="33"/>
        <v>203</v>
      </c>
      <c r="G139" s="28">
        <v>8840</v>
      </c>
      <c r="H139" s="28">
        <v>7467</v>
      </c>
      <c r="I139" s="28">
        <v>0</v>
      </c>
      <c r="J139" s="28">
        <f t="shared" si="34"/>
        <v>1373</v>
      </c>
      <c r="K139" s="28">
        <v>3516</v>
      </c>
      <c r="L139" s="28">
        <v>31</v>
      </c>
      <c r="M139" s="28">
        <v>621</v>
      </c>
      <c r="N139" s="28">
        <v>465</v>
      </c>
      <c r="O139" s="28">
        <v>465</v>
      </c>
    </row>
    <row r="140" spans="1:15" ht="12.75" customHeight="1">
      <c r="A140" s="4" t="s">
        <v>258</v>
      </c>
      <c r="B140" s="5" t="s">
        <v>259</v>
      </c>
      <c r="C140" s="28">
        <v>546</v>
      </c>
      <c r="D140" s="28">
        <v>544</v>
      </c>
      <c r="E140" s="28">
        <v>0</v>
      </c>
      <c r="F140" s="28">
        <f t="shared" si="33"/>
        <v>2</v>
      </c>
      <c r="G140" s="28">
        <v>1316</v>
      </c>
      <c r="H140" s="28">
        <v>1285</v>
      </c>
      <c r="I140" s="28">
        <v>0</v>
      </c>
      <c r="J140" s="28">
        <f t="shared" si="34"/>
        <v>31</v>
      </c>
      <c r="K140" s="28">
        <v>0</v>
      </c>
      <c r="L140" s="28">
        <v>0</v>
      </c>
      <c r="M140" s="28">
        <v>0</v>
      </c>
      <c r="N140" s="28">
        <v>0</v>
      </c>
      <c r="O140" s="28">
        <v>0</v>
      </c>
    </row>
    <row r="141" spans="1:15" ht="12.75" customHeight="1">
      <c r="A141" s="4" t="s">
        <v>260</v>
      </c>
      <c r="B141" s="5" t="s">
        <v>261</v>
      </c>
      <c r="C141" s="28">
        <v>2835</v>
      </c>
      <c r="D141" s="28">
        <v>2750</v>
      </c>
      <c r="E141" s="28">
        <v>0</v>
      </c>
      <c r="F141" s="28">
        <f t="shared" si="33"/>
        <v>85</v>
      </c>
      <c r="G141" s="28">
        <v>6342</v>
      </c>
      <c r="H141" s="28">
        <v>5790</v>
      </c>
      <c r="I141" s="28">
        <v>0</v>
      </c>
      <c r="J141" s="28">
        <f t="shared" si="34"/>
        <v>552</v>
      </c>
      <c r="K141" s="28">
        <v>69</v>
      </c>
      <c r="L141" s="28">
        <v>0</v>
      </c>
      <c r="M141" s="28">
        <v>0</v>
      </c>
      <c r="N141" s="28">
        <v>266</v>
      </c>
      <c r="O141" s="28">
        <v>266</v>
      </c>
    </row>
    <row r="142" spans="1:15" ht="12.75" customHeight="1">
      <c r="A142" s="4" t="s">
        <v>262</v>
      </c>
      <c r="B142" s="5" t="s">
        <v>263</v>
      </c>
      <c r="C142" s="28">
        <v>2792</v>
      </c>
      <c r="D142" s="28">
        <v>2068</v>
      </c>
      <c r="E142" s="28">
        <v>0</v>
      </c>
      <c r="F142" s="28">
        <f t="shared" si="33"/>
        <v>724</v>
      </c>
      <c r="G142" s="28">
        <v>9168</v>
      </c>
      <c r="H142" s="28">
        <v>7189</v>
      </c>
      <c r="I142" s="28">
        <v>0</v>
      </c>
      <c r="J142" s="28">
        <f t="shared" si="34"/>
        <v>1979</v>
      </c>
      <c r="K142" s="28">
        <v>2384</v>
      </c>
      <c r="L142" s="28">
        <v>0</v>
      </c>
      <c r="M142" s="28">
        <v>518</v>
      </c>
      <c r="N142" s="28">
        <v>1205</v>
      </c>
      <c r="O142" s="28">
        <v>1205</v>
      </c>
    </row>
    <row r="143" spans="1:15" ht="12.75" customHeight="1">
      <c r="A143" s="4" t="s">
        <v>264</v>
      </c>
      <c r="B143" s="5" t="s">
        <v>265</v>
      </c>
      <c r="C143" s="28">
        <v>6979</v>
      </c>
      <c r="D143" s="28">
        <v>5827</v>
      </c>
      <c r="E143" s="28">
        <v>0</v>
      </c>
      <c r="F143" s="28">
        <f t="shared" si="33"/>
        <v>1152</v>
      </c>
      <c r="G143" s="28">
        <v>24187</v>
      </c>
      <c r="H143" s="28">
        <v>11534</v>
      </c>
      <c r="I143" s="28">
        <v>0</v>
      </c>
      <c r="J143" s="28">
        <f t="shared" si="34"/>
        <v>12653</v>
      </c>
      <c r="K143" s="28">
        <v>15044</v>
      </c>
      <c r="L143" s="28">
        <v>122</v>
      </c>
      <c r="M143" s="28">
        <v>1085</v>
      </c>
      <c r="N143" s="28">
        <v>1442</v>
      </c>
      <c r="O143" s="28">
        <v>1442</v>
      </c>
    </row>
    <row r="144" spans="1:15" ht="12.75" customHeight="1">
      <c r="A144" s="10"/>
      <c r="B144" s="9" t="s">
        <v>266</v>
      </c>
      <c r="C144" s="30">
        <f t="shared" ref="C144:O144" si="35">SUM(C136:C143)</f>
        <v>30747</v>
      </c>
      <c r="D144" s="30">
        <f t="shared" si="35"/>
        <v>27601</v>
      </c>
      <c r="E144" s="30">
        <f t="shared" si="35"/>
        <v>0</v>
      </c>
      <c r="F144" s="30">
        <f t="shared" si="35"/>
        <v>3146</v>
      </c>
      <c r="G144" s="30">
        <f t="shared" si="35"/>
        <v>88310</v>
      </c>
      <c r="H144" s="30">
        <f t="shared" si="35"/>
        <v>63740</v>
      </c>
      <c r="I144" s="30">
        <f t="shared" si="35"/>
        <v>0</v>
      </c>
      <c r="J144" s="30">
        <f t="shared" si="35"/>
        <v>24570</v>
      </c>
      <c r="K144" s="30">
        <f t="shared" si="35"/>
        <v>28212</v>
      </c>
      <c r="L144" s="30">
        <f t="shared" si="35"/>
        <v>1365</v>
      </c>
      <c r="M144" s="30">
        <f t="shared" si="35"/>
        <v>2815</v>
      </c>
      <c r="N144" s="30">
        <f t="shared" si="35"/>
        <v>8721</v>
      </c>
      <c r="O144" s="30">
        <f t="shared" si="35"/>
        <v>8721</v>
      </c>
    </row>
    <row r="145" spans="1:15" ht="12.75" customHeight="1">
      <c r="A145" s="11" t="s">
        <v>267</v>
      </c>
      <c r="B145" s="6" t="s">
        <v>268</v>
      </c>
      <c r="C145" s="31">
        <f t="shared" ref="C145:O145" si="36">C144+C135+C125+C119+C116+C109+C103+C98+C95+C89+C86+C80+C69+C59+C51+C46+C43+C30+C25+C23</f>
        <v>1077572</v>
      </c>
      <c r="D145" s="31">
        <f t="shared" si="36"/>
        <v>777715</v>
      </c>
      <c r="E145" s="31">
        <f t="shared" si="36"/>
        <v>22171</v>
      </c>
      <c r="F145" s="31">
        <f t="shared" si="36"/>
        <v>277686</v>
      </c>
      <c r="G145" s="31">
        <f t="shared" si="36"/>
        <v>3531683</v>
      </c>
      <c r="H145" s="31">
        <f t="shared" si="36"/>
        <v>1821009</v>
      </c>
      <c r="I145" s="31">
        <f t="shared" si="36"/>
        <v>136303</v>
      </c>
      <c r="J145" s="31">
        <f t="shared" si="36"/>
        <v>1574371</v>
      </c>
      <c r="K145" s="31">
        <f t="shared" si="36"/>
        <v>284632</v>
      </c>
      <c r="L145" s="31">
        <f t="shared" si="36"/>
        <v>2361</v>
      </c>
      <c r="M145" s="31">
        <f t="shared" si="36"/>
        <v>129734</v>
      </c>
      <c r="N145" s="31">
        <f t="shared" si="36"/>
        <v>169621</v>
      </c>
      <c r="O145" s="31">
        <f t="shared" si="36"/>
        <v>84530</v>
      </c>
    </row>
  </sheetData>
  <mergeCells count="29">
    <mergeCell ref="A1:D1"/>
    <mergeCell ref="E1:L1"/>
    <mergeCell ref="A2:D2"/>
    <mergeCell ref="A3:C3"/>
    <mergeCell ref="E3:L3"/>
    <mergeCell ref="A4:C4"/>
    <mergeCell ref="E4:L4"/>
    <mergeCell ref="A6:D6"/>
    <mergeCell ref="I6:M6"/>
    <mergeCell ref="L7:O7"/>
    <mergeCell ref="L8:O8"/>
    <mergeCell ref="A11:B11"/>
    <mergeCell ref="C11:F11"/>
    <mergeCell ref="G11:J11"/>
    <mergeCell ref="K11:M11"/>
    <mergeCell ref="N11:O11"/>
    <mergeCell ref="A12:A13"/>
    <mergeCell ref="B12:B13"/>
    <mergeCell ref="C12:C13"/>
    <mergeCell ref="D12:E12"/>
    <mergeCell ref="F12:F13"/>
    <mergeCell ref="G12:G13"/>
    <mergeCell ref="N12:N13"/>
    <mergeCell ref="H12:H13"/>
    <mergeCell ref="I12:I13"/>
    <mergeCell ref="J12:J13"/>
    <mergeCell ref="K12:K13"/>
    <mergeCell ref="L12:L13"/>
    <mergeCell ref="M12:M13"/>
  </mergeCells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Mensile</vt:lpstr>
      <vt:lpstr>Aggregato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Bollettino Petrolifero</dc:title>
  <dc:creator>Ministero Sviluppo Economico;alessio</dc:creator>
  <cp:lastModifiedBy>antonello.mariti</cp:lastModifiedBy>
  <dcterms:created xsi:type="dcterms:W3CDTF">2014-06-24T11:54:17Z</dcterms:created>
  <dcterms:modified xsi:type="dcterms:W3CDTF">2017-06-07T11:36:08Z</dcterms:modified>
</cp:coreProperties>
</file>