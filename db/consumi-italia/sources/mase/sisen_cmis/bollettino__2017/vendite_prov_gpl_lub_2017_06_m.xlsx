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D145" s="1"/>
  <c r="E125"/>
  <c r="F125"/>
  <c r="G125"/>
  <c r="H125"/>
  <c r="H145" s="1"/>
  <c r="I125"/>
  <c r="C135"/>
  <c r="D135"/>
  <c r="E135"/>
  <c r="E145" s="1"/>
  <c r="F135"/>
  <c r="G135"/>
  <c r="H135"/>
  <c r="I135"/>
  <c r="I145" s="1"/>
  <c r="C144"/>
  <c r="D144"/>
  <c r="E144"/>
  <c r="F144"/>
  <c r="F145" s="1"/>
  <c r="G144"/>
  <c r="H144"/>
  <c r="I144"/>
  <c r="C145"/>
  <c r="G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<sst xmlns="http://schemas.openxmlformats.org/spreadsheetml/2006/main" count="526" uniqueCount="264">
  <si>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</si>
  <si>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</si>
  <si>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</si>
  <si>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</si>
  <si>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</si>
  <si>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</si>
  <si>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</si>
  <si>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giugno 2017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</si>
  <si>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</si>
  <si>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</si>
  <si>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</si>
  <si>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</si>
  <si>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</si>
  <si>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</si>
  <si>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</si>
  <si>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</si>
  <si>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</si>
  <si>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</si>
  <si>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</si>
  <si>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</si>
  <si>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</si>
  <si>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</si>
  <si>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</si>
  <si>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</si>
  <si>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</si>
  <si>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</si>
  <si>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</si>
  <si>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</si>
  <si>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</si>
  <si>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</si>
  <si>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</si>
  <si>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</si>
  <si>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</si>
  <si>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</si>
  <si>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</si>
  <si>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</si>
  <si>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</si>
  <si>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</si>
  <si>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</si>
  <si>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</si>
  <si>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</si>
  <si>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</si>
  <si>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</si>
  <si>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</si>
  <si>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</si>
  <si>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</si>
  <si>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</si>
  <si>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</si>
  <si>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</si>
  <si>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</si>
  <si>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</si>
  <si>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</si>
  <si>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</si>
  <si>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</si>
  <si>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</si>
  <si>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</si>
  <si>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</si>
  <si>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</si>
  <si>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</si>
  <si>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</si>
  <si>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</si>
  <si>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</si>
  <si>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</si>
  <si>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</si>
  <si>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</si>
  <si>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</si>
  <si>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</si>
  <si>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</si>
  <si>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</si>
  <si>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</si>
  <si>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</si>
  <si>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</si>
  <si>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</si>
  <si>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</si>
  <si>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</si>
  <si>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</si>
  <si>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</si>
  <si>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</si>
  <si>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</si>
  <si>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</si>
  <si>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</si>
  <si>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</si>
  <si>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</si>
  <si>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</si>
  <si>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</si>
  <si>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</si>
  <si>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</si>
  <si>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</si>
  <si>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</si>
  <si>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</si>
  <si>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</si>
  <si>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</si>
  <si>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</si>
  <si>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</si>
  <si>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</si>
  <si>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</si>
  <si>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</si>
  <si>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</si>
  <si>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</si>
  <si>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</si>
  <si>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</si>
  <si>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</si>
  <si>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</si>
  <si>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</si>
  <si>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</si>
  <si>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</si>
  <si>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</si>
  <si>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</si>
  <si>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</si>
  <si>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</si>
  <si>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</si>
  <si>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</si>
  <si>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</si>
  <si>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</si>
  <si>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</si>
  <si>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</si>
  <si>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</si>
  <si>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</si>
  <si>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</si>
  <si>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</si>
  <si>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</si>
  <si>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</si>
  <si>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</si>
  <si>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</si>
  <si>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</si>
  <si>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</si>
  <si>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</si>
  <si>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</si>
  <si>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</si>
  <si>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</si>
  <si>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</si>
  <si>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</si>
  <si>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</si>
  <si>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</si>
  <si>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</si>
  <si>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</si>
  <si>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</si>
  <si>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</si>
  <si>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</si>
  <si>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</si>
  <si>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</si>
  <si>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</si>
  <si>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</si>
  <si>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</si>
  <si>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</si>
  <si>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</si>
  <si>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</si>
  <si>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</si>
  <si>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</si>
  <si>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</si>
  <si>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</si>
  <si>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</si>
  <si>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</si>
  <si>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</si>
  <si>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</si>
  <si>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</si>
  <si>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</si>
  <si>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</si>
  <si>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</si>
  <si>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</si>
  <si>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</si>
  <si>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</si>
  <si>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</si>
  <si>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</si>
  <si>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</si>
  <si>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</si>
  <si>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</si>
  <si>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</si>
  <si>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</si>
  <si>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</si>
  <si>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</si>
  <si>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</si>
  <si>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</si>
  <si>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</si>
  <si>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</si>
  <si>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</si>
  <si>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</si>
  <si>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</si>
  <si>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</si>
  <si>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</si>
  <si>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</si>
  <si>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</si>
  <si>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</si>
  <si>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</si>
  <si>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</si>
  <si>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</si>
  <si>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</si>
  <si>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</si>
  <si>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</si>
  <si>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</si>
  <si>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</si>
  <si>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</si>
  <si>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</si>
  <si>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</si>
  <si>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</si>
  <si>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</si>
  <si>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</si>
  <si>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</si>
  <si>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</si>
  <si>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</si>
  <si>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</si>
  <si>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</si>
  <si>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</si>
  <si>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</si>
  <si>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</si>
  <si>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</si>
  <si>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</si>
  <si>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</si>
  <si>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</si>
  <si>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</si>
  <si>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</si>
  <si>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</si>
  <si>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</si>
  <si>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</si>
  <si>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</si>
  <si>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</si>
  <si>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</si>
  <si>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</si>
  <si>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</si>
  <si>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</si>
  <si>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</si>
  <si>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</si>
  <si>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</si>
  <si>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</si>
  <si>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</si>
  <si>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</si>
  <si>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</si>
  <si>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</si>
  <si>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</si>
  <si>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</si>
  <si>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</si>
  <si>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</si>
  <si>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</si>
  <si>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</si>
  <si>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</si>
  <si>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</si>
  <si>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</si>
  <si>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</si>
  <si>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</si>
  <si>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</si>
  <si>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</si>
  <si>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</si>
  <si>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</si>
  <si>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</si>
  <si>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</si>
  <si>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</si>
  <si>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</si>
  <si>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</si>
  <si>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</si>
  <si>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</si>
  <si>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</si>
  <si>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</si>
  <si>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</si>
  <si>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</si>
  <si>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</si>
  <si>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</si>
  <si>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</si>
  <si>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</si>
  <si>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</si>
  <si>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</si>
  <si>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</si>
  <si>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</si>
  <si>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</si>
  <si>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gennaio-giugno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</si>
</sst>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1439</v>
      </c>
      <c r="D15" s="29">
        <v>1060</v>
      </c>
      <c r="E15" s="29">
        <v>978</v>
      </c>
      <c r="F15" s="29">
        <v>60</v>
      </c>
      <c r="G15" s="29">
        <v>178</v>
      </c>
      <c r="H15" s="29">
        <v>497</v>
      </c>
      <c r="I15" s="29">
        <v>1</v>
      </c>
    </row>
    <row r="16" spans="1:19" ht="12.75" customHeight="1">
      <c r="A16" s="3" t="s">
        <v>22</v>
      </c>
      <c r="B16" s="4" t="s">
        <v>23</v>
      </c>
      <c r="C16" s="30">
        <v>575</v>
      </c>
      <c r="D16" s="30">
        <v>373</v>
      </c>
      <c r="E16" s="30">
        <v>368</v>
      </c>
      <c r="F16" s="30">
        <v>58</v>
      </c>
      <c r="G16" s="30">
        <v>136</v>
      </c>
      <c r="H16" s="30">
        <v>39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354</v>
      </c>
      <c r="D17" s="30">
        <v>215</v>
      </c>
      <c r="E17" s="30">
        <v>215</v>
      </c>
      <c r="F17" s="30">
        <v>46</v>
      </c>
      <c r="G17" s="30">
        <v>93</v>
      </c>
      <c r="H17" s="30">
        <v>48</v>
      </c>
      <c r="I17" s="30">
        <v>1</v>
      </c>
    </row>
    <row r="18" spans="1:9" ht="12.75" customHeight="1">
      <c r="A18" s="3" t="s">
        <v>26</v>
      </c>
      <c r="B18" s="4" t="s">
        <v>27</v>
      </c>
      <c r="C18" s="30">
        <v>2172</v>
      </c>
      <c r="D18" s="30">
        <v>1028</v>
      </c>
      <c r="E18" s="30">
        <v>457</v>
      </c>
      <c r="F18" s="30">
        <v>228</v>
      </c>
      <c r="G18" s="30">
        <v>760</v>
      </c>
      <c r="H18" s="30">
        <v>986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1171</v>
      </c>
      <c r="D19" s="30">
        <v>710</v>
      </c>
      <c r="E19" s="30">
        <v>657</v>
      </c>
      <c r="F19" s="30">
        <v>22</v>
      </c>
      <c r="G19" s="30">
        <v>374</v>
      </c>
      <c r="H19" s="30">
        <v>116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6190</v>
      </c>
      <c r="D20" s="30">
        <v>4297</v>
      </c>
      <c r="E20" s="30">
        <v>4046</v>
      </c>
      <c r="F20" s="30">
        <v>364</v>
      </c>
      <c r="G20" s="30">
        <v>1199</v>
      </c>
      <c r="H20" s="30">
        <v>2112</v>
      </c>
      <c r="I20" s="30">
        <v>6</v>
      </c>
    </row>
    <row r="21" spans="1:9" ht="12.75" customHeight="1">
      <c r="A21" s="3" t="s">
        <v>32</v>
      </c>
      <c r="B21" s="4" t="s">
        <v>33</v>
      </c>
      <c r="C21" s="30">
        <v>282</v>
      </c>
      <c r="D21" s="30">
        <v>156</v>
      </c>
      <c r="E21" s="30">
        <v>156</v>
      </c>
      <c r="F21" s="30">
        <v>30</v>
      </c>
      <c r="G21" s="30">
        <v>96</v>
      </c>
      <c r="H21" s="30">
        <v>25</v>
      </c>
      <c r="I21" s="30">
        <v>2</v>
      </c>
    </row>
    <row r="22" spans="1:9" ht="12.75" customHeight="1">
      <c r="A22" s="3" t="s">
        <v>34</v>
      </c>
      <c r="B22" s="4" t="s">
        <v>35</v>
      </c>
      <c r="C22" s="30">
        <v>526</v>
      </c>
      <c r="D22" s="30">
        <v>400</v>
      </c>
      <c r="E22" s="30">
        <v>400</v>
      </c>
      <c r="F22" s="30">
        <v>29</v>
      </c>
      <c r="G22" s="30">
        <v>97</v>
      </c>
      <c r="H22" s="30">
        <v>76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12709</v>
      </c>
      <c r="D23" s="31">
        <f t="shared" si="0"/>
        <v>8239</v>
      </c>
      <c r="E23" s="31">
        <f t="shared" si="0"/>
        <v>7277</v>
      </c>
      <c r="F23" s="31">
        <f t="shared" si="0"/>
        <v>837</v>
      </c>
      <c r="G23" s="31">
        <f t="shared" si="0"/>
        <v>2933</v>
      </c>
      <c r="H23" s="31">
        <f t="shared" si="0"/>
        <v>3899</v>
      </c>
      <c r="I23" s="31">
        <f t="shared" si="0"/>
        <v>14</v>
      </c>
    </row>
    <row r="24" spans="1:9" ht="14.25" customHeight="1">
      <c r="A24" s="3" t="s">
        <v>37</v>
      </c>
      <c r="B24" s="4" t="s">
        <v>38</v>
      </c>
      <c r="C24" s="32">
        <v>364</v>
      </c>
      <c r="D24" s="32">
        <v>35</v>
      </c>
      <c r="E24" s="32">
        <v>35</v>
      </c>
      <c r="F24" s="32">
        <v>78</v>
      </c>
      <c r="G24" s="32">
        <v>89</v>
      </c>
      <c r="H24" s="32">
        <v>32</v>
      </c>
      <c r="I24" s="32">
        <v>0</v>
      </c>
    </row>
    <row r="25" spans="1:9" ht="14.25" customHeight="1">
      <c r="A25" s="7"/>
      <c r="B25" s="6" t="s">
        <v>39</v>
      </c>
      <c r="C25" s="31">
        <f t="shared" ref="C25:I25" si="1">SUM(C24)</f>
        <v>364</v>
      </c>
      <c r="D25" s="31">
        <f t="shared" si="1"/>
        <v>35</v>
      </c>
      <c r="E25" s="31">
        <f t="shared" si="1"/>
        <v>35</v>
      </c>
      <c r="F25" s="31">
        <f t="shared" si="1"/>
        <v>78</v>
      </c>
      <c r="G25" s="31">
        <f t="shared" si="1"/>
        <v>89</v>
      </c>
      <c r="H25" s="31">
        <f t="shared" si="1"/>
        <v>32</v>
      </c>
      <c r="I25" s="31">
        <f t="shared" si="1"/>
        <v>0</v>
      </c>
    </row>
    <row r="26" spans="1:9" ht="12.75" customHeight="1">
      <c r="A26" s="3" t="s">
        <v>40</v>
      </c>
      <c r="B26" s="4" t="s">
        <v>41</v>
      </c>
      <c r="C26" s="32">
        <v>2160</v>
      </c>
      <c r="D26" s="32">
        <v>1455</v>
      </c>
      <c r="E26" s="32">
        <v>370</v>
      </c>
      <c r="F26" s="32">
        <v>125</v>
      </c>
      <c r="G26" s="32">
        <v>129</v>
      </c>
      <c r="H26" s="32">
        <v>343</v>
      </c>
      <c r="I26" s="32">
        <v>4</v>
      </c>
    </row>
    <row r="27" spans="1:9" ht="12.75" customHeight="1">
      <c r="A27" s="3" t="s">
        <v>42</v>
      </c>
      <c r="B27" s="4" t="s">
        <v>43</v>
      </c>
      <c r="C27" s="32">
        <v>624</v>
      </c>
      <c r="D27" s="32">
        <v>32</v>
      </c>
      <c r="E27" s="32">
        <v>28</v>
      </c>
      <c r="F27" s="32">
        <v>158</v>
      </c>
      <c r="G27" s="32">
        <v>359</v>
      </c>
      <c r="H27" s="32">
        <v>18</v>
      </c>
      <c r="I27" s="32">
        <v>2</v>
      </c>
    </row>
    <row r="28" spans="1:9" ht="12.75" customHeight="1">
      <c r="A28" s="3" t="s">
        <v>44</v>
      </c>
      <c r="B28" s="4" t="s">
        <v>45</v>
      </c>
      <c r="C28" s="32">
        <v>365</v>
      </c>
      <c r="D28" s="32">
        <v>200</v>
      </c>
      <c r="E28" s="32">
        <v>200</v>
      </c>
      <c r="F28" s="32">
        <v>13</v>
      </c>
      <c r="G28" s="32">
        <v>139</v>
      </c>
      <c r="H28" s="32">
        <v>51</v>
      </c>
      <c r="I28" s="32">
        <v>2</v>
      </c>
    </row>
    <row r="29" spans="1:9" ht="12.75" customHeight="1">
      <c r="A29" s="3" t="s">
        <v>46</v>
      </c>
      <c r="B29" s="4" t="s">
        <v>47</v>
      </c>
      <c r="C29" s="32">
        <v>455</v>
      </c>
      <c r="D29" s="32">
        <v>73</v>
      </c>
      <c r="E29" s="32">
        <v>65</v>
      </c>
      <c r="F29" s="32">
        <v>83</v>
      </c>
      <c r="G29" s="32">
        <v>211</v>
      </c>
      <c r="H29" s="32">
        <v>116</v>
      </c>
      <c r="I29" s="32">
        <v>3</v>
      </c>
    </row>
    <row r="30" spans="1:9" ht="12.75" customHeight="1">
      <c r="A30" s="5"/>
      <c r="B30" s="6" t="s">
        <v>48</v>
      </c>
      <c r="C30" s="31">
        <f t="shared" ref="C30:I30" si="2">SUM(C26:C29)</f>
        <v>3604</v>
      </c>
      <c r="D30" s="31">
        <f t="shared" si="2"/>
        <v>1760</v>
      </c>
      <c r="E30" s="31">
        <f t="shared" si="2"/>
        <v>663</v>
      </c>
      <c r="F30" s="31">
        <f t="shared" si="2"/>
        <v>379</v>
      </c>
      <c r="G30" s="31">
        <f t="shared" si="2"/>
        <v>838</v>
      </c>
      <c r="H30" s="31">
        <f t="shared" si="2"/>
        <v>528</v>
      </c>
      <c r="I30" s="31">
        <f t="shared" si="2"/>
        <v>11</v>
      </c>
    </row>
    <row r="31" spans="1:9" ht="12.75" customHeight="1">
      <c r="A31" s="3" t="s">
        <v>49</v>
      </c>
      <c r="B31" s="4" t="s">
        <v>50</v>
      </c>
      <c r="C31" s="32">
        <v>2431</v>
      </c>
      <c r="D31" s="32">
        <v>728</v>
      </c>
      <c r="E31" s="32">
        <v>713</v>
      </c>
      <c r="F31" s="32">
        <v>143</v>
      </c>
      <c r="G31" s="32">
        <v>1212</v>
      </c>
      <c r="H31" s="32">
        <v>926</v>
      </c>
      <c r="I31" s="32">
        <v>1</v>
      </c>
    </row>
    <row r="32" spans="1:9" ht="12.75" customHeight="1">
      <c r="A32" s="3" t="s">
        <v>51</v>
      </c>
      <c r="B32" s="4" t="s">
        <v>52</v>
      </c>
      <c r="C32" s="32">
        <v>3964</v>
      </c>
      <c r="D32" s="32">
        <v>2927</v>
      </c>
      <c r="E32" s="32">
        <v>1827</v>
      </c>
      <c r="F32" s="32">
        <v>181</v>
      </c>
      <c r="G32" s="32">
        <v>645</v>
      </c>
      <c r="H32" s="32">
        <v>1848</v>
      </c>
      <c r="I32" s="32">
        <v>2</v>
      </c>
    </row>
    <row r="33" spans="1:9" ht="12.75" customHeight="1">
      <c r="A33" s="3" t="s">
        <v>53</v>
      </c>
      <c r="B33" s="4" t="s">
        <v>54</v>
      </c>
      <c r="C33" s="32">
        <v>550</v>
      </c>
      <c r="D33" s="32">
        <v>208</v>
      </c>
      <c r="E33" s="32">
        <v>208</v>
      </c>
      <c r="F33" s="32">
        <v>68</v>
      </c>
      <c r="G33" s="32">
        <v>189</v>
      </c>
      <c r="H33" s="32">
        <v>324</v>
      </c>
      <c r="I33" s="32">
        <v>2</v>
      </c>
    </row>
    <row r="34" spans="1:9" ht="12.75" customHeight="1">
      <c r="A34" s="3" t="s">
        <v>55</v>
      </c>
      <c r="B34" s="4" t="s">
        <v>56</v>
      </c>
      <c r="C34" s="32">
        <v>2020</v>
      </c>
      <c r="D34" s="32">
        <v>1304</v>
      </c>
      <c r="E34" s="32">
        <v>375</v>
      </c>
      <c r="F34" s="32">
        <v>25</v>
      </c>
      <c r="G34" s="32">
        <v>58</v>
      </c>
      <c r="H34" s="32">
        <v>482</v>
      </c>
      <c r="I34" s="32">
        <v>0</v>
      </c>
    </row>
    <row r="35" spans="1:9" ht="12.75" customHeight="1">
      <c r="A35" s="3" t="s">
        <v>57</v>
      </c>
      <c r="B35" s="4" t="s">
        <v>58</v>
      </c>
      <c r="C35" s="32">
        <v>375</v>
      </c>
      <c r="D35" s="32">
        <v>227</v>
      </c>
      <c r="E35" s="32">
        <v>227</v>
      </c>
      <c r="F35" s="32">
        <v>41</v>
      </c>
      <c r="G35" s="32">
        <v>107</v>
      </c>
      <c r="H35" s="32">
        <v>323</v>
      </c>
      <c r="I35" s="32">
        <v>2</v>
      </c>
    </row>
    <row r="36" spans="1:9" ht="12.75" customHeight="1">
      <c r="A36" s="3" t="s">
        <v>59</v>
      </c>
      <c r="B36" s="4" t="s">
        <v>60</v>
      </c>
      <c r="C36" s="32">
        <v>339</v>
      </c>
      <c r="D36" s="32">
        <v>253</v>
      </c>
      <c r="E36" s="32">
        <v>253</v>
      </c>
      <c r="F36" s="32">
        <v>11</v>
      </c>
      <c r="G36" s="32">
        <v>36</v>
      </c>
      <c r="H36" s="32">
        <v>327</v>
      </c>
      <c r="I36" s="32">
        <v>1</v>
      </c>
    </row>
    <row r="37" spans="1:9" ht="12.75" customHeight="1">
      <c r="A37" s="3" t="s">
        <v>61</v>
      </c>
      <c r="B37" s="4" t="s">
        <v>62</v>
      </c>
      <c r="C37" s="32">
        <v>1767</v>
      </c>
      <c r="D37" s="32">
        <v>1397</v>
      </c>
      <c r="E37" s="32">
        <v>466</v>
      </c>
      <c r="F37" s="32">
        <v>58</v>
      </c>
      <c r="G37" s="32">
        <v>183</v>
      </c>
      <c r="H37" s="32">
        <v>589</v>
      </c>
      <c r="I37" s="32">
        <v>2</v>
      </c>
    </row>
    <row r="38" spans="1:9" ht="12.75" customHeight="1">
      <c r="A38" s="3" t="s">
        <v>63</v>
      </c>
      <c r="B38" s="4" t="s">
        <v>64</v>
      </c>
      <c r="C38" s="32">
        <v>6128</v>
      </c>
      <c r="D38" s="32">
        <v>4875</v>
      </c>
      <c r="E38" s="32">
        <v>3165</v>
      </c>
      <c r="F38" s="32">
        <v>98</v>
      </c>
      <c r="G38" s="32">
        <v>263</v>
      </c>
      <c r="H38" s="32">
        <v>3697</v>
      </c>
      <c r="I38" s="32">
        <v>5</v>
      </c>
    </row>
    <row r="39" spans="1:9" ht="12.75" customHeight="1">
      <c r="A39" s="3" t="s">
        <v>65</v>
      </c>
      <c r="B39" s="4" t="s">
        <v>66</v>
      </c>
      <c r="C39" s="32">
        <v>778</v>
      </c>
      <c r="D39" s="32">
        <v>656</v>
      </c>
      <c r="E39" s="32">
        <v>656</v>
      </c>
      <c r="F39" s="32">
        <v>42</v>
      </c>
      <c r="G39" s="32">
        <v>62</v>
      </c>
      <c r="H39" s="32">
        <v>820</v>
      </c>
      <c r="I39" s="32">
        <v>2</v>
      </c>
    </row>
    <row r="40" spans="1:9" ht="12.75" customHeight="1">
      <c r="A40" s="3" t="s">
        <v>67</v>
      </c>
      <c r="B40" s="4" t="s">
        <v>68</v>
      </c>
      <c r="C40" s="32">
        <v>904</v>
      </c>
      <c r="D40" s="32">
        <v>747</v>
      </c>
      <c r="E40" s="32">
        <v>500</v>
      </c>
      <c r="F40" s="32">
        <v>39</v>
      </c>
      <c r="G40" s="32">
        <v>89</v>
      </c>
      <c r="H40" s="32">
        <v>485</v>
      </c>
      <c r="I40" s="32">
        <v>2</v>
      </c>
    </row>
    <row r="41" spans="1:9" ht="12.75" customHeight="1">
      <c r="A41" s="3" t="s">
        <v>69</v>
      </c>
      <c r="B41" s="4" t="s">
        <v>70</v>
      </c>
      <c r="C41" s="32">
        <v>553</v>
      </c>
      <c r="D41" s="32">
        <v>89</v>
      </c>
      <c r="E41" s="32">
        <v>75</v>
      </c>
      <c r="F41" s="32">
        <v>136</v>
      </c>
      <c r="G41" s="32">
        <v>138</v>
      </c>
      <c r="H41" s="32">
        <v>86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798</v>
      </c>
      <c r="D42" s="32">
        <v>573</v>
      </c>
      <c r="E42" s="32">
        <v>484</v>
      </c>
      <c r="F42" s="32">
        <v>70</v>
      </c>
      <c r="G42" s="32">
        <v>148</v>
      </c>
      <c r="H42" s="32">
        <v>319</v>
      </c>
      <c r="I42" s="32">
        <v>4</v>
      </c>
    </row>
    <row r="43" spans="1:9" ht="12.75" customHeight="1">
      <c r="A43" s="5"/>
      <c r="B43" s="6" t="s">
        <v>73</v>
      </c>
      <c r="C43" s="31">
        <f t="shared" ref="C43:I43" si="3">SUM(C31:C42)</f>
        <v>20607</v>
      </c>
      <c r="D43" s="31">
        <f t="shared" si="3"/>
        <v>13984</v>
      </c>
      <c r="E43" s="31">
        <f t="shared" si="3"/>
        <v>8949</v>
      </c>
      <c r="F43" s="31">
        <f t="shared" si="3"/>
        <v>912</v>
      </c>
      <c r="G43" s="31">
        <f t="shared" si="3"/>
        <v>3130</v>
      </c>
      <c r="H43" s="31">
        <f t="shared" si="3"/>
        <v>10226</v>
      </c>
      <c r="I43" s="31">
        <f t="shared" si="3"/>
        <v>24</v>
      </c>
    </row>
    <row r="44" spans="1:9" ht="12.75" customHeight="1">
      <c r="A44" s="3" t="s">
        <v>74</v>
      </c>
      <c r="B44" s="4" t="s">
        <v>75</v>
      </c>
      <c r="C44" s="32">
        <v>990</v>
      </c>
      <c r="D44" s="32">
        <v>256</v>
      </c>
      <c r="E44" s="32">
        <v>189</v>
      </c>
      <c r="F44" s="32">
        <v>226</v>
      </c>
      <c r="G44" s="32">
        <v>425</v>
      </c>
      <c r="H44" s="32">
        <v>200</v>
      </c>
      <c r="I44" s="32">
        <v>2</v>
      </c>
    </row>
    <row r="45" spans="1:9" ht="12.75" customHeight="1">
      <c r="A45" s="3" t="s">
        <v>76</v>
      </c>
      <c r="B45" s="4" t="s">
        <v>77</v>
      </c>
      <c r="C45" s="32">
        <v>1646</v>
      </c>
      <c r="D45" s="32">
        <v>646</v>
      </c>
      <c r="E45" s="32">
        <v>586</v>
      </c>
      <c r="F45" s="32">
        <v>255</v>
      </c>
      <c r="G45" s="32">
        <v>745</v>
      </c>
      <c r="H45" s="32">
        <v>449</v>
      </c>
      <c r="I45" s="32">
        <v>2</v>
      </c>
    </row>
    <row r="46" spans="1:9" ht="12.75" customHeight="1">
      <c r="A46" s="5"/>
      <c r="B46" s="6" t="s">
        <v>78</v>
      </c>
      <c r="C46" s="31">
        <f t="shared" ref="C46:I46" si="4">SUM(C44:C45)</f>
        <v>2636</v>
      </c>
      <c r="D46" s="31">
        <f t="shared" si="4"/>
        <v>902</v>
      </c>
      <c r="E46" s="31">
        <f t="shared" si="4"/>
        <v>775</v>
      </c>
      <c r="F46" s="31">
        <f t="shared" si="4"/>
        <v>481</v>
      </c>
      <c r="G46" s="31">
        <f t="shared" si="4"/>
        <v>1170</v>
      </c>
      <c r="H46" s="31">
        <f t="shared" si="4"/>
        <v>649</v>
      </c>
      <c r="I46" s="31">
        <f t="shared" si="4"/>
        <v>4</v>
      </c>
    </row>
    <row r="47" spans="1:9" ht="12.75" customHeight="1">
      <c r="A47" s="8" t="s">
        <v>79</v>
      </c>
      <c r="B47" s="4" t="s">
        <v>80</v>
      </c>
      <c r="C47" s="33">
        <v>51</v>
      </c>
      <c r="D47" s="33">
        <v>15</v>
      </c>
      <c r="E47" s="33">
        <v>15</v>
      </c>
      <c r="F47" s="32">
        <v>22</v>
      </c>
      <c r="G47" s="32">
        <v>14</v>
      </c>
      <c r="H47" s="32">
        <v>79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504</v>
      </c>
      <c r="D48" s="33">
        <v>232</v>
      </c>
      <c r="E48" s="33">
        <v>198</v>
      </c>
      <c r="F48" s="32">
        <v>87</v>
      </c>
      <c r="G48" s="32">
        <v>166</v>
      </c>
      <c r="H48" s="32">
        <v>163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104</v>
      </c>
      <c r="D49" s="33">
        <v>20</v>
      </c>
      <c r="E49" s="33">
        <v>0</v>
      </c>
      <c r="F49" s="32">
        <v>57</v>
      </c>
      <c r="G49" s="32">
        <v>27</v>
      </c>
      <c r="H49" s="32">
        <v>68</v>
      </c>
      <c r="I49" s="32">
        <v>1</v>
      </c>
    </row>
    <row r="50" spans="1:9" ht="12.75" customHeight="1">
      <c r="A50" s="8" t="s">
        <v>85</v>
      </c>
      <c r="B50" s="4" t="s">
        <v>86</v>
      </c>
      <c r="C50" s="33">
        <v>1898</v>
      </c>
      <c r="D50" s="33">
        <v>389</v>
      </c>
      <c r="E50" s="33">
        <v>174</v>
      </c>
      <c r="F50" s="32">
        <v>344</v>
      </c>
      <c r="G50" s="32">
        <v>1127</v>
      </c>
      <c r="H50" s="32">
        <v>340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2557</v>
      </c>
      <c r="D51" s="31">
        <f t="shared" si="5"/>
        <v>656</v>
      </c>
      <c r="E51" s="31">
        <f t="shared" si="5"/>
        <v>387</v>
      </c>
      <c r="F51" s="31">
        <f t="shared" si="5"/>
        <v>510</v>
      </c>
      <c r="G51" s="31">
        <f t="shared" si="5"/>
        <v>1334</v>
      </c>
      <c r="H51" s="31">
        <f t="shared" si="5"/>
        <v>650</v>
      </c>
      <c r="I51" s="31">
        <f t="shared" si="5"/>
        <v>3</v>
      </c>
    </row>
    <row r="52" spans="1:9" ht="12.75" customHeight="1">
      <c r="A52" s="8" t="s">
        <v>88</v>
      </c>
      <c r="B52" s="4" t="s">
        <v>89</v>
      </c>
      <c r="C52" s="33">
        <v>807</v>
      </c>
      <c r="D52" s="33">
        <v>201</v>
      </c>
      <c r="E52" s="33">
        <v>102</v>
      </c>
      <c r="F52" s="32">
        <v>131</v>
      </c>
      <c r="G52" s="32">
        <v>476</v>
      </c>
      <c r="H52" s="32">
        <v>47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3578</v>
      </c>
      <c r="D53" s="33">
        <v>2776</v>
      </c>
      <c r="E53" s="33">
        <v>1521</v>
      </c>
      <c r="F53" s="32">
        <v>153</v>
      </c>
      <c r="G53" s="32">
        <v>476</v>
      </c>
      <c r="H53" s="32">
        <v>424</v>
      </c>
      <c r="I53" s="32">
        <v>1</v>
      </c>
    </row>
    <row r="54" spans="1:9" ht="12.75" customHeight="1">
      <c r="A54" s="8" t="s">
        <v>92</v>
      </c>
      <c r="B54" s="4" t="s">
        <v>93</v>
      </c>
      <c r="C54" s="33">
        <v>783</v>
      </c>
      <c r="D54" s="33">
        <v>590</v>
      </c>
      <c r="E54" s="33">
        <v>257</v>
      </c>
      <c r="F54" s="32">
        <v>55</v>
      </c>
      <c r="G54" s="32">
        <v>111</v>
      </c>
      <c r="H54" s="32">
        <v>776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2175</v>
      </c>
      <c r="D55" s="33">
        <v>1278</v>
      </c>
      <c r="E55" s="33">
        <v>783</v>
      </c>
      <c r="F55" s="32">
        <v>228</v>
      </c>
      <c r="G55" s="32">
        <v>623</v>
      </c>
      <c r="H55" s="32">
        <v>399</v>
      </c>
      <c r="I55" s="32">
        <v>0</v>
      </c>
    </row>
    <row r="56" spans="1:9" ht="12.75" customHeight="1">
      <c r="A56" s="8" t="s">
        <v>96</v>
      </c>
      <c r="B56" s="4" t="s">
        <v>97</v>
      </c>
      <c r="C56" s="33">
        <v>4370</v>
      </c>
      <c r="D56" s="33">
        <v>3587</v>
      </c>
      <c r="E56" s="33">
        <v>994</v>
      </c>
      <c r="F56" s="32">
        <v>132</v>
      </c>
      <c r="G56" s="32">
        <v>465</v>
      </c>
      <c r="H56" s="32">
        <v>264</v>
      </c>
      <c r="I56" s="32">
        <v>1</v>
      </c>
    </row>
    <row r="57" spans="1:9" ht="12.75" customHeight="1">
      <c r="A57" s="8" t="s">
        <v>98</v>
      </c>
      <c r="B57" s="4" t="s">
        <v>99</v>
      </c>
      <c r="C57" s="33">
        <v>4907</v>
      </c>
      <c r="D57" s="33">
        <v>3577</v>
      </c>
      <c r="E57" s="33">
        <v>1459</v>
      </c>
      <c r="F57" s="32">
        <v>158</v>
      </c>
      <c r="G57" s="32">
        <v>779</v>
      </c>
      <c r="H57" s="32">
        <v>380</v>
      </c>
      <c r="I57" s="32">
        <v>3</v>
      </c>
    </row>
    <row r="58" spans="1:9" ht="12.75" customHeight="1">
      <c r="A58" s="8" t="s">
        <v>100</v>
      </c>
      <c r="B58" s="4" t="s">
        <v>101</v>
      </c>
      <c r="C58" s="33">
        <v>1894</v>
      </c>
      <c r="D58" s="33">
        <v>1372</v>
      </c>
      <c r="E58" s="33">
        <v>1029</v>
      </c>
      <c r="F58" s="32">
        <v>115</v>
      </c>
      <c r="G58" s="32">
        <v>340</v>
      </c>
      <c r="H58" s="32">
        <v>1019</v>
      </c>
      <c r="I58" s="32">
        <v>3</v>
      </c>
    </row>
    <row r="59" spans="1:9" ht="12.75" customHeight="1">
      <c r="A59" s="9"/>
      <c r="B59" s="6" t="s">
        <v>102</v>
      </c>
      <c r="C59" s="31">
        <f t="shared" ref="C59:I59" si="6">SUM(C52:C58)</f>
        <v>18514</v>
      </c>
      <c r="D59" s="31">
        <f t="shared" si="6"/>
        <v>13381</v>
      </c>
      <c r="E59" s="31">
        <f t="shared" si="6"/>
        <v>6145</v>
      </c>
      <c r="F59" s="31">
        <f t="shared" si="6"/>
        <v>972</v>
      </c>
      <c r="G59" s="31">
        <f t="shared" si="6"/>
        <v>3270</v>
      </c>
      <c r="H59" s="31">
        <f t="shared" si="6"/>
        <v>3309</v>
      </c>
      <c r="I59" s="31">
        <f t="shared" si="6"/>
        <v>8</v>
      </c>
    </row>
    <row r="60" spans="1:9" ht="12.75" customHeight="1">
      <c r="A60" s="8" t="s">
        <v>103</v>
      </c>
      <c r="B60" s="4" t="s">
        <v>104</v>
      </c>
      <c r="C60" s="33">
        <v>2916</v>
      </c>
      <c r="D60" s="33">
        <v>2246</v>
      </c>
      <c r="E60" s="33">
        <v>838</v>
      </c>
      <c r="F60" s="32">
        <v>94</v>
      </c>
      <c r="G60" s="32">
        <v>532</v>
      </c>
      <c r="H60" s="32">
        <v>546</v>
      </c>
      <c r="I60" s="32">
        <v>2</v>
      </c>
    </row>
    <row r="61" spans="1:9" ht="12.75" customHeight="1">
      <c r="A61" s="8" t="s">
        <v>105</v>
      </c>
      <c r="B61" s="4" t="s">
        <v>106</v>
      </c>
      <c r="C61" s="33">
        <v>1062</v>
      </c>
      <c r="D61" s="33">
        <v>760</v>
      </c>
      <c r="E61" s="33">
        <v>729</v>
      </c>
      <c r="F61" s="32">
        <v>76</v>
      </c>
      <c r="G61" s="32">
        <v>226</v>
      </c>
      <c r="H61" s="32">
        <v>179</v>
      </c>
      <c r="I61" s="32">
        <v>2</v>
      </c>
    </row>
    <row r="62" spans="1:9" ht="12.75" customHeight="1">
      <c r="A62" s="8" t="s">
        <v>107</v>
      </c>
      <c r="B62" s="4" t="s">
        <v>108</v>
      </c>
      <c r="C62" s="33">
        <v>3227</v>
      </c>
      <c r="D62" s="33">
        <v>2671</v>
      </c>
      <c r="E62" s="33">
        <v>631</v>
      </c>
      <c r="F62" s="32">
        <v>144</v>
      </c>
      <c r="G62" s="32">
        <v>390</v>
      </c>
      <c r="H62" s="32">
        <v>798</v>
      </c>
      <c r="I62" s="32">
        <v>1</v>
      </c>
    </row>
    <row r="63" spans="1:9" ht="12.75" customHeight="1">
      <c r="A63" s="8" t="s">
        <v>109</v>
      </c>
      <c r="B63" s="4" t="s">
        <v>110</v>
      </c>
      <c r="C63" s="33">
        <v>1547</v>
      </c>
      <c r="D63" s="33">
        <v>1276</v>
      </c>
      <c r="E63" s="33">
        <v>1052</v>
      </c>
      <c r="F63" s="32">
        <v>59</v>
      </c>
      <c r="G63" s="32">
        <v>213</v>
      </c>
      <c r="H63" s="32">
        <v>748</v>
      </c>
      <c r="I63" s="32">
        <v>1</v>
      </c>
    </row>
    <row r="64" spans="1:9" ht="12.75" customHeight="1">
      <c r="A64" s="8" t="s">
        <v>111</v>
      </c>
      <c r="B64" s="4" t="s">
        <v>112</v>
      </c>
      <c r="C64" s="33">
        <v>16359</v>
      </c>
      <c r="D64" s="33">
        <v>14732</v>
      </c>
      <c r="E64" s="33">
        <v>718</v>
      </c>
      <c r="F64" s="32">
        <v>35</v>
      </c>
      <c r="G64" s="32">
        <v>600</v>
      </c>
      <c r="H64" s="32">
        <v>367</v>
      </c>
      <c r="I64" s="32">
        <v>3</v>
      </c>
    </row>
    <row r="65" spans="1:9" ht="12.75" customHeight="1">
      <c r="A65" s="8" t="s">
        <v>113</v>
      </c>
      <c r="B65" s="4" t="s">
        <v>114</v>
      </c>
      <c r="C65" s="33">
        <v>922</v>
      </c>
      <c r="D65" s="33">
        <v>714</v>
      </c>
      <c r="E65" s="33">
        <v>559</v>
      </c>
      <c r="F65" s="32">
        <v>36</v>
      </c>
      <c r="G65" s="32">
        <v>166</v>
      </c>
      <c r="H65" s="32">
        <v>190</v>
      </c>
      <c r="I65" s="32">
        <v>1</v>
      </c>
    </row>
    <row r="66" spans="1:9" ht="12.75" customHeight="1">
      <c r="A66" s="8" t="s">
        <v>115</v>
      </c>
      <c r="B66" s="4" t="s">
        <v>116</v>
      </c>
      <c r="C66" s="33">
        <v>1217</v>
      </c>
      <c r="D66" s="33">
        <v>1014</v>
      </c>
      <c r="E66" s="33">
        <v>634</v>
      </c>
      <c r="F66" s="32">
        <v>39</v>
      </c>
      <c r="G66" s="32">
        <v>94</v>
      </c>
      <c r="H66" s="32">
        <v>652</v>
      </c>
      <c r="I66" s="32">
        <v>1</v>
      </c>
    </row>
    <row r="67" spans="1:9" ht="12.75" customHeight="1">
      <c r="A67" s="8" t="s">
        <v>117</v>
      </c>
      <c r="B67" s="4" t="s">
        <v>118</v>
      </c>
      <c r="C67" s="33">
        <v>2183</v>
      </c>
      <c r="D67" s="33">
        <v>1817</v>
      </c>
      <c r="E67" s="33">
        <v>641</v>
      </c>
      <c r="F67" s="32">
        <v>51</v>
      </c>
      <c r="G67" s="32">
        <v>260</v>
      </c>
      <c r="H67" s="32">
        <v>458</v>
      </c>
      <c r="I67" s="32">
        <v>1</v>
      </c>
    </row>
    <row r="68" spans="1:9" ht="12.75" customHeight="1">
      <c r="A68" s="8" t="s">
        <v>119</v>
      </c>
      <c r="B68" s="4" t="s">
        <v>120</v>
      </c>
      <c r="C68" s="33">
        <v>917</v>
      </c>
      <c r="D68" s="33">
        <v>697</v>
      </c>
      <c r="E68" s="33">
        <v>482</v>
      </c>
      <c r="F68" s="32">
        <v>49</v>
      </c>
      <c r="G68" s="32">
        <v>92</v>
      </c>
      <c r="H68" s="32">
        <v>52</v>
      </c>
      <c r="I68" s="32">
        <v>1</v>
      </c>
    </row>
    <row r="69" spans="1:9" ht="12.75" customHeight="1">
      <c r="A69" s="5"/>
      <c r="B69" s="6" t="s">
        <v>121</v>
      </c>
      <c r="C69" s="31">
        <f t="shared" ref="C69:I69" si="7">SUM(C60:C68)</f>
        <v>30350</v>
      </c>
      <c r="D69" s="31">
        <f t="shared" si="7"/>
        <v>25927</v>
      </c>
      <c r="E69" s="31">
        <f t="shared" si="7"/>
        <v>6284</v>
      </c>
      <c r="F69" s="31">
        <f t="shared" si="7"/>
        <v>583</v>
      </c>
      <c r="G69" s="31">
        <f t="shared" si="7"/>
        <v>2573</v>
      </c>
      <c r="H69" s="31">
        <f t="shared" si="7"/>
        <v>3990</v>
      </c>
      <c r="I69" s="31">
        <f t="shared" si="7"/>
        <v>13</v>
      </c>
    </row>
    <row r="70" spans="1:9" ht="12.75" customHeight="1">
      <c r="A70" s="8" t="s">
        <v>122</v>
      </c>
      <c r="B70" s="4" t="s">
        <v>123</v>
      </c>
      <c r="C70" s="33">
        <v>1585</v>
      </c>
      <c r="D70" s="33">
        <v>1105</v>
      </c>
      <c r="E70" s="33">
        <v>782</v>
      </c>
      <c r="F70" s="32">
        <v>100</v>
      </c>
      <c r="G70" s="32">
        <v>278</v>
      </c>
      <c r="H70" s="32">
        <v>399</v>
      </c>
      <c r="I70" s="32">
        <v>0</v>
      </c>
    </row>
    <row r="71" spans="1:9" ht="12.75" customHeight="1">
      <c r="A71" s="8" t="s">
        <v>124</v>
      </c>
      <c r="B71" s="4" t="s">
        <v>125</v>
      </c>
      <c r="C71" s="33">
        <v>2758</v>
      </c>
      <c r="D71" s="33">
        <v>1777</v>
      </c>
      <c r="E71" s="33">
        <v>1731</v>
      </c>
      <c r="F71" s="32">
        <v>144</v>
      </c>
      <c r="G71" s="32">
        <v>351</v>
      </c>
      <c r="H71" s="32">
        <v>377</v>
      </c>
      <c r="I71" s="32">
        <v>2</v>
      </c>
    </row>
    <row r="72" spans="1:9" ht="12.75" customHeight="1">
      <c r="A72" s="8" t="s">
        <v>126</v>
      </c>
      <c r="B72" s="4" t="s">
        <v>127</v>
      </c>
      <c r="C72" s="33">
        <v>884</v>
      </c>
      <c r="D72" s="33">
        <v>402</v>
      </c>
      <c r="E72" s="33">
        <v>360</v>
      </c>
      <c r="F72" s="32">
        <v>158</v>
      </c>
      <c r="G72" s="32">
        <v>323</v>
      </c>
      <c r="H72" s="32">
        <v>69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1093</v>
      </c>
      <c r="D73" s="33">
        <v>386</v>
      </c>
      <c r="E73" s="33">
        <v>367</v>
      </c>
      <c r="F73" s="32">
        <v>131</v>
      </c>
      <c r="G73" s="32">
        <v>557</v>
      </c>
      <c r="H73" s="32">
        <v>118</v>
      </c>
      <c r="I73" s="32">
        <v>2</v>
      </c>
    </row>
    <row r="74" spans="1:9" ht="12.75" customHeight="1">
      <c r="A74" s="8" t="s">
        <v>130</v>
      </c>
      <c r="B74" s="4" t="s">
        <v>131</v>
      </c>
      <c r="C74" s="33">
        <v>1074</v>
      </c>
      <c r="D74" s="33">
        <v>585</v>
      </c>
      <c r="E74" s="33">
        <v>522</v>
      </c>
      <c r="F74" s="32">
        <v>102</v>
      </c>
      <c r="G74" s="32">
        <v>190</v>
      </c>
      <c r="H74" s="32">
        <v>315</v>
      </c>
      <c r="I74" s="32">
        <v>2</v>
      </c>
    </row>
    <row r="75" spans="1:9" ht="12.75" customHeight="1">
      <c r="A75" s="8" t="s">
        <v>132</v>
      </c>
      <c r="B75" s="4" t="s">
        <v>133</v>
      </c>
      <c r="C75" s="33">
        <v>432</v>
      </c>
      <c r="D75" s="33">
        <v>165</v>
      </c>
      <c r="E75" s="33">
        <v>134</v>
      </c>
      <c r="F75" s="32">
        <v>72</v>
      </c>
      <c r="G75" s="32">
        <v>58</v>
      </c>
      <c r="H75" s="32">
        <v>321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1145</v>
      </c>
      <c r="D76" s="33">
        <v>861</v>
      </c>
      <c r="E76" s="33">
        <v>720</v>
      </c>
      <c r="F76" s="32">
        <v>61</v>
      </c>
      <c r="G76" s="32">
        <v>222</v>
      </c>
      <c r="H76" s="32">
        <v>116</v>
      </c>
      <c r="I76" s="32">
        <v>1</v>
      </c>
    </row>
    <row r="77" spans="1:9" ht="12.75" customHeight="1">
      <c r="A77" s="10" t="s">
        <v>136</v>
      </c>
      <c r="B77" s="4" t="s">
        <v>137</v>
      </c>
      <c r="C77" s="33">
        <v>1656</v>
      </c>
      <c r="D77" s="33">
        <v>351</v>
      </c>
      <c r="E77" s="33">
        <v>292</v>
      </c>
      <c r="F77" s="32">
        <v>89</v>
      </c>
      <c r="G77" s="32">
        <v>243</v>
      </c>
      <c r="H77" s="32">
        <v>138</v>
      </c>
      <c r="I77" s="32">
        <v>2</v>
      </c>
    </row>
    <row r="78" spans="1:9" ht="12.75" customHeight="1">
      <c r="A78" s="10" t="s">
        <v>138</v>
      </c>
      <c r="B78" s="4" t="s">
        <v>139</v>
      </c>
      <c r="C78" s="33">
        <v>355</v>
      </c>
      <c r="D78" s="33">
        <v>283</v>
      </c>
      <c r="E78" s="33">
        <v>283</v>
      </c>
      <c r="F78" s="32">
        <v>35</v>
      </c>
      <c r="G78" s="32">
        <v>37</v>
      </c>
      <c r="H78" s="32">
        <v>39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1014</v>
      </c>
      <c r="D79" s="33">
        <v>371</v>
      </c>
      <c r="E79" s="33">
        <v>304</v>
      </c>
      <c r="F79" s="32">
        <v>54</v>
      </c>
      <c r="G79" s="32">
        <v>339</v>
      </c>
      <c r="H79" s="32">
        <v>106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11996</v>
      </c>
      <c r="D80" s="31">
        <f t="shared" si="8"/>
        <v>6286</v>
      </c>
      <c r="E80" s="31">
        <f t="shared" si="8"/>
        <v>5495</v>
      </c>
      <c r="F80" s="31">
        <f t="shared" si="8"/>
        <v>946</v>
      </c>
      <c r="G80" s="31">
        <f t="shared" si="8"/>
        <v>2598</v>
      </c>
      <c r="H80" s="31">
        <f t="shared" si="8"/>
        <v>1998</v>
      </c>
      <c r="I80" s="31">
        <f t="shared" si="8"/>
        <v>13</v>
      </c>
    </row>
    <row r="81" spans="1:9" ht="12.75" customHeight="1">
      <c r="A81" s="10" t="s">
        <v>143</v>
      </c>
      <c r="B81" s="4" t="s">
        <v>144</v>
      </c>
      <c r="C81" s="30">
        <v>2663</v>
      </c>
      <c r="D81" s="30">
        <v>1987</v>
      </c>
      <c r="E81" s="30">
        <v>707</v>
      </c>
      <c r="F81" s="32">
        <v>66</v>
      </c>
      <c r="G81" s="32">
        <v>418</v>
      </c>
      <c r="H81" s="32">
        <v>342</v>
      </c>
      <c r="I81" s="32">
        <v>1</v>
      </c>
    </row>
    <row r="82" spans="1:9" ht="12.75" customHeight="1">
      <c r="A82" s="10" t="s">
        <v>145</v>
      </c>
      <c r="B82" s="4" t="s">
        <v>146</v>
      </c>
      <c r="C82" s="30">
        <v>858</v>
      </c>
      <c r="D82" s="30">
        <v>631</v>
      </c>
      <c r="E82" s="30">
        <v>430</v>
      </c>
      <c r="F82" s="32">
        <v>28</v>
      </c>
      <c r="G82" s="32">
        <v>143</v>
      </c>
      <c r="H82" s="32">
        <v>316</v>
      </c>
      <c r="I82" s="32">
        <v>1</v>
      </c>
    </row>
    <row r="83" spans="1:9" ht="12.75" customHeight="1">
      <c r="A83" s="10" t="s">
        <v>147</v>
      </c>
      <c r="B83" s="4" t="s">
        <v>148</v>
      </c>
      <c r="C83" s="30">
        <v>167</v>
      </c>
      <c r="D83" s="30">
        <v>80</v>
      </c>
      <c r="E83" s="30">
        <v>80</v>
      </c>
      <c r="F83" s="32">
        <v>23</v>
      </c>
      <c r="G83" s="32">
        <v>18</v>
      </c>
      <c r="H83" s="32">
        <v>28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1524</v>
      </c>
      <c r="D84" s="30">
        <v>981</v>
      </c>
      <c r="E84" s="30">
        <v>354</v>
      </c>
      <c r="F84" s="32">
        <v>85</v>
      </c>
      <c r="G84" s="32">
        <v>458</v>
      </c>
      <c r="H84" s="32">
        <v>199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995</v>
      </c>
      <c r="D85" s="30">
        <v>603</v>
      </c>
      <c r="E85" s="30">
        <v>416</v>
      </c>
      <c r="F85" s="32">
        <v>60</v>
      </c>
      <c r="G85" s="32">
        <v>246</v>
      </c>
      <c r="H85" s="32">
        <v>100</v>
      </c>
      <c r="I85" s="32">
        <v>0</v>
      </c>
    </row>
    <row r="86" spans="1:9" ht="12.75" customHeight="1">
      <c r="A86" s="11"/>
      <c r="B86" s="6" t="s">
        <v>153</v>
      </c>
      <c r="C86" s="31">
        <f t="shared" ref="C86:I86" si="9">SUM(C81:C85)</f>
        <v>6207</v>
      </c>
      <c r="D86" s="31">
        <f t="shared" si="9"/>
        <v>4282</v>
      </c>
      <c r="E86" s="31">
        <f t="shared" si="9"/>
        <v>1987</v>
      </c>
      <c r="F86" s="31">
        <f t="shared" si="9"/>
        <v>262</v>
      </c>
      <c r="G86" s="31">
        <f t="shared" si="9"/>
        <v>1283</v>
      </c>
      <c r="H86" s="31">
        <f t="shared" si="9"/>
        <v>985</v>
      </c>
      <c r="I86" s="31">
        <f t="shared" si="9"/>
        <v>3</v>
      </c>
    </row>
    <row r="87" spans="1:9" ht="12.75" customHeight="1">
      <c r="A87" s="10" t="s">
        <v>154</v>
      </c>
      <c r="B87" s="4" t="s">
        <v>155</v>
      </c>
      <c r="C87" s="30">
        <v>2427</v>
      </c>
      <c r="D87" s="30">
        <v>1398</v>
      </c>
      <c r="E87" s="30">
        <v>1266</v>
      </c>
      <c r="F87" s="32">
        <v>124</v>
      </c>
      <c r="G87" s="32">
        <v>677</v>
      </c>
      <c r="H87" s="32">
        <v>415</v>
      </c>
      <c r="I87" s="32">
        <v>2</v>
      </c>
    </row>
    <row r="88" spans="1:9" ht="12.75" customHeight="1">
      <c r="A88" s="10" t="s">
        <v>156</v>
      </c>
      <c r="B88" s="4" t="s">
        <v>157</v>
      </c>
      <c r="C88" s="30">
        <v>1331</v>
      </c>
      <c r="D88" s="30">
        <v>746</v>
      </c>
      <c r="E88" s="30">
        <v>726</v>
      </c>
      <c r="F88" s="32">
        <v>38</v>
      </c>
      <c r="G88" s="32">
        <v>238</v>
      </c>
      <c r="H88" s="32">
        <v>202</v>
      </c>
      <c r="I88" s="32">
        <v>2</v>
      </c>
    </row>
    <row r="89" spans="1:9" ht="12.75" customHeight="1">
      <c r="A89" s="11"/>
      <c r="B89" s="6" t="s">
        <v>158</v>
      </c>
      <c r="C89" s="31">
        <f t="shared" ref="C89:I89" si="10">SUM(C87:C88)</f>
        <v>3758</v>
      </c>
      <c r="D89" s="31">
        <f t="shared" si="10"/>
        <v>2144</v>
      </c>
      <c r="E89" s="31">
        <f t="shared" si="10"/>
        <v>1992</v>
      </c>
      <c r="F89" s="31">
        <f t="shared" si="10"/>
        <v>162</v>
      </c>
      <c r="G89" s="31">
        <f t="shared" si="10"/>
        <v>915</v>
      </c>
      <c r="H89" s="31">
        <f t="shared" si="10"/>
        <v>617</v>
      </c>
      <c r="I89" s="31">
        <f t="shared" si="10"/>
        <v>4</v>
      </c>
    </row>
    <row r="90" spans="1:9" ht="12.75" customHeight="1">
      <c r="A90" s="10" t="s">
        <v>159</v>
      </c>
      <c r="B90" s="4" t="s">
        <v>160</v>
      </c>
      <c r="C90" s="30">
        <v>4239</v>
      </c>
      <c r="D90" s="30">
        <v>1710</v>
      </c>
      <c r="E90" s="30">
        <v>1073</v>
      </c>
      <c r="F90" s="32">
        <v>122</v>
      </c>
      <c r="G90" s="32">
        <v>1108</v>
      </c>
      <c r="H90" s="32">
        <v>180</v>
      </c>
      <c r="I90" s="32">
        <v>2</v>
      </c>
    </row>
    <row r="91" spans="1:9" ht="12.75" customHeight="1">
      <c r="A91" s="10" t="s">
        <v>161</v>
      </c>
      <c r="B91" s="4" t="s">
        <v>162</v>
      </c>
      <c r="C91" s="30">
        <v>2079</v>
      </c>
      <c r="D91" s="30">
        <v>696</v>
      </c>
      <c r="E91" s="30">
        <v>637</v>
      </c>
      <c r="F91" s="32">
        <v>178</v>
      </c>
      <c r="G91" s="32">
        <v>654</v>
      </c>
      <c r="H91" s="32">
        <v>179</v>
      </c>
      <c r="I91" s="32">
        <v>2</v>
      </c>
    </row>
    <row r="92" spans="1:9" ht="12.75" customHeight="1">
      <c r="A92" s="10" t="s">
        <v>163</v>
      </c>
      <c r="B92" s="4" t="s">
        <v>164</v>
      </c>
      <c r="C92" s="30">
        <v>693</v>
      </c>
      <c r="D92" s="30">
        <v>332</v>
      </c>
      <c r="E92" s="30">
        <v>327</v>
      </c>
      <c r="F92" s="32">
        <v>79</v>
      </c>
      <c r="G92" s="32">
        <v>281</v>
      </c>
      <c r="H92" s="32">
        <v>15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30728</v>
      </c>
      <c r="D93" s="30">
        <v>23975</v>
      </c>
      <c r="E93" s="30">
        <v>11548</v>
      </c>
      <c r="F93" s="32">
        <v>348</v>
      </c>
      <c r="G93" s="32">
        <v>2354</v>
      </c>
      <c r="H93" s="32">
        <v>1946</v>
      </c>
      <c r="I93" s="32">
        <v>12</v>
      </c>
    </row>
    <row r="94" spans="1:9" ht="12.75" customHeight="1">
      <c r="A94" s="10" t="s">
        <v>167</v>
      </c>
      <c r="B94" s="4" t="s">
        <v>168</v>
      </c>
      <c r="C94" s="30">
        <v>1708</v>
      </c>
      <c r="D94" s="30">
        <v>556</v>
      </c>
      <c r="E94" s="30">
        <v>506</v>
      </c>
      <c r="F94" s="32">
        <v>112</v>
      </c>
      <c r="G94" s="32">
        <v>593</v>
      </c>
      <c r="H94" s="32">
        <v>90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39447</v>
      </c>
      <c r="D95" s="31">
        <f t="shared" si="11"/>
        <v>27269</v>
      </c>
      <c r="E95" s="31">
        <f t="shared" si="11"/>
        <v>14091</v>
      </c>
      <c r="F95" s="31">
        <f t="shared" si="11"/>
        <v>839</v>
      </c>
      <c r="G95" s="31">
        <f t="shared" si="11"/>
        <v>4990</v>
      </c>
      <c r="H95" s="31">
        <f t="shared" si="11"/>
        <v>2410</v>
      </c>
      <c r="I95" s="31">
        <f t="shared" si="11"/>
        <v>16</v>
      </c>
    </row>
    <row r="96" spans="1:9" ht="12.75" customHeight="1">
      <c r="A96" s="10" t="s">
        <v>170</v>
      </c>
      <c r="B96" s="4" t="s">
        <v>171</v>
      </c>
      <c r="C96" s="30">
        <v>416</v>
      </c>
      <c r="D96" s="30">
        <v>271</v>
      </c>
      <c r="E96" s="30">
        <v>253</v>
      </c>
      <c r="F96" s="32">
        <v>17</v>
      </c>
      <c r="G96" s="32">
        <v>128</v>
      </c>
      <c r="H96" s="32">
        <v>393</v>
      </c>
      <c r="I96" s="32">
        <v>2</v>
      </c>
    </row>
    <row r="97" spans="1:9" ht="12.75" customHeight="1">
      <c r="A97" s="10" t="s">
        <v>172</v>
      </c>
      <c r="B97" s="4" t="s">
        <v>173</v>
      </c>
      <c r="C97" s="30">
        <v>287</v>
      </c>
      <c r="D97" s="30">
        <v>71</v>
      </c>
      <c r="E97" s="30">
        <v>39</v>
      </c>
      <c r="F97" s="32">
        <v>13</v>
      </c>
      <c r="G97" s="32">
        <v>87</v>
      </c>
      <c r="H97" s="32">
        <v>18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703</v>
      </c>
      <c r="D98" s="31">
        <f t="shared" si="12"/>
        <v>342</v>
      </c>
      <c r="E98" s="31">
        <f t="shared" si="12"/>
        <v>292</v>
      </c>
      <c r="F98" s="31">
        <f t="shared" si="12"/>
        <v>30</v>
      </c>
      <c r="G98" s="31">
        <f t="shared" si="12"/>
        <v>215</v>
      </c>
      <c r="H98" s="31">
        <f t="shared" si="12"/>
        <v>411</v>
      </c>
      <c r="I98" s="31">
        <f t="shared" si="12"/>
        <v>2</v>
      </c>
    </row>
    <row r="99" spans="1:9" ht="12.75" customHeight="1">
      <c r="A99" s="10" t="s">
        <v>175</v>
      </c>
      <c r="B99" s="4" t="s">
        <v>176</v>
      </c>
      <c r="C99" s="30">
        <v>1441</v>
      </c>
      <c r="D99" s="30">
        <v>774</v>
      </c>
      <c r="E99" s="30">
        <v>353</v>
      </c>
      <c r="F99" s="32">
        <v>86</v>
      </c>
      <c r="G99" s="32">
        <v>326</v>
      </c>
      <c r="H99" s="32">
        <v>218</v>
      </c>
      <c r="I99" s="32">
        <v>2</v>
      </c>
    </row>
    <row r="100" spans="1:9" ht="12.75" customHeight="1">
      <c r="A100" s="10" t="s">
        <v>177</v>
      </c>
      <c r="B100" s="4" t="s">
        <v>178</v>
      </c>
      <c r="C100" s="30">
        <v>586</v>
      </c>
      <c r="D100" s="30">
        <v>332</v>
      </c>
      <c r="E100" s="30">
        <v>240</v>
      </c>
      <c r="F100" s="32">
        <v>35</v>
      </c>
      <c r="G100" s="32">
        <v>202</v>
      </c>
      <c r="H100" s="32">
        <v>114</v>
      </c>
      <c r="I100" s="32">
        <v>0</v>
      </c>
    </row>
    <row r="101" spans="1:9" ht="12.75" customHeight="1">
      <c r="A101" s="10" t="s">
        <v>179</v>
      </c>
      <c r="B101" s="4" t="s">
        <v>180</v>
      </c>
      <c r="C101" s="30">
        <v>1593</v>
      </c>
      <c r="D101" s="30">
        <v>949</v>
      </c>
      <c r="E101" s="30">
        <v>210</v>
      </c>
      <c r="F101" s="32">
        <v>129</v>
      </c>
      <c r="G101" s="32">
        <v>452</v>
      </c>
      <c r="H101" s="32">
        <v>163</v>
      </c>
      <c r="I101" s="32">
        <v>1</v>
      </c>
    </row>
    <row r="102" spans="1:9" ht="12.75" customHeight="1">
      <c r="A102" s="10" t="s">
        <v>181</v>
      </c>
      <c r="B102" s="4" t="s">
        <v>182</v>
      </c>
      <c r="C102" s="30">
        <v>860</v>
      </c>
      <c r="D102" s="30">
        <v>580</v>
      </c>
      <c r="E102" s="30">
        <v>495</v>
      </c>
      <c r="F102" s="32">
        <v>49</v>
      </c>
      <c r="G102" s="32">
        <v>231</v>
      </c>
      <c r="H102" s="32">
        <v>349</v>
      </c>
      <c r="I102" s="32">
        <v>2</v>
      </c>
    </row>
    <row r="103" spans="1:9" ht="12.75" customHeight="1">
      <c r="A103" s="11"/>
      <c r="B103" s="6" t="s">
        <v>183</v>
      </c>
      <c r="C103" s="31">
        <f t="shared" ref="C103:I103" si="13">SUM(C99:C102)</f>
        <v>4480</v>
      </c>
      <c r="D103" s="31">
        <f t="shared" si="13"/>
        <v>2635</v>
      </c>
      <c r="E103" s="31">
        <f t="shared" si="13"/>
        <v>1298</v>
      </c>
      <c r="F103" s="31">
        <f t="shared" si="13"/>
        <v>299</v>
      </c>
      <c r="G103" s="31">
        <f t="shared" si="13"/>
        <v>1211</v>
      </c>
      <c r="H103" s="31">
        <f t="shared" si="13"/>
        <v>844</v>
      </c>
      <c r="I103" s="31">
        <f t="shared" si="13"/>
        <v>5</v>
      </c>
    </row>
    <row r="104" spans="1:9" ht="12.75" customHeight="1">
      <c r="A104" s="10" t="s">
        <v>184</v>
      </c>
      <c r="B104" s="4" t="s">
        <v>185</v>
      </c>
      <c r="C104" s="30">
        <v>961</v>
      </c>
      <c r="D104" s="30">
        <v>482</v>
      </c>
      <c r="E104" s="30">
        <v>115</v>
      </c>
      <c r="F104" s="32">
        <v>46</v>
      </c>
      <c r="G104" s="32">
        <v>168</v>
      </c>
      <c r="H104" s="32">
        <v>407</v>
      </c>
      <c r="I104" s="32">
        <v>0</v>
      </c>
    </row>
    <row r="105" spans="1:9" ht="12.75" customHeight="1">
      <c r="A105" s="10" t="s">
        <v>186</v>
      </c>
      <c r="B105" s="4" t="s">
        <v>187</v>
      </c>
      <c r="C105" s="30">
        <v>1153</v>
      </c>
      <c r="D105" s="30">
        <v>379</v>
      </c>
      <c r="E105" s="30">
        <v>163</v>
      </c>
      <c r="F105" s="32">
        <v>86</v>
      </c>
      <c r="G105" s="32">
        <v>197</v>
      </c>
      <c r="H105" s="32">
        <v>90</v>
      </c>
      <c r="I105" s="32">
        <v>0</v>
      </c>
    </row>
    <row r="106" spans="1:9" ht="12.75" customHeight="1">
      <c r="A106" s="10" t="s">
        <v>188</v>
      </c>
      <c r="B106" s="4" t="s">
        <v>189</v>
      </c>
      <c r="C106" s="30">
        <v>5357</v>
      </c>
      <c r="D106" s="30">
        <v>3485</v>
      </c>
      <c r="E106" s="30">
        <v>1106</v>
      </c>
      <c r="F106" s="32">
        <v>83</v>
      </c>
      <c r="G106" s="32">
        <v>717</v>
      </c>
      <c r="H106" s="32">
        <v>294</v>
      </c>
      <c r="I106" s="32">
        <v>1</v>
      </c>
    </row>
    <row r="107" spans="1:9" ht="12.75" customHeight="1">
      <c r="A107" s="10" t="s">
        <v>190</v>
      </c>
      <c r="B107" s="4" t="s">
        <v>191</v>
      </c>
      <c r="C107" s="30">
        <v>14625</v>
      </c>
      <c r="D107" s="30">
        <v>9214</v>
      </c>
      <c r="E107" s="30">
        <v>1369</v>
      </c>
      <c r="F107" s="32">
        <v>901</v>
      </c>
      <c r="G107" s="32">
        <v>753</v>
      </c>
      <c r="H107" s="32">
        <v>959</v>
      </c>
      <c r="I107" s="32">
        <v>2</v>
      </c>
    </row>
    <row r="108" spans="1:9" ht="12.75" customHeight="1">
      <c r="A108" s="10" t="s">
        <v>192</v>
      </c>
      <c r="B108" s="4" t="s">
        <v>193</v>
      </c>
      <c r="C108" s="30">
        <v>5159</v>
      </c>
      <c r="D108" s="30">
        <v>1875</v>
      </c>
      <c r="E108" s="30">
        <v>593</v>
      </c>
      <c r="F108" s="32">
        <v>452</v>
      </c>
      <c r="G108" s="32">
        <v>615</v>
      </c>
      <c r="H108" s="32">
        <v>700</v>
      </c>
      <c r="I108" s="32">
        <v>2</v>
      </c>
    </row>
    <row r="109" spans="1:9" ht="12.75" customHeight="1">
      <c r="A109" s="11"/>
      <c r="B109" s="6" t="s">
        <v>194</v>
      </c>
      <c r="C109" s="31">
        <f t="shared" ref="C109:I109" si="14">SUM(C104:C108)</f>
        <v>27255</v>
      </c>
      <c r="D109" s="31">
        <f t="shared" si="14"/>
        <v>15435</v>
      </c>
      <c r="E109" s="31">
        <f t="shared" si="14"/>
        <v>3346</v>
      </c>
      <c r="F109" s="31">
        <f t="shared" si="14"/>
        <v>1568</v>
      </c>
      <c r="G109" s="31">
        <f t="shared" si="14"/>
        <v>2450</v>
      </c>
      <c r="H109" s="31">
        <f t="shared" si="14"/>
        <v>2450</v>
      </c>
      <c r="I109" s="31">
        <f t="shared" si="14"/>
        <v>5</v>
      </c>
    </row>
    <row r="110" spans="1:9" ht="12.75" customHeight="1">
      <c r="A110" s="3" t="s">
        <v>195</v>
      </c>
      <c r="B110" s="4" t="s">
        <v>196</v>
      </c>
      <c r="C110" s="30">
        <v>3763</v>
      </c>
      <c r="D110" s="30">
        <v>2363</v>
      </c>
      <c r="E110" s="30">
        <v>1493</v>
      </c>
      <c r="F110" s="32">
        <v>321</v>
      </c>
      <c r="G110" s="32">
        <v>623</v>
      </c>
      <c r="H110" s="32">
        <v>448</v>
      </c>
      <c r="I110" s="32">
        <v>1</v>
      </c>
    </row>
    <row r="111" spans="1:9" ht="12.75" customHeight="1">
      <c r="A111" s="3" t="s">
        <v>197</v>
      </c>
      <c r="B111" s="4" t="s">
        <v>198</v>
      </c>
      <c r="C111" s="30">
        <v>368</v>
      </c>
      <c r="D111" s="30">
        <v>211</v>
      </c>
      <c r="E111" s="30">
        <v>205</v>
      </c>
      <c r="F111" s="32">
        <v>27</v>
      </c>
      <c r="G111" s="32">
        <v>129</v>
      </c>
      <c r="H111" s="32">
        <v>25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1006</v>
      </c>
      <c r="D112" s="30">
        <v>565</v>
      </c>
      <c r="E112" s="30">
        <v>365</v>
      </c>
      <c r="F112" s="32">
        <v>151</v>
      </c>
      <c r="G112" s="32">
        <v>233</v>
      </c>
      <c r="H112" s="32">
        <v>66</v>
      </c>
      <c r="I112" s="32">
        <v>2</v>
      </c>
    </row>
    <row r="113" spans="1:9" ht="12.75" customHeight="1">
      <c r="A113" s="3" t="s">
        <v>201</v>
      </c>
      <c r="B113" s="4" t="s">
        <v>202</v>
      </c>
      <c r="C113" s="30">
        <v>2569</v>
      </c>
      <c r="D113" s="30">
        <v>1191</v>
      </c>
      <c r="E113" s="30">
        <v>314</v>
      </c>
      <c r="F113" s="32">
        <v>202</v>
      </c>
      <c r="G113" s="32">
        <v>536</v>
      </c>
      <c r="H113" s="32">
        <v>458</v>
      </c>
      <c r="I113" s="32">
        <v>0</v>
      </c>
    </row>
    <row r="114" spans="1:9" ht="12.75" customHeight="1">
      <c r="A114" s="3" t="s">
        <v>203</v>
      </c>
      <c r="B114" s="4" t="s">
        <v>204</v>
      </c>
      <c r="C114" s="30">
        <v>3201</v>
      </c>
      <c r="D114" s="30">
        <v>1728</v>
      </c>
      <c r="E114" s="30">
        <v>903</v>
      </c>
      <c r="F114" s="32">
        <v>256</v>
      </c>
      <c r="G114" s="32">
        <v>339</v>
      </c>
      <c r="H114" s="32">
        <v>218</v>
      </c>
      <c r="I114" s="32">
        <v>4</v>
      </c>
    </row>
    <row r="115" spans="1:9" ht="12.75" customHeight="1">
      <c r="A115" s="3" t="s">
        <v>205</v>
      </c>
      <c r="B115" s="4" t="s">
        <v>206</v>
      </c>
      <c r="C115" s="30">
        <v>1187</v>
      </c>
      <c r="D115" s="30">
        <v>745</v>
      </c>
      <c r="E115" s="30">
        <v>514</v>
      </c>
      <c r="F115" s="32">
        <v>146</v>
      </c>
      <c r="G115" s="32">
        <v>296</v>
      </c>
      <c r="H115" s="32">
        <v>1033</v>
      </c>
      <c r="I115" s="32">
        <v>1</v>
      </c>
    </row>
    <row r="116" spans="1:9" ht="12.75" customHeight="1">
      <c r="A116" s="5"/>
      <c r="B116" s="6" t="s">
        <v>207</v>
      </c>
      <c r="C116" s="31">
        <f t="shared" ref="C116:I116" si="15">SUM(C110:C115)</f>
        <v>12094</v>
      </c>
      <c r="D116" s="31">
        <f t="shared" si="15"/>
        <v>6803</v>
      </c>
      <c r="E116" s="31">
        <f t="shared" si="15"/>
        <v>3794</v>
      </c>
      <c r="F116" s="31">
        <f t="shared" si="15"/>
        <v>1103</v>
      </c>
      <c r="G116" s="31">
        <f t="shared" si="15"/>
        <v>2156</v>
      </c>
      <c r="H116" s="31">
        <f t="shared" si="15"/>
        <v>2248</v>
      </c>
      <c r="I116" s="31">
        <f t="shared" si="15"/>
        <v>8</v>
      </c>
    </row>
    <row r="117" spans="1:9" ht="12.75" customHeight="1">
      <c r="A117" s="3" t="s">
        <v>208</v>
      </c>
      <c r="B117" s="4" t="s">
        <v>209</v>
      </c>
      <c r="C117" s="30">
        <v>310</v>
      </c>
      <c r="D117" s="30">
        <v>192</v>
      </c>
      <c r="E117" s="30">
        <v>129</v>
      </c>
      <c r="F117" s="32">
        <v>15</v>
      </c>
      <c r="G117" s="32">
        <v>92</v>
      </c>
      <c r="H117" s="32">
        <v>61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945</v>
      </c>
      <c r="D118" s="34">
        <v>392</v>
      </c>
      <c r="E118" s="30">
        <v>332</v>
      </c>
      <c r="F118" s="32">
        <v>163</v>
      </c>
      <c r="G118" s="32">
        <v>321</v>
      </c>
      <c r="H118" s="32">
        <v>160</v>
      </c>
      <c r="I118" s="32">
        <v>0</v>
      </c>
    </row>
    <row r="119" spans="1:9" ht="12.75" customHeight="1">
      <c r="A119" s="5"/>
      <c r="B119" s="6" t="s">
        <v>212</v>
      </c>
      <c r="C119" s="31">
        <f t="shared" ref="C119:I119" si="16">SUM(C117:C118)</f>
        <v>1255</v>
      </c>
      <c r="D119" s="31">
        <f t="shared" si="16"/>
        <v>584</v>
      </c>
      <c r="E119" s="31">
        <f t="shared" si="16"/>
        <v>461</v>
      </c>
      <c r="F119" s="31">
        <f t="shared" si="16"/>
        <v>178</v>
      </c>
      <c r="G119" s="31">
        <f t="shared" si="16"/>
        <v>413</v>
      </c>
      <c r="H119" s="31">
        <f t="shared" si="16"/>
        <v>221</v>
      </c>
      <c r="I119" s="31">
        <f t="shared" si="16"/>
        <v>0</v>
      </c>
    </row>
    <row r="120" spans="1:9" ht="12.75" customHeight="1">
      <c r="A120" s="3" t="s">
        <v>213</v>
      </c>
      <c r="B120" s="4" t="s">
        <v>214</v>
      </c>
      <c r="C120" s="30">
        <v>1610</v>
      </c>
      <c r="D120" s="30">
        <v>495</v>
      </c>
      <c r="E120" s="30">
        <v>263</v>
      </c>
      <c r="F120" s="32">
        <v>377</v>
      </c>
      <c r="G120" s="32">
        <v>472</v>
      </c>
      <c r="H120" s="32">
        <v>51</v>
      </c>
      <c r="I120" s="32">
        <v>1</v>
      </c>
    </row>
    <row r="121" spans="1:9" ht="12.75" customHeight="1">
      <c r="A121" s="3" t="s">
        <v>215</v>
      </c>
      <c r="B121" s="4" t="s">
        <v>216</v>
      </c>
      <c r="C121" s="30">
        <v>1654</v>
      </c>
      <c r="D121" s="30">
        <v>352</v>
      </c>
      <c r="E121" s="30">
        <v>306</v>
      </c>
      <c r="F121" s="32">
        <v>469</v>
      </c>
      <c r="G121" s="32">
        <v>722</v>
      </c>
      <c r="H121" s="32">
        <v>139</v>
      </c>
      <c r="I121" s="32">
        <v>2</v>
      </c>
    </row>
    <row r="122" spans="1:9" ht="12.75" customHeight="1">
      <c r="A122" s="3" t="s">
        <v>217</v>
      </c>
      <c r="B122" s="4" t="s">
        <v>218</v>
      </c>
      <c r="C122" s="30">
        <v>613</v>
      </c>
      <c r="D122" s="30">
        <v>150</v>
      </c>
      <c r="E122" s="30">
        <v>41</v>
      </c>
      <c r="F122" s="32">
        <v>84</v>
      </c>
      <c r="G122" s="32">
        <v>155</v>
      </c>
      <c r="H122" s="32">
        <v>34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1692</v>
      </c>
      <c r="D123" s="30">
        <v>454</v>
      </c>
      <c r="E123" s="30">
        <v>250</v>
      </c>
      <c r="F123" s="32">
        <v>602</v>
      </c>
      <c r="G123" s="32">
        <v>493</v>
      </c>
      <c r="H123" s="32">
        <v>139</v>
      </c>
      <c r="I123" s="32">
        <v>3</v>
      </c>
    </row>
    <row r="124" spans="1:9" ht="12.75" customHeight="1">
      <c r="A124" s="3" t="s">
        <v>221</v>
      </c>
      <c r="B124" s="4" t="s">
        <v>222</v>
      </c>
      <c r="C124" s="30">
        <v>677</v>
      </c>
      <c r="D124" s="30">
        <v>88</v>
      </c>
      <c r="E124" s="30">
        <v>57</v>
      </c>
      <c r="F124" s="32">
        <v>55</v>
      </c>
      <c r="G124" s="32">
        <v>196</v>
      </c>
      <c r="H124" s="32">
        <v>14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6246</v>
      </c>
      <c r="D125" s="31">
        <f t="shared" si="17"/>
        <v>1539</v>
      </c>
      <c r="E125" s="31">
        <f t="shared" si="17"/>
        <v>917</v>
      </c>
      <c r="F125" s="31">
        <f t="shared" si="17"/>
        <v>1587</v>
      </c>
      <c r="G125" s="31">
        <f t="shared" si="17"/>
        <v>2038</v>
      </c>
      <c r="H125" s="31">
        <f t="shared" si="17"/>
        <v>377</v>
      </c>
      <c r="I125" s="31">
        <f t="shared" si="17"/>
        <v>6</v>
      </c>
    </row>
    <row r="126" spans="1:9" ht="12.75" customHeight="1">
      <c r="A126" s="3" t="s">
        <v>224</v>
      </c>
      <c r="B126" s="4" t="s">
        <v>225</v>
      </c>
      <c r="C126" s="30">
        <v>659</v>
      </c>
      <c r="D126" s="30">
        <v>56</v>
      </c>
      <c r="E126" s="30">
        <v>13</v>
      </c>
      <c r="F126" s="32">
        <v>332</v>
      </c>
      <c r="G126" s="32">
        <v>228</v>
      </c>
      <c r="H126" s="32">
        <v>93</v>
      </c>
      <c r="I126" s="32">
        <v>1</v>
      </c>
    </row>
    <row r="127" spans="1:9" ht="12.75" customHeight="1">
      <c r="A127" s="3" t="s">
        <v>226</v>
      </c>
      <c r="B127" s="4" t="s">
        <v>227</v>
      </c>
      <c r="C127" s="30">
        <v>207</v>
      </c>
      <c r="D127" s="30">
        <v>54</v>
      </c>
      <c r="E127" s="30">
        <v>19</v>
      </c>
      <c r="F127" s="32">
        <v>62</v>
      </c>
      <c r="G127" s="32">
        <v>92</v>
      </c>
      <c r="H127" s="32">
        <v>47</v>
      </c>
      <c r="I127" s="32">
        <v>1</v>
      </c>
    </row>
    <row r="128" spans="1:9" ht="12.75" customHeight="1">
      <c r="A128" s="3" t="s">
        <v>228</v>
      </c>
      <c r="B128" s="4" t="s">
        <v>229</v>
      </c>
      <c r="C128" s="30">
        <v>2946</v>
      </c>
      <c r="D128" s="30">
        <v>1135</v>
      </c>
      <c r="E128" s="30">
        <v>266</v>
      </c>
      <c r="F128" s="32">
        <v>1282</v>
      </c>
      <c r="G128" s="32">
        <v>332</v>
      </c>
      <c r="H128" s="32">
        <v>155</v>
      </c>
      <c r="I128" s="32">
        <v>1</v>
      </c>
    </row>
    <row r="129" spans="1:9" ht="12.75" customHeight="1">
      <c r="A129" s="3" t="s">
        <v>230</v>
      </c>
      <c r="B129" s="4" t="s">
        <v>231</v>
      </c>
      <c r="C129" s="30">
        <v>2270</v>
      </c>
      <c r="D129" s="30">
        <v>1267</v>
      </c>
      <c r="E129" s="30">
        <v>112</v>
      </c>
      <c r="F129" s="32">
        <v>64</v>
      </c>
      <c r="G129" s="32">
        <v>36</v>
      </c>
      <c r="H129" s="32">
        <v>38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1576</v>
      </c>
      <c r="D130" s="30">
        <v>904</v>
      </c>
      <c r="E130" s="30">
        <v>712</v>
      </c>
      <c r="F130" s="32">
        <v>349</v>
      </c>
      <c r="G130" s="32">
        <v>324</v>
      </c>
      <c r="H130" s="32">
        <v>173</v>
      </c>
      <c r="I130" s="32">
        <v>2</v>
      </c>
    </row>
    <row r="131" spans="1:9" ht="12.75" customHeight="1">
      <c r="A131" s="3" t="s">
        <v>234</v>
      </c>
      <c r="B131" s="4" t="s">
        <v>235</v>
      </c>
      <c r="C131" s="30">
        <v>3893</v>
      </c>
      <c r="D131" s="30">
        <v>2227</v>
      </c>
      <c r="E131" s="30">
        <v>1172</v>
      </c>
      <c r="F131" s="32">
        <v>1259</v>
      </c>
      <c r="G131" s="32">
        <v>362</v>
      </c>
      <c r="H131" s="32">
        <v>251</v>
      </c>
      <c r="I131" s="32">
        <v>0</v>
      </c>
    </row>
    <row r="132" spans="1:9" ht="12.75" customHeight="1">
      <c r="A132" s="3" t="s">
        <v>236</v>
      </c>
      <c r="B132" s="4" t="s">
        <v>237</v>
      </c>
      <c r="C132" s="30">
        <v>1911</v>
      </c>
      <c r="D132" s="30">
        <v>742</v>
      </c>
      <c r="E132" s="30">
        <v>136</v>
      </c>
      <c r="F132" s="32">
        <v>928</v>
      </c>
      <c r="G132" s="32">
        <v>109</v>
      </c>
      <c r="H132" s="32">
        <v>142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1018</v>
      </c>
      <c r="D133" s="30">
        <v>490</v>
      </c>
      <c r="E133" s="30">
        <v>253</v>
      </c>
      <c r="F133" s="32">
        <v>310</v>
      </c>
      <c r="G133" s="32">
        <v>219</v>
      </c>
      <c r="H133" s="32">
        <v>188</v>
      </c>
      <c r="I133" s="32">
        <v>1</v>
      </c>
    </row>
    <row r="134" spans="1:9" ht="12.75" customHeight="1">
      <c r="A134" s="3" t="s">
        <v>240</v>
      </c>
      <c r="B134" s="4" t="s">
        <v>241</v>
      </c>
      <c r="C134" s="30">
        <v>1054</v>
      </c>
      <c r="D134" s="30">
        <v>264</v>
      </c>
      <c r="E134" s="30">
        <v>201</v>
      </c>
      <c r="F134" s="32">
        <v>595</v>
      </c>
      <c r="G134" s="32">
        <v>196</v>
      </c>
      <c r="H134" s="32">
        <v>113</v>
      </c>
      <c r="I134" s="32">
        <v>1</v>
      </c>
    </row>
    <row r="135" spans="1:9" ht="12.75" customHeight="1">
      <c r="A135" s="7"/>
      <c r="B135" s="6" t="s">
        <v>242</v>
      </c>
      <c r="C135" s="31">
        <f t="shared" ref="C135:I135" si="18">SUM(C126:C134)</f>
        <v>15534</v>
      </c>
      <c r="D135" s="31">
        <f t="shared" si="18"/>
        <v>7139</v>
      </c>
      <c r="E135" s="31">
        <f t="shared" si="18"/>
        <v>2884</v>
      </c>
      <c r="F135" s="31">
        <f t="shared" si="18"/>
        <v>5181</v>
      </c>
      <c r="G135" s="31">
        <f t="shared" si="18"/>
        <v>1898</v>
      </c>
      <c r="H135" s="31">
        <f t="shared" si="18"/>
        <v>1200</v>
      </c>
      <c r="I135" s="31">
        <f t="shared" si="18"/>
        <v>8</v>
      </c>
    </row>
    <row r="136" spans="1:9" ht="12.75" customHeight="1">
      <c r="A136" s="3" t="s">
        <v>243</v>
      </c>
      <c r="B136" s="4" t="s">
        <v>244</v>
      </c>
      <c r="C136" s="30">
        <v>4104</v>
      </c>
      <c r="D136" s="30">
        <v>593</v>
      </c>
      <c r="E136" s="30">
        <v>403</v>
      </c>
      <c r="F136" s="32">
        <v>1624</v>
      </c>
      <c r="G136" s="32">
        <v>815</v>
      </c>
      <c r="H136" s="32">
        <v>499</v>
      </c>
      <c r="I136" s="32">
        <v>1</v>
      </c>
    </row>
    <row r="137" spans="1:9" ht="12.75" customHeight="1">
      <c r="A137" s="3" t="s">
        <v>245</v>
      </c>
      <c r="B137" s="4" t="s">
        <v>246</v>
      </c>
      <c r="C137" s="30">
        <v>482</v>
      </c>
      <c r="D137" s="30">
        <v>29</v>
      </c>
      <c r="E137" s="30">
        <v>29</v>
      </c>
      <c r="F137" s="32">
        <v>102</v>
      </c>
      <c r="G137" s="32">
        <v>352</v>
      </c>
      <c r="H137" s="32">
        <v>6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734</v>
      </c>
      <c r="D138" s="30">
        <v>11</v>
      </c>
      <c r="E138" s="30">
        <v>11</v>
      </c>
      <c r="F138" s="32">
        <v>97</v>
      </c>
      <c r="G138" s="32">
        <v>626</v>
      </c>
      <c r="H138" s="32">
        <v>3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976</v>
      </c>
      <c r="D139" s="30">
        <v>119</v>
      </c>
      <c r="E139" s="30">
        <v>47</v>
      </c>
      <c r="F139" s="32">
        <v>246</v>
      </c>
      <c r="G139" s="32">
        <v>242</v>
      </c>
      <c r="H139" s="32">
        <v>16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240</v>
      </c>
      <c r="D140" s="30">
        <v>0</v>
      </c>
      <c r="E140" s="30">
        <v>0</v>
      </c>
      <c r="F140" s="32">
        <v>91</v>
      </c>
      <c r="G140" s="32">
        <v>67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1061</v>
      </c>
      <c r="D141" s="30">
        <v>95</v>
      </c>
      <c r="E141" s="30">
        <v>95</v>
      </c>
      <c r="F141" s="32">
        <v>306</v>
      </c>
      <c r="G141" s="32">
        <v>660</v>
      </c>
      <c r="H141" s="32">
        <v>23</v>
      </c>
      <c r="I141" s="32">
        <v>1</v>
      </c>
    </row>
    <row r="142" spans="1:9" ht="12.75" customHeight="1">
      <c r="A142" s="3" t="s">
        <v>255</v>
      </c>
      <c r="B142" s="4" t="s">
        <v>256</v>
      </c>
      <c r="C142" s="30">
        <v>833</v>
      </c>
      <c r="D142" s="30">
        <v>147</v>
      </c>
      <c r="E142" s="30">
        <v>8</v>
      </c>
      <c r="F142" s="32">
        <v>208</v>
      </c>
      <c r="G142" s="32">
        <v>237</v>
      </c>
      <c r="H142" s="32">
        <v>10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1713</v>
      </c>
      <c r="D143" s="30">
        <v>409</v>
      </c>
      <c r="E143" s="30">
        <v>189</v>
      </c>
      <c r="F143" s="32">
        <v>648</v>
      </c>
      <c r="G143" s="32">
        <v>401</v>
      </c>
      <c r="H143" s="32">
        <v>110</v>
      </c>
      <c r="I143" s="32">
        <v>0</v>
      </c>
    </row>
    <row r="144" spans="1:9" ht="12.75" customHeight="1">
      <c r="A144" s="7"/>
      <c r="B144" s="6" t="s">
        <v>259</v>
      </c>
      <c r="C144" s="35">
        <f t="shared" ref="C144:I144" si="19">SUM(C136:C143)</f>
        <v>10143</v>
      </c>
      <c r="D144" s="35">
        <f t="shared" si="19"/>
        <v>1403</v>
      </c>
      <c r="E144" s="35">
        <f t="shared" si="19"/>
        <v>782</v>
      </c>
      <c r="F144" s="35">
        <f t="shared" si="19"/>
        <v>3322</v>
      </c>
      <c r="G144" s="35">
        <f t="shared" si="19"/>
        <v>3400</v>
      </c>
      <c r="H144" s="35">
        <f t="shared" si="19"/>
        <v>667</v>
      </c>
      <c r="I144" s="35">
        <f t="shared" si="19"/>
        <v>3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230459</v>
      </c>
      <c r="D145" s="32">
        <f t="shared" si="20"/>
        <v>140745</v>
      </c>
      <c r="E145" s="32">
        <f t="shared" si="20"/>
        <v>67854</v>
      </c>
      <c r="F145" s="32">
        <f t="shared" si="20"/>
        <v>20229</v>
      </c>
      <c r="G145" s="32">
        <f t="shared" si="20"/>
        <v>38904</v>
      </c>
      <c r="H145" s="32">
        <f t="shared" si="20"/>
        <v>37711</v>
      </c>
      <c r="I145" s="32">
        <f t="shared" si="20"/>
        <v>150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9745</v>
      </c>
      <c r="D15" s="29">
        <v>5755</v>
      </c>
      <c r="E15" s="29">
        <v>5410</v>
      </c>
      <c r="F15" s="29">
        <v>369</v>
      </c>
      <c r="G15" s="29">
        <v>2789</v>
      </c>
      <c r="H15" s="29">
        <v>2642</v>
      </c>
      <c r="I15" s="29">
        <v>5</v>
      </c>
    </row>
    <row r="16" spans="1:19" ht="12.75" customHeight="1">
      <c r="A16" s="3" t="s">
        <v>22</v>
      </c>
      <c r="B16" s="4" t="s">
        <v>23</v>
      </c>
      <c r="C16" s="30">
        <v>5127</v>
      </c>
      <c r="D16" s="30">
        <v>2150</v>
      </c>
      <c r="E16" s="30">
        <v>2128</v>
      </c>
      <c r="F16" s="30">
        <v>384</v>
      </c>
      <c r="G16" s="30">
        <v>2407</v>
      </c>
      <c r="H16" s="30">
        <v>267</v>
      </c>
      <c r="I16" s="30">
        <v>4</v>
      </c>
    </row>
    <row r="17" spans="1:9" ht="12.75" customHeight="1">
      <c r="A17" s="3" t="s">
        <v>24</v>
      </c>
      <c r="B17" s="4" t="s">
        <v>25</v>
      </c>
      <c r="C17" s="30">
        <v>2760</v>
      </c>
      <c r="D17" s="30">
        <v>1490</v>
      </c>
      <c r="E17" s="30">
        <v>1485</v>
      </c>
      <c r="F17" s="30">
        <v>288</v>
      </c>
      <c r="G17" s="30">
        <v>982</v>
      </c>
      <c r="H17" s="30">
        <v>337</v>
      </c>
      <c r="I17" s="30">
        <v>2</v>
      </c>
    </row>
    <row r="18" spans="1:9" ht="12.75" customHeight="1">
      <c r="A18" s="3" t="s">
        <v>26</v>
      </c>
      <c r="B18" s="4" t="s">
        <v>27</v>
      </c>
      <c r="C18" s="30">
        <v>19469</v>
      </c>
      <c r="D18" s="30">
        <v>6501</v>
      </c>
      <c r="E18" s="30">
        <v>2639</v>
      </c>
      <c r="F18" s="30">
        <v>1349</v>
      </c>
      <c r="G18" s="30">
        <v>9673</v>
      </c>
      <c r="H18" s="30">
        <v>4972</v>
      </c>
      <c r="I18" s="30">
        <v>4</v>
      </c>
    </row>
    <row r="19" spans="1:9" ht="12.75" customHeight="1">
      <c r="A19" s="3" t="s">
        <v>28</v>
      </c>
      <c r="B19" s="4" t="s">
        <v>29</v>
      </c>
      <c r="C19" s="30">
        <v>9889</v>
      </c>
      <c r="D19" s="30">
        <v>4061</v>
      </c>
      <c r="E19" s="30">
        <v>3857</v>
      </c>
      <c r="F19" s="30">
        <v>129</v>
      </c>
      <c r="G19" s="30">
        <v>4983</v>
      </c>
      <c r="H19" s="30">
        <v>776</v>
      </c>
      <c r="I19" s="30">
        <v>4</v>
      </c>
    </row>
    <row r="20" spans="1:9" ht="12.75" customHeight="1">
      <c r="A20" s="3" t="s">
        <v>30</v>
      </c>
      <c r="B20" s="4" t="s">
        <v>31</v>
      </c>
      <c r="C20" s="30">
        <v>48984</v>
      </c>
      <c r="D20" s="30">
        <v>25893</v>
      </c>
      <c r="E20" s="30">
        <v>24231</v>
      </c>
      <c r="F20" s="30">
        <v>2326</v>
      </c>
      <c r="G20" s="30">
        <v>15154</v>
      </c>
      <c r="H20" s="30">
        <v>11568</v>
      </c>
      <c r="I20" s="30">
        <v>25</v>
      </c>
    </row>
    <row r="21" spans="1:9" ht="12.75" customHeight="1">
      <c r="A21" s="3" t="s">
        <v>32</v>
      </c>
      <c r="B21" s="4" t="s">
        <v>33</v>
      </c>
      <c r="C21" s="30">
        <v>2032</v>
      </c>
      <c r="D21" s="30">
        <v>941</v>
      </c>
      <c r="E21" s="30">
        <v>941</v>
      </c>
      <c r="F21" s="30">
        <v>147</v>
      </c>
      <c r="G21" s="30">
        <v>941</v>
      </c>
      <c r="H21" s="30">
        <v>156</v>
      </c>
      <c r="I21" s="30">
        <v>4</v>
      </c>
    </row>
    <row r="22" spans="1:9" ht="12.75" customHeight="1">
      <c r="A22" s="3" t="s">
        <v>34</v>
      </c>
      <c r="B22" s="4" t="s">
        <v>35</v>
      </c>
      <c r="C22" s="30">
        <v>3158</v>
      </c>
      <c r="D22" s="30">
        <v>1874</v>
      </c>
      <c r="E22" s="30">
        <v>1874</v>
      </c>
      <c r="F22" s="30">
        <v>164</v>
      </c>
      <c r="G22" s="30">
        <v>1120</v>
      </c>
      <c r="H22" s="30">
        <v>386</v>
      </c>
      <c r="I22" s="30">
        <v>4</v>
      </c>
    </row>
    <row r="23" spans="1:9" ht="12.75" customHeight="1">
      <c r="A23" s="5"/>
      <c r="B23" s="6" t="s">
        <v>36</v>
      </c>
      <c r="C23" s="31">
        <f t="shared" ref="C23:I23" si="0">SUM(C15:C22)</f>
        <v>101164</v>
      </c>
      <c r="D23" s="31">
        <f t="shared" si="0"/>
        <v>48665</v>
      </c>
      <c r="E23" s="31">
        <f t="shared" si="0"/>
        <v>42565</v>
      </c>
      <c r="F23" s="31">
        <f t="shared" si="0"/>
        <v>5156</v>
      </c>
      <c r="G23" s="31">
        <f t="shared" si="0"/>
        <v>38049</v>
      </c>
      <c r="H23" s="31">
        <f t="shared" si="0"/>
        <v>21104</v>
      </c>
      <c r="I23" s="31">
        <f t="shared" si="0"/>
        <v>52</v>
      </c>
    </row>
    <row r="24" spans="1:9" ht="14.25" customHeight="1">
      <c r="A24" s="3" t="s">
        <v>37</v>
      </c>
      <c r="B24" s="4" t="s">
        <v>38</v>
      </c>
      <c r="C24" s="32">
        <v>4929</v>
      </c>
      <c r="D24" s="32">
        <v>488</v>
      </c>
      <c r="E24" s="32">
        <v>348</v>
      </c>
      <c r="F24" s="32">
        <v>479</v>
      </c>
      <c r="G24" s="32">
        <v>1621</v>
      </c>
      <c r="H24" s="32">
        <v>195</v>
      </c>
      <c r="I24" s="32">
        <v>3</v>
      </c>
    </row>
    <row r="25" spans="1:9" ht="14.25" customHeight="1">
      <c r="A25" s="7"/>
      <c r="B25" s="6" t="s">
        <v>39</v>
      </c>
      <c r="C25" s="31">
        <f t="shared" ref="C25:I25" si="1">SUM(C24)</f>
        <v>4929</v>
      </c>
      <c r="D25" s="31">
        <f t="shared" si="1"/>
        <v>488</v>
      </c>
      <c r="E25" s="31">
        <f t="shared" si="1"/>
        <v>348</v>
      </c>
      <c r="F25" s="31">
        <f t="shared" si="1"/>
        <v>479</v>
      </c>
      <c r="G25" s="31">
        <f t="shared" si="1"/>
        <v>1621</v>
      </c>
      <c r="H25" s="31">
        <f t="shared" si="1"/>
        <v>195</v>
      </c>
      <c r="I25" s="31">
        <f t="shared" si="1"/>
        <v>3</v>
      </c>
    </row>
    <row r="26" spans="1:9" ht="12.75" customHeight="1">
      <c r="A26" s="3" t="s">
        <v>40</v>
      </c>
      <c r="B26" s="4" t="s">
        <v>41</v>
      </c>
      <c r="C26" s="32">
        <v>13966</v>
      </c>
      <c r="D26" s="32">
        <v>7766</v>
      </c>
      <c r="E26" s="32">
        <v>1400</v>
      </c>
      <c r="F26" s="32">
        <v>823</v>
      </c>
      <c r="G26" s="32">
        <v>1817</v>
      </c>
      <c r="H26" s="32">
        <v>1609</v>
      </c>
      <c r="I26" s="32">
        <v>16</v>
      </c>
    </row>
    <row r="27" spans="1:9" ht="12.75" customHeight="1">
      <c r="A27" s="3" t="s">
        <v>42</v>
      </c>
      <c r="B27" s="4" t="s">
        <v>43</v>
      </c>
      <c r="C27" s="32">
        <v>6225</v>
      </c>
      <c r="D27" s="32">
        <v>154</v>
      </c>
      <c r="E27" s="32">
        <v>146</v>
      </c>
      <c r="F27" s="32">
        <v>1008</v>
      </c>
      <c r="G27" s="32">
        <v>3605</v>
      </c>
      <c r="H27" s="32">
        <v>110</v>
      </c>
      <c r="I27" s="32">
        <v>5</v>
      </c>
    </row>
    <row r="28" spans="1:9" ht="12.75" customHeight="1">
      <c r="A28" s="3" t="s">
        <v>44</v>
      </c>
      <c r="B28" s="4" t="s">
        <v>45</v>
      </c>
      <c r="C28" s="32">
        <v>1883</v>
      </c>
      <c r="D28" s="32">
        <v>982</v>
      </c>
      <c r="E28" s="32">
        <v>973</v>
      </c>
      <c r="F28" s="32">
        <v>75</v>
      </c>
      <c r="G28" s="32">
        <v>424</v>
      </c>
      <c r="H28" s="32">
        <v>374</v>
      </c>
      <c r="I28" s="32">
        <v>6</v>
      </c>
    </row>
    <row r="29" spans="1:9" ht="12.75" customHeight="1">
      <c r="A29" s="3" t="s">
        <v>46</v>
      </c>
      <c r="B29" s="4" t="s">
        <v>47</v>
      </c>
      <c r="C29" s="32">
        <v>3582</v>
      </c>
      <c r="D29" s="32">
        <v>304</v>
      </c>
      <c r="E29" s="32">
        <v>288</v>
      </c>
      <c r="F29" s="32">
        <v>448</v>
      </c>
      <c r="G29" s="32">
        <v>2323</v>
      </c>
      <c r="H29" s="32">
        <v>515</v>
      </c>
      <c r="I29" s="32">
        <v>7</v>
      </c>
    </row>
    <row r="30" spans="1:9" ht="12.75" customHeight="1">
      <c r="A30" s="5"/>
      <c r="B30" s="6" t="s">
        <v>48</v>
      </c>
      <c r="C30" s="31">
        <f t="shared" ref="C30:I30" si="2">SUM(C26:C29)</f>
        <v>25656</v>
      </c>
      <c r="D30" s="31">
        <f t="shared" si="2"/>
        <v>9206</v>
      </c>
      <c r="E30" s="31">
        <f t="shared" si="2"/>
        <v>2807</v>
      </c>
      <c r="F30" s="31">
        <f t="shared" si="2"/>
        <v>2354</v>
      </c>
      <c r="G30" s="31">
        <f t="shared" si="2"/>
        <v>8169</v>
      </c>
      <c r="H30" s="31">
        <f t="shared" si="2"/>
        <v>2608</v>
      </c>
      <c r="I30" s="31">
        <f t="shared" si="2"/>
        <v>34</v>
      </c>
    </row>
    <row r="31" spans="1:9" ht="12.75" customHeight="1">
      <c r="A31" s="3" t="s">
        <v>49</v>
      </c>
      <c r="B31" s="4" t="s">
        <v>50</v>
      </c>
      <c r="C31" s="32">
        <v>20276</v>
      </c>
      <c r="D31" s="32">
        <v>4810</v>
      </c>
      <c r="E31" s="32">
        <v>4401</v>
      </c>
      <c r="F31" s="32">
        <v>850</v>
      </c>
      <c r="G31" s="32">
        <v>12883</v>
      </c>
      <c r="H31" s="32">
        <v>4414</v>
      </c>
      <c r="I31" s="32">
        <v>12</v>
      </c>
    </row>
    <row r="32" spans="1:9" ht="12.75" customHeight="1">
      <c r="A32" s="3" t="s">
        <v>51</v>
      </c>
      <c r="B32" s="4" t="s">
        <v>52</v>
      </c>
      <c r="C32" s="32">
        <v>28711</v>
      </c>
      <c r="D32" s="32">
        <v>16911</v>
      </c>
      <c r="E32" s="32">
        <v>10901</v>
      </c>
      <c r="F32" s="32">
        <v>1076</v>
      </c>
      <c r="G32" s="32">
        <v>7970</v>
      </c>
      <c r="H32" s="32">
        <v>9883</v>
      </c>
      <c r="I32" s="32">
        <v>12</v>
      </c>
    </row>
    <row r="33" spans="1:9" ht="12.75" customHeight="1">
      <c r="A33" s="3" t="s">
        <v>53</v>
      </c>
      <c r="B33" s="4" t="s">
        <v>54</v>
      </c>
      <c r="C33" s="32">
        <v>4952</v>
      </c>
      <c r="D33" s="32">
        <v>1270</v>
      </c>
      <c r="E33" s="32">
        <v>1270</v>
      </c>
      <c r="F33" s="32">
        <v>417</v>
      </c>
      <c r="G33" s="32">
        <v>2455</v>
      </c>
      <c r="H33" s="32">
        <v>1630</v>
      </c>
      <c r="I33" s="32">
        <v>10</v>
      </c>
    </row>
    <row r="34" spans="1:9" ht="12.75" customHeight="1">
      <c r="A34" s="3" t="s">
        <v>55</v>
      </c>
      <c r="B34" s="4" t="s">
        <v>56</v>
      </c>
      <c r="C34" s="32">
        <v>12821</v>
      </c>
      <c r="D34" s="32">
        <v>6668</v>
      </c>
      <c r="E34" s="32">
        <v>2251</v>
      </c>
      <c r="F34" s="32">
        <v>177</v>
      </c>
      <c r="G34" s="32">
        <v>1036</v>
      </c>
      <c r="H34" s="32">
        <v>2442</v>
      </c>
      <c r="I34" s="32">
        <v>5</v>
      </c>
    </row>
    <row r="35" spans="1:9" ht="12.75" customHeight="1">
      <c r="A35" s="3" t="s">
        <v>57</v>
      </c>
      <c r="B35" s="4" t="s">
        <v>58</v>
      </c>
      <c r="C35" s="32">
        <v>3072</v>
      </c>
      <c r="D35" s="32">
        <v>1100</v>
      </c>
      <c r="E35" s="32">
        <v>1100</v>
      </c>
      <c r="F35" s="32">
        <v>213</v>
      </c>
      <c r="G35" s="32">
        <v>1642</v>
      </c>
      <c r="H35" s="32">
        <v>1612</v>
      </c>
      <c r="I35" s="32">
        <v>6</v>
      </c>
    </row>
    <row r="36" spans="1:9" ht="12.75" customHeight="1">
      <c r="A36" s="3" t="s">
        <v>59</v>
      </c>
      <c r="B36" s="4" t="s">
        <v>60</v>
      </c>
      <c r="C36" s="32">
        <v>2161</v>
      </c>
      <c r="D36" s="32">
        <v>1532</v>
      </c>
      <c r="E36" s="32">
        <v>1532</v>
      </c>
      <c r="F36" s="32">
        <v>59</v>
      </c>
      <c r="G36" s="32">
        <v>356</v>
      </c>
      <c r="H36" s="32">
        <v>1999</v>
      </c>
      <c r="I36" s="32">
        <v>4</v>
      </c>
    </row>
    <row r="37" spans="1:9" ht="12.75" customHeight="1">
      <c r="A37" s="3" t="s">
        <v>61</v>
      </c>
      <c r="B37" s="4" t="s">
        <v>62</v>
      </c>
      <c r="C37" s="32">
        <v>15064</v>
      </c>
      <c r="D37" s="32">
        <v>8782</v>
      </c>
      <c r="E37" s="32">
        <v>2594</v>
      </c>
      <c r="F37" s="32">
        <v>369</v>
      </c>
      <c r="G37" s="32">
        <v>3435</v>
      </c>
      <c r="H37" s="32">
        <v>2968</v>
      </c>
      <c r="I37" s="32">
        <v>6</v>
      </c>
    </row>
    <row r="38" spans="1:9" ht="12.75" customHeight="1">
      <c r="A38" s="3" t="s">
        <v>63</v>
      </c>
      <c r="B38" s="4" t="s">
        <v>64</v>
      </c>
      <c r="C38" s="32">
        <v>37599</v>
      </c>
      <c r="D38" s="32">
        <v>26720</v>
      </c>
      <c r="E38" s="32">
        <v>17463</v>
      </c>
      <c r="F38" s="32">
        <v>721</v>
      </c>
      <c r="G38" s="32">
        <v>3767</v>
      </c>
      <c r="H38" s="32">
        <v>19004</v>
      </c>
      <c r="I38" s="32">
        <v>51</v>
      </c>
    </row>
    <row r="39" spans="1:9" ht="12.75" customHeight="1">
      <c r="A39" s="3" t="s">
        <v>65</v>
      </c>
      <c r="B39" s="4" t="s">
        <v>66</v>
      </c>
      <c r="C39" s="32">
        <v>5333</v>
      </c>
      <c r="D39" s="32">
        <v>4276</v>
      </c>
      <c r="E39" s="32">
        <v>4276</v>
      </c>
      <c r="F39" s="32">
        <v>268</v>
      </c>
      <c r="G39" s="32">
        <v>736</v>
      </c>
      <c r="H39" s="32">
        <v>3705</v>
      </c>
      <c r="I39" s="32">
        <v>5</v>
      </c>
    </row>
    <row r="40" spans="1:9" ht="12.75" customHeight="1">
      <c r="A40" s="3" t="s">
        <v>67</v>
      </c>
      <c r="B40" s="4" t="s">
        <v>68</v>
      </c>
      <c r="C40" s="32">
        <v>5851</v>
      </c>
      <c r="D40" s="32">
        <v>3931</v>
      </c>
      <c r="E40" s="32">
        <v>2815</v>
      </c>
      <c r="F40" s="32">
        <v>260</v>
      </c>
      <c r="G40" s="32">
        <v>1183</v>
      </c>
      <c r="H40" s="32">
        <v>2407</v>
      </c>
      <c r="I40" s="32">
        <v>8</v>
      </c>
    </row>
    <row r="41" spans="1:9" ht="12.75" customHeight="1">
      <c r="A41" s="3" t="s">
        <v>69</v>
      </c>
      <c r="B41" s="4" t="s">
        <v>70</v>
      </c>
      <c r="C41" s="32">
        <v>4951</v>
      </c>
      <c r="D41" s="32">
        <v>559</v>
      </c>
      <c r="E41" s="32">
        <v>485</v>
      </c>
      <c r="F41" s="32">
        <v>787</v>
      </c>
      <c r="G41" s="32">
        <v>1992</v>
      </c>
      <c r="H41" s="32">
        <v>451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5645</v>
      </c>
      <c r="D42" s="32">
        <v>3333</v>
      </c>
      <c r="E42" s="32">
        <v>3011</v>
      </c>
      <c r="F42" s="32">
        <v>403</v>
      </c>
      <c r="G42" s="32">
        <v>1892</v>
      </c>
      <c r="H42" s="32">
        <v>1720</v>
      </c>
      <c r="I42" s="32">
        <v>15</v>
      </c>
    </row>
    <row r="43" spans="1:9" ht="12.75" customHeight="1">
      <c r="A43" s="5"/>
      <c r="B43" s="6" t="s">
        <v>73</v>
      </c>
      <c r="C43" s="31">
        <f t="shared" ref="C43:I43" si="3">SUM(C31:C42)</f>
        <v>146436</v>
      </c>
      <c r="D43" s="31">
        <f t="shared" si="3"/>
        <v>79892</v>
      </c>
      <c r="E43" s="31">
        <f t="shared" si="3"/>
        <v>52099</v>
      </c>
      <c r="F43" s="31">
        <f t="shared" si="3"/>
        <v>5600</v>
      </c>
      <c r="G43" s="31">
        <f t="shared" si="3"/>
        <v>39347</v>
      </c>
      <c r="H43" s="31">
        <f t="shared" si="3"/>
        <v>52235</v>
      </c>
      <c r="I43" s="31">
        <f t="shared" si="3"/>
        <v>135</v>
      </c>
    </row>
    <row r="44" spans="1:9" ht="12.75" customHeight="1">
      <c r="A44" s="3" t="s">
        <v>74</v>
      </c>
      <c r="B44" s="4" t="s">
        <v>75</v>
      </c>
      <c r="C44" s="32">
        <v>7795</v>
      </c>
      <c r="D44" s="32">
        <v>1533</v>
      </c>
      <c r="E44" s="32">
        <v>1146</v>
      </c>
      <c r="F44" s="32">
        <v>1321</v>
      </c>
      <c r="G44" s="32">
        <v>4042</v>
      </c>
      <c r="H44" s="32">
        <v>1052</v>
      </c>
      <c r="I44" s="32">
        <v>9</v>
      </c>
    </row>
    <row r="45" spans="1:9" ht="12.75" customHeight="1">
      <c r="A45" s="3" t="s">
        <v>76</v>
      </c>
      <c r="B45" s="4" t="s">
        <v>77</v>
      </c>
      <c r="C45" s="32">
        <v>11681</v>
      </c>
      <c r="D45" s="32">
        <v>3940</v>
      </c>
      <c r="E45" s="32">
        <v>3577</v>
      </c>
      <c r="F45" s="32">
        <v>1294</v>
      </c>
      <c r="G45" s="32">
        <v>6446</v>
      </c>
      <c r="H45" s="32">
        <v>2389</v>
      </c>
      <c r="I45" s="32">
        <v>7</v>
      </c>
    </row>
    <row r="46" spans="1:9" ht="12.75" customHeight="1">
      <c r="A46" s="5"/>
      <c r="B46" s="6" t="s">
        <v>78</v>
      </c>
      <c r="C46" s="31">
        <f t="shared" ref="C46:I46" si="4">SUM(C44:C45)</f>
        <v>19476</v>
      </c>
      <c r="D46" s="31">
        <f t="shared" si="4"/>
        <v>5473</v>
      </c>
      <c r="E46" s="31">
        <f t="shared" si="4"/>
        <v>4723</v>
      </c>
      <c r="F46" s="31">
        <f t="shared" si="4"/>
        <v>2615</v>
      </c>
      <c r="G46" s="31">
        <f t="shared" si="4"/>
        <v>10488</v>
      </c>
      <c r="H46" s="31">
        <f t="shared" si="4"/>
        <v>3441</v>
      </c>
      <c r="I46" s="31">
        <f t="shared" si="4"/>
        <v>16</v>
      </c>
    </row>
    <row r="47" spans="1:9" ht="12.75" customHeight="1">
      <c r="A47" s="8" t="s">
        <v>79</v>
      </c>
      <c r="B47" s="4" t="s">
        <v>80</v>
      </c>
      <c r="C47" s="33">
        <v>738</v>
      </c>
      <c r="D47" s="33">
        <v>94</v>
      </c>
      <c r="E47" s="33">
        <v>94</v>
      </c>
      <c r="F47" s="32">
        <v>124</v>
      </c>
      <c r="G47" s="32">
        <v>520</v>
      </c>
      <c r="H47" s="32">
        <v>320</v>
      </c>
      <c r="I47" s="32">
        <v>2</v>
      </c>
    </row>
    <row r="48" spans="1:9" ht="12.75" customHeight="1">
      <c r="A48" s="8" t="s">
        <v>81</v>
      </c>
      <c r="B48" s="4" t="s">
        <v>82</v>
      </c>
      <c r="C48" s="33">
        <v>6932</v>
      </c>
      <c r="D48" s="33">
        <v>1292</v>
      </c>
      <c r="E48" s="33">
        <v>1188</v>
      </c>
      <c r="F48" s="32">
        <v>566</v>
      </c>
      <c r="G48" s="32">
        <v>4684</v>
      </c>
      <c r="H48" s="32">
        <v>1035</v>
      </c>
      <c r="I48" s="32">
        <v>2</v>
      </c>
    </row>
    <row r="49" spans="1:9" ht="12.75" customHeight="1">
      <c r="A49" s="8" t="s">
        <v>83</v>
      </c>
      <c r="B49" s="4" t="s">
        <v>84</v>
      </c>
      <c r="C49" s="33">
        <v>979</v>
      </c>
      <c r="D49" s="33">
        <v>29</v>
      </c>
      <c r="E49" s="33">
        <v>3</v>
      </c>
      <c r="F49" s="32">
        <v>388</v>
      </c>
      <c r="G49" s="32">
        <v>562</v>
      </c>
      <c r="H49" s="32">
        <v>334</v>
      </c>
      <c r="I49" s="32">
        <v>2</v>
      </c>
    </row>
    <row r="50" spans="1:9" ht="12.75" customHeight="1">
      <c r="A50" s="8" t="s">
        <v>85</v>
      </c>
      <c r="B50" s="4" t="s">
        <v>86</v>
      </c>
      <c r="C50" s="33">
        <v>22729</v>
      </c>
      <c r="D50" s="33">
        <v>2283</v>
      </c>
      <c r="E50" s="33">
        <v>961</v>
      </c>
      <c r="F50" s="32">
        <v>1839</v>
      </c>
      <c r="G50" s="32">
        <v>15731</v>
      </c>
      <c r="H50" s="32">
        <v>1813</v>
      </c>
      <c r="I50" s="32">
        <v>7</v>
      </c>
    </row>
    <row r="51" spans="1:9" ht="12.75" customHeight="1">
      <c r="A51" s="9"/>
      <c r="B51" s="6" t="s">
        <v>87</v>
      </c>
      <c r="C51" s="31">
        <f t="shared" ref="C51:I51" si="5">SUM(C47:C50)</f>
        <v>31378</v>
      </c>
      <c r="D51" s="31">
        <f t="shared" si="5"/>
        <v>3698</v>
      </c>
      <c r="E51" s="31">
        <f t="shared" si="5"/>
        <v>2246</v>
      </c>
      <c r="F51" s="31">
        <f t="shared" si="5"/>
        <v>2917</v>
      </c>
      <c r="G51" s="31">
        <f t="shared" si="5"/>
        <v>21497</v>
      </c>
      <c r="H51" s="31">
        <f t="shared" si="5"/>
        <v>3502</v>
      </c>
      <c r="I51" s="31">
        <f t="shared" si="5"/>
        <v>13</v>
      </c>
    </row>
    <row r="52" spans="1:9" ht="12.75" customHeight="1">
      <c r="A52" s="8" t="s">
        <v>88</v>
      </c>
      <c r="B52" s="4" t="s">
        <v>89</v>
      </c>
      <c r="C52" s="33">
        <v>8419</v>
      </c>
      <c r="D52" s="33">
        <v>1146</v>
      </c>
      <c r="E52" s="33">
        <v>540</v>
      </c>
      <c r="F52" s="32">
        <v>765</v>
      </c>
      <c r="G52" s="32">
        <v>6394</v>
      </c>
      <c r="H52" s="32">
        <v>191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27193</v>
      </c>
      <c r="D53" s="33">
        <v>15845</v>
      </c>
      <c r="E53" s="33">
        <v>9506</v>
      </c>
      <c r="F53" s="32">
        <v>1010</v>
      </c>
      <c r="G53" s="32">
        <v>6716</v>
      </c>
      <c r="H53" s="32">
        <v>2990</v>
      </c>
      <c r="I53" s="32">
        <v>9</v>
      </c>
    </row>
    <row r="54" spans="1:9" ht="12.75" customHeight="1">
      <c r="A54" s="8" t="s">
        <v>92</v>
      </c>
      <c r="B54" s="4" t="s">
        <v>93</v>
      </c>
      <c r="C54" s="33">
        <v>6441</v>
      </c>
      <c r="D54" s="33">
        <v>3819</v>
      </c>
      <c r="E54" s="33">
        <v>1497</v>
      </c>
      <c r="F54" s="32">
        <v>339</v>
      </c>
      <c r="G54" s="32">
        <v>1766</v>
      </c>
      <c r="H54" s="32">
        <v>2435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17091</v>
      </c>
      <c r="D55" s="33">
        <v>6415</v>
      </c>
      <c r="E55" s="33">
        <v>4555</v>
      </c>
      <c r="F55" s="32">
        <v>1443</v>
      </c>
      <c r="G55" s="32">
        <v>9091</v>
      </c>
      <c r="H55" s="32">
        <v>2388</v>
      </c>
      <c r="I55" s="32">
        <v>5</v>
      </c>
    </row>
    <row r="56" spans="1:9" ht="12.75" customHeight="1">
      <c r="A56" s="8" t="s">
        <v>96</v>
      </c>
      <c r="B56" s="4" t="s">
        <v>97</v>
      </c>
      <c r="C56" s="33">
        <v>30537</v>
      </c>
      <c r="D56" s="33">
        <v>19255</v>
      </c>
      <c r="E56" s="33">
        <v>5483</v>
      </c>
      <c r="F56" s="32">
        <v>640</v>
      </c>
      <c r="G56" s="32">
        <v>8034</v>
      </c>
      <c r="H56" s="32">
        <v>1523</v>
      </c>
      <c r="I56" s="32">
        <v>9</v>
      </c>
    </row>
    <row r="57" spans="1:9" ht="12.75" customHeight="1">
      <c r="A57" s="8" t="s">
        <v>98</v>
      </c>
      <c r="B57" s="4" t="s">
        <v>99</v>
      </c>
      <c r="C57" s="33">
        <v>37486</v>
      </c>
      <c r="D57" s="33">
        <v>23017</v>
      </c>
      <c r="E57" s="33">
        <v>8632</v>
      </c>
      <c r="F57" s="32">
        <v>1068</v>
      </c>
      <c r="G57" s="32">
        <v>9938</v>
      </c>
      <c r="H57" s="32">
        <v>1892</v>
      </c>
      <c r="I57" s="32">
        <v>11</v>
      </c>
    </row>
    <row r="58" spans="1:9" ht="12.75" customHeight="1">
      <c r="A58" s="8" t="s">
        <v>100</v>
      </c>
      <c r="B58" s="4" t="s">
        <v>101</v>
      </c>
      <c r="C58" s="33">
        <v>14963</v>
      </c>
      <c r="D58" s="33">
        <v>8094</v>
      </c>
      <c r="E58" s="33">
        <v>6025</v>
      </c>
      <c r="F58" s="32">
        <v>738</v>
      </c>
      <c r="G58" s="32">
        <v>4220</v>
      </c>
      <c r="H58" s="32">
        <v>5682</v>
      </c>
      <c r="I58" s="32">
        <v>16</v>
      </c>
    </row>
    <row r="59" spans="1:9" ht="12.75" customHeight="1">
      <c r="A59" s="9"/>
      <c r="B59" s="6" t="s">
        <v>102</v>
      </c>
      <c r="C59" s="31">
        <f t="shared" ref="C59:I59" si="6">SUM(C52:C58)</f>
        <v>142130</v>
      </c>
      <c r="D59" s="31">
        <f t="shared" si="6"/>
        <v>77591</v>
      </c>
      <c r="E59" s="31">
        <f t="shared" si="6"/>
        <v>36238</v>
      </c>
      <c r="F59" s="31">
        <f t="shared" si="6"/>
        <v>6003</v>
      </c>
      <c r="G59" s="31">
        <f t="shared" si="6"/>
        <v>46159</v>
      </c>
      <c r="H59" s="31">
        <f t="shared" si="6"/>
        <v>17101</v>
      </c>
      <c r="I59" s="31">
        <f t="shared" si="6"/>
        <v>52</v>
      </c>
    </row>
    <row r="60" spans="1:9" ht="12.75" customHeight="1">
      <c r="A60" s="8" t="s">
        <v>103</v>
      </c>
      <c r="B60" s="4" t="s">
        <v>104</v>
      </c>
      <c r="C60" s="33">
        <v>24067</v>
      </c>
      <c r="D60" s="33">
        <v>13629</v>
      </c>
      <c r="E60" s="33">
        <v>5022</v>
      </c>
      <c r="F60" s="32">
        <v>583</v>
      </c>
      <c r="G60" s="32">
        <v>8939</v>
      </c>
      <c r="H60" s="32">
        <v>3401</v>
      </c>
      <c r="I60" s="32">
        <v>15</v>
      </c>
    </row>
    <row r="61" spans="1:9" ht="12.75" customHeight="1">
      <c r="A61" s="8" t="s">
        <v>105</v>
      </c>
      <c r="B61" s="4" t="s">
        <v>106</v>
      </c>
      <c r="C61" s="33">
        <v>9474</v>
      </c>
      <c r="D61" s="33">
        <v>4819</v>
      </c>
      <c r="E61" s="33">
        <v>4403</v>
      </c>
      <c r="F61" s="32">
        <v>429</v>
      </c>
      <c r="G61" s="32">
        <v>4116</v>
      </c>
      <c r="H61" s="32">
        <v>1023</v>
      </c>
      <c r="I61" s="32">
        <v>6</v>
      </c>
    </row>
    <row r="62" spans="1:9" ht="12.75" customHeight="1">
      <c r="A62" s="8" t="s">
        <v>107</v>
      </c>
      <c r="B62" s="4" t="s">
        <v>108</v>
      </c>
      <c r="C62" s="33">
        <v>22011</v>
      </c>
      <c r="D62" s="33">
        <v>14191</v>
      </c>
      <c r="E62" s="33">
        <v>3726</v>
      </c>
      <c r="F62" s="32">
        <v>714</v>
      </c>
      <c r="G62" s="32">
        <v>6424</v>
      </c>
      <c r="H62" s="32">
        <v>4084</v>
      </c>
      <c r="I62" s="32">
        <v>8</v>
      </c>
    </row>
    <row r="63" spans="1:9" ht="12.75" customHeight="1">
      <c r="A63" s="8" t="s">
        <v>109</v>
      </c>
      <c r="B63" s="4" t="s">
        <v>110</v>
      </c>
      <c r="C63" s="33">
        <v>10735</v>
      </c>
      <c r="D63" s="33">
        <v>7559</v>
      </c>
      <c r="E63" s="33">
        <v>6006</v>
      </c>
      <c r="F63" s="32">
        <v>385</v>
      </c>
      <c r="G63" s="32">
        <v>2754</v>
      </c>
      <c r="H63" s="32">
        <v>4295</v>
      </c>
      <c r="I63" s="32">
        <v>8</v>
      </c>
    </row>
    <row r="64" spans="1:9" ht="12.75" customHeight="1">
      <c r="A64" s="8" t="s">
        <v>111</v>
      </c>
      <c r="B64" s="4" t="s">
        <v>112</v>
      </c>
      <c r="C64" s="33">
        <v>108999</v>
      </c>
      <c r="D64" s="33">
        <v>85991</v>
      </c>
      <c r="E64" s="33">
        <v>3891</v>
      </c>
      <c r="F64" s="32">
        <v>190</v>
      </c>
      <c r="G64" s="32">
        <v>11599</v>
      </c>
      <c r="H64" s="32">
        <v>1789</v>
      </c>
      <c r="I64" s="32">
        <v>8</v>
      </c>
    </row>
    <row r="65" spans="1:9" ht="12.75" customHeight="1">
      <c r="A65" s="8" t="s">
        <v>113</v>
      </c>
      <c r="B65" s="4" t="s">
        <v>114</v>
      </c>
      <c r="C65" s="33">
        <v>6488</v>
      </c>
      <c r="D65" s="33">
        <v>4256</v>
      </c>
      <c r="E65" s="33">
        <v>3442</v>
      </c>
      <c r="F65" s="32">
        <v>164</v>
      </c>
      <c r="G65" s="32">
        <v>2040</v>
      </c>
      <c r="H65" s="32">
        <v>1005</v>
      </c>
      <c r="I65" s="32">
        <v>3</v>
      </c>
    </row>
    <row r="66" spans="1:9" ht="12.75" customHeight="1">
      <c r="A66" s="8" t="s">
        <v>115</v>
      </c>
      <c r="B66" s="4" t="s">
        <v>116</v>
      </c>
      <c r="C66" s="33">
        <v>7707</v>
      </c>
      <c r="D66" s="33">
        <v>4884</v>
      </c>
      <c r="E66" s="33">
        <v>3373</v>
      </c>
      <c r="F66" s="32">
        <v>240</v>
      </c>
      <c r="G66" s="32">
        <v>1275</v>
      </c>
      <c r="H66" s="32">
        <v>3707</v>
      </c>
      <c r="I66" s="32">
        <v>4</v>
      </c>
    </row>
    <row r="67" spans="1:9" ht="12.75" customHeight="1">
      <c r="A67" s="8" t="s">
        <v>117</v>
      </c>
      <c r="B67" s="4" t="s">
        <v>118</v>
      </c>
      <c r="C67" s="33">
        <v>14702</v>
      </c>
      <c r="D67" s="33">
        <v>10391</v>
      </c>
      <c r="E67" s="33">
        <v>4083</v>
      </c>
      <c r="F67" s="32">
        <v>342</v>
      </c>
      <c r="G67" s="32">
        <v>3168</v>
      </c>
      <c r="H67" s="32">
        <v>2448</v>
      </c>
      <c r="I67" s="32">
        <v>3</v>
      </c>
    </row>
    <row r="68" spans="1:9" ht="12.75" customHeight="1">
      <c r="A68" s="8" t="s">
        <v>119</v>
      </c>
      <c r="B68" s="4" t="s">
        <v>120</v>
      </c>
      <c r="C68" s="33">
        <v>7868</v>
      </c>
      <c r="D68" s="33">
        <v>4672</v>
      </c>
      <c r="E68" s="33">
        <v>2632</v>
      </c>
      <c r="F68" s="32">
        <v>285</v>
      </c>
      <c r="G68" s="32">
        <v>1575</v>
      </c>
      <c r="H68" s="32">
        <v>346</v>
      </c>
      <c r="I68" s="32">
        <v>7</v>
      </c>
    </row>
    <row r="69" spans="1:9" ht="12.75" customHeight="1">
      <c r="A69" s="5"/>
      <c r="B69" s="6" t="s">
        <v>121</v>
      </c>
      <c r="C69" s="31">
        <f t="shared" ref="C69:I69" si="7">SUM(C60:C68)</f>
        <v>212051</v>
      </c>
      <c r="D69" s="31">
        <f t="shared" si="7"/>
        <v>150392</v>
      </c>
      <c r="E69" s="31">
        <f t="shared" si="7"/>
        <v>36578</v>
      </c>
      <c r="F69" s="31">
        <f t="shared" si="7"/>
        <v>3332</v>
      </c>
      <c r="G69" s="31">
        <f t="shared" si="7"/>
        <v>41890</v>
      </c>
      <c r="H69" s="31">
        <f t="shared" si="7"/>
        <v>22098</v>
      </c>
      <c r="I69" s="31">
        <f t="shared" si="7"/>
        <v>62</v>
      </c>
    </row>
    <row r="70" spans="1:9" ht="12.75" customHeight="1">
      <c r="A70" s="8" t="s">
        <v>122</v>
      </c>
      <c r="B70" s="4" t="s">
        <v>123</v>
      </c>
      <c r="C70" s="33">
        <v>11538</v>
      </c>
      <c r="D70" s="33">
        <v>6181</v>
      </c>
      <c r="E70" s="33">
        <v>4315</v>
      </c>
      <c r="F70" s="32">
        <v>690</v>
      </c>
      <c r="G70" s="32">
        <v>3743</v>
      </c>
      <c r="H70" s="32">
        <v>2092</v>
      </c>
      <c r="I70" s="32">
        <v>7</v>
      </c>
    </row>
    <row r="71" spans="1:9" ht="12.75" customHeight="1">
      <c r="A71" s="8" t="s">
        <v>124</v>
      </c>
      <c r="B71" s="4" t="s">
        <v>125</v>
      </c>
      <c r="C71" s="33">
        <v>21621</v>
      </c>
      <c r="D71" s="33">
        <v>10563</v>
      </c>
      <c r="E71" s="33">
        <v>9947</v>
      </c>
      <c r="F71" s="32">
        <v>1049</v>
      </c>
      <c r="G71" s="32">
        <v>4994</v>
      </c>
      <c r="H71" s="32">
        <v>2032</v>
      </c>
      <c r="I71" s="32">
        <v>16</v>
      </c>
    </row>
    <row r="72" spans="1:9" ht="12.75" customHeight="1">
      <c r="A72" s="8" t="s">
        <v>126</v>
      </c>
      <c r="B72" s="4" t="s">
        <v>127</v>
      </c>
      <c r="C72" s="33">
        <v>6699</v>
      </c>
      <c r="D72" s="33">
        <v>1999</v>
      </c>
      <c r="E72" s="33">
        <v>1881</v>
      </c>
      <c r="F72" s="32">
        <v>911</v>
      </c>
      <c r="G72" s="32">
        <v>3789</v>
      </c>
      <c r="H72" s="32">
        <v>354</v>
      </c>
      <c r="I72" s="32">
        <v>3</v>
      </c>
    </row>
    <row r="73" spans="1:9" ht="12.75" customHeight="1">
      <c r="A73" s="8" t="s">
        <v>128</v>
      </c>
      <c r="B73" s="4" t="s">
        <v>129</v>
      </c>
      <c r="C73" s="33">
        <v>7596</v>
      </c>
      <c r="D73" s="33">
        <v>1942</v>
      </c>
      <c r="E73" s="33">
        <v>1900</v>
      </c>
      <c r="F73" s="32">
        <v>698</v>
      </c>
      <c r="G73" s="32">
        <v>4916</v>
      </c>
      <c r="H73" s="32">
        <v>649</v>
      </c>
      <c r="I73" s="32">
        <v>7</v>
      </c>
    </row>
    <row r="74" spans="1:9" ht="12.75" customHeight="1">
      <c r="A74" s="8" t="s">
        <v>130</v>
      </c>
      <c r="B74" s="4" t="s">
        <v>131</v>
      </c>
      <c r="C74" s="33">
        <v>8764</v>
      </c>
      <c r="D74" s="33">
        <v>3209</v>
      </c>
      <c r="E74" s="33">
        <v>2912</v>
      </c>
      <c r="F74" s="32">
        <v>725</v>
      </c>
      <c r="G74" s="32">
        <v>2926</v>
      </c>
      <c r="H74" s="32">
        <v>1309</v>
      </c>
      <c r="I74" s="32">
        <v>9</v>
      </c>
    </row>
    <row r="75" spans="1:9" ht="12.75" customHeight="1">
      <c r="A75" s="8" t="s">
        <v>132</v>
      </c>
      <c r="B75" s="4" t="s">
        <v>133</v>
      </c>
      <c r="C75" s="33">
        <v>3678</v>
      </c>
      <c r="D75" s="33">
        <v>928</v>
      </c>
      <c r="E75" s="33">
        <v>721</v>
      </c>
      <c r="F75" s="32">
        <v>546</v>
      </c>
      <c r="G75" s="32">
        <v>727</v>
      </c>
      <c r="H75" s="32">
        <v>3451</v>
      </c>
      <c r="I75" s="32">
        <v>4</v>
      </c>
    </row>
    <row r="76" spans="1:9" ht="12.75" customHeight="1">
      <c r="A76" s="10" t="s">
        <v>134</v>
      </c>
      <c r="B76" s="4" t="s">
        <v>135</v>
      </c>
      <c r="C76" s="33">
        <v>7755</v>
      </c>
      <c r="D76" s="33">
        <v>5134</v>
      </c>
      <c r="E76" s="33">
        <v>4260</v>
      </c>
      <c r="F76" s="32">
        <v>462</v>
      </c>
      <c r="G76" s="32">
        <v>2018</v>
      </c>
      <c r="H76" s="32">
        <v>655</v>
      </c>
      <c r="I76" s="32">
        <v>7</v>
      </c>
    </row>
    <row r="77" spans="1:9" ht="12.75" customHeight="1">
      <c r="A77" s="10" t="s">
        <v>136</v>
      </c>
      <c r="B77" s="4" t="s">
        <v>137</v>
      </c>
      <c r="C77" s="33">
        <v>12790</v>
      </c>
      <c r="D77" s="33">
        <v>2312</v>
      </c>
      <c r="E77" s="33">
        <v>1818</v>
      </c>
      <c r="F77" s="32">
        <v>658</v>
      </c>
      <c r="G77" s="32">
        <v>4151</v>
      </c>
      <c r="H77" s="32">
        <v>733</v>
      </c>
      <c r="I77" s="32">
        <v>10</v>
      </c>
    </row>
    <row r="78" spans="1:9" ht="12.75" customHeight="1">
      <c r="A78" s="10" t="s">
        <v>138</v>
      </c>
      <c r="B78" s="4" t="s">
        <v>139</v>
      </c>
      <c r="C78" s="33">
        <v>2599</v>
      </c>
      <c r="D78" s="33">
        <v>1828</v>
      </c>
      <c r="E78" s="33">
        <v>1827</v>
      </c>
      <c r="F78" s="32">
        <v>276</v>
      </c>
      <c r="G78" s="32">
        <v>495</v>
      </c>
      <c r="H78" s="32">
        <v>336</v>
      </c>
      <c r="I78" s="32">
        <v>3</v>
      </c>
    </row>
    <row r="79" spans="1:9" ht="12.75" customHeight="1">
      <c r="A79" s="10" t="s">
        <v>140</v>
      </c>
      <c r="B79" s="4" t="s">
        <v>141</v>
      </c>
      <c r="C79" s="33">
        <v>8276</v>
      </c>
      <c r="D79" s="33">
        <v>2108</v>
      </c>
      <c r="E79" s="33">
        <v>1813</v>
      </c>
      <c r="F79" s="32">
        <v>385</v>
      </c>
      <c r="G79" s="32">
        <v>3990</v>
      </c>
      <c r="H79" s="32">
        <v>611</v>
      </c>
      <c r="I79" s="32">
        <v>6</v>
      </c>
    </row>
    <row r="80" spans="1:9" ht="12.75" customHeight="1">
      <c r="A80" s="11"/>
      <c r="B80" s="6" t="s">
        <v>142</v>
      </c>
      <c r="C80" s="31">
        <f t="shared" ref="C80:I80" si="8">SUM(C70:C79)</f>
        <v>91316</v>
      </c>
      <c r="D80" s="31">
        <f t="shared" si="8"/>
        <v>36204</v>
      </c>
      <c r="E80" s="31">
        <f t="shared" si="8"/>
        <v>31394</v>
      </c>
      <c r="F80" s="31">
        <f t="shared" si="8"/>
        <v>6400</v>
      </c>
      <c r="G80" s="31">
        <f t="shared" si="8"/>
        <v>31749</v>
      </c>
      <c r="H80" s="31">
        <f t="shared" si="8"/>
        <v>12222</v>
      </c>
      <c r="I80" s="31">
        <f t="shared" si="8"/>
        <v>72</v>
      </c>
    </row>
    <row r="81" spans="1:9" ht="12.75" customHeight="1">
      <c r="A81" s="10" t="s">
        <v>143</v>
      </c>
      <c r="B81" s="4" t="s">
        <v>144</v>
      </c>
      <c r="C81" s="30">
        <v>16885</v>
      </c>
      <c r="D81" s="30">
        <v>10375</v>
      </c>
      <c r="E81" s="30">
        <v>3693</v>
      </c>
      <c r="F81" s="32">
        <v>383</v>
      </c>
      <c r="G81" s="32">
        <v>4367</v>
      </c>
      <c r="H81" s="32">
        <v>1774</v>
      </c>
      <c r="I81" s="32">
        <v>5</v>
      </c>
    </row>
    <row r="82" spans="1:9" ht="12.75" customHeight="1">
      <c r="A82" s="10" t="s">
        <v>145</v>
      </c>
      <c r="B82" s="4" t="s">
        <v>146</v>
      </c>
      <c r="C82" s="30">
        <v>5613</v>
      </c>
      <c r="D82" s="30">
        <v>3659</v>
      </c>
      <c r="E82" s="30">
        <v>2567</v>
      </c>
      <c r="F82" s="32">
        <v>174</v>
      </c>
      <c r="G82" s="32">
        <v>1417</v>
      </c>
      <c r="H82" s="32">
        <v>1560</v>
      </c>
      <c r="I82" s="32">
        <v>3</v>
      </c>
    </row>
    <row r="83" spans="1:9" ht="12.75" customHeight="1">
      <c r="A83" s="10" t="s">
        <v>147</v>
      </c>
      <c r="B83" s="4" t="s">
        <v>148</v>
      </c>
      <c r="C83" s="30">
        <v>2210</v>
      </c>
      <c r="D83" s="30">
        <v>432</v>
      </c>
      <c r="E83" s="30">
        <v>398</v>
      </c>
      <c r="F83" s="32">
        <v>147</v>
      </c>
      <c r="G83" s="32">
        <v>402</v>
      </c>
      <c r="H83" s="32">
        <v>238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9963</v>
      </c>
      <c r="D84" s="30">
        <v>4755</v>
      </c>
      <c r="E84" s="30">
        <v>1939</v>
      </c>
      <c r="F84" s="32">
        <v>738</v>
      </c>
      <c r="G84" s="32">
        <v>4358</v>
      </c>
      <c r="H84" s="32">
        <v>845</v>
      </c>
      <c r="I84" s="32">
        <v>4</v>
      </c>
    </row>
    <row r="85" spans="1:9" ht="12.75" customHeight="1">
      <c r="A85" s="10" t="s">
        <v>151</v>
      </c>
      <c r="B85" s="4" t="s">
        <v>152</v>
      </c>
      <c r="C85" s="30">
        <v>8132</v>
      </c>
      <c r="D85" s="30">
        <v>3548</v>
      </c>
      <c r="E85" s="30">
        <v>2515</v>
      </c>
      <c r="F85" s="32">
        <v>368</v>
      </c>
      <c r="G85" s="32">
        <v>3091</v>
      </c>
      <c r="H85" s="32">
        <v>660</v>
      </c>
      <c r="I85" s="32">
        <v>2</v>
      </c>
    </row>
    <row r="86" spans="1:9" ht="12.75" customHeight="1">
      <c r="A86" s="11"/>
      <c r="B86" s="6" t="s">
        <v>153</v>
      </c>
      <c r="C86" s="31">
        <f t="shared" ref="C86:I86" si="9">SUM(C81:C85)</f>
        <v>42803</v>
      </c>
      <c r="D86" s="31">
        <f t="shared" si="9"/>
        <v>22769</v>
      </c>
      <c r="E86" s="31">
        <f t="shared" si="9"/>
        <v>11112</v>
      </c>
      <c r="F86" s="31">
        <f t="shared" si="9"/>
        <v>1810</v>
      </c>
      <c r="G86" s="31">
        <f t="shared" si="9"/>
        <v>13635</v>
      </c>
      <c r="H86" s="31">
        <f t="shared" si="9"/>
        <v>5077</v>
      </c>
      <c r="I86" s="31">
        <f t="shared" si="9"/>
        <v>15</v>
      </c>
    </row>
    <row r="87" spans="1:9" ht="12.75" customHeight="1">
      <c r="A87" s="10" t="s">
        <v>154</v>
      </c>
      <c r="B87" s="4" t="s">
        <v>155</v>
      </c>
      <c r="C87" s="30">
        <v>19671</v>
      </c>
      <c r="D87" s="30">
        <v>7942</v>
      </c>
      <c r="E87" s="30">
        <v>7264</v>
      </c>
      <c r="F87" s="32">
        <v>889</v>
      </c>
      <c r="G87" s="32">
        <v>8075</v>
      </c>
      <c r="H87" s="32">
        <v>2287</v>
      </c>
      <c r="I87" s="32">
        <v>11</v>
      </c>
    </row>
    <row r="88" spans="1:9" ht="12.75" customHeight="1">
      <c r="A88" s="10" t="s">
        <v>156</v>
      </c>
      <c r="B88" s="4" t="s">
        <v>157</v>
      </c>
      <c r="C88" s="30">
        <v>14471</v>
      </c>
      <c r="D88" s="30">
        <v>4583</v>
      </c>
      <c r="E88" s="30">
        <v>4388</v>
      </c>
      <c r="F88" s="32">
        <v>331</v>
      </c>
      <c r="G88" s="32">
        <v>2304</v>
      </c>
      <c r="H88" s="32">
        <v>982</v>
      </c>
      <c r="I88" s="32">
        <v>4</v>
      </c>
    </row>
    <row r="89" spans="1:9" ht="12.75" customHeight="1">
      <c r="A89" s="11"/>
      <c r="B89" s="6" t="s">
        <v>158</v>
      </c>
      <c r="C89" s="31">
        <f t="shared" ref="C89:I89" si="10">SUM(C87:C88)</f>
        <v>34142</v>
      </c>
      <c r="D89" s="31">
        <f t="shared" si="10"/>
        <v>12525</v>
      </c>
      <c r="E89" s="31">
        <f t="shared" si="10"/>
        <v>11652</v>
      </c>
      <c r="F89" s="31">
        <f t="shared" si="10"/>
        <v>1220</v>
      </c>
      <c r="G89" s="31">
        <f t="shared" si="10"/>
        <v>10379</v>
      </c>
      <c r="H89" s="31">
        <f t="shared" si="10"/>
        <v>3269</v>
      </c>
      <c r="I89" s="31">
        <f t="shared" si="10"/>
        <v>15</v>
      </c>
    </row>
    <row r="90" spans="1:9" ht="12.75" customHeight="1">
      <c r="A90" s="10" t="s">
        <v>159</v>
      </c>
      <c r="B90" s="4" t="s">
        <v>160</v>
      </c>
      <c r="C90" s="30">
        <v>27795</v>
      </c>
      <c r="D90" s="30">
        <v>9660</v>
      </c>
      <c r="E90" s="30">
        <v>6079</v>
      </c>
      <c r="F90" s="32">
        <v>811</v>
      </c>
      <c r="G90" s="32">
        <v>9547</v>
      </c>
      <c r="H90" s="32">
        <v>1082</v>
      </c>
      <c r="I90" s="32">
        <v>11</v>
      </c>
    </row>
    <row r="91" spans="1:9" ht="12.75" customHeight="1">
      <c r="A91" s="10" t="s">
        <v>161</v>
      </c>
      <c r="B91" s="4" t="s">
        <v>162</v>
      </c>
      <c r="C91" s="30">
        <v>13954</v>
      </c>
      <c r="D91" s="30">
        <v>3990</v>
      </c>
      <c r="E91" s="30">
        <v>3832</v>
      </c>
      <c r="F91" s="32">
        <v>1247</v>
      </c>
      <c r="G91" s="32">
        <v>4803</v>
      </c>
      <c r="H91" s="32">
        <v>1044</v>
      </c>
      <c r="I91" s="32">
        <v>9</v>
      </c>
    </row>
    <row r="92" spans="1:9" ht="12.75" customHeight="1">
      <c r="A92" s="10" t="s">
        <v>163</v>
      </c>
      <c r="B92" s="4" t="s">
        <v>164</v>
      </c>
      <c r="C92" s="30">
        <v>5311</v>
      </c>
      <c r="D92" s="30">
        <v>1954</v>
      </c>
      <c r="E92" s="30">
        <v>1931</v>
      </c>
      <c r="F92" s="32">
        <v>521</v>
      </c>
      <c r="G92" s="32">
        <v>2825</v>
      </c>
      <c r="H92" s="32">
        <v>87</v>
      </c>
      <c r="I92" s="32">
        <v>2</v>
      </c>
    </row>
    <row r="93" spans="1:9" ht="12.75" customHeight="1">
      <c r="A93" s="10" t="s">
        <v>165</v>
      </c>
      <c r="B93" s="4" t="s">
        <v>166</v>
      </c>
      <c r="C93" s="30">
        <v>207387</v>
      </c>
      <c r="D93" s="30">
        <v>146118</v>
      </c>
      <c r="E93" s="30">
        <v>65184</v>
      </c>
      <c r="F93" s="32">
        <v>2928</v>
      </c>
      <c r="G93" s="32">
        <v>24259</v>
      </c>
      <c r="H93" s="32">
        <v>10779</v>
      </c>
      <c r="I93" s="32">
        <v>74</v>
      </c>
    </row>
    <row r="94" spans="1:9" ht="12.75" customHeight="1">
      <c r="A94" s="10" t="s">
        <v>167</v>
      </c>
      <c r="B94" s="4" t="s">
        <v>168</v>
      </c>
      <c r="C94" s="30">
        <v>12087</v>
      </c>
      <c r="D94" s="30">
        <v>3054</v>
      </c>
      <c r="E94" s="30">
        <v>2768</v>
      </c>
      <c r="F94" s="32">
        <v>761</v>
      </c>
      <c r="G94" s="32">
        <v>4590</v>
      </c>
      <c r="H94" s="32">
        <v>462</v>
      </c>
      <c r="I94" s="32">
        <v>3</v>
      </c>
    </row>
    <row r="95" spans="1:9" ht="12.75" customHeight="1">
      <c r="A95" s="11"/>
      <c r="B95" s="6" t="s">
        <v>169</v>
      </c>
      <c r="C95" s="31">
        <f t="shared" ref="C95:I95" si="11">SUM(C90:C94)</f>
        <v>266534</v>
      </c>
      <c r="D95" s="31">
        <f t="shared" si="11"/>
        <v>164776</v>
      </c>
      <c r="E95" s="31">
        <f t="shared" si="11"/>
        <v>79794</v>
      </c>
      <c r="F95" s="31">
        <f t="shared" si="11"/>
        <v>6268</v>
      </c>
      <c r="G95" s="31">
        <f t="shared" si="11"/>
        <v>46024</v>
      </c>
      <c r="H95" s="31">
        <f t="shared" si="11"/>
        <v>13454</v>
      </c>
      <c r="I95" s="31">
        <f t="shared" si="11"/>
        <v>99</v>
      </c>
    </row>
    <row r="96" spans="1:9" ht="12.75" customHeight="1">
      <c r="A96" s="10" t="s">
        <v>170</v>
      </c>
      <c r="B96" s="4" t="s">
        <v>171</v>
      </c>
      <c r="C96" s="30">
        <v>2912</v>
      </c>
      <c r="D96" s="30">
        <v>1416</v>
      </c>
      <c r="E96" s="30">
        <v>1358</v>
      </c>
      <c r="F96" s="32">
        <v>104</v>
      </c>
      <c r="G96" s="32">
        <v>1392</v>
      </c>
      <c r="H96" s="32">
        <v>2282</v>
      </c>
      <c r="I96" s="32">
        <v>5</v>
      </c>
    </row>
    <row r="97" spans="1:9" ht="12.75" customHeight="1">
      <c r="A97" s="10" t="s">
        <v>172</v>
      </c>
      <c r="B97" s="4" t="s">
        <v>173</v>
      </c>
      <c r="C97" s="30">
        <v>1972</v>
      </c>
      <c r="D97" s="30">
        <v>451</v>
      </c>
      <c r="E97" s="30">
        <v>283</v>
      </c>
      <c r="F97" s="32">
        <v>64</v>
      </c>
      <c r="G97" s="32">
        <v>607</v>
      </c>
      <c r="H97" s="32">
        <v>102</v>
      </c>
      <c r="I97" s="32">
        <v>1</v>
      </c>
    </row>
    <row r="98" spans="1:9" ht="12.75" customHeight="1">
      <c r="A98" s="11"/>
      <c r="B98" s="6" t="s">
        <v>174</v>
      </c>
      <c r="C98" s="31">
        <f t="shared" ref="C98:I98" si="12">SUM(C96:C97)</f>
        <v>4884</v>
      </c>
      <c r="D98" s="31">
        <f t="shared" si="12"/>
        <v>1867</v>
      </c>
      <c r="E98" s="31">
        <f t="shared" si="12"/>
        <v>1641</v>
      </c>
      <c r="F98" s="31">
        <f t="shared" si="12"/>
        <v>168</v>
      </c>
      <c r="G98" s="31">
        <f t="shared" si="12"/>
        <v>1999</v>
      </c>
      <c r="H98" s="31">
        <f t="shared" si="12"/>
        <v>2384</v>
      </c>
      <c r="I98" s="31">
        <f t="shared" si="12"/>
        <v>6</v>
      </c>
    </row>
    <row r="99" spans="1:9" ht="12.75" customHeight="1">
      <c r="A99" s="10" t="s">
        <v>175</v>
      </c>
      <c r="B99" s="4" t="s">
        <v>176</v>
      </c>
      <c r="C99" s="30">
        <v>9656</v>
      </c>
      <c r="D99" s="30">
        <v>4877</v>
      </c>
      <c r="E99" s="30">
        <v>1866</v>
      </c>
      <c r="F99" s="32">
        <v>542</v>
      </c>
      <c r="G99" s="32">
        <v>3144</v>
      </c>
      <c r="H99" s="32">
        <v>1259</v>
      </c>
      <c r="I99" s="32">
        <v>8</v>
      </c>
    </row>
    <row r="100" spans="1:9" ht="12.75" customHeight="1">
      <c r="A100" s="10" t="s">
        <v>177</v>
      </c>
      <c r="B100" s="4" t="s">
        <v>178</v>
      </c>
      <c r="C100" s="30">
        <v>4022</v>
      </c>
      <c r="D100" s="30">
        <v>2054</v>
      </c>
      <c r="E100" s="30">
        <v>1517</v>
      </c>
      <c r="F100" s="32">
        <v>262</v>
      </c>
      <c r="G100" s="32">
        <v>1666</v>
      </c>
      <c r="H100" s="32">
        <v>683</v>
      </c>
      <c r="I100" s="32">
        <v>4</v>
      </c>
    </row>
    <row r="101" spans="1:9" ht="12.75" customHeight="1">
      <c r="A101" s="10" t="s">
        <v>179</v>
      </c>
      <c r="B101" s="4" t="s">
        <v>180</v>
      </c>
      <c r="C101" s="30">
        <v>11254</v>
      </c>
      <c r="D101" s="30">
        <v>5817</v>
      </c>
      <c r="E101" s="30">
        <v>1128</v>
      </c>
      <c r="F101" s="32">
        <v>785</v>
      </c>
      <c r="G101" s="32">
        <v>3783</v>
      </c>
      <c r="H101" s="32">
        <v>846</v>
      </c>
      <c r="I101" s="32">
        <v>1</v>
      </c>
    </row>
    <row r="102" spans="1:9" ht="12.75" customHeight="1">
      <c r="A102" s="10" t="s">
        <v>181</v>
      </c>
      <c r="B102" s="4" t="s">
        <v>182</v>
      </c>
      <c r="C102" s="30">
        <v>5802</v>
      </c>
      <c r="D102" s="30">
        <v>3378</v>
      </c>
      <c r="E102" s="30">
        <v>2767</v>
      </c>
      <c r="F102" s="32">
        <v>289</v>
      </c>
      <c r="G102" s="32">
        <v>2122</v>
      </c>
      <c r="H102" s="32">
        <v>1658</v>
      </c>
      <c r="I102" s="32">
        <v>6</v>
      </c>
    </row>
    <row r="103" spans="1:9" ht="12.75" customHeight="1">
      <c r="A103" s="11"/>
      <c r="B103" s="6" t="s">
        <v>183</v>
      </c>
      <c r="C103" s="31">
        <f t="shared" ref="C103:I103" si="13">SUM(C99:C102)</f>
        <v>30734</v>
      </c>
      <c r="D103" s="31">
        <f t="shared" si="13"/>
        <v>16126</v>
      </c>
      <c r="E103" s="31">
        <f t="shared" si="13"/>
        <v>7278</v>
      </c>
      <c r="F103" s="31">
        <f t="shared" si="13"/>
        <v>1878</v>
      </c>
      <c r="G103" s="31">
        <f t="shared" si="13"/>
        <v>10715</v>
      </c>
      <c r="H103" s="31">
        <f t="shared" si="13"/>
        <v>4446</v>
      </c>
      <c r="I103" s="31">
        <f t="shared" si="13"/>
        <v>19</v>
      </c>
    </row>
    <row r="104" spans="1:9" ht="12.75" customHeight="1">
      <c r="A104" s="10" t="s">
        <v>184</v>
      </c>
      <c r="B104" s="4" t="s">
        <v>185</v>
      </c>
      <c r="C104" s="30">
        <v>7537</v>
      </c>
      <c r="D104" s="30">
        <v>2592</v>
      </c>
      <c r="E104" s="30">
        <v>598</v>
      </c>
      <c r="F104" s="32">
        <v>297</v>
      </c>
      <c r="G104" s="32">
        <v>1380</v>
      </c>
      <c r="H104" s="32">
        <v>2263</v>
      </c>
      <c r="I104" s="32">
        <v>6</v>
      </c>
    </row>
    <row r="105" spans="1:9" ht="12.75" customHeight="1">
      <c r="A105" s="10" t="s">
        <v>186</v>
      </c>
      <c r="B105" s="4" t="s">
        <v>187</v>
      </c>
      <c r="C105" s="30">
        <v>8389</v>
      </c>
      <c r="D105" s="30">
        <v>1949</v>
      </c>
      <c r="E105" s="30">
        <v>704</v>
      </c>
      <c r="F105" s="32">
        <v>684</v>
      </c>
      <c r="G105" s="32">
        <v>1814</v>
      </c>
      <c r="H105" s="32">
        <v>558</v>
      </c>
      <c r="I105" s="32">
        <v>3</v>
      </c>
    </row>
    <row r="106" spans="1:9" ht="12.75" customHeight="1">
      <c r="A106" s="10" t="s">
        <v>188</v>
      </c>
      <c r="B106" s="4" t="s">
        <v>189</v>
      </c>
      <c r="C106" s="30">
        <v>42170</v>
      </c>
      <c r="D106" s="30">
        <v>22050</v>
      </c>
      <c r="E106" s="30">
        <v>6292</v>
      </c>
      <c r="F106" s="32">
        <v>1072</v>
      </c>
      <c r="G106" s="32">
        <v>5600</v>
      </c>
      <c r="H106" s="32">
        <v>1549</v>
      </c>
      <c r="I106" s="32">
        <v>8</v>
      </c>
    </row>
    <row r="107" spans="1:9" ht="12.75" customHeight="1">
      <c r="A107" s="10" t="s">
        <v>190</v>
      </c>
      <c r="B107" s="4" t="s">
        <v>191</v>
      </c>
      <c r="C107" s="30">
        <v>121619</v>
      </c>
      <c r="D107" s="30">
        <v>61523</v>
      </c>
      <c r="E107" s="30">
        <v>8454</v>
      </c>
      <c r="F107" s="32">
        <v>8389</v>
      </c>
      <c r="G107" s="32">
        <v>7802</v>
      </c>
      <c r="H107" s="32">
        <v>6381</v>
      </c>
      <c r="I107" s="32">
        <v>16</v>
      </c>
    </row>
    <row r="108" spans="1:9" ht="12.75" customHeight="1">
      <c r="A108" s="10" t="s">
        <v>192</v>
      </c>
      <c r="B108" s="4" t="s">
        <v>193</v>
      </c>
      <c r="C108" s="30">
        <v>40121</v>
      </c>
      <c r="D108" s="30">
        <v>11996</v>
      </c>
      <c r="E108" s="30">
        <v>3305</v>
      </c>
      <c r="F108" s="32">
        <v>3000</v>
      </c>
      <c r="G108" s="32">
        <v>5654</v>
      </c>
      <c r="H108" s="32">
        <v>3041</v>
      </c>
      <c r="I108" s="32">
        <v>11</v>
      </c>
    </row>
    <row r="109" spans="1:9" ht="12.75" customHeight="1">
      <c r="A109" s="11"/>
      <c r="B109" s="6" t="s">
        <v>194</v>
      </c>
      <c r="C109" s="31">
        <f t="shared" ref="C109:I109" si="14">SUM(C104:C108)</f>
        <v>219836</v>
      </c>
      <c r="D109" s="31">
        <f t="shared" si="14"/>
        <v>100110</v>
      </c>
      <c r="E109" s="31">
        <f t="shared" si="14"/>
        <v>19353</v>
      </c>
      <c r="F109" s="31">
        <f t="shared" si="14"/>
        <v>13442</v>
      </c>
      <c r="G109" s="31">
        <f t="shared" si="14"/>
        <v>22250</v>
      </c>
      <c r="H109" s="31">
        <f t="shared" si="14"/>
        <v>13792</v>
      </c>
      <c r="I109" s="31">
        <f t="shared" si="14"/>
        <v>44</v>
      </c>
    </row>
    <row r="110" spans="1:9" ht="12.75" customHeight="1">
      <c r="A110" s="3" t="s">
        <v>195</v>
      </c>
      <c r="B110" s="4" t="s">
        <v>196</v>
      </c>
      <c r="C110" s="30">
        <v>25267</v>
      </c>
      <c r="D110" s="30">
        <v>12475</v>
      </c>
      <c r="E110" s="30">
        <v>8276</v>
      </c>
      <c r="F110" s="32">
        <v>2278</v>
      </c>
      <c r="G110" s="32">
        <v>5645</v>
      </c>
      <c r="H110" s="32">
        <v>3400</v>
      </c>
      <c r="I110" s="32">
        <v>10</v>
      </c>
    </row>
    <row r="111" spans="1:9" ht="12.75" customHeight="1">
      <c r="A111" s="3" t="s">
        <v>197</v>
      </c>
      <c r="B111" s="4" t="s">
        <v>198</v>
      </c>
      <c r="C111" s="30">
        <v>2517</v>
      </c>
      <c r="D111" s="30">
        <v>1332</v>
      </c>
      <c r="E111" s="30">
        <v>1299</v>
      </c>
      <c r="F111" s="32">
        <v>256</v>
      </c>
      <c r="G111" s="32">
        <v>929</v>
      </c>
      <c r="H111" s="32">
        <v>135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7045</v>
      </c>
      <c r="D112" s="30">
        <v>3302</v>
      </c>
      <c r="E112" s="30">
        <v>2073</v>
      </c>
      <c r="F112" s="32">
        <v>1004</v>
      </c>
      <c r="G112" s="32">
        <v>1726</v>
      </c>
      <c r="H112" s="32">
        <v>627</v>
      </c>
      <c r="I112" s="32">
        <v>5</v>
      </c>
    </row>
    <row r="113" spans="1:9" ht="12.75" customHeight="1">
      <c r="A113" s="3" t="s">
        <v>201</v>
      </c>
      <c r="B113" s="4" t="s">
        <v>202</v>
      </c>
      <c r="C113" s="30">
        <v>18041</v>
      </c>
      <c r="D113" s="30">
        <v>7745</v>
      </c>
      <c r="E113" s="30">
        <v>1810</v>
      </c>
      <c r="F113" s="32">
        <v>1320</v>
      </c>
      <c r="G113" s="32">
        <v>3601</v>
      </c>
      <c r="H113" s="32">
        <v>2312</v>
      </c>
      <c r="I113" s="32">
        <v>2</v>
      </c>
    </row>
    <row r="114" spans="1:9" ht="12.75" customHeight="1">
      <c r="A114" s="3" t="s">
        <v>203</v>
      </c>
      <c r="B114" s="4" t="s">
        <v>204</v>
      </c>
      <c r="C114" s="30">
        <v>20533</v>
      </c>
      <c r="D114" s="30">
        <v>9750</v>
      </c>
      <c r="E114" s="30">
        <v>4828</v>
      </c>
      <c r="F114" s="32">
        <v>1919</v>
      </c>
      <c r="G114" s="32">
        <v>2049</v>
      </c>
      <c r="H114" s="32">
        <v>1095</v>
      </c>
      <c r="I114" s="32">
        <v>17</v>
      </c>
    </row>
    <row r="115" spans="1:9" ht="12.75" customHeight="1">
      <c r="A115" s="3" t="s">
        <v>205</v>
      </c>
      <c r="B115" s="4" t="s">
        <v>206</v>
      </c>
      <c r="C115" s="30">
        <v>7245</v>
      </c>
      <c r="D115" s="30">
        <v>4246</v>
      </c>
      <c r="E115" s="30">
        <v>2985</v>
      </c>
      <c r="F115" s="32">
        <v>1066</v>
      </c>
      <c r="G115" s="32">
        <v>1742</v>
      </c>
      <c r="H115" s="32">
        <v>5533</v>
      </c>
      <c r="I115" s="32">
        <v>4</v>
      </c>
    </row>
    <row r="116" spans="1:9" ht="12.75" customHeight="1">
      <c r="A116" s="5"/>
      <c r="B116" s="6" t="s">
        <v>207</v>
      </c>
      <c r="C116" s="31">
        <f t="shared" ref="C116:I116" si="15">SUM(C110:C115)</f>
        <v>80648</v>
      </c>
      <c r="D116" s="31">
        <f t="shared" si="15"/>
        <v>38850</v>
      </c>
      <c r="E116" s="31">
        <f t="shared" si="15"/>
        <v>21271</v>
      </c>
      <c r="F116" s="31">
        <f t="shared" si="15"/>
        <v>7843</v>
      </c>
      <c r="G116" s="31">
        <f t="shared" si="15"/>
        <v>15692</v>
      </c>
      <c r="H116" s="31">
        <f t="shared" si="15"/>
        <v>13102</v>
      </c>
      <c r="I116" s="31">
        <f t="shared" si="15"/>
        <v>38</v>
      </c>
    </row>
    <row r="117" spans="1:9" ht="12.75" customHeight="1">
      <c r="A117" s="3" t="s">
        <v>208</v>
      </c>
      <c r="B117" s="4" t="s">
        <v>209</v>
      </c>
      <c r="C117" s="30">
        <v>2048</v>
      </c>
      <c r="D117" s="30">
        <v>943</v>
      </c>
      <c r="E117" s="30">
        <v>642</v>
      </c>
      <c r="F117" s="32">
        <v>130</v>
      </c>
      <c r="G117" s="32">
        <v>943</v>
      </c>
      <c r="H117" s="32">
        <v>417</v>
      </c>
      <c r="I117" s="32">
        <v>1</v>
      </c>
    </row>
    <row r="118" spans="1:9" ht="12.75" customHeight="1">
      <c r="A118" s="3" t="s">
        <v>210</v>
      </c>
      <c r="B118" s="4" t="s">
        <v>211</v>
      </c>
      <c r="C118" s="34">
        <v>7297</v>
      </c>
      <c r="D118" s="34">
        <v>2077</v>
      </c>
      <c r="E118" s="30">
        <v>1730</v>
      </c>
      <c r="F118" s="32">
        <v>1197</v>
      </c>
      <c r="G118" s="32">
        <v>2974</v>
      </c>
      <c r="H118" s="32">
        <v>909</v>
      </c>
      <c r="I118" s="32">
        <v>3</v>
      </c>
    </row>
    <row r="119" spans="1:9" ht="12.75" customHeight="1">
      <c r="A119" s="5"/>
      <c r="B119" s="6" t="s">
        <v>212</v>
      </c>
      <c r="C119" s="31">
        <f t="shared" ref="C119:I119" si="16">SUM(C117:C118)</f>
        <v>9345</v>
      </c>
      <c r="D119" s="31">
        <f t="shared" si="16"/>
        <v>3020</v>
      </c>
      <c r="E119" s="31">
        <f t="shared" si="16"/>
        <v>2372</v>
      </c>
      <c r="F119" s="31">
        <f t="shared" si="16"/>
        <v>1327</v>
      </c>
      <c r="G119" s="31">
        <f t="shared" si="16"/>
        <v>3917</v>
      </c>
      <c r="H119" s="31">
        <f t="shared" si="16"/>
        <v>1326</v>
      </c>
      <c r="I119" s="31">
        <f t="shared" si="16"/>
        <v>4</v>
      </c>
    </row>
    <row r="120" spans="1:9" ht="12.75" customHeight="1">
      <c r="A120" s="3" t="s">
        <v>213</v>
      </c>
      <c r="B120" s="4" t="s">
        <v>214</v>
      </c>
      <c r="C120" s="30">
        <v>10451</v>
      </c>
      <c r="D120" s="30">
        <v>2732</v>
      </c>
      <c r="E120" s="30">
        <v>1554</v>
      </c>
      <c r="F120" s="32">
        <v>2255</v>
      </c>
      <c r="G120" s="32">
        <v>2933</v>
      </c>
      <c r="H120" s="32">
        <v>296</v>
      </c>
      <c r="I120" s="32">
        <v>3</v>
      </c>
    </row>
    <row r="121" spans="1:9" ht="12.75" customHeight="1">
      <c r="A121" s="3" t="s">
        <v>215</v>
      </c>
      <c r="B121" s="4" t="s">
        <v>216</v>
      </c>
      <c r="C121" s="30">
        <v>12687</v>
      </c>
      <c r="D121" s="30">
        <v>2231</v>
      </c>
      <c r="E121" s="30">
        <v>1747</v>
      </c>
      <c r="F121" s="32">
        <v>3297</v>
      </c>
      <c r="G121" s="32">
        <v>5236</v>
      </c>
      <c r="H121" s="32">
        <v>736</v>
      </c>
      <c r="I121" s="32">
        <v>11</v>
      </c>
    </row>
    <row r="122" spans="1:9" ht="12.75" customHeight="1">
      <c r="A122" s="3" t="s">
        <v>217</v>
      </c>
      <c r="B122" s="4" t="s">
        <v>218</v>
      </c>
      <c r="C122" s="30">
        <v>4352</v>
      </c>
      <c r="D122" s="30">
        <v>987</v>
      </c>
      <c r="E122" s="30">
        <v>327</v>
      </c>
      <c r="F122" s="32">
        <v>577</v>
      </c>
      <c r="G122" s="32">
        <v>1124</v>
      </c>
      <c r="H122" s="32">
        <v>193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11558</v>
      </c>
      <c r="D123" s="30">
        <v>2807</v>
      </c>
      <c r="E123" s="30">
        <v>1584</v>
      </c>
      <c r="F123" s="32">
        <v>4240</v>
      </c>
      <c r="G123" s="32">
        <v>3529</v>
      </c>
      <c r="H123" s="32">
        <v>573</v>
      </c>
      <c r="I123" s="32">
        <v>11</v>
      </c>
    </row>
    <row r="124" spans="1:9" ht="12.75" customHeight="1">
      <c r="A124" s="3" t="s">
        <v>221</v>
      </c>
      <c r="B124" s="4" t="s">
        <v>222</v>
      </c>
      <c r="C124" s="30">
        <v>3745</v>
      </c>
      <c r="D124" s="30">
        <v>411</v>
      </c>
      <c r="E124" s="30">
        <v>330</v>
      </c>
      <c r="F124" s="32">
        <v>332</v>
      </c>
      <c r="G124" s="32">
        <v>1050</v>
      </c>
      <c r="H124" s="32">
        <v>81</v>
      </c>
      <c r="I124" s="32">
        <v>2</v>
      </c>
    </row>
    <row r="125" spans="1:9" ht="12.75" customHeight="1">
      <c r="A125" s="5"/>
      <c r="B125" s="6" t="s">
        <v>223</v>
      </c>
      <c r="C125" s="31">
        <f t="shared" ref="C125:I125" si="17">SUM(C120:C124)</f>
        <v>42793</v>
      </c>
      <c r="D125" s="31">
        <f t="shared" si="17"/>
        <v>9168</v>
      </c>
      <c r="E125" s="31">
        <f t="shared" si="17"/>
        <v>5542</v>
      </c>
      <c r="F125" s="31">
        <f t="shared" si="17"/>
        <v>10701</v>
      </c>
      <c r="G125" s="31">
        <f t="shared" si="17"/>
        <v>13872</v>
      </c>
      <c r="H125" s="31">
        <f t="shared" si="17"/>
        <v>1879</v>
      </c>
      <c r="I125" s="31">
        <f t="shared" si="17"/>
        <v>28</v>
      </c>
    </row>
    <row r="126" spans="1:9" ht="12.75" customHeight="1">
      <c r="A126" s="3" t="s">
        <v>224</v>
      </c>
      <c r="B126" s="4" t="s">
        <v>225</v>
      </c>
      <c r="C126" s="30">
        <v>5620</v>
      </c>
      <c r="D126" s="30">
        <v>462</v>
      </c>
      <c r="E126" s="30">
        <v>139</v>
      </c>
      <c r="F126" s="32">
        <v>3129</v>
      </c>
      <c r="G126" s="32">
        <v>1607</v>
      </c>
      <c r="H126" s="32">
        <v>553</v>
      </c>
      <c r="I126" s="32">
        <v>7</v>
      </c>
    </row>
    <row r="127" spans="1:9" ht="12.75" customHeight="1">
      <c r="A127" s="3" t="s">
        <v>226</v>
      </c>
      <c r="B127" s="4" t="s">
        <v>227</v>
      </c>
      <c r="C127" s="30">
        <v>1859</v>
      </c>
      <c r="D127" s="30">
        <v>526</v>
      </c>
      <c r="E127" s="30">
        <v>118</v>
      </c>
      <c r="F127" s="32">
        <v>732</v>
      </c>
      <c r="G127" s="32">
        <v>600</v>
      </c>
      <c r="H127" s="32">
        <v>251</v>
      </c>
      <c r="I127" s="32">
        <v>2</v>
      </c>
    </row>
    <row r="128" spans="1:9" ht="12.75" customHeight="1">
      <c r="A128" s="3" t="s">
        <v>228</v>
      </c>
      <c r="B128" s="4" t="s">
        <v>229</v>
      </c>
      <c r="C128" s="30">
        <v>29486</v>
      </c>
      <c r="D128" s="30">
        <v>11148</v>
      </c>
      <c r="E128" s="30">
        <v>1527</v>
      </c>
      <c r="F128" s="32">
        <v>13097</v>
      </c>
      <c r="G128" s="32">
        <v>3003</v>
      </c>
      <c r="H128" s="32">
        <v>1099</v>
      </c>
      <c r="I128" s="32">
        <v>11</v>
      </c>
    </row>
    <row r="129" spans="1:9" ht="12.75" customHeight="1">
      <c r="A129" s="3" t="s">
        <v>230</v>
      </c>
      <c r="B129" s="4" t="s">
        <v>231</v>
      </c>
      <c r="C129" s="30">
        <v>14743</v>
      </c>
      <c r="D129" s="30">
        <v>5161</v>
      </c>
      <c r="E129" s="30">
        <v>504</v>
      </c>
      <c r="F129" s="32">
        <v>717</v>
      </c>
      <c r="G129" s="32">
        <v>353</v>
      </c>
      <c r="H129" s="32">
        <v>242</v>
      </c>
      <c r="I129" s="32">
        <v>1</v>
      </c>
    </row>
    <row r="130" spans="1:9" ht="12.75" customHeight="1">
      <c r="A130" s="3" t="s">
        <v>232</v>
      </c>
      <c r="B130" s="4" t="s">
        <v>233</v>
      </c>
      <c r="C130" s="30">
        <v>11338</v>
      </c>
      <c r="D130" s="30">
        <v>5499</v>
      </c>
      <c r="E130" s="30">
        <v>4267</v>
      </c>
      <c r="F130" s="32">
        <v>3254</v>
      </c>
      <c r="G130" s="32">
        <v>2585</v>
      </c>
      <c r="H130" s="32">
        <v>793</v>
      </c>
      <c r="I130" s="32">
        <v>13</v>
      </c>
    </row>
    <row r="131" spans="1:9" ht="12.75" customHeight="1">
      <c r="A131" s="3" t="s">
        <v>234</v>
      </c>
      <c r="B131" s="4" t="s">
        <v>235</v>
      </c>
      <c r="C131" s="30">
        <v>29401</v>
      </c>
      <c r="D131" s="30">
        <v>13354</v>
      </c>
      <c r="E131" s="30">
        <v>6165</v>
      </c>
      <c r="F131" s="32">
        <v>11662</v>
      </c>
      <c r="G131" s="32">
        <v>3413</v>
      </c>
      <c r="H131" s="32">
        <v>838</v>
      </c>
      <c r="I131" s="32">
        <v>8</v>
      </c>
    </row>
    <row r="132" spans="1:9" ht="12.75" customHeight="1">
      <c r="A132" s="3" t="s">
        <v>236</v>
      </c>
      <c r="B132" s="4" t="s">
        <v>237</v>
      </c>
      <c r="C132" s="30">
        <v>13687</v>
      </c>
      <c r="D132" s="30">
        <v>3665</v>
      </c>
      <c r="E132" s="30">
        <v>659</v>
      </c>
      <c r="F132" s="32">
        <v>7604</v>
      </c>
      <c r="G132" s="32">
        <v>993</v>
      </c>
      <c r="H132" s="32">
        <v>799</v>
      </c>
      <c r="I132" s="32">
        <v>4</v>
      </c>
    </row>
    <row r="133" spans="1:9" ht="12.75" customHeight="1">
      <c r="A133" s="3" t="s">
        <v>238</v>
      </c>
      <c r="B133" s="4" t="s">
        <v>239</v>
      </c>
      <c r="C133" s="30">
        <v>8934</v>
      </c>
      <c r="D133" s="30">
        <v>3378</v>
      </c>
      <c r="E133" s="30">
        <v>1498</v>
      </c>
      <c r="F133" s="32">
        <v>3787</v>
      </c>
      <c r="G133" s="32">
        <v>1769</v>
      </c>
      <c r="H133" s="32">
        <v>790</v>
      </c>
      <c r="I133" s="32">
        <v>6</v>
      </c>
    </row>
    <row r="134" spans="1:9" ht="12.75" customHeight="1">
      <c r="A134" s="3" t="s">
        <v>240</v>
      </c>
      <c r="B134" s="4" t="s">
        <v>241</v>
      </c>
      <c r="C134" s="30">
        <v>7294</v>
      </c>
      <c r="D134" s="30">
        <v>1123</v>
      </c>
      <c r="E134" s="30">
        <v>857</v>
      </c>
      <c r="F134" s="32">
        <v>4456</v>
      </c>
      <c r="G134" s="32">
        <v>1715</v>
      </c>
      <c r="H134" s="32">
        <v>579</v>
      </c>
      <c r="I134" s="32">
        <v>6</v>
      </c>
    </row>
    <row r="135" spans="1:9" ht="12.75" customHeight="1">
      <c r="A135" s="7"/>
      <c r="B135" s="6" t="s">
        <v>242</v>
      </c>
      <c r="C135" s="31">
        <f t="shared" ref="C135:I135" si="18">SUM(C126:C134)</f>
        <v>122362</v>
      </c>
      <c r="D135" s="31">
        <f t="shared" si="18"/>
        <v>44316</v>
      </c>
      <c r="E135" s="31">
        <f t="shared" si="18"/>
        <v>15734</v>
      </c>
      <c r="F135" s="31">
        <f t="shared" si="18"/>
        <v>48438</v>
      </c>
      <c r="G135" s="31">
        <f t="shared" si="18"/>
        <v>16038</v>
      </c>
      <c r="H135" s="31">
        <f t="shared" si="18"/>
        <v>5944</v>
      </c>
      <c r="I135" s="31">
        <f t="shared" si="18"/>
        <v>58</v>
      </c>
    </row>
    <row r="136" spans="1:9" ht="12.75" customHeight="1">
      <c r="A136" s="3" t="s">
        <v>243</v>
      </c>
      <c r="B136" s="4" t="s">
        <v>244</v>
      </c>
      <c r="C136" s="30">
        <v>34606</v>
      </c>
      <c r="D136" s="30">
        <v>3087</v>
      </c>
      <c r="E136" s="30">
        <v>2035</v>
      </c>
      <c r="F136" s="32">
        <v>14749</v>
      </c>
      <c r="G136" s="32">
        <v>5423</v>
      </c>
      <c r="H136" s="32">
        <v>2607</v>
      </c>
      <c r="I136" s="32">
        <v>7</v>
      </c>
    </row>
    <row r="137" spans="1:9" ht="12.75" customHeight="1">
      <c r="A137" s="3" t="s">
        <v>245</v>
      </c>
      <c r="B137" s="4" t="s">
        <v>246</v>
      </c>
      <c r="C137" s="30">
        <v>4354</v>
      </c>
      <c r="D137" s="30">
        <v>212</v>
      </c>
      <c r="E137" s="30">
        <v>212</v>
      </c>
      <c r="F137" s="32">
        <v>997</v>
      </c>
      <c r="G137" s="32">
        <v>3145</v>
      </c>
      <c r="H137" s="32">
        <v>25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4504</v>
      </c>
      <c r="D138" s="30">
        <v>67</v>
      </c>
      <c r="E138" s="30">
        <v>67</v>
      </c>
      <c r="F138" s="32">
        <v>915</v>
      </c>
      <c r="G138" s="32">
        <v>3521</v>
      </c>
      <c r="H138" s="32">
        <v>24</v>
      </c>
      <c r="I138" s="32">
        <v>1</v>
      </c>
    </row>
    <row r="139" spans="1:9" ht="12.75" customHeight="1">
      <c r="A139" s="3" t="s">
        <v>249</v>
      </c>
      <c r="B139" s="4" t="s">
        <v>250</v>
      </c>
      <c r="C139" s="30">
        <v>8112</v>
      </c>
      <c r="D139" s="30">
        <v>571</v>
      </c>
      <c r="E139" s="30">
        <v>237</v>
      </c>
      <c r="F139" s="32">
        <v>2006</v>
      </c>
      <c r="G139" s="32">
        <v>1478</v>
      </c>
      <c r="H139" s="32">
        <v>94</v>
      </c>
      <c r="I139" s="32">
        <v>4</v>
      </c>
    </row>
    <row r="140" spans="1:9" ht="12.75" customHeight="1">
      <c r="A140" s="3" t="s">
        <v>251</v>
      </c>
      <c r="B140" s="4" t="s">
        <v>252</v>
      </c>
      <c r="C140" s="30">
        <v>2436</v>
      </c>
      <c r="D140" s="30">
        <v>0</v>
      </c>
      <c r="E140" s="30">
        <v>0</v>
      </c>
      <c r="F140" s="32">
        <v>710</v>
      </c>
      <c r="G140" s="32">
        <v>458</v>
      </c>
      <c r="H140" s="32">
        <v>1</v>
      </c>
      <c r="I140" s="32">
        <v>1</v>
      </c>
    </row>
    <row r="141" spans="1:9" ht="12.75" customHeight="1">
      <c r="A141" s="3" t="s">
        <v>253</v>
      </c>
      <c r="B141" s="4" t="s">
        <v>254</v>
      </c>
      <c r="C141" s="30">
        <v>6026</v>
      </c>
      <c r="D141" s="30">
        <v>393</v>
      </c>
      <c r="E141" s="30">
        <v>393</v>
      </c>
      <c r="F141" s="32">
        <v>1744</v>
      </c>
      <c r="G141" s="32">
        <v>3889</v>
      </c>
      <c r="H141" s="32">
        <v>72</v>
      </c>
      <c r="I141" s="32">
        <v>4</v>
      </c>
    </row>
    <row r="142" spans="1:9" ht="12.75" customHeight="1">
      <c r="A142" s="3" t="s">
        <v>255</v>
      </c>
      <c r="B142" s="4" t="s">
        <v>256</v>
      </c>
      <c r="C142" s="30">
        <v>6919</v>
      </c>
      <c r="D142" s="30">
        <v>735</v>
      </c>
      <c r="E142" s="30">
        <v>87</v>
      </c>
      <c r="F142" s="32">
        <v>1661</v>
      </c>
      <c r="G142" s="32">
        <v>1781</v>
      </c>
      <c r="H142" s="32">
        <v>105</v>
      </c>
      <c r="I142" s="32">
        <v>2</v>
      </c>
    </row>
    <row r="143" spans="1:9" ht="12.75" customHeight="1">
      <c r="A143" s="3" t="s">
        <v>257</v>
      </c>
      <c r="B143" s="4" t="s">
        <v>258</v>
      </c>
      <c r="C143" s="30">
        <v>14233</v>
      </c>
      <c r="D143" s="30">
        <v>2440</v>
      </c>
      <c r="E143" s="30">
        <v>807</v>
      </c>
      <c r="F143" s="32">
        <v>5227</v>
      </c>
      <c r="G143" s="32">
        <v>3539</v>
      </c>
      <c r="H143" s="32">
        <v>509</v>
      </c>
      <c r="I143" s="32">
        <v>4</v>
      </c>
    </row>
    <row r="144" spans="1:9" ht="12.75" customHeight="1">
      <c r="A144" s="7"/>
      <c r="B144" s="6" t="s">
        <v>259</v>
      </c>
      <c r="C144" s="35">
        <f t="shared" ref="C144:I144" si="19">SUM(C136:C143)</f>
        <v>81190</v>
      </c>
      <c r="D144" s="35">
        <f t="shared" si="19"/>
        <v>7505</v>
      </c>
      <c r="E144" s="35">
        <f t="shared" si="19"/>
        <v>3838</v>
      </c>
      <c r="F144" s="35">
        <f t="shared" si="19"/>
        <v>28009</v>
      </c>
      <c r="G144" s="35">
        <f t="shared" si="19"/>
        <v>23234</v>
      </c>
      <c r="H144" s="35">
        <f t="shared" si="19"/>
        <v>3437</v>
      </c>
      <c r="I144" s="35">
        <f t="shared" si="19"/>
        <v>24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1709807</v>
      </c>
      <c r="D145" s="32">
        <f t="shared" si="20"/>
        <v>832641</v>
      </c>
      <c r="E145" s="32">
        <f t="shared" si="20"/>
        <v>388585</v>
      </c>
      <c r="F145" s="32">
        <f t="shared" si="20"/>
        <v>155960</v>
      </c>
      <c r="G145" s="32">
        <f t="shared" si="20"/>
        <v>416724</v>
      </c>
      <c r="H145" s="32">
        <f t="shared" si="20"/>
        <v>202616</v>
      </c>
      <c r="I145" s="32">
        <f t="shared" si="20"/>
        <v>789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2017-10-04T13:41:50Z</dcterms:modified>
</cp:coreProperties>
</file>