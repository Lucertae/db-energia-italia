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N43"/>
  <c r="O43"/>
  <c r="P43" l="1"/>
  <c r="P43" i="1"/>
  <c r="N43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<sst xmlns="http://schemas.openxmlformats.org/spreadsheetml/2006/main" count="182" uniqueCount="91">
  <si>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</si>
  <si>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</si>
  <si>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</si>
  <si>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</si>
  <si>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</si>
  <si>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</si>
  <si>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</si>
  <si>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aprile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</si>
  <si>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</si>
  <si>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</si>
  <si>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</si>
  <si>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</si>
  <si>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</si>
  <si>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</si>
  <si>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</si>
  <si>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</si>
  <si>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</si>
  <si>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</si>
  <si>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</si>
  <si>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</si>
  <si>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</si>
  <si>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</si>
  <si>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</si>
  <si>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</si>
  <si>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</si>
  <si>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</si>
  <si>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</si>
  <si>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</si>
  <si>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</si>
  <si>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</si>
  <si>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</si>
  <si>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</si>
  <si>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</si>
  <si>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</si>
  <si>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</si>
  <si>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</si>
  <si>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</si>
  <si>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</si>
  <si>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</si>
  <si>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</si>
  <si>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</si>
  <si>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</si>
  <si>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</si>
  <si>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</si>
  <si>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</si>
  <si>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</si>
  <si>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</si>
  <si>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</si>
  <si>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</si>
  <si>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</si>
  <si>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</si>
  <si>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</si>
  <si>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</si>
  <si>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</si>
  <si>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</si>
  <si>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</si>
  <si>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</si>
  <si>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</si>
  <si>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</si>
  <si>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</si>
  <si>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</si>
  <si>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</si>
  <si>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</si>
  <si>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</si>
  <si>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</si>
  <si>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</si>
  <si>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</si>
  <si>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</si>
  <si>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</si>
  <si>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</si>
  <si>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</si>
  <si>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</si>
  <si>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</si>
  <si>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</si>
  <si>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</si>
  <si>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</si>
  <si>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</si>
  <si>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</si>
  <si>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</si>
  <si>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</si>
  <si>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</si>
  <si>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</si>
  <si>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</si>
  <si>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</si>
  <si>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</si>
  <si>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</si>
  <si>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</si>
  <si>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</si>
  <si>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</si>
  <si>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</si>
  <si>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gennaio-aprile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</si>
</sst>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55998</v>
      </c>
      <c r="E10" s="29">
        <v>1164</v>
      </c>
      <c r="F10" s="29">
        <v>0</v>
      </c>
      <c r="G10" s="29">
        <v>0</v>
      </c>
      <c r="H10" s="29">
        <v>0</v>
      </c>
      <c r="I10" s="29">
        <v>0</v>
      </c>
      <c r="J10" s="29">
        <v>5991</v>
      </c>
      <c r="K10" s="29">
        <v>274</v>
      </c>
      <c r="L10" s="29">
        <v>50649</v>
      </c>
      <c r="M10" s="29">
        <v>133</v>
      </c>
      <c r="N10" s="30">
        <f t="shared" ref="N10:N42" si="0">SUM(C10:M10)</f>
        <v>114209</v>
      </c>
      <c r="O10" s="29">
        <v>0</v>
      </c>
      <c r="P10" s="30">
        <f t="shared" ref="P10:P42" si="1">SUM(N10:O10)</f>
        <v>114209</v>
      </c>
    </row>
    <row r="11" spans="1:16" ht="15" customHeight="1">
      <c r="A11" s="11" t="s">
        <v>26</v>
      </c>
      <c r="B11" s="12" t="s">
        <v>27</v>
      </c>
      <c r="C11" s="29">
        <v>62490</v>
      </c>
      <c r="D11" s="29">
        <v>3772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66088</v>
      </c>
      <c r="M11" s="29">
        <v>1070</v>
      </c>
      <c r="N11" s="30">
        <f t="shared" si="0"/>
        <v>133420</v>
      </c>
      <c r="O11" s="29">
        <v>0</v>
      </c>
      <c r="P11" s="30">
        <f t="shared" si="1"/>
        <v>133420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1802</v>
      </c>
      <c r="K12" s="29">
        <v>0</v>
      </c>
      <c r="L12" s="29">
        <v>0</v>
      </c>
      <c r="M12" s="29">
        <v>0</v>
      </c>
      <c r="N12" s="30">
        <f t="shared" si="0"/>
        <v>1802</v>
      </c>
      <c r="O12" s="29">
        <v>0</v>
      </c>
      <c r="P12" s="30">
        <f t="shared" si="1"/>
        <v>1802</v>
      </c>
    </row>
    <row r="13" spans="1:16" ht="15" customHeight="1">
      <c r="A13" s="11" t="s">
        <v>30</v>
      </c>
      <c r="B13" s="12" t="s">
        <v>31</v>
      </c>
      <c r="C13" s="29">
        <v>436802</v>
      </c>
      <c r="D13" s="29">
        <v>1650</v>
      </c>
      <c r="E13" s="29">
        <v>55</v>
      </c>
      <c r="F13" s="29">
        <v>0</v>
      </c>
      <c r="G13" s="29">
        <v>91</v>
      </c>
      <c r="H13" s="29">
        <v>0</v>
      </c>
      <c r="I13" s="29">
        <v>0</v>
      </c>
      <c r="J13" s="29">
        <v>1110</v>
      </c>
      <c r="K13" s="29">
        <v>89</v>
      </c>
      <c r="L13" s="29">
        <v>139803</v>
      </c>
      <c r="M13" s="29">
        <v>7499</v>
      </c>
      <c r="N13" s="30">
        <f t="shared" si="0"/>
        <v>587099</v>
      </c>
      <c r="O13" s="29">
        <v>0</v>
      </c>
      <c r="P13" s="30">
        <f t="shared" si="1"/>
        <v>587099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142</v>
      </c>
      <c r="I14" s="29">
        <v>0</v>
      </c>
      <c r="J14" s="29">
        <v>0</v>
      </c>
      <c r="K14" s="29">
        <v>12</v>
      </c>
      <c r="L14" s="29">
        <v>0</v>
      </c>
      <c r="M14" s="29">
        <v>0</v>
      </c>
      <c r="N14" s="30">
        <f t="shared" si="0"/>
        <v>154</v>
      </c>
      <c r="O14" s="29">
        <v>0</v>
      </c>
      <c r="P14" s="30">
        <f t="shared" si="1"/>
        <v>154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85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85</v>
      </c>
      <c r="O15" s="29">
        <v>0</v>
      </c>
      <c r="P15" s="30">
        <f t="shared" si="1"/>
        <v>85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119</v>
      </c>
      <c r="F16" s="29">
        <v>0</v>
      </c>
      <c r="G16" s="29">
        <v>0</v>
      </c>
      <c r="H16" s="29">
        <v>0</v>
      </c>
      <c r="I16" s="29">
        <v>0</v>
      </c>
      <c r="J16" s="29">
        <v>562</v>
      </c>
      <c r="K16" s="29">
        <v>0</v>
      </c>
      <c r="L16" s="29">
        <v>106</v>
      </c>
      <c r="M16" s="29">
        <v>0</v>
      </c>
      <c r="N16" s="30">
        <f t="shared" si="0"/>
        <v>787</v>
      </c>
      <c r="O16" s="29">
        <v>0</v>
      </c>
      <c r="P16" s="30">
        <f t="shared" si="1"/>
        <v>787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83</v>
      </c>
      <c r="M17" s="29">
        <v>0</v>
      </c>
      <c r="N17" s="30">
        <f t="shared" si="0"/>
        <v>88</v>
      </c>
      <c r="O17" s="29">
        <v>0</v>
      </c>
      <c r="P17" s="30">
        <f t="shared" si="1"/>
        <v>88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338722</v>
      </c>
      <c r="I18" s="29">
        <v>0</v>
      </c>
      <c r="J18" s="29">
        <v>48</v>
      </c>
      <c r="K18" s="29">
        <v>669</v>
      </c>
      <c r="L18" s="29">
        <v>0</v>
      </c>
      <c r="M18" s="29">
        <v>6752</v>
      </c>
      <c r="N18" s="30">
        <f t="shared" si="0"/>
        <v>346191</v>
      </c>
      <c r="O18" s="29">
        <v>0</v>
      </c>
      <c r="P18" s="30">
        <f t="shared" si="1"/>
        <v>346191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</v>
      </c>
      <c r="M19" s="29">
        <v>0</v>
      </c>
      <c r="N19" s="30">
        <f t="shared" si="0"/>
        <v>3</v>
      </c>
      <c r="O19" s="29">
        <v>0</v>
      </c>
      <c r="P19" s="30">
        <f t="shared" si="1"/>
        <v>3</v>
      </c>
    </row>
    <row r="20" spans="1:16" ht="15" customHeight="1">
      <c r="A20" s="11" t="s">
        <v>44</v>
      </c>
      <c r="B20" s="12" t="s">
        <v>45</v>
      </c>
      <c r="C20" s="29">
        <v>1010558</v>
      </c>
      <c r="D20" s="29">
        <v>62866</v>
      </c>
      <c r="E20" s="29">
        <v>138420</v>
      </c>
      <c r="F20" s="29">
        <v>2527</v>
      </c>
      <c r="G20" s="29">
        <v>21887</v>
      </c>
      <c r="H20" s="29">
        <v>0</v>
      </c>
      <c r="I20" s="29">
        <v>340</v>
      </c>
      <c r="J20" s="29">
        <v>5851</v>
      </c>
      <c r="K20" s="29">
        <v>502</v>
      </c>
      <c r="L20" s="29">
        <v>663896</v>
      </c>
      <c r="M20" s="29">
        <v>38392</v>
      </c>
      <c r="N20" s="30">
        <f t="shared" si="0"/>
        <v>1945239</v>
      </c>
      <c r="O20" s="29">
        <v>31089</v>
      </c>
      <c r="P20" s="30">
        <f t="shared" si="1"/>
        <v>1976328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1359</v>
      </c>
      <c r="E21" s="29">
        <v>0</v>
      </c>
      <c r="F21" s="29">
        <v>0</v>
      </c>
      <c r="G21" s="29">
        <v>561</v>
      </c>
      <c r="H21" s="29">
        <v>0</v>
      </c>
      <c r="I21" s="29">
        <v>2921</v>
      </c>
      <c r="J21" s="29">
        <v>113</v>
      </c>
      <c r="K21" s="29">
        <v>262</v>
      </c>
      <c r="L21" s="29">
        <v>31654</v>
      </c>
      <c r="M21" s="29">
        <v>757</v>
      </c>
      <c r="N21" s="30">
        <f t="shared" si="0"/>
        <v>37627</v>
      </c>
      <c r="O21" s="29">
        <v>6656</v>
      </c>
      <c r="P21" s="30">
        <f t="shared" si="1"/>
        <v>44283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122</v>
      </c>
      <c r="E22" s="29">
        <v>0</v>
      </c>
      <c r="F22" s="29">
        <v>0</v>
      </c>
      <c r="G22" s="29">
        <v>0</v>
      </c>
      <c r="H22" s="29">
        <v>0</v>
      </c>
      <c r="I22" s="29">
        <v>1022</v>
      </c>
      <c r="J22" s="29">
        <v>0</v>
      </c>
      <c r="K22" s="29">
        <v>0</v>
      </c>
      <c r="L22" s="29">
        <v>0</v>
      </c>
      <c r="M22" s="29">
        <v>2963</v>
      </c>
      <c r="N22" s="30">
        <f t="shared" si="0"/>
        <v>4107</v>
      </c>
      <c r="O22" s="29">
        <v>0</v>
      </c>
      <c r="P22" s="30">
        <f t="shared" si="1"/>
        <v>4107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7174</v>
      </c>
      <c r="M23" s="29">
        <v>0</v>
      </c>
      <c r="N23" s="30">
        <f t="shared" si="0"/>
        <v>7174</v>
      </c>
      <c r="O23" s="29">
        <v>106040</v>
      </c>
      <c r="P23" s="30">
        <f t="shared" si="1"/>
        <v>113214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1027</v>
      </c>
      <c r="E24" s="29">
        <v>674</v>
      </c>
      <c r="F24" s="29">
        <v>0</v>
      </c>
      <c r="G24" s="29">
        <v>0</v>
      </c>
      <c r="H24" s="29">
        <v>0</v>
      </c>
      <c r="I24" s="29">
        <v>0</v>
      </c>
      <c r="J24" s="29">
        <v>1473</v>
      </c>
      <c r="K24" s="29">
        <v>113</v>
      </c>
      <c r="L24" s="29">
        <v>17931</v>
      </c>
      <c r="M24" s="29">
        <v>9106</v>
      </c>
      <c r="N24" s="30">
        <f t="shared" si="0"/>
        <v>30324</v>
      </c>
      <c r="O24" s="29">
        <v>93795</v>
      </c>
      <c r="P24" s="30">
        <f t="shared" si="1"/>
        <v>124119</v>
      </c>
    </row>
    <row r="25" spans="1:16" ht="15" customHeight="1">
      <c r="A25" s="11" t="s">
        <v>54</v>
      </c>
      <c r="B25" s="12" t="s">
        <v>55</v>
      </c>
      <c r="C25" s="29">
        <v>84</v>
      </c>
      <c r="D25" s="29">
        <v>5821</v>
      </c>
      <c r="E25" s="29">
        <v>632</v>
      </c>
      <c r="F25" s="29">
        <v>25</v>
      </c>
      <c r="G25" s="29">
        <v>218</v>
      </c>
      <c r="H25" s="29">
        <v>5</v>
      </c>
      <c r="I25" s="29">
        <v>43</v>
      </c>
      <c r="J25" s="29">
        <v>2764</v>
      </c>
      <c r="K25" s="29">
        <v>35</v>
      </c>
      <c r="L25" s="29">
        <v>4709</v>
      </c>
      <c r="M25" s="29">
        <v>731</v>
      </c>
      <c r="N25" s="30">
        <f t="shared" si="0"/>
        <v>15067</v>
      </c>
      <c r="O25" s="29">
        <v>2316</v>
      </c>
      <c r="P25" s="30">
        <f t="shared" si="1"/>
        <v>17383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3139</v>
      </c>
      <c r="E26" s="29">
        <v>118</v>
      </c>
      <c r="F26" s="29">
        <v>1</v>
      </c>
      <c r="G26" s="29">
        <v>90</v>
      </c>
      <c r="H26" s="29">
        <v>17</v>
      </c>
      <c r="I26" s="29">
        <v>32</v>
      </c>
      <c r="J26" s="29">
        <v>8262</v>
      </c>
      <c r="K26" s="29">
        <v>16</v>
      </c>
      <c r="L26" s="29">
        <v>2358</v>
      </c>
      <c r="M26" s="29">
        <v>856</v>
      </c>
      <c r="N26" s="30">
        <f t="shared" si="0"/>
        <v>14893</v>
      </c>
      <c r="O26" s="29">
        <v>151</v>
      </c>
      <c r="P26" s="30">
        <f t="shared" si="1"/>
        <v>15044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26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111</v>
      </c>
      <c r="K27" s="29">
        <v>0</v>
      </c>
      <c r="L27" s="29">
        <v>6</v>
      </c>
      <c r="M27" s="29">
        <v>0</v>
      </c>
      <c r="N27" s="30">
        <f t="shared" si="0"/>
        <v>143</v>
      </c>
      <c r="O27" s="29">
        <v>0</v>
      </c>
      <c r="P27" s="30">
        <f t="shared" si="1"/>
        <v>143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21</v>
      </c>
      <c r="J28" s="29">
        <v>137</v>
      </c>
      <c r="K28" s="29">
        <v>0</v>
      </c>
      <c r="L28" s="29">
        <v>38</v>
      </c>
      <c r="M28" s="29">
        <v>0</v>
      </c>
      <c r="N28" s="30">
        <f t="shared" si="0"/>
        <v>201</v>
      </c>
      <c r="O28" s="29">
        <v>0</v>
      </c>
      <c r="P28" s="30">
        <f t="shared" si="1"/>
        <v>201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78</v>
      </c>
      <c r="K29" s="29">
        <v>0</v>
      </c>
      <c r="L29" s="29">
        <v>57</v>
      </c>
      <c r="M29" s="29">
        <v>8867</v>
      </c>
      <c r="N29" s="30">
        <f t="shared" si="0"/>
        <v>9002</v>
      </c>
      <c r="O29" s="29">
        <v>0</v>
      </c>
      <c r="P29" s="30">
        <f t="shared" si="1"/>
        <v>9002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6519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49101</v>
      </c>
      <c r="K32" s="29">
        <v>0</v>
      </c>
      <c r="L32" s="29">
        <v>52065</v>
      </c>
      <c r="M32" s="29">
        <v>3795</v>
      </c>
      <c r="N32" s="30">
        <f t="shared" si="0"/>
        <v>111480</v>
      </c>
      <c r="O32" s="29">
        <v>0</v>
      </c>
      <c r="P32" s="30">
        <f t="shared" si="1"/>
        <v>111480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9435</v>
      </c>
      <c r="K33" s="29">
        <v>0</v>
      </c>
      <c r="L33" s="29">
        <v>0</v>
      </c>
      <c r="M33" s="29">
        <v>0</v>
      </c>
      <c r="N33" s="30">
        <f t="shared" si="0"/>
        <v>9435</v>
      </c>
      <c r="O33" s="29">
        <v>0</v>
      </c>
      <c r="P33" s="30">
        <f t="shared" si="1"/>
        <v>9435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</v>
      </c>
      <c r="D35" s="29">
        <v>61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3775</v>
      </c>
      <c r="K35" s="29">
        <v>0</v>
      </c>
      <c r="L35" s="29">
        <v>64</v>
      </c>
      <c r="M35" s="29">
        <v>0</v>
      </c>
      <c r="N35" s="30">
        <f t="shared" si="0"/>
        <v>3902</v>
      </c>
      <c r="O35" s="29">
        <v>0</v>
      </c>
      <c r="P35" s="30">
        <f t="shared" si="1"/>
        <v>3902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3140</v>
      </c>
      <c r="K36" s="29">
        <v>0</v>
      </c>
      <c r="L36" s="29">
        <v>13630</v>
      </c>
      <c r="M36" s="29">
        <v>26000</v>
      </c>
      <c r="N36" s="30">
        <f t="shared" si="0"/>
        <v>42770</v>
      </c>
      <c r="O36" s="29">
        <v>0</v>
      </c>
      <c r="P36" s="30">
        <f t="shared" si="1"/>
        <v>42770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1687</v>
      </c>
      <c r="K37" s="29">
        <v>0</v>
      </c>
      <c r="L37" s="29">
        <v>396</v>
      </c>
      <c r="M37" s="29">
        <v>0</v>
      </c>
      <c r="N37" s="30">
        <f t="shared" si="0"/>
        <v>2083</v>
      </c>
      <c r="O37" s="29">
        <v>0</v>
      </c>
      <c r="P37" s="30">
        <f t="shared" si="1"/>
        <v>2083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12</v>
      </c>
      <c r="K38" s="29">
        <v>0</v>
      </c>
      <c r="L38" s="29">
        <v>0</v>
      </c>
      <c r="M38" s="29">
        <v>0</v>
      </c>
      <c r="N38" s="30">
        <f t="shared" si="0"/>
        <v>12</v>
      </c>
      <c r="O38" s="29">
        <v>0</v>
      </c>
      <c r="P38" s="30">
        <f t="shared" si="1"/>
        <v>12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3480</v>
      </c>
      <c r="M39" s="29">
        <v>0</v>
      </c>
      <c r="N39" s="30">
        <f t="shared" si="0"/>
        <v>3482</v>
      </c>
      <c r="O39" s="29">
        <v>0</v>
      </c>
      <c r="P39" s="30">
        <f t="shared" si="1"/>
        <v>3482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1509940</v>
      </c>
      <c r="D43" s="31">
        <f t="shared" si="2"/>
        <v>142369</v>
      </c>
      <c r="E43" s="31">
        <f t="shared" si="2"/>
        <v>141182</v>
      </c>
      <c r="F43" s="31">
        <f t="shared" si="2"/>
        <v>2553</v>
      </c>
      <c r="G43" s="31">
        <f t="shared" si="2"/>
        <v>22847</v>
      </c>
      <c r="H43" s="31">
        <f t="shared" si="2"/>
        <v>338971</v>
      </c>
      <c r="I43" s="31">
        <f t="shared" si="2"/>
        <v>4379</v>
      </c>
      <c r="J43" s="31">
        <f t="shared" si="2"/>
        <v>95456</v>
      </c>
      <c r="K43" s="31">
        <f t="shared" si="2"/>
        <v>1972</v>
      </c>
      <c r="L43" s="31">
        <f t="shared" si="2"/>
        <v>1054189</v>
      </c>
      <c r="M43" s="31">
        <f t="shared" si="2"/>
        <v>106921</v>
      </c>
      <c r="N43" s="31">
        <f t="shared" si="2"/>
        <v>3420779</v>
      </c>
      <c r="O43" s="31">
        <f t="shared" si="2"/>
        <v>240047</v>
      </c>
      <c r="P43" s="31">
        <f t="shared" si="2"/>
        <v>3660826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338779</v>
      </c>
      <c r="E10" s="29">
        <v>7733</v>
      </c>
      <c r="F10" s="29">
        <v>0</v>
      </c>
      <c r="G10" s="29">
        <v>0</v>
      </c>
      <c r="H10" s="29">
        <v>0</v>
      </c>
      <c r="I10" s="29">
        <v>0</v>
      </c>
      <c r="J10" s="29">
        <v>27141</v>
      </c>
      <c r="K10" s="29">
        <v>1815</v>
      </c>
      <c r="L10" s="29">
        <v>305484</v>
      </c>
      <c r="M10" s="29">
        <v>1198</v>
      </c>
      <c r="N10" s="30">
        <f t="shared" ref="N10:N42" si="0">SUM(C10:M10)</f>
        <v>682150</v>
      </c>
      <c r="O10" s="29">
        <v>0</v>
      </c>
      <c r="P10" s="30">
        <f t="shared" ref="P10:P42" si="1">SUM(N10:O10)</f>
        <v>682150</v>
      </c>
    </row>
    <row r="11" spans="1:16" ht="15" customHeight="1">
      <c r="A11" s="11" t="s">
        <v>26</v>
      </c>
      <c r="B11" s="12" t="s">
        <v>27</v>
      </c>
      <c r="C11" s="29">
        <v>252865</v>
      </c>
      <c r="D11" s="29">
        <v>16528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268506</v>
      </c>
      <c r="M11" s="29">
        <v>4698</v>
      </c>
      <c r="N11" s="30">
        <f t="shared" si="0"/>
        <v>542597</v>
      </c>
      <c r="O11" s="29">
        <v>0</v>
      </c>
      <c r="P11" s="30">
        <f t="shared" si="1"/>
        <v>542597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7406</v>
      </c>
      <c r="K12" s="29">
        <v>0</v>
      </c>
      <c r="L12" s="29">
        <v>0</v>
      </c>
      <c r="M12" s="29">
        <v>0</v>
      </c>
      <c r="N12" s="30">
        <f t="shared" si="0"/>
        <v>7406</v>
      </c>
      <c r="O12" s="29">
        <v>0</v>
      </c>
      <c r="P12" s="30">
        <f t="shared" si="1"/>
        <v>7406</v>
      </c>
    </row>
    <row r="13" spans="1:16" ht="15" customHeight="1">
      <c r="A13" s="11" t="s">
        <v>30</v>
      </c>
      <c r="B13" s="12" t="s">
        <v>31</v>
      </c>
      <c r="C13" s="29">
        <v>1699863</v>
      </c>
      <c r="D13" s="29">
        <v>6840</v>
      </c>
      <c r="E13" s="29">
        <v>246</v>
      </c>
      <c r="F13" s="29">
        <v>0</v>
      </c>
      <c r="G13" s="29">
        <v>248</v>
      </c>
      <c r="H13" s="29">
        <v>0</v>
      </c>
      <c r="I13" s="29">
        <v>0</v>
      </c>
      <c r="J13" s="29">
        <v>4731</v>
      </c>
      <c r="K13" s="29">
        <v>293</v>
      </c>
      <c r="L13" s="29">
        <v>542705</v>
      </c>
      <c r="M13" s="29">
        <v>34106</v>
      </c>
      <c r="N13" s="30">
        <f t="shared" si="0"/>
        <v>2289032</v>
      </c>
      <c r="O13" s="29">
        <v>0</v>
      </c>
      <c r="P13" s="30">
        <f t="shared" si="1"/>
        <v>2289032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352</v>
      </c>
      <c r="I14" s="29">
        <v>0</v>
      </c>
      <c r="J14" s="29">
        <v>0</v>
      </c>
      <c r="K14" s="29">
        <v>17</v>
      </c>
      <c r="L14" s="29">
        <v>0</v>
      </c>
      <c r="M14" s="29">
        <v>0</v>
      </c>
      <c r="N14" s="30">
        <f t="shared" si="0"/>
        <v>369</v>
      </c>
      <c r="O14" s="29">
        <v>0</v>
      </c>
      <c r="P14" s="30">
        <f t="shared" si="1"/>
        <v>369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278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278</v>
      </c>
      <c r="O15" s="29">
        <v>0</v>
      </c>
      <c r="P15" s="30">
        <f t="shared" si="1"/>
        <v>278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251</v>
      </c>
      <c r="F16" s="29">
        <v>0</v>
      </c>
      <c r="G16" s="29">
        <v>0</v>
      </c>
      <c r="H16" s="29">
        <v>0</v>
      </c>
      <c r="I16" s="29">
        <v>0</v>
      </c>
      <c r="J16" s="29">
        <v>1708</v>
      </c>
      <c r="K16" s="29">
        <v>0</v>
      </c>
      <c r="L16" s="29">
        <v>386</v>
      </c>
      <c r="M16" s="29">
        <v>0</v>
      </c>
      <c r="N16" s="30">
        <f t="shared" si="0"/>
        <v>2345</v>
      </c>
      <c r="O16" s="29">
        <v>0</v>
      </c>
      <c r="P16" s="30">
        <f t="shared" si="1"/>
        <v>2345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1660</v>
      </c>
      <c r="M17" s="29">
        <v>0</v>
      </c>
      <c r="N17" s="30">
        <f t="shared" si="0"/>
        <v>1694</v>
      </c>
      <c r="O17" s="29">
        <v>0</v>
      </c>
      <c r="P17" s="30">
        <f t="shared" si="1"/>
        <v>1694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1137616</v>
      </c>
      <c r="I18" s="29">
        <v>0</v>
      </c>
      <c r="J18" s="29">
        <v>238</v>
      </c>
      <c r="K18" s="29">
        <v>28616</v>
      </c>
      <c r="L18" s="29">
        <v>53</v>
      </c>
      <c r="M18" s="29">
        <v>15009</v>
      </c>
      <c r="N18" s="30">
        <f t="shared" si="0"/>
        <v>1181532</v>
      </c>
      <c r="O18" s="29">
        <v>0</v>
      </c>
      <c r="P18" s="30">
        <f t="shared" si="1"/>
        <v>1181532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7</v>
      </c>
      <c r="M19" s="29">
        <v>0</v>
      </c>
      <c r="N19" s="30">
        <f t="shared" si="0"/>
        <v>33</v>
      </c>
      <c r="O19" s="29">
        <v>0</v>
      </c>
      <c r="P19" s="30">
        <f t="shared" si="1"/>
        <v>33</v>
      </c>
    </row>
    <row r="20" spans="1:16" ht="15" customHeight="1">
      <c r="A20" s="11" t="s">
        <v>44</v>
      </c>
      <c r="B20" s="12" t="s">
        <v>45</v>
      </c>
      <c r="C20" s="29">
        <v>4087808</v>
      </c>
      <c r="D20" s="29">
        <v>262702</v>
      </c>
      <c r="E20" s="29">
        <v>433707</v>
      </c>
      <c r="F20" s="29">
        <v>11354</v>
      </c>
      <c r="G20" s="29">
        <v>79513</v>
      </c>
      <c r="H20" s="29">
        <v>0</v>
      </c>
      <c r="I20" s="29">
        <v>1483</v>
      </c>
      <c r="J20" s="29">
        <v>25993</v>
      </c>
      <c r="K20" s="29">
        <v>4012</v>
      </c>
      <c r="L20" s="29">
        <v>2756987</v>
      </c>
      <c r="M20" s="29">
        <v>213312</v>
      </c>
      <c r="N20" s="30">
        <f t="shared" si="0"/>
        <v>7876871</v>
      </c>
      <c r="O20" s="29">
        <v>115363</v>
      </c>
      <c r="P20" s="30">
        <f t="shared" si="1"/>
        <v>7992234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15990</v>
      </c>
      <c r="E21" s="29">
        <v>108</v>
      </c>
      <c r="F21" s="29">
        <v>0</v>
      </c>
      <c r="G21" s="29">
        <v>1845</v>
      </c>
      <c r="H21" s="29">
        <v>0</v>
      </c>
      <c r="I21" s="29">
        <v>14004</v>
      </c>
      <c r="J21" s="29">
        <v>1136</v>
      </c>
      <c r="K21" s="29">
        <v>9296</v>
      </c>
      <c r="L21" s="29">
        <v>356772</v>
      </c>
      <c r="M21" s="29">
        <v>7793</v>
      </c>
      <c r="N21" s="30">
        <f t="shared" si="0"/>
        <v>406944</v>
      </c>
      <c r="O21" s="29">
        <v>27478</v>
      </c>
      <c r="P21" s="30">
        <f t="shared" si="1"/>
        <v>434422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429</v>
      </c>
      <c r="E22" s="29">
        <v>0</v>
      </c>
      <c r="F22" s="29">
        <v>0</v>
      </c>
      <c r="G22" s="29">
        <v>0</v>
      </c>
      <c r="H22" s="29">
        <v>0</v>
      </c>
      <c r="I22" s="29">
        <v>3908</v>
      </c>
      <c r="J22" s="29">
        <v>0</v>
      </c>
      <c r="K22" s="29">
        <v>0</v>
      </c>
      <c r="L22" s="29">
        <v>0</v>
      </c>
      <c r="M22" s="29">
        <v>14138</v>
      </c>
      <c r="N22" s="30">
        <f t="shared" si="0"/>
        <v>18475</v>
      </c>
      <c r="O22" s="29">
        <v>0</v>
      </c>
      <c r="P22" s="30">
        <f t="shared" si="1"/>
        <v>18475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109324</v>
      </c>
      <c r="J23" s="29">
        <v>0</v>
      </c>
      <c r="K23" s="29">
        <v>0</v>
      </c>
      <c r="L23" s="29">
        <v>16879</v>
      </c>
      <c r="M23" s="29">
        <v>0</v>
      </c>
      <c r="N23" s="30">
        <f t="shared" si="0"/>
        <v>126203</v>
      </c>
      <c r="O23" s="29">
        <v>454434</v>
      </c>
      <c r="P23" s="30">
        <f t="shared" si="1"/>
        <v>580637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7037</v>
      </c>
      <c r="E24" s="29">
        <v>2537</v>
      </c>
      <c r="F24" s="29">
        <v>0</v>
      </c>
      <c r="G24" s="29">
        <v>0</v>
      </c>
      <c r="H24" s="29">
        <v>0</v>
      </c>
      <c r="I24" s="29">
        <v>0</v>
      </c>
      <c r="J24" s="29">
        <v>6240</v>
      </c>
      <c r="K24" s="29">
        <v>390</v>
      </c>
      <c r="L24" s="29">
        <v>94321</v>
      </c>
      <c r="M24" s="29">
        <v>47637</v>
      </c>
      <c r="N24" s="30">
        <f t="shared" si="0"/>
        <v>158162</v>
      </c>
      <c r="O24" s="29">
        <v>338924</v>
      </c>
      <c r="P24" s="30">
        <f t="shared" si="1"/>
        <v>497086</v>
      </c>
    </row>
    <row r="25" spans="1:16" ht="15" customHeight="1">
      <c r="A25" s="11" t="s">
        <v>54</v>
      </c>
      <c r="B25" s="12" t="s">
        <v>55</v>
      </c>
      <c r="C25" s="29">
        <v>454</v>
      </c>
      <c r="D25" s="29">
        <v>25283</v>
      </c>
      <c r="E25" s="29">
        <v>2627</v>
      </c>
      <c r="F25" s="29">
        <v>142</v>
      </c>
      <c r="G25" s="29">
        <v>834</v>
      </c>
      <c r="H25" s="29">
        <v>24</v>
      </c>
      <c r="I25" s="29">
        <v>217</v>
      </c>
      <c r="J25" s="29">
        <v>10301</v>
      </c>
      <c r="K25" s="29">
        <v>169</v>
      </c>
      <c r="L25" s="29">
        <v>20704</v>
      </c>
      <c r="M25" s="29">
        <v>2733</v>
      </c>
      <c r="N25" s="30">
        <f t="shared" si="0"/>
        <v>63488</v>
      </c>
      <c r="O25" s="29">
        <v>8819</v>
      </c>
      <c r="P25" s="30">
        <f t="shared" si="1"/>
        <v>72307</v>
      </c>
    </row>
    <row r="26" spans="1:16" ht="15" customHeight="1">
      <c r="A26" s="11" t="s">
        <v>56</v>
      </c>
      <c r="B26" s="12" t="s">
        <v>57</v>
      </c>
      <c r="C26" s="29">
        <v>14</v>
      </c>
      <c r="D26" s="29">
        <v>13656</v>
      </c>
      <c r="E26" s="29">
        <v>523</v>
      </c>
      <c r="F26" s="29">
        <v>20</v>
      </c>
      <c r="G26" s="29">
        <v>298</v>
      </c>
      <c r="H26" s="29">
        <v>114</v>
      </c>
      <c r="I26" s="29">
        <v>171</v>
      </c>
      <c r="J26" s="29">
        <v>36660</v>
      </c>
      <c r="K26" s="29">
        <v>55</v>
      </c>
      <c r="L26" s="29">
        <v>10523</v>
      </c>
      <c r="M26" s="29">
        <v>3101</v>
      </c>
      <c r="N26" s="30">
        <f t="shared" si="0"/>
        <v>65135</v>
      </c>
      <c r="O26" s="29">
        <v>786</v>
      </c>
      <c r="P26" s="30">
        <f t="shared" si="1"/>
        <v>65921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138</v>
      </c>
      <c r="E27" s="29">
        <v>2</v>
      </c>
      <c r="F27" s="29">
        <v>0</v>
      </c>
      <c r="G27" s="29">
        <v>0</v>
      </c>
      <c r="H27" s="29">
        <v>0</v>
      </c>
      <c r="I27" s="29">
        <v>0</v>
      </c>
      <c r="J27" s="29">
        <v>1274</v>
      </c>
      <c r="K27" s="29">
        <v>0</v>
      </c>
      <c r="L27" s="29">
        <v>48</v>
      </c>
      <c r="M27" s="29">
        <v>0</v>
      </c>
      <c r="N27" s="30">
        <f t="shared" si="0"/>
        <v>1462</v>
      </c>
      <c r="O27" s="29">
        <v>0</v>
      </c>
      <c r="P27" s="30">
        <f t="shared" si="1"/>
        <v>1462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18</v>
      </c>
      <c r="E28" s="29">
        <v>0</v>
      </c>
      <c r="F28" s="29">
        <v>0</v>
      </c>
      <c r="G28" s="29">
        <v>0</v>
      </c>
      <c r="H28" s="29">
        <v>0</v>
      </c>
      <c r="I28" s="29">
        <v>64</v>
      </c>
      <c r="J28" s="29">
        <v>663</v>
      </c>
      <c r="K28" s="29">
        <v>0</v>
      </c>
      <c r="L28" s="29">
        <v>148</v>
      </c>
      <c r="M28" s="29">
        <v>1</v>
      </c>
      <c r="N28" s="30">
        <f t="shared" si="0"/>
        <v>894</v>
      </c>
      <c r="O28" s="29">
        <v>0</v>
      </c>
      <c r="P28" s="30">
        <f t="shared" si="1"/>
        <v>894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351</v>
      </c>
      <c r="K29" s="29">
        <v>0</v>
      </c>
      <c r="L29" s="29">
        <v>245</v>
      </c>
      <c r="M29" s="29">
        <v>37300</v>
      </c>
      <c r="N29" s="30">
        <f t="shared" si="0"/>
        <v>37896</v>
      </c>
      <c r="O29" s="29">
        <v>0</v>
      </c>
      <c r="P29" s="30">
        <f t="shared" si="1"/>
        <v>37896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6</v>
      </c>
      <c r="M30" s="29">
        <v>0</v>
      </c>
      <c r="N30" s="30">
        <f t="shared" si="0"/>
        <v>6</v>
      </c>
      <c r="O30" s="29">
        <v>0</v>
      </c>
      <c r="P30" s="30">
        <f t="shared" si="1"/>
        <v>6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19570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184715</v>
      </c>
      <c r="K32" s="29">
        <v>0</v>
      </c>
      <c r="L32" s="29">
        <v>151524</v>
      </c>
      <c r="M32" s="29">
        <v>15993</v>
      </c>
      <c r="N32" s="30">
        <f t="shared" si="0"/>
        <v>371802</v>
      </c>
      <c r="O32" s="29">
        <v>0</v>
      </c>
      <c r="P32" s="30">
        <f t="shared" si="1"/>
        <v>371802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34773</v>
      </c>
      <c r="K33" s="29">
        <v>0</v>
      </c>
      <c r="L33" s="29">
        <v>0</v>
      </c>
      <c r="M33" s="29">
        <v>0</v>
      </c>
      <c r="N33" s="30">
        <f t="shared" si="0"/>
        <v>34773</v>
      </c>
      <c r="O33" s="29">
        <v>0</v>
      </c>
      <c r="P33" s="30">
        <f t="shared" si="1"/>
        <v>34773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27</v>
      </c>
      <c r="D35" s="29">
        <v>291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15117</v>
      </c>
      <c r="K35" s="29">
        <v>0</v>
      </c>
      <c r="L35" s="29">
        <v>514</v>
      </c>
      <c r="M35" s="29">
        <v>0</v>
      </c>
      <c r="N35" s="30">
        <f t="shared" si="0"/>
        <v>15949</v>
      </c>
      <c r="O35" s="29">
        <v>0</v>
      </c>
      <c r="P35" s="30">
        <f t="shared" si="1"/>
        <v>15949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22942</v>
      </c>
      <c r="K36" s="29">
        <v>0</v>
      </c>
      <c r="L36" s="29">
        <v>49475</v>
      </c>
      <c r="M36" s="29">
        <v>110523</v>
      </c>
      <c r="N36" s="30">
        <f t="shared" si="0"/>
        <v>182940</v>
      </c>
      <c r="O36" s="29">
        <v>0</v>
      </c>
      <c r="P36" s="30">
        <f t="shared" si="1"/>
        <v>182940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7040</v>
      </c>
      <c r="K37" s="29">
        <v>0</v>
      </c>
      <c r="L37" s="29">
        <v>1320</v>
      </c>
      <c r="M37" s="29">
        <v>3012</v>
      </c>
      <c r="N37" s="30">
        <f t="shared" si="0"/>
        <v>11372</v>
      </c>
      <c r="O37" s="29">
        <v>0</v>
      </c>
      <c r="P37" s="30">
        <f t="shared" si="1"/>
        <v>11372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80</v>
      </c>
      <c r="K38" s="29">
        <v>0</v>
      </c>
      <c r="L38" s="29">
        <v>0</v>
      </c>
      <c r="M38" s="29">
        <v>0</v>
      </c>
      <c r="N38" s="30">
        <f t="shared" si="0"/>
        <v>80</v>
      </c>
      <c r="O38" s="29">
        <v>0</v>
      </c>
      <c r="P38" s="30">
        <f t="shared" si="1"/>
        <v>80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70</v>
      </c>
      <c r="K39" s="29">
        <v>0</v>
      </c>
      <c r="L39" s="29">
        <v>20774</v>
      </c>
      <c r="M39" s="29">
        <v>0</v>
      </c>
      <c r="N39" s="30">
        <f t="shared" si="0"/>
        <v>20856</v>
      </c>
      <c r="O39" s="29">
        <v>0</v>
      </c>
      <c r="P39" s="30">
        <f t="shared" si="1"/>
        <v>20856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6041031</v>
      </c>
      <c r="D43" s="31">
        <f t="shared" si="2"/>
        <v>707317</v>
      </c>
      <c r="E43" s="31">
        <f t="shared" si="2"/>
        <v>447734</v>
      </c>
      <c r="F43" s="31">
        <f t="shared" si="2"/>
        <v>11516</v>
      </c>
      <c r="G43" s="31">
        <f t="shared" si="2"/>
        <v>82738</v>
      </c>
      <c r="H43" s="31">
        <f t="shared" si="2"/>
        <v>1138384</v>
      </c>
      <c r="I43" s="31">
        <f t="shared" si="2"/>
        <v>129171</v>
      </c>
      <c r="J43" s="31">
        <f t="shared" si="2"/>
        <v>388595</v>
      </c>
      <c r="K43" s="31">
        <f t="shared" si="2"/>
        <v>44663</v>
      </c>
      <c r="L43" s="31">
        <f t="shared" si="2"/>
        <v>4599041</v>
      </c>
      <c r="M43" s="31">
        <f t="shared" si="2"/>
        <v>510554</v>
      </c>
      <c r="N43" s="31">
        <f t="shared" si="2"/>
        <v>14100744</v>
      </c>
      <c r="O43" s="31">
        <f t="shared" si="2"/>
        <v>945804</v>
      </c>
      <c r="P43" s="31">
        <f t="shared" si="2"/>
        <v>15046548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2017-08-01T13:04:57Z</dcterms:modified>
</cp:coreProperties>
</file>