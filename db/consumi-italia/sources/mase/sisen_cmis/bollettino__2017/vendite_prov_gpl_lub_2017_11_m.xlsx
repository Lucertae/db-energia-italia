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6" s="1"/>
  <c r="F125"/>
  <c r="G125"/>
  <c r="H125"/>
  <c r="I125"/>
  <c r="I146" s="1"/>
  <c r="C135"/>
  <c r="D135"/>
  <c r="E135"/>
  <c r="F135"/>
  <c r="F146" s="1"/>
  <c r="G135"/>
  <c r="H135"/>
  <c r="I135"/>
  <c r="C145"/>
  <c r="C146" s="1"/>
  <c r="D145"/>
  <c r="E145"/>
  <c r="F145"/>
  <c r="G145"/>
  <c r="G146" s="1"/>
  <c r="H145"/>
  <c r="I145"/>
  <c r="D146"/>
  <c r="H146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F146" s="1"/>
  <c r="G125"/>
  <c r="H125"/>
  <c r="I125"/>
  <c r="C135"/>
  <c r="C146" s="1"/>
  <c r="D135"/>
  <c r="E135"/>
  <c r="F135"/>
  <c r="G135"/>
  <c r="G146" s="1"/>
  <c r="H135"/>
  <c r="I135"/>
  <c r="C145"/>
  <c r="D145"/>
  <c r="D146" s="1"/>
  <c r="E145"/>
  <c r="F145"/>
  <c r="G145"/>
  <c r="H145"/>
  <c r="H146" s="1"/>
  <c r="I145"/>
  <c r="E146"/>
  <c r="I146"/>
</calcChain>
</file>

<file path=xl/sharedStrings.xml><?xml version="1.0" encoding="utf-8"?>
<sst xmlns="http://schemas.openxmlformats.org/spreadsheetml/2006/main" count="530" uniqueCount="266">
  <si>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</si>
  <si>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</si>
  <si>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</si>
  <si>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</si>
  <si>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</si>
  <si>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</si>
  <si>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provvisori</t>
  </si>
  <si>
    <t>Periodo: novembre 2017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</si>
  <si>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</si>
  <si>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</si>
  <si>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</si>
  <si>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</si>
  <si>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</si>
  <si>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</si>
  <si>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</si>
  <si>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</si>
  <si>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</si>
  <si>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</si>
  <si>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</si>
  <si>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</si>
  <si>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</si>
  <si>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</si>
  <si>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</si>
  <si>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</si>
  <si>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</si>
  <si>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</si>
  <si>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</si>
  <si>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</si>
  <si>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</si>
  <si>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</si>
  <si>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</si>
  <si>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</si>
  <si>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</si>
  <si>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</si>
  <si>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</si>
  <si>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</si>
  <si>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</si>
  <si>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</si>
  <si>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</si>
  <si>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</si>
  <si>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</si>
  <si>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</si>
  <si>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</si>
  <si>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</si>
  <si>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</si>
  <si>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</si>
  <si>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</si>
  <si>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</si>
  <si>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</si>
  <si>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</si>
  <si>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</si>
  <si>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</si>
  <si>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</si>
  <si>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</si>
  <si>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</si>
  <si>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</si>
  <si>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</si>
  <si>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</si>
  <si>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</si>
  <si>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</si>
  <si>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</si>
  <si>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</si>
  <si>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</si>
  <si>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</si>
  <si>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</si>
  <si>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</si>
  <si>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</si>
  <si>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</si>
  <si>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</si>
  <si>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</si>
  <si>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</si>
  <si>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</si>
  <si>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</si>
  <si>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</si>
  <si>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</si>
  <si>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</si>
  <si>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</si>
  <si>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</si>
  <si>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</si>
  <si>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</si>
  <si>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</si>
  <si>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</si>
  <si>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</si>
  <si>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</si>
  <si>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</si>
  <si>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</si>
  <si>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</si>
  <si>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</si>
  <si>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</si>
  <si>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</si>
  <si>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</si>
  <si>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</si>
  <si>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</si>
  <si>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</si>
  <si>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</si>
  <si>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</si>
  <si>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</si>
  <si>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</si>
  <si>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</si>
  <si>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</si>
  <si>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</si>
  <si>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</si>
  <si>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</si>
  <si>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</si>
  <si>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</si>
  <si>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</si>
  <si>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</si>
  <si>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</si>
  <si>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</si>
  <si>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</si>
  <si>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</si>
  <si>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</si>
  <si>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</si>
  <si>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</si>
  <si>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</si>
  <si>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</si>
  <si>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</si>
  <si>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</si>
  <si>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</si>
  <si>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</si>
  <si>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</si>
  <si>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</si>
  <si>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</si>
  <si>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</si>
  <si>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</si>
  <si>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</si>
  <si>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</si>
  <si>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</si>
  <si>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</si>
  <si>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</si>
  <si>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</si>
  <si>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</si>
  <si>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</si>
  <si>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</si>
  <si>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</si>
  <si>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</si>
  <si>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</si>
  <si>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</si>
  <si>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</si>
  <si>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</si>
  <si>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</si>
  <si>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</si>
  <si>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</si>
  <si>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</si>
  <si>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</si>
  <si>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</si>
  <si>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</si>
  <si>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</si>
  <si>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</si>
  <si>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</si>
  <si>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</si>
  <si>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</si>
  <si>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</si>
  <si>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</si>
  <si>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</si>
  <si>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</si>
  <si>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</si>
  <si>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</si>
  <si>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</si>
  <si>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</si>
  <si>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</si>
  <si>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</si>
  <si>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</si>
  <si>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</si>
  <si>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</si>
  <si>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</si>
  <si>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</si>
  <si>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</si>
  <si>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</si>
  <si>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</si>
  <si>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</si>
  <si>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</si>
  <si>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</si>
  <si>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</si>
  <si>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</si>
  <si>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</si>
  <si>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</si>
  <si>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</si>
  <si>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</si>
  <si>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</si>
  <si>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</si>
  <si>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</si>
  <si>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</si>
  <si>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</si>
  <si>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</si>
  <si>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</si>
  <si>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</si>
  <si>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</si>
  <si>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</si>
  <si>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</si>
  <si>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</si>
  <si>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</si>
  <si>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</si>
  <si>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</si>
  <si>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</si>
  <si>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</si>
  <si>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</si>
  <si>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</si>
  <si>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</si>
  <si>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</si>
  <si>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</si>
  <si>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</si>
  <si>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</si>
  <si>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</si>
  <si>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</si>
  <si>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</si>
  <si>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</si>
  <si>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</si>
  <si>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</si>
  <si>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</si>
  <si>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</si>
  <si>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</si>
  <si>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</si>
  <si>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</si>
  <si>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</si>
  <si>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</si>
  <si>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</si>
  <si>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</si>
  <si>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</si>
  <si>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</si>
  <si>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</si>
  <si>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</si>
  <si>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</si>
  <si>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</si>
  <si>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</si>
  <si>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</si>
  <si>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</si>
  <si>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</si>
  <si>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</si>
  <si>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</si>
  <si>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</si>
  <si>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</si>
  <si>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</si>
  <si>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</si>
  <si>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</si>
  <si>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</si>
  <si>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</si>
  <si>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</si>
  <si>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</si>
  <si>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</si>
  <si>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</si>
  <si>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</si>
  <si>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</si>
  <si>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</si>
  <si>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</si>
  <si>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</si>
  <si>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</si>
  <si>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</si>
  <si>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</si>
  <si>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</si>
  <si>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</si>
  <si>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</si>
  <si>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</si>
  <si>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</si>
  <si>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</si>
  <si>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</si>
  <si>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</si>
  <si>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</si>
  <si>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</si>
  <si>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SU</t>
  </si>
  <si>
    <t>SUD SARDEGNA</t>
  </si>
  <si>
    <t>SARDEGNA</t>
  </si>
  <si>
    <t>TT</t>
  </si>
  <si>
    <t>TOTALE  ITALIA</t>
  </si>
  <si>
    <t>DGSAIE DIV.6</t>
  </si>
  <si>
    <t>Periodo: gennaio-novembre 2017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</si>
</sst>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10"/>
      <color indexed="8"/>
      <name val="Calibri"/>
    </font>
    <font>
      <b/>
      <sz val="10"/>
      <color indexed="10"/>
      <name val="Calibri"/>
    </font>
    <font>
      <b/>
      <sz val="12"/>
      <color indexed="10"/>
      <name val="Calibri"/>
    </font>
    <font>
      <sz val="10"/>
      <color indexed="10"/>
      <name val="Calibri"/>
    </font>
    <font>
      <sz val="8"/>
      <color indexed="13"/>
      <name val="Calibri"/>
    </font>
    <font>
      <b/>
      <sz val="11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0"/>
        <bgColor indexed="16"/>
      </patternFill>
    </fill>
  </fills>
  <borders count="21">
    <border>
      <left/>
      <right/>
      <top/>
      <bottom/>
      <diagonal/>
    </border>
    <border>
      <left style="double">
        <color indexed="15"/>
      </left>
      <right style="thin">
        <color indexed="15"/>
      </right>
      <top style="double">
        <color indexed="15"/>
      </top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double">
        <color indexed="15"/>
      </top>
      <bottom style="thin">
        <color indexed="14"/>
      </bottom>
      <diagonal/>
    </border>
    <border>
      <left/>
      <right/>
      <top style="double">
        <color indexed="15"/>
      </top>
      <bottom style="thin">
        <color indexed="14"/>
      </bottom>
      <diagonal/>
    </border>
    <border>
      <left style="thin">
        <color indexed="14"/>
      </left>
      <right style="thin">
        <color indexed="15"/>
      </right>
      <top style="double">
        <color indexed="15"/>
      </top>
      <bottom style="thin">
        <color indexed="14"/>
      </bottom>
      <diagonal/>
    </border>
    <border>
      <left style="thin">
        <color indexed="15"/>
      </left>
      <right style="thin">
        <color indexed="15"/>
      </right>
      <top style="double">
        <color indexed="15"/>
      </top>
      <bottom style="thin">
        <color indexed="14"/>
      </bottom>
      <diagonal/>
    </border>
    <border>
      <left style="double">
        <color indexed="15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 style="thin">
        <color indexed="15"/>
      </right>
      <top/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double">
        <color indexed="15"/>
      </left>
      <right/>
      <top style="thin">
        <color indexed="14"/>
      </top>
      <bottom style="double">
        <color indexed="14"/>
      </bottom>
      <diagonal/>
    </border>
    <border>
      <left style="thin">
        <color indexed="14"/>
      </left>
      <right style="thin">
        <color indexed="15"/>
      </right>
      <top style="thin">
        <color indexed="14"/>
      </top>
      <bottom style="double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4"/>
      </top>
      <bottom style="double">
        <color indexed="14"/>
      </bottom>
      <diagonal/>
    </border>
    <border>
      <left/>
      <right/>
      <top style="thin">
        <color indexed="14"/>
      </top>
      <bottom style="double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double">
        <color indexed="14"/>
      </bottom>
      <diagonal/>
    </border>
    <border>
      <left/>
      <right style="thin">
        <color indexed="15"/>
      </right>
      <top style="thin">
        <color indexed="14"/>
      </top>
      <bottom style="double">
        <color indexed="14"/>
      </bottom>
      <diagonal/>
    </border>
    <border>
      <left style="hair">
        <color indexed="15"/>
      </left>
      <right style="thin">
        <color indexed="15"/>
      </right>
      <top style="thin">
        <color indexed="14"/>
      </top>
      <bottom style="double">
        <color indexed="14"/>
      </bottom>
      <diagonal/>
    </border>
    <border>
      <left style="thin">
        <color indexed="15"/>
      </left>
      <right style="thin">
        <color indexed="15"/>
      </right>
      <top/>
      <bottom style="thin">
        <color indexed="15"/>
      </bottom>
      <diagonal/>
    </border>
    <border>
      <left style="thin">
        <color indexed="15"/>
      </left>
      <right/>
      <top/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 style="hair">
        <color indexed="15"/>
      </top>
      <bottom style="thin">
        <color indexed="15"/>
      </bottom>
      <diagonal/>
    </border>
  </borders>
  <cellStyleXfs count="1">
    <xf numFmtId="0" fontId="0" fillId="0" borderId="0" applyFill="0" applyProtection="0"/>
  </cellStyleXfs>
  <cellXfs count="48">
    <xf numFmtId="0" fontId="0" fillId="0" borderId="0" xfId="0" applyFill="1" applyProtection="1"/>
    <xf numFmtId="0" fontId="1" fillId="0" borderId="0" xfId="0" applyFont="1" applyFill="1" applyProtection="1"/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4" fillId="2" borderId="0" xfId="0" applyFont="1" applyFill="1" applyProtection="1"/>
    <xf numFmtId="0" fontId="2" fillId="2" borderId="0" xfId="0" applyFont="1" applyFill="1" applyProtection="1"/>
    <xf numFmtId="0" fontId="0" fillId="0" borderId="0" xfId="0" applyFill="1" applyAlignment="1" applyProtection="1">
      <alignment vertical="center"/>
    </xf>
    <xf numFmtId="0" fontId="8" fillId="2" borderId="9" xfId="0" applyFont="1" applyFill="1" applyBorder="1" applyAlignment="1" applyProtection="1">
      <alignment horizontal="center" vertical="center"/>
    </xf>
    <xf numFmtId="0" fontId="8" fillId="2" borderId="10" xfId="0" applyFont="1" applyFill="1" applyBorder="1" applyAlignment="1" applyProtection="1">
      <alignment horizontal="center" vertical="center"/>
    </xf>
    <xf numFmtId="0" fontId="8" fillId="2" borderId="11" xfId="0" applyFont="1" applyFill="1" applyBorder="1" applyAlignment="1" applyProtection="1">
      <alignment horizontal="center" vertical="center"/>
    </xf>
    <xf numFmtId="0" fontId="8" fillId="2" borderId="12" xfId="0" applyFont="1" applyFill="1" applyBorder="1" applyAlignment="1" applyProtection="1">
      <alignment horizontal="center" vertical="center"/>
    </xf>
    <xf numFmtId="0" fontId="8" fillId="2" borderId="13" xfId="0" applyFont="1" applyFill="1" applyBorder="1" applyAlignment="1" applyProtection="1">
      <alignment horizontal="center" vertical="center"/>
    </xf>
    <xf numFmtId="0" fontId="8" fillId="2" borderId="14" xfId="0" applyFont="1" applyFill="1" applyBorder="1" applyAlignment="1" applyProtection="1">
      <alignment horizontal="center" vertical="center"/>
    </xf>
    <xf numFmtId="0" fontId="8" fillId="2" borderId="15" xfId="0" applyFont="1" applyFill="1" applyBorder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9" fillId="0" borderId="16" xfId="0" applyFont="1" applyFill="1" applyBorder="1" applyAlignment="1" applyProtection="1">
      <alignment horizontal="center"/>
    </xf>
    <xf numFmtId="0" fontId="9" fillId="0" borderId="17" xfId="0" applyFont="1" applyFill="1" applyBorder="1" applyProtection="1"/>
    <xf numFmtId="2" fontId="1" fillId="0" borderId="16" xfId="0" applyNumberFormat="1" applyFont="1" applyFill="1" applyBorder="1" applyProtection="1">
      <protection locked="0"/>
    </xf>
    <xf numFmtId="0" fontId="9" fillId="0" borderId="18" xfId="0" applyFont="1" applyFill="1" applyBorder="1" applyAlignment="1" applyProtection="1">
      <alignment horizontal="center"/>
    </xf>
    <xf numFmtId="0" fontId="9" fillId="0" borderId="19" xfId="0" applyFont="1" applyFill="1" applyBorder="1" applyProtection="1"/>
    <xf numFmtId="2" fontId="1" fillId="0" borderId="18" xfId="0" applyNumberFormat="1" applyFont="1" applyFill="1" applyBorder="1" applyProtection="1">
      <protection locked="0"/>
    </xf>
    <xf numFmtId="0" fontId="10" fillId="3" borderId="18" xfId="0" applyFont="1" applyFill="1" applyBorder="1" applyAlignment="1" applyProtection="1">
      <alignment horizontal="center"/>
    </xf>
    <xf numFmtId="0" fontId="11" fillId="3" borderId="19" xfId="0" applyFont="1" applyFill="1" applyBorder="1" applyProtection="1"/>
    <xf numFmtId="2" fontId="12" fillId="3" borderId="18" xfId="0" applyNumberFormat="1" applyFont="1" applyFill="1" applyBorder="1" applyProtection="1"/>
    <xf numFmtId="2" fontId="1" fillId="0" borderId="18" xfId="0" applyNumberFormat="1" applyFont="1" applyFill="1" applyBorder="1" applyProtection="1"/>
    <xf numFmtId="0" fontId="11" fillId="3" borderId="18" xfId="0" applyFont="1" applyFill="1" applyBorder="1" applyAlignment="1" applyProtection="1">
      <alignment horizontal="center"/>
    </xf>
    <xf numFmtId="0" fontId="9" fillId="0" borderId="18" xfId="0" applyFont="1" applyFill="1" applyBorder="1" applyAlignment="1" applyProtection="1">
      <alignment horizontal="left"/>
    </xf>
    <xf numFmtId="2" fontId="1" fillId="0" borderId="18" xfId="0" applyNumberFormat="1" applyFont="1" applyFill="1" applyBorder="1" applyAlignment="1" applyProtection="1">
      <alignment horizontal="right"/>
      <protection locked="0"/>
    </xf>
    <xf numFmtId="0" fontId="10" fillId="3" borderId="18" xfId="0" applyFont="1" applyFill="1" applyBorder="1" applyAlignment="1" applyProtection="1">
      <alignment horizontal="left"/>
    </xf>
    <xf numFmtId="0" fontId="9" fillId="0" borderId="18" xfId="0" applyFont="1" applyFill="1" applyBorder="1" applyProtection="1"/>
    <xf numFmtId="0" fontId="10" fillId="3" borderId="18" xfId="0" applyFont="1" applyFill="1" applyBorder="1" applyProtection="1"/>
    <xf numFmtId="2" fontId="1" fillId="0" borderId="20" xfId="0" applyNumberFormat="1" applyFont="1" applyFill="1" applyBorder="1" applyProtection="1">
      <protection locked="0"/>
    </xf>
    <xf numFmtId="2" fontId="13" fillId="3" borderId="18" xfId="0" applyNumberFormat="1" applyFont="1" applyFill="1" applyBorder="1" applyProtection="1"/>
    <xf numFmtId="0" fontId="14" fillId="0" borderId="19" xfId="0" applyFont="1" applyFill="1" applyBorder="1" applyProtection="1"/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0" fontId="6" fillId="2" borderId="0" xfId="0" applyFont="1" applyFill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</xf>
    <xf numFmtId="0" fontId="7" fillId="2" borderId="6" xfId="0" applyFont="1" applyFill="1" applyBorder="1" applyAlignment="1" applyProtection="1">
      <alignment horizontal="center" vertical="center"/>
    </xf>
    <xf numFmtId="0" fontId="2" fillId="2" borderId="7" xfId="0" applyFont="1" applyFill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CCFF"/>
      <rgbColor rgb="00FF0000"/>
      <rgbColor rgb="00212121"/>
      <rgbColor rgb="003A3935"/>
      <rgbColor rgb="00003366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6"/>
  <sheetViews>
    <sheetView showGridLines="0" workbookViewId="0">
      <selection activeCell="C144" sqref="C144"/>
    </sheetView>
  </sheetViews>
  <sheetFormatPr defaultRowHeight="12.75" customHeight="1"/>
  <cols>
    <col min="1" max="1" width="7.109375" style="1" customWidth="1"/>
    <col min="2" max="2" width="25.6640625" style="1" customWidth="1"/>
    <col min="3" max="3" width="14.33203125" style="1" customWidth="1"/>
    <col min="4" max="4" width="13" style="1" customWidth="1"/>
    <col min="5" max="5" width="16.109375" style="1" customWidth="1"/>
    <col min="6" max="6" width="11.6640625" style="1" customWidth="1"/>
    <col min="7" max="7" width="13.77734375" style="1" customWidth="1"/>
    <col min="8" max="8" width="10.109375" style="1" customWidth="1"/>
    <col min="9" max="9" width="16.6640625" style="1" customWidth="1"/>
    <col min="10" max="19" width="8.77734375" customWidth="1"/>
  </cols>
  <sheetData>
    <row r="1" spans="1:19" ht="15.75" customHeight="1">
      <c r="A1" s="35" t="s">
        <v>0</v>
      </c>
      <c r="B1" s="35"/>
      <c r="C1" s="35"/>
      <c r="D1" s="36" t="s">
        <v>1</v>
      </c>
      <c r="E1" s="36"/>
      <c r="F1" s="36"/>
      <c r="G1" s="36"/>
      <c r="H1" s="36"/>
      <c r="I1" s="3"/>
    </row>
    <row r="2" spans="1:19" ht="12" customHeight="1">
      <c r="A2" s="37" t="s">
        <v>2</v>
      </c>
      <c r="B2" s="37"/>
      <c r="C2" s="37"/>
      <c r="D2" s="4"/>
      <c r="E2" s="3"/>
      <c r="F2" s="4"/>
      <c r="G2" s="4"/>
      <c r="H2" s="4"/>
      <c r="I2" s="5"/>
    </row>
    <row r="3" spans="1:19" ht="10.5" customHeight="1">
      <c r="A3" s="37"/>
      <c r="B3" s="37"/>
      <c r="C3" s="37"/>
      <c r="D3" s="35" t="s">
        <v>3</v>
      </c>
      <c r="E3" s="35"/>
      <c r="F3" s="35"/>
      <c r="G3" s="35"/>
      <c r="H3" s="35"/>
      <c r="I3" s="6"/>
    </row>
    <row r="4" spans="1:19" ht="12.75" customHeight="1">
      <c r="A4" s="38" t="s">
        <v>4</v>
      </c>
      <c r="B4" s="38"/>
      <c r="C4" s="38"/>
      <c r="D4" s="37" t="s">
        <v>5</v>
      </c>
      <c r="E4" s="37"/>
      <c r="F4" s="37"/>
      <c r="G4" s="37"/>
      <c r="H4" s="37"/>
      <c r="I4" s="5"/>
    </row>
    <row r="5" spans="1:19" ht="12.75" customHeight="1">
      <c r="A5" s="4"/>
      <c r="B5" s="4"/>
      <c r="C5" s="4"/>
      <c r="D5" s="2"/>
      <c r="E5" s="4"/>
      <c r="F5" s="4"/>
      <c r="G5" s="4"/>
      <c r="H5" s="4"/>
      <c r="I5" s="4"/>
    </row>
    <row r="6" spans="1:19" ht="12.75" customHeight="1">
      <c r="A6" s="4"/>
      <c r="B6" s="4"/>
      <c r="C6" s="5"/>
      <c r="D6" s="5"/>
      <c r="E6" s="5"/>
      <c r="F6" s="5"/>
      <c r="G6" s="5"/>
      <c r="H6" s="5"/>
      <c r="I6" s="5"/>
    </row>
    <row r="7" spans="1:19" ht="12.75" customHeight="1">
      <c r="A7" s="4"/>
      <c r="B7" s="4"/>
      <c r="C7" s="5"/>
      <c r="D7" s="5"/>
      <c r="E7" s="5"/>
      <c r="F7" s="37" t="s">
        <v>6</v>
      </c>
      <c r="G7" s="37"/>
      <c r="H7" s="37"/>
      <c r="I7" s="37"/>
    </row>
    <row r="8" spans="1:19" ht="15" customHeight="1">
      <c r="A8" s="5"/>
      <c r="B8" s="5"/>
      <c r="C8" s="5"/>
      <c r="D8" s="5"/>
      <c r="E8" s="5"/>
      <c r="F8" s="37" t="s">
        <v>7</v>
      </c>
      <c r="G8" s="37"/>
      <c r="H8" s="37"/>
      <c r="I8" s="37"/>
    </row>
    <row r="9" spans="1:19" ht="15" customHeight="1">
      <c r="A9" s="39"/>
      <c r="B9" s="39"/>
      <c r="C9" s="39"/>
      <c r="D9" s="39"/>
      <c r="E9" s="39"/>
      <c r="F9" s="5"/>
      <c r="G9" s="5"/>
      <c r="H9" s="5"/>
      <c r="I9" s="5"/>
    </row>
    <row r="10" spans="1:19" ht="4.5" customHeight="1">
      <c r="A10" s="5"/>
      <c r="B10" s="5"/>
      <c r="C10" s="5"/>
      <c r="D10" s="5"/>
      <c r="E10" s="5"/>
      <c r="F10" s="5"/>
      <c r="G10" s="5"/>
      <c r="H10" s="5"/>
      <c r="I10" s="5"/>
    </row>
    <row r="11" spans="1:19" s="7" customFormat="1" ht="17.25" customHeight="1">
      <c r="A11" s="40" t="s">
        <v>8</v>
      </c>
      <c r="B11" s="40"/>
      <c r="C11" s="41" t="s">
        <v>9</v>
      </c>
      <c r="D11" s="41"/>
      <c r="E11" s="42" t="s">
        <v>10</v>
      </c>
      <c r="F11" s="43" t="s">
        <v>11</v>
      </c>
      <c r="G11" s="43"/>
      <c r="H11" s="44" t="s">
        <v>12</v>
      </c>
      <c r="I11" s="44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46" t="s">
        <v>14</v>
      </c>
      <c r="C12" s="47" t="s">
        <v>15</v>
      </c>
      <c r="D12" s="46" t="s">
        <v>16</v>
      </c>
      <c r="E12" s="42"/>
      <c r="F12" s="47" t="s">
        <v>17</v>
      </c>
      <c r="G12" s="46" t="s">
        <v>18</v>
      </c>
      <c r="H12" s="47" t="s">
        <v>15</v>
      </c>
      <c r="I12" s="46" t="s">
        <v>19</v>
      </c>
    </row>
    <row r="13" spans="1:19" ht="12.75" customHeight="1">
      <c r="A13" s="45"/>
      <c r="B13" s="46"/>
      <c r="C13" s="47"/>
      <c r="D13" s="46"/>
      <c r="E13" s="42"/>
      <c r="F13" s="47"/>
      <c r="G13" s="46"/>
      <c r="H13" s="47"/>
      <c r="I13" s="46"/>
    </row>
    <row r="14" spans="1:19" s="15" customFormat="1" ht="10.5" customHeight="1">
      <c r="A14" s="8">
        <v>1</v>
      </c>
      <c r="B14" s="9">
        <v>2</v>
      </c>
      <c r="C14" s="10">
        <v>3</v>
      </c>
      <c r="D14" s="11">
        <v>4</v>
      </c>
      <c r="E14" s="9">
        <v>5</v>
      </c>
      <c r="F14" s="10">
        <v>6</v>
      </c>
      <c r="G14" s="12">
        <v>7</v>
      </c>
      <c r="H14" s="13">
        <v>8</v>
      </c>
      <c r="I14" s="14">
        <v>10</v>
      </c>
    </row>
    <row r="15" spans="1:19" ht="12.75" customHeight="1">
      <c r="A15" s="16" t="s">
        <v>20</v>
      </c>
      <c r="B15" s="17" t="s">
        <v>21</v>
      </c>
      <c r="C15" s="18">
        <v>2012</v>
      </c>
      <c r="D15" s="18">
        <v>1017</v>
      </c>
      <c r="E15" s="18">
        <v>802</v>
      </c>
      <c r="F15" s="18">
        <v>72</v>
      </c>
      <c r="G15" s="18">
        <v>525</v>
      </c>
      <c r="H15" s="18">
        <v>816</v>
      </c>
      <c r="I15" s="18">
        <v>4</v>
      </c>
    </row>
    <row r="16" spans="1:19" ht="12.75" customHeight="1">
      <c r="A16" s="19" t="s">
        <v>22</v>
      </c>
      <c r="B16" s="20" t="s">
        <v>23</v>
      </c>
      <c r="C16" s="21">
        <v>923</v>
      </c>
      <c r="D16" s="21">
        <v>409</v>
      </c>
      <c r="E16" s="21">
        <v>409</v>
      </c>
      <c r="F16" s="21">
        <v>84</v>
      </c>
      <c r="G16" s="21">
        <v>409</v>
      </c>
      <c r="H16" s="21">
        <v>59</v>
      </c>
      <c r="I16" s="21">
        <v>1</v>
      </c>
    </row>
    <row r="17" spans="1:9" ht="12.75" customHeight="1">
      <c r="A17" s="19" t="s">
        <v>24</v>
      </c>
      <c r="B17" s="20" t="s">
        <v>25</v>
      </c>
      <c r="C17" s="21">
        <v>430</v>
      </c>
      <c r="D17" s="21">
        <v>212</v>
      </c>
      <c r="E17" s="21">
        <v>212</v>
      </c>
      <c r="F17" s="21">
        <v>59</v>
      </c>
      <c r="G17" s="21">
        <v>159</v>
      </c>
      <c r="H17" s="21">
        <v>67</v>
      </c>
      <c r="I17" s="21">
        <v>0</v>
      </c>
    </row>
    <row r="18" spans="1:9" ht="12.75" customHeight="1">
      <c r="A18" s="19" t="s">
        <v>26</v>
      </c>
      <c r="B18" s="20" t="s">
        <v>27</v>
      </c>
      <c r="C18" s="21">
        <v>4153</v>
      </c>
      <c r="D18" s="21">
        <v>1307</v>
      </c>
      <c r="E18" s="21">
        <v>421</v>
      </c>
      <c r="F18" s="21">
        <v>237</v>
      </c>
      <c r="G18" s="21">
        <v>2056</v>
      </c>
      <c r="H18" s="21">
        <v>805</v>
      </c>
      <c r="I18" s="21">
        <v>5</v>
      </c>
    </row>
    <row r="19" spans="1:9" ht="12.75" customHeight="1">
      <c r="A19" s="19" t="s">
        <v>28</v>
      </c>
      <c r="B19" s="20" t="s">
        <v>29</v>
      </c>
      <c r="C19" s="21">
        <v>1916</v>
      </c>
      <c r="D19" s="21">
        <v>845</v>
      </c>
      <c r="E19" s="21">
        <v>677</v>
      </c>
      <c r="F19" s="21">
        <v>23</v>
      </c>
      <c r="G19" s="21">
        <v>935</v>
      </c>
      <c r="H19" s="21">
        <v>119</v>
      </c>
      <c r="I19" s="21">
        <v>2</v>
      </c>
    </row>
    <row r="20" spans="1:9" ht="12.75" customHeight="1">
      <c r="A20" s="19" t="s">
        <v>30</v>
      </c>
      <c r="B20" s="20" t="s">
        <v>31</v>
      </c>
      <c r="C20" s="21">
        <v>8606</v>
      </c>
      <c r="D20" s="21">
        <v>4529</v>
      </c>
      <c r="E20" s="21">
        <v>4115</v>
      </c>
      <c r="F20" s="21">
        <v>454</v>
      </c>
      <c r="G20" s="21">
        <v>2546</v>
      </c>
      <c r="H20" s="21">
        <v>2117</v>
      </c>
      <c r="I20" s="21">
        <v>18</v>
      </c>
    </row>
    <row r="21" spans="1:9" ht="12.75" customHeight="1">
      <c r="A21" s="19" t="s">
        <v>32</v>
      </c>
      <c r="B21" s="20" t="s">
        <v>33</v>
      </c>
      <c r="C21" s="21">
        <v>274</v>
      </c>
      <c r="D21" s="21">
        <v>140</v>
      </c>
      <c r="E21" s="21">
        <v>140</v>
      </c>
      <c r="F21" s="21">
        <v>24</v>
      </c>
      <c r="G21" s="21">
        <v>111</v>
      </c>
      <c r="H21" s="21">
        <v>30</v>
      </c>
      <c r="I21" s="21">
        <v>0</v>
      </c>
    </row>
    <row r="22" spans="1:9" ht="12.75" customHeight="1">
      <c r="A22" s="19" t="s">
        <v>34</v>
      </c>
      <c r="B22" s="20" t="s">
        <v>35</v>
      </c>
      <c r="C22" s="21">
        <v>555</v>
      </c>
      <c r="D22" s="21">
        <v>352</v>
      </c>
      <c r="E22" s="21">
        <v>352</v>
      </c>
      <c r="F22" s="21">
        <v>34</v>
      </c>
      <c r="G22" s="21">
        <v>169</v>
      </c>
      <c r="H22" s="21">
        <v>67</v>
      </c>
      <c r="I22" s="21">
        <v>1</v>
      </c>
    </row>
    <row r="23" spans="1:9" ht="12.75" customHeight="1">
      <c r="A23" s="22"/>
      <c r="B23" s="23" t="s">
        <v>36</v>
      </c>
      <c r="C23" s="24">
        <f t="shared" ref="C23:I23" si="0">SUM(C15:C22)</f>
        <v>18869</v>
      </c>
      <c r="D23" s="24">
        <f t="shared" si="0"/>
        <v>8811</v>
      </c>
      <c r="E23" s="24">
        <f t="shared" si="0"/>
        <v>7128</v>
      </c>
      <c r="F23" s="24">
        <f t="shared" si="0"/>
        <v>987</v>
      </c>
      <c r="G23" s="24">
        <f t="shared" si="0"/>
        <v>6910</v>
      </c>
      <c r="H23" s="24">
        <f t="shared" si="0"/>
        <v>4080</v>
      </c>
      <c r="I23" s="24">
        <f t="shared" si="0"/>
        <v>31</v>
      </c>
    </row>
    <row r="24" spans="1:9" ht="14.25" customHeight="1">
      <c r="A24" s="19" t="s">
        <v>37</v>
      </c>
      <c r="B24" s="20" t="s">
        <v>38</v>
      </c>
      <c r="C24" s="25">
        <v>873</v>
      </c>
      <c r="D24" s="25">
        <v>55</v>
      </c>
      <c r="E24" s="25">
        <v>36</v>
      </c>
      <c r="F24" s="25">
        <v>88</v>
      </c>
      <c r="G24" s="25">
        <v>276</v>
      </c>
      <c r="H24" s="25">
        <v>51</v>
      </c>
      <c r="I24" s="25">
        <v>1</v>
      </c>
    </row>
    <row r="25" spans="1:9" ht="14.25" customHeight="1">
      <c r="A25" s="26"/>
      <c r="B25" s="23" t="s">
        <v>39</v>
      </c>
      <c r="C25" s="24">
        <f t="shared" ref="C25:I25" si="1">SUM(C24)</f>
        <v>873</v>
      </c>
      <c r="D25" s="24">
        <f t="shared" si="1"/>
        <v>55</v>
      </c>
      <c r="E25" s="24">
        <f t="shared" si="1"/>
        <v>36</v>
      </c>
      <c r="F25" s="24">
        <f t="shared" si="1"/>
        <v>88</v>
      </c>
      <c r="G25" s="24">
        <f t="shared" si="1"/>
        <v>276</v>
      </c>
      <c r="H25" s="24">
        <f t="shared" si="1"/>
        <v>51</v>
      </c>
      <c r="I25" s="24">
        <f t="shared" si="1"/>
        <v>1</v>
      </c>
    </row>
    <row r="26" spans="1:9" ht="12.75" customHeight="1">
      <c r="A26" s="19" t="s">
        <v>40</v>
      </c>
      <c r="B26" s="20" t="s">
        <v>41</v>
      </c>
      <c r="C26" s="25">
        <v>2250</v>
      </c>
      <c r="D26" s="25">
        <v>1307</v>
      </c>
      <c r="E26" s="25">
        <v>342</v>
      </c>
      <c r="F26" s="25">
        <v>147</v>
      </c>
      <c r="G26" s="25">
        <v>215</v>
      </c>
      <c r="H26" s="25">
        <v>249</v>
      </c>
      <c r="I26" s="25">
        <v>4</v>
      </c>
    </row>
    <row r="27" spans="1:9" ht="12.75" customHeight="1">
      <c r="A27" s="19" t="s">
        <v>42</v>
      </c>
      <c r="B27" s="20" t="s">
        <v>43</v>
      </c>
      <c r="C27" s="25">
        <v>1318</v>
      </c>
      <c r="D27" s="25">
        <v>48</v>
      </c>
      <c r="E27" s="25">
        <v>48</v>
      </c>
      <c r="F27" s="25">
        <v>170</v>
      </c>
      <c r="G27" s="25">
        <v>668</v>
      </c>
      <c r="H27" s="25">
        <v>19</v>
      </c>
      <c r="I27" s="25">
        <v>2</v>
      </c>
    </row>
    <row r="28" spans="1:9" ht="12.75" customHeight="1">
      <c r="A28" s="19" t="s">
        <v>44</v>
      </c>
      <c r="B28" s="20" t="s">
        <v>45</v>
      </c>
      <c r="C28" s="25">
        <v>299</v>
      </c>
      <c r="D28" s="25">
        <v>184</v>
      </c>
      <c r="E28" s="25">
        <v>184</v>
      </c>
      <c r="F28" s="25">
        <v>13</v>
      </c>
      <c r="G28" s="25">
        <v>41</v>
      </c>
      <c r="H28" s="25">
        <v>41</v>
      </c>
      <c r="I28" s="25">
        <v>3</v>
      </c>
    </row>
    <row r="29" spans="1:9" ht="12.75" customHeight="1">
      <c r="A29" s="19" t="s">
        <v>46</v>
      </c>
      <c r="B29" s="20" t="s">
        <v>47</v>
      </c>
      <c r="C29" s="25">
        <v>664</v>
      </c>
      <c r="D29" s="25">
        <v>45</v>
      </c>
      <c r="E29" s="25">
        <v>45</v>
      </c>
      <c r="F29" s="25">
        <v>66</v>
      </c>
      <c r="G29" s="25">
        <v>396</v>
      </c>
      <c r="H29" s="25">
        <v>110</v>
      </c>
      <c r="I29" s="25">
        <v>2</v>
      </c>
    </row>
    <row r="30" spans="1:9" ht="12.75" customHeight="1">
      <c r="A30" s="22"/>
      <c r="B30" s="23" t="s">
        <v>48</v>
      </c>
      <c r="C30" s="24">
        <f t="shared" ref="C30:I30" si="2">SUM(C26:C29)</f>
        <v>4531</v>
      </c>
      <c r="D30" s="24">
        <f t="shared" si="2"/>
        <v>1584</v>
      </c>
      <c r="E30" s="24">
        <f t="shared" si="2"/>
        <v>619</v>
      </c>
      <c r="F30" s="24">
        <f t="shared" si="2"/>
        <v>396</v>
      </c>
      <c r="G30" s="24">
        <f t="shared" si="2"/>
        <v>1320</v>
      </c>
      <c r="H30" s="24">
        <f t="shared" si="2"/>
        <v>419</v>
      </c>
      <c r="I30" s="24">
        <f t="shared" si="2"/>
        <v>11</v>
      </c>
    </row>
    <row r="31" spans="1:9" ht="12.75" customHeight="1">
      <c r="A31" s="19" t="s">
        <v>49</v>
      </c>
      <c r="B31" s="20" t="s">
        <v>50</v>
      </c>
      <c r="C31" s="25">
        <v>3439</v>
      </c>
      <c r="D31" s="25">
        <v>641</v>
      </c>
      <c r="E31" s="25">
        <v>633</v>
      </c>
      <c r="F31" s="25">
        <v>160</v>
      </c>
      <c r="G31" s="25">
        <v>2406</v>
      </c>
      <c r="H31" s="25">
        <v>824</v>
      </c>
      <c r="I31" s="25">
        <v>3</v>
      </c>
    </row>
    <row r="32" spans="1:9" ht="12.75" customHeight="1">
      <c r="A32" s="19" t="s">
        <v>51</v>
      </c>
      <c r="B32" s="20" t="s">
        <v>52</v>
      </c>
      <c r="C32" s="25">
        <v>5045</v>
      </c>
      <c r="D32" s="25">
        <v>2739</v>
      </c>
      <c r="E32" s="25">
        <v>1771</v>
      </c>
      <c r="F32" s="25">
        <v>210</v>
      </c>
      <c r="G32" s="25">
        <v>1410</v>
      </c>
      <c r="H32" s="25">
        <v>1893</v>
      </c>
      <c r="I32" s="25">
        <v>4</v>
      </c>
    </row>
    <row r="33" spans="1:9" ht="12.75" customHeight="1">
      <c r="A33" s="19" t="s">
        <v>53</v>
      </c>
      <c r="B33" s="20" t="s">
        <v>54</v>
      </c>
      <c r="C33" s="25">
        <v>829</v>
      </c>
      <c r="D33" s="25">
        <v>208</v>
      </c>
      <c r="E33" s="25">
        <v>208</v>
      </c>
      <c r="F33" s="25">
        <v>66</v>
      </c>
      <c r="G33" s="25">
        <v>349</v>
      </c>
      <c r="H33" s="25">
        <v>326</v>
      </c>
      <c r="I33" s="25">
        <v>4</v>
      </c>
    </row>
    <row r="34" spans="1:9" ht="12.75" customHeight="1">
      <c r="A34" s="19" t="s">
        <v>55</v>
      </c>
      <c r="B34" s="20" t="s">
        <v>56</v>
      </c>
      <c r="C34" s="25">
        <v>2100</v>
      </c>
      <c r="D34" s="25">
        <v>1343</v>
      </c>
      <c r="E34" s="25">
        <v>359</v>
      </c>
      <c r="F34" s="25">
        <v>27</v>
      </c>
      <c r="G34" s="25">
        <v>148</v>
      </c>
      <c r="H34" s="25">
        <v>385</v>
      </c>
      <c r="I34" s="25">
        <v>1</v>
      </c>
    </row>
    <row r="35" spans="1:9" ht="12.75" customHeight="1">
      <c r="A35" s="19" t="s">
        <v>57</v>
      </c>
      <c r="B35" s="20" t="s">
        <v>58</v>
      </c>
      <c r="C35" s="25">
        <v>512</v>
      </c>
      <c r="D35" s="25">
        <v>220</v>
      </c>
      <c r="E35" s="25">
        <v>220</v>
      </c>
      <c r="F35" s="25">
        <v>37</v>
      </c>
      <c r="G35" s="25">
        <v>255</v>
      </c>
      <c r="H35" s="25">
        <v>297</v>
      </c>
      <c r="I35" s="25">
        <v>1</v>
      </c>
    </row>
    <row r="36" spans="1:9" ht="12.75" customHeight="1">
      <c r="A36" s="19" t="s">
        <v>59</v>
      </c>
      <c r="B36" s="20" t="s">
        <v>60</v>
      </c>
      <c r="C36" s="25">
        <v>680</v>
      </c>
      <c r="D36" s="25">
        <v>241</v>
      </c>
      <c r="E36" s="25">
        <v>241</v>
      </c>
      <c r="F36" s="25">
        <v>12</v>
      </c>
      <c r="G36" s="25">
        <v>59</v>
      </c>
      <c r="H36" s="25">
        <v>253</v>
      </c>
      <c r="I36" s="25">
        <v>2</v>
      </c>
    </row>
    <row r="37" spans="1:9" ht="12.75" customHeight="1">
      <c r="A37" s="19" t="s">
        <v>61</v>
      </c>
      <c r="B37" s="20" t="s">
        <v>62</v>
      </c>
      <c r="C37" s="25">
        <v>2823</v>
      </c>
      <c r="D37" s="25">
        <v>1509</v>
      </c>
      <c r="E37" s="25">
        <v>488</v>
      </c>
      <c r="F37" s="25">
        <v>66</v>
      </c>
      <c r="G37" s="25">
        <v>681</v>
      </c>
      <c r="H37" s="25">
        <v>408</v>
      </c>
      <c r="I37" s="25">
        <v>5</v>
      </c>
    </row>
    <row r="38" spans="1:9" ht="12.75" customHeight="1">
      <c r="A38" s="19" t="s">
        <v>63</v>
      </c>
      <c r="B38" s="20" t="s">
        <v>64</v>
      </c>
      <c r="C38" s="25">
        <v>6798</v>
      </c>
      <c r="D38" s="25">
        <v>4429</v>
      </c>
      <c r="E38" s="25">
        <v>2937</v>
      </c>
      <c r="F38" s="25">
        <v>153</v>
      </c>
      <c r="G38" s="25">
        <v>710</v>
      </c>
      <c r="H38" s="25">
        <v>3853</v>
      </c>
      <c r="I38" s="25">
        <v>11</v>
      </c>
    </row>
    <row r="39" spans="1:9" ht="12.75" customHeight="1">
      <c r="A39" s="19" t="s">
        <v>65</v>
      </c>
      <c r="B39" s="20" t="s">
        <v>66</v>
      </c>
      <c r="C39" s="25">
        <v>1129</v>
      </c>
      <c r="D39" s="25">
        <v>927</v>
      </c>
      <c r="E39" s="25">
        <v>857</v>
      </c>
      <c r="F39" s="25">
        <v>48</v>
      </c>
      <c r="G39" s="25">
        <v>141</v>
      </c>
      <c r="H39" s="25">
        <v>502</v>
      </c>
      <c r="I39" s="25">
        <v>3</v>
      </c>
    </row>
    <row r="40" spans="1:9" ht="12.75" customHeight="1">
      <c r="A40" s="19" t="s">
        <v>67</v>
      </c>
      <c r="B40" s="20" t="s">
        <v>68</v>
      </c>
      <c r="C40" s="25">
        <v>1156</v>
      </c>
      <c r="D40" s="25">
        <v>650</v>
      </c>
      <c r="E40" s="25">
        <v>509</v>
      </c>
      <c r="F40" s="25">
        <v>62</v>
      </c>
      <c r="G40" s="25">
        <v>217</v>
      </c>
      <c r="H40" s="25">
        <v>468</v>
      </c>
      <c r="I40" s="25">
        <v>2</v>
      </c>
    </row>
    <row r="41" spans="1:9" ht="12.75" customHeight="1">
      <c r="A41" s="19" t="s">
        <v>69</v>
      </c>
      <c r="B41" s="20" t="s">
        <v>70</v>
      </c>
      <c r="C41" s="25">
        <v>1091</v>
      </c>
      <c r="D41" s="25">
        <v>79</v>
      </c>
      <c r="E41" s="25">
        <v>79</v>
      </c>
      <c r="F41" s="25">
        <v>145</v>
      </c>
      <c r="G41" s="25">
        <v>517</v>
      </c>
      <c r="H41" s="25">
        <v>82</v>
      </c>
      <c r="I41" s="25">
        <v>1</v>
      </c>
    </row>
    <row r="42" spans="1:9" ht="12.75" customHeight="1">
      <c r="A42" s="19" t="s">
        <v>71</v>
      </c>
      <c r="B42" s="20" t="s">
        <v>72</v>
      </c>
      <c r="C42" s="25">
        <v>948</v>
      </c>
      <c r="D42" s="25">
        <v>603</v>
      </c>
      <c r="E42" s="25">
        <v>555</v>
      </c>
      <c r="F42" s="25">
        <v>72</v>
      </c>
      <c r="G42" s="25">
        <v>272</v>
      </c>
      <c r="H42" s="25">
        <v>309</v>
      </c>
      <c r="I42" s="25">
        <v>3</v>
      </c>
    </row>
    <row r="43" spans="1:9" ht="12.75" customHeight="1">
      <c r="A43" s="22"/>
      <c r="B43" s="23" t="s">
        <v>73</v>
      </c>
      <c r="C43" s="24">
        <f t="shared" ref="C43:I43" si="3">SUM(C31:C42)</f>
        <v>26550</v>
      </c>
      <c r="D43" s="24">
        <f t="shared" si="3"/>
        <v>13589</v>
      </c>
      <c r="E43" s="24">
        <f t="shared" si="3"/>
        <v>8857</v>
      </c>
      <c r="F43" s="24">
        <f t="shared" si="3"/>
        <v>1058</v>
      </c>
      <c r="G43" s="24">
        <f t="shared" si="3"/>
        <v>7165</v>
      </c>
      <c r="H43" s="24">
        <f t="shared" si="3"/>
        <v>9600</v>
      </c>
      <c r="I43" s="24">
        <f t="shared" si="3"/>
        <v>40</v>
      </c>
    </row>
    <row r="44" spans="1:9" ht="12.75" customHeight="1">
      <c r="A44" s="19" t="s">
        <v>74</v>
      </c>
      <c r="B44" s="20" t="s">
        <v>75</v>
      </c>
      <c r="C44" s="25">
        <v>1378</v>
      </c>
      <c r="D44" s="25">
        <v>204</v>
      </c>
      <c r="E44" s="25">
        <v>191</v>
      </c>
      <c r="F44" s="25">
        <v>232</v>
      </c>
      <c r="G44" s="25">
        <v>738</v>
      </c>
      <c r="H44" s="25">
        <v>186</v>
      </c>
      <c r="I44" s="25">
        <v>4</v>
      </c>
    </row>
    <row r="45" spans="1:9" ht="12.75" customHeight="1">
      <c r="A45" s="19" t="s">
        <v>76</v>
      </c>
      <c r="B45" s="20" t="s">
        <v>77</v>
      </c>
      <c r="C45" s="25">
        <v>1765</v>
      </c>
      <c r="D45" s="25">
        <v>647</v>
      </c>
      <c r="E45" s="25">
        <v>554</v>
      </c>
      <c r="F45" s="25">
        <v>209</v>
      </c>
      <c r="G45" s="25">
        <v>909</v>
      </c>
      <c r="H45" s="25">
        <v>318</v>
      </c>
      <c r="I45" s="25">
        <v>7</v>
      </c>
    </row>
    <row r="46" spans="1:9" ht="12.75" customHeight="1">
      <c r="A46" s="22"/>
      <c r="B46" s="23" t="s">
        <v>78</v>
      </c>
      <c r="C46" s="24">
        <f t="shared" ref="C46:I46" si="4">SUM(C44:C45)</f>
        <v>3143</v>
      </c>
      <c r="D46" s="24">
        <f t="shared" si="4"/>
        <v>851</v>
      </c>
      <c r="E46" s="24">
        <f t="shared" si="4"/>
        <v>745</v>
      </c>
      <c r="F46" s="24">
        <f t="shared" si="4"/>
        <v>441</v>
      </c>
      <c r="G46" s="24">
        <f t="shared" si="4"/>
        <v>1647</v>
      </c>
      <c r="H46" s="24">
        <f t="shared" si="4"/>
        <v>504</v>
      </c>
      <c r="I46" s="24">
        <f t="shared" si="4"/>
        <v>11</v>
      </c>
    </row>
    <row r="47" spans="1:9" ht="12.75" customHeight="1">
      <c r="A47" s="27" t="s">
        <v>79</v>
      </c>
      <c r="B47" s="20" t="s">
        <v>80</v>
      </c>
      <c r="C47" s="28">
        <v>79</v>
      </c>
      <c r="D47" s="28">
        <v>17</v>
      </c>
      <c r="E47" s="28">
        <v>17</v>
      </c>
      <c r="F47" s="25">
        <v>17</v>
      </c>
      <c r="G47" s="25">
        <v>45</v>
      </c>
      <c r="H47" s="25">
        <v>55</v>
      </c>
      <c r="I47" s="25">
        <v>1</v>
      </c>
    </row>
    <row r="48" spans="1:9" ht="12.75" customHeight="1">
      <c r="A48" s="27" t="s">
        <v>81</v>
      </c>
      <c r="B48" s="20" t="s">
        <v>82</v>
      </c>
      <c r="C48" s="28">
        <v>1255</v>
      </c>
      <c r="D48" s="28">
        <v>225</v>
      </c>
      <c r="E48" s="28">
        <v>186</v>
      </c>
      <c r="F48" s="25">
        <v>115</v>
      </c>
      <c r="G48" s="25">
        <v>845</v>
      </c>
      <c r="H48" s="25">
        <v>177</v>
      </c>
      <c r="I48" s="25">
        <v>2</v>
      </c>
    </row>
    <row r="49" spans="1:9" ht="12.75" customHeight="1">
      <c r="A49" s="27" t="s">
        <v>83</v>
      </c>
      <c r="B49" s="20" t="s">
        <v>84</v>
      </c>
      <c r="C49" s="28">
        <v>148</v>
      </c>
      <c r="D49" s="28">
        <v>3</v>
      </c>
      <c r="E49" s="28">
        <v>0</v>
      </c>
      <c r="F49" s="25">
        <v>66</v>
      </c>
      <c r="G49" s="25">
        <v>79</v>
      </c>
      <c r="H49" s="25">
        <v>32</v>
      </c>
      <c r="I49" s="25">
        <v>0</v>
      </c>
    </row>
    <row r="50" spans="1:9" ht="12.75" customHeight="1">
      <c r="A50" s="27" t="s">
        <v>85</v>
      </c>
      <c r="B50" s="20" t="s">
        <v>86</v>
      </c>
      <c r="C50" s="28">
        <v>4497</v>
      </c>
      <c r="D50" s="28">
        <v>357</v>
      </c>
      <c r="E50" s="28">
        <v>138</v>
      </c>
      <c r="F50" s="25">
        <v>319</v>
      </c>
      <c r="G50" s="25">
        <v>3717</v>
      </c>
      <c r="H50" s="25">
        <v>520</v>
      </c>
      <c r="I50" s="25">
        <v>4</v>
      </c>
    </row>
    <row r="51" spans="1:9" ht="12.75" customHeight="1">
      <c r="A51" s="29"/>
      <c r="B51" s="23" t="s">
        <v>87</v>
      </c>
      <c r="C51" s="24">
        <f t="shared" ref="C51:I51" si="5">SUM(C47:C50)</f>
        <v>5979</v>
      </c>
      <c r="D51" s="24">
        <f t="shared" si="5"/>
        <v>602</v>
      </c>
      <c r="E51" s="24">
        <f t="shared" si="5"/>
        <v>341</v>
      </c>
      <c r="F51" s="24">
        <f t="shared" si="5"/>
        <v>517</v>
      </c>
      <c r="G51" s="24">
        <f t="shared" si="5"/>
        <v>4686</v>
      </c>
      <c r="H51" s="24">
        <f t="shared" si="5"/>
        <v>784</v>
      </c>
      <c r="I51" s="24">
        <f t="shared" si="5"/>
        <v>7</v>
      </c>
    </row>
    <row r="52" spans="1:9" ht="12.75" customHeight="1">
      <c r="A52" s="27" t="s">
        <v>88</v>
      </c>
      <c r="B52" s="20" t="s">
        <v>89</v>
      </c>
      <c r="C52" s="28">
        <v>1435</v>
      </c>
      <c r="D52" s="28">
        <v>181</v>
      </c>
      <c r="E52" s="28">
        <v>82</v>
      </c>
      <c r="F52" s="25">
        <v>140</v>
      </c>
      <c r="G52" s="25">
        <v>1068</v>
      </c>
      <c r="H52" s="25">
        <v>31</v>
      </c>
      <c r="I52" s="25">
        <v>1</v>
      </c>
    </row>
    <row r="53" spans="1:9" ht="12.75" customHeight="1">
      <c r="A53" s="27" t="s">
        <v>90</v>
      </c>
      <c r="B53" s="20" t="s">
        <v>91</v>
      </c>
      <c r="C53" s="28">
        <v>4886</v>
      </c>
      <c r="D53" s="28">
        <v>2704</v>
      </c>
      <c r="E53" s="28">
        <v>1493</v>
      </c>
      <c r="F53" s="25">
        <v>186</v>
      </c>
      <c r="G53" s="25">
        <v>1143</v>
      </c>
      <c r="H53" s="25">
        <v>1021</v>
      </c>
      <c r="I53" s="25">
        <v>4</v>
      </c>
    </row>
    <row r="54" spans="1:9" ht="12.75" customHeight="1">
      <c r="A54" s="27" t="s">
        <v>92</v>
      </c>
      <c r="B54" s="20" t="s">
        <v>93</v>
      </c>
      <c r="C54" s="28">
        <v>1119</v>
      </c>
      <c r="D54" s="28">
        <v>490</v>
      </c>
      <c r="E54" s="28">
        <v>328</v>
      </c>
      <c r="F54" s="25">
        <v>65</v>
      </c>
      <c r="G54" s="25">
        <v>286</v>
      </c>
      <c r="H54" s="25">
        <v>57</v>
      </c>
      <c r="I54" s="25">
        <v>1</v>
      </c>
    </row>
    <row r="55" spans="1:9" ht="12.75" customHeight="1">
      <c r="A55" s="27" t="s">
        <v>94</v>
      </c>
      <c r="B55" s="20" t="s">
        <v>95</v>
      </c>
      <c r="C55" s="28">
        <v>2728</v>
      </c>
      <c r="D55" s="28">
        <v>1089</v>
      </c>
      <c r="E55" s="28">
        <v>828</v>
      </c>
      <c r="F55" s="25">
        <v>244</v>
      </c>
      <c r="G55" s="25">
        <v>1376</v>
      </c>
      <c r="H55" s="25">
        <v>391</v>
      </c>
      <c r="I55" s="25">
        <v>4</v>
      </c>
    </row>
    <row r="56" spans="1:9" ht="12.75" customHeight="1">
      <c r="A56" s="27" t="s">
        <v>96</v>
      </c>
      <c r="B56" s="20" t="s">
        <v>97</v>
      </c>
      <c r="C56" s="28">
        <v>5729</v>
      </c>
      <c r="D56" s="28">
        <v>3403</v>
      </c>
      <c r="E56" s="28">
        <v>802</v>
      </c>
      <c r="F56" s="25">
        <v>99</v>
      </c>
      <c r="G56" s="25">
        <v>1741</v>
      </c>
      <c r="H56" s="25">
        <v>267</v>
      </c>
      <c r="I56" s="25">
        <v>6</v>
      </c>
    </row>
    <row r="57" spans="1:9" ht="12.75" customHeight="1">
      <c r="A57" s="27" t="s">
        <v>98</v>
      </c>
      <c r="B57" s="20" t="s">
        <v>99</v>
      </c>
      <c r="C57" s="28">
        <v>6980</v>
      </c>
      <c r="D57" s="28">
        <v>3519</v>
      </c>
      <c r="E57" s="28">
        <v>1388</v>
      </c>
      <c r="F57" s="25">
        <v>173</v>
      </c>
      <c r="G57" s="25">
        <v>2001</v>
      </c>
      <c r="H57" s="25">
        <v>300</v>
      </c>
      <c r="I57" s="25">
        <v>10</v>
      </c>
    </row>
    <row r="58" spans="1:9" ht="12.75" customHeight="1">
      <c r="A58" s="27" t="s">
        <v>100</v>
      </c>
      <c r="B58" s="20" t="s">
        <v>101</v>
      </c>
      <c r="C58" s="28">
        <v>3057</v>
      </c>
      <c r="D58" s="28">
        <v>1294</v>
      </c>
      <c r="E58" s="28">
        <v>1094</v>
      </c>
      <c r="F58" s="25">
        <v>153</v>
      </c>
      <c r="G58" s="25">
        <v>910</v>
      </c>
      <c r="H58" s="25">
        <v>960</v>
      </c>
      <c r="I58" s="25">
        <v>2</v>
      </c>
    </row>
    <row r="59" spans="1:9" ht="12.75" customHeight="1">
      <c r="A59" s="29"/>
      <c r="B59" s="23" t="s">
        <v>102</v>
      </c>
      <c r="C59" s="24">
        <f t="shared" ref="C59:I59" si="6">SUM(C52:C58)</f>
        <v>25934</v>
      </c>
      <c r="D59" s="24">
        <f t="shared" si="6"/>
        <v>12680</v>
      </c>
      <c r="E59" s="24">
        <f t="shared" si="6"/>
        <v>6015</v>
      </c>
      <c r="F59" s="24">
        <f t="shared" si="6"/>
        <v>1060</v>
      </c>
      <c r="G59" s="24">
        <f t="shared" si="6"/>
        <v>8525</v>
      </c>
      <c r="H59" s="24">
        <f t="shared" si="6"/>
        <v>3027</v>
      </c>
      <c r="I59" s="24">
        <f t="shared" si="6"/>
        <v>28</v>
      </c>
    </row>
    <row r="60" spans="1:9" ht="12.75" customHeight="1">
      <c r="A60" s="27" t="s">
        <v>103</v>
      </c>
      <c r="B60" s="20" t="s">
        <v>104</v>
      </c>
      <c r="C60" s="28">
        <v>3843</v>
      </c>
      <c r="D60" s="28">
        <v>2235</v>
      </c>
      <c r="E60" s="28">
        <v>770</v>
      </c>
      <c r="F60" s="25">
        <v>113</v>
      </c>
      <c r="G60" s="25">
        <v>1329</v>
      </c>
      <c r="H60" s="25">
        <v>582</v>
      </c>
      <c r="I60" s="25">
        <v>10</v>
      </c>
    </row>
    <row r="61" spans="1:9" ht="12.75" customHeight="1">
      <c r="A61" s="27" t="s">
        <v>105</v>
      </c>
      <c r="B61" s="20" t="s">
        <v>106</v>
      </c>
      <c r="C61" s="28">
        <v>1641</v>
      </c>
      <c r="D61" s="28">
        <v>706</v>
      </c>
      <c r="E61" s="28">
        <v>636</v>
      </c>
      <c r="F61" s="25">
        <v>72</v>
      </c>
      <c r="G61" s="25">
        <v>863</v>
      </c>
      <c r="H61" s="25">
        <v>179</v>
      </c>
      <c r="I61" s="25">
        <v>3</v>
      </c>
    </row>
    <row r="62" spans="1:9" ht="12.75" customHeight="1">
      <c r="A62" s="27" t="s">
        <v>107</v>
      </c>
      <c r="B62" s="20" t="s">
        <v>108</v>
      </c>
      <c r="C62" s="28">
        <v>4153</v>
      </c>
      <c r="D62" s="28">
        <v>2593</v>
      </c>
      <c r="E62" s="28">
        <v>548</v>
      </c>
      <c r="F62" s="25">
        <v>126</v>
      </c>
      <c r="G62" s="25">
        <v>1319</v>
      </c>
      <c r="H62" s="25">
        <v>540</v>
      </c>
      <c r="I62" s="25">
        <v>2</v>
      </c>
    </row>
    <row r="63" spans="1:9" ht="12.75" customHeight="1">
      <c r="A63" s="27" t="s">
        <v>109</v>
      </c>
      <c r="B63" s="20" t="s">
        <v>110</v>
      </c>
      <c r="C63" s="28">
        <v>1759</v>
      </c>
      <c r="D63" s="28">
        <v>1284</v>
      </c>
      <c r="E63" s="28">
        <v>971</v>
      </c>
      <c r="F63" s="25">
        <v>75</v>
      </c>
      <c r="G63" s="25">
        <v>401</v>
      </c>
      <c r="H63" s="25">
        <v>768</v>
      </c>
      <c r="I63" s="25">
        <v>4</v>
      </c>
    </row>
    <row r="64" spans="1:9" ht="12.75" customHeight="1">
      <c r="A64" s="27" t="s">
        <v>111</v>
      </c>
      <c r="B64" s="20" t="s">
        <v>112</v>
      </c>
      <c r="C64" s="28">
        <v>17956</v>
      </c>
      <c r="D64" s="28">
        <v>14000</v>
      </c>
      <c r="E64" s="28">
        <v>673</v>
      </c>
      <c r="F64" s="25">
        <v>34</v>
      </c>
      <c r="G64" s="25">
        <v>2406</v>
      </c>
      <c r="H64" s="25">
        <v>293</v>
      </c>
      <c r="I64" s="25">
        <v>4</v>
      </c>
    </row>
    <row r="65" spans="1:9" ht="12.75" customHeight="1">
      <c r="A65" s="27" t="s">
        <v>113</v>
      </c>
      <c r="B65" s="20" t="s">
        <v>114</v>
      </c>
      <c r="C65" s="28">
        <v>1611</v>
      </c>
      <c r="D65" s="28">
        <v>688</v>
      </c>
      <c r="E65" s="28">
        <v>532</v>
      </c>
      <c r="F65" s="25">
        <v>27</v>
      </c>
      <c r="G65" s="25">
        <v>339</v>
      </c>
      <c r="H65" s="25">
        <v>158</v>
      </c>
      <c r="I65" s="25">
        <v>3</v>
      </c>
    </row>
    <row r="66" spans="1:9" ht="12.75" customHeight="1">
      <c r="A66" s="27" t="s">
        <v>115</v>
      </c>
      <c r="B66" s="20" t="s">
        <v>116</v>
      </c>
      <c r="C66" s="28">
        <v>1406</v>
      </c>
      <c r="D66" s="28">
        <v>826</v>
      </c>
      <c r="E66" s="28">
        <v>577</v>
      </c>
      <c r="F66" s="25">
        <v>40</v>
      </c>
      <c r="G66" s="25">
        <v>200</v>
      </c>
      <c r="H66" s="25">
        <v>543</v>
      </c>
      <c r="I66" s="25">
        <v>4</v>
      </c>
    </row>
    <row r="67" spans="1:9" ht="12.75" customHeight="1">
      <c r="A67" s="27" t="s">
        <v>117</v>
      </c>
      <c r="B67" s="20" t="s">
        <v>118</v>
      </c>
      <c r="C67" s="28">
        <v>2580</v>
      </c>
      <c r="D67" s="28">
        <v>1790</v>
      </c>
      <c r="E67" s="28">
        <v>662</v>
      </c>
      <c r="F67" s="25">
        <v>68</v>
      </c>
      <c r="G67" s="25">
        <v>510</v>
      </c>
      <c r="H67" s="25">
        <v>467</v>
      </c>
      <c r="I67" s="25">
        <v>2</v>
      </c>
    </row>
    <row r="68" spans="1:9" ht="12.75" customHeight="1">
      <c r="A68" s="27" t="s">
        <v>119</v>
      </c>
      <c r="B68" s="20" t="s">
        <v>120</v>
      </c>
      <c r="C68" s="28">
        <v>1109</v>
      </c>
      <c r="D68" s="28">
        <v>659</v>
      </c>
      <c r="E68" s="28">
        <v>366</v>
      </c>
      <c r="F68" s="25">
        <v>51</v>
      </c>
      <c r="G68" s="25">
        <v>248</v>
      </c>
      <c r="H68" s="25">
        <v>58</v>
      </c>
      <c r="I68" s="25">
        <v>2</v>
      </c>
    </row>
    <row r="69" spans="1:9" ht="12.75" customHeight="1">
      <c r="A69" s="22"/>
      <c r="B69" s="23" t="s">
        <v>121</v>
      </c>
      <c r="C69" s="24">
        <f t="shared" ref="C69:I69" si="7">SUM(C60:C68)</f>
        <v>36058</v>
      </c>
      <c r="D69" s="24">
        <f t="shared" si="7"/>
        <v>24781</v>
      </c>
      <c r="E69" s="24">
        <f t="shared" si="7"/>
        <v>5735</v>
      </c>
      <c r="F69" s="24">
        <f t="shared" si="7"/>
        <v>606</v>
      </c>
      <c r="G69" s="24">
        <f t="shared" si="7"/>
        <v>7615</v>
      </c>
      <c r="H69" s="24">
        <f t="shared" si="7"/>
        <v>3588</v>
      </c>
      <c r="I69" s="24">
        <f t="shared" si="7"/>
        <v>34</v>
      </c>
    </row>
    <row r="70" spans="1:9" ht="12.75" customHeight="1">
      <c r="A70" s="27" t="s">
        <v>122</v>
      </c>
      <c r="B70" s="20" t="s">
        <v>123</v>
      </c>
      <c r="C70" s="28">
        <v>1946</v>
      </c>
      <c r="D70" s="28">
        <v>1012</v>
      </c>
      <c r="E70" s="28">
        <v>688</v>
      </c>
      <c r="F70" s="25">
        <v>143</v>
      </c>
      <c r="G70" s="25">
        <v>655</v>
      </c>
      <c r="H70" s="25">
        <v>350</v>
      </c>
      <c r="I70" s="25">
        <v>3</v>
      </c>
    </row>
    <row r="71" spans="1:9" ht="12.75" customHeight="1">
      <c r="A71" s="27" t="s">
        <v>124</v>
      </c>
      <c r="B71" s="20" t="s">
        <v>125</v>
      </c>
      <c r="C71" s="28">
        <v>3553</v>
      </c>
      <c r="D71" s="28">
        <v>1924</v>
      </c>
      <c r="E71" s="28">
        <v>1653</v>
      </c>
      <c r="F71" s="25">
        <v>215</v>
      </c>
      <c r="G71" s="25">
        <v>862</v>
      </c>
      <c r="H71" s="25">
        <v>359</v>
      </c>
      <c r="I71" s="25">
        <v>6</v>
      </c>
    </row>
    <row r="72" spans="1:9" ht="12.75" customHeight="1">
      <c r="A72" s="27" t="s">
        <v>126</v>
      </c>
      <c r="B72" s="20" t="s">
        <v>127</v>
      </c>
      <c r="C72" s="28">
        <v>1015</v>
      </c>
      <c r="D72" s="28">
        <v>280</v>
      </c>
      <c r="E72" s="28">
        <v>280</v>
      </c>
      <c r="F72" s="25">
        <v>181</v>
      </c>
      <c r="G72" s="25">
        <v>485</v>
      </c>
      <c r="H72" s="25">
        <v>59</v>
      </c>
      <c r="I72" s="25">
        <v>2</v>
      </c>
    </row>
    <row r="73" spans="1:9" ht="12.75" customHeight="1">
      <c r="A73" s="27" t="s">
        <v>128</v>
      </c>
      <c r="B73" s="20" t="s">
        <v>129</v>
      </c>
      <c r="C73" s="28">
        <v>1127</v>
      </c>
      <c r="D73" s="28">
        <v>278</v>
      </c>
      <c r="E73" s="28">
        <v>268</v>
      </c>
      <c r="F73" s="25">
        <v>108</v>
      </c>
      <c r="G73" s="25">
        <v>721</v>
      </c>
      <c r="H73" s="25">
        <v>140</v>
      </c>
      <c r="I73" s="25">
        <v>3</v>
      </c>
    </row>
    <row r="74" spans="1:9" ht="12.75" customHeight="1">
      <c r="A74" s="27" t="s">
        <v>130</v>
      </c>
      <c r="B74" s="20" t="s">
        <v>131</v>
      </c>
      <c r="C74" s="28">
        <v>1692</v>
      </c>
      <c r="D74" s="28">
        <v>546</v>
      </c>
      <c r="E74" s="28">
        <v>502</v>
      </c>
      <c r="F74" s="25">
        <v>158</v>
      </c>
      <c r="G74" s="25">
        <v>578</v>
      </c>
      <c r="H74" s="25">
        <v>288</v>
      </c>
      <c r="I74" s="25">
        <v>4</v>
      </c>
    </row>
    <row r="75" spans="1:9" ht="12.75" customHeight="1">
      <c r="A75" s="27" t="s">
        <v>132</v>
      </c>
      <c r="B75" s="20" t="s">
        <v>133</v>
      </c>
      <c r="C75" s="28">
        <v>531</v>
      </c>
      <c r="D75" s="28">
        <v>132</v>
      </c>
      <c r="E75" s="28">
        <v>101</v>
      </c>
      <c r="F75" s="25">
        <v>77</v>
      </c>
      <c r="G75" s="25">
        <v>72</v>
      </c>
      <c r="H75" s="25">
        <v>214</v>
      </c>
      <c r="I75" s="25">
        <v>2</v>
      </c>
    </row>
    <row r="76" spans="1:9" ht="12.75" customHeight="1">
      <c r="A76" s="30" t="s">
        <v>134</v>
      </c>
      <c r="B76" s="20" t="s">
        <v>135</v>
      </c>
      <c r="C76" s="28">
        <v>1226</v>
      </c>
      <c r="D76" s="28">
        <v>732</v>
      </c>
      <c r="E76" s="28">
        <v>692</v>
      </c>
      <c r="F76" s="25">
        <v>85</v>
      </c>
      <c r="G76" s="25">
        <v>409</v>
      </c>
      <c r="H76" s="25">
        <v>109</v>
      </c>
      <c r="I76" s="25">
        <v>4</v>
      </c>
    </row>
    <row r="77" spans="1:9" ht="12.75" customHeight="1">
      <c r="A77" s="30" t="s">
        <v>136</v>
      </c>
      <c r="B77" s="20" t="s">
        <v>137</v>
      </c>
      <c r="C77" s="28">
        <v>2189</v>
      </c>
      <c r="D77" s="28">
        <v>489</v>
      </c>
      <c r="E77" s="28">
        <v>326</v>
      </c>
      <c r="F77" s="25">
        <v>127</v>
      </c>
      <c r="G77" s="25">
        <v>740</v>
      </c>
      <c r="H77" s="25">
        <v>185</v>
      </c>
      <c r="I77" s="25">
        <v>2</v>
      </c>
    </row>
    <row r="78" spans="1:9" ht="12.75" customHeight="1">
      <c r="A78" s="30" t="s">
        <v>138</v>
      </c>
      <c r="B78" s="20" t="s">
        <v>139</v>
      </c>
      <c r="C78" s="28">
        <v>473</v>
      </c>
      <c r="D78" s="28">
        <v>328</v>
      </c>
      <c r="E78" s="28">
        <v>328</v>
      </c>
      <c r="F78" s="25">
        <v>54</v>
      </c>
      <c r="G78" s="25">
        <v>91</v>
      </c>
      <c r="H78" s="25">
        <v>74</v>
      </c>
      <c r="I78" s="25">
        <v>1</v>
      </c>
    </row>
    <row r="79" spans="1:9" ht="12.75" customHeight="1">
      <c r="A79" s="30" t="s">
        <v>140</v>
      </c>
      <c r="B79" s="20" t="s">
        <v>141</v>
      </c>
      <c r="C79" s="28">
        <v>1274</v>
      </c>
      <c r="D79" s="28">
        <v>308</v>
      </c>
      <c r="E79" s="28">
        <v>278</v>
      </c>
      <c r="F79" s="25">
        <v>91</v>
      </c>
      <c r="G79" s="25">
        <v>760</v>
      </c>
      <c r="H79" s="25">
        <v>101</v>
      </c>
      <c r="I79" s="25">
        <v>1</v>
      </c>
    </row>
    <row r="80" spans="1:9" ht="12.75" customHeight="1">
      <c r="A80" s="31"/>
      <c r="B80" s="23" t="s">
        <v>142</v>
      </c>
      <c r="C80" s="24">
        <f t="shared" ref="C80:I80" si="8">SUM(C70:C79)</f>
        <v>15026</v>
      </c>
      <c r="D80" s="24">
        <f t="shared" si="8"/>
        <v>6029</v>
      </c>
      <c r="E80" s="24">
        <f t="shared" si="8"/>
        <v>5116</v>
      </c>
      <c r="F80" s="24">
        <f t="shared" si="8"/>
        <v>1239</v>
      </c>
      <c r="G80" s="24">
        <f t="shared" si="8"/>
        <v>5373</v>
      </c>
      <c r="H80" s="24">
        <f t="shared" si="8"/>
        <v>1879</v>
      </c>
      <c r="I80" s="24">
        <f t="shared" si="8"/>
        <v>28</v>
      </c>
    </row>
    <row r="81" spans="1:9" ht="12.75" customHeight="1">
      <c r="A81" s="30" t="s">
        <v>143</v>
      </c>
      <c r="B81" s="20" t="s">
        <v>144</v>
      </c>
      <c r="C81" s="21">
        <v>2960</v>
      </c>
      <c r="D81" s="21">
        <v>1716</v>
      </c>
      <c r="E81" s="21">
        <v>548</v>
      </c>
      <c r="F81" s="25">
        <v>63</v>
      </c>
      <c r="G81" s="25">
        <v>739</v>
      </c>
      <c r="H81" s="25">
        <v>328</v>
      </c>
      <c r="I81" s="25">
        <v>6</v>
      </c>
    </row>
    <row r="82" spans="1:9" ht="12.75" customHeight="1">
      <c r="A82" s="30" t="s">
        <v>145</v>
      </c>
      <c r="B82" s="20" t="s">
        <v>146</v>
      </c>
      <c r="C82" s="21">
        <v>991</v>
      </c>
      <c r="D82" s="21">
        <v>515</v>
      </c>
      <c r="E82" s="21">
        <v>357</v>
      </c>
      <c r="F82" s="25">
        <v>29</v>
      </c>
      <c r="G82" s="25">
        <v>242</v>
      </c>
      <c r="H82" s="25">
        <v>269</v>
      </c>
      <c r="I82" s="25">
        <v>2</v>
      </c>
    </row>
    <row r="83" spans="1:9" ht="12.75" customHeight="1">
      <c r="A83" s="30" t="s">
        <v>147</v>
      </c>
      <c r="B83" s="20" t="s">
        <v>148</v>
      </c>
      <c r="C83" s="21">
        <v>319</v>
      </c>
      <c r="D83" s="21">
        <v>95</v>
      </c>
      <c r="E83" s="21">
        <v>77</v>
      </c>
      <c r="F83" s="25">
        <v>31</v>
      </c>
      <c r="G83" s="25">
        <v>79</v>
      </c>
      <c r="H83" s="25">
        <v>56</v>
      </c>
      <c r="I83" s="25">
        <v>1</v>
      </c>
    </row>
    <row r="84" spans="1:9" ht="12.75" customHeight="1">
      <c r="A84" s="30" t="s">
        <v>149</v>
      </c>
      <c r="B84" s="20" t="s">
        <v>150</v>
      </c>
      <c r="C84" s="21">
        <v>1673</v>
      </c>
      <c r="D84" s="21">
        <v>818</v>
      </c>
      <c r="E84" s="21">
        <v>294</v>
      </c>
      <c r="F84" s="25">
        <v>137</v>
      </c>
      <c r="G84" s="25">
        <v>717</v>
      </c>
      <c r="H84" s="25">
        <v>219</v>
      </c>
      <c r="I84" s="25">
        <v>2</v>
      </c>
    </row>
    <row r="85" spans="1:9" ht="12.75" customHeight="1">
      <c r="A85" s="30" t="s">
        <v>151</v>
      </c>
      <c r="B85" s="20" t="s">
        <v>152</v>
      </c>
      <c r="C85" s="21">
        <v>1198</v>
      </c>
      <c r="D85" s="21">
        <v>416</v>
      </c>
      <c r="E85" s="21">
        <v>299</v>
      </c>
      <c r="F85" s="25">
        <v>60</v>
      </c>
      <c r="G85" s="25">
        <v>490</v>
      </c>
      <c r="H85" s="25">
        <v>130</v>
      </c>
      <c r="I85" s="25">
        <v>4</v>
      </c>
    </row>
    <row r="86" spans="1:9" ht="12.75" customHeight="1">
      <c r="A86" s="31"/>
      <c r="B86" s="23" t="s">
        <v>153</v>
      </c>
      <c r="C86" s="24">
        <f t="shared" ref="C86:I86" si="9">SUM(C81:C85)</f>
        <v>7141</v>
      </c>
      <c r="D86" s="24">
        <f t="shared" si="9"/>
        <v>3560</v>
      </c>
      <c r="E86" s="24">
        <f t="shared" si="9"/>
        <v>1575</v>
      </c>
      <c r="F86" s="24">
        <f t="shared" si="9"/>
        <v>320</v>
      </c>
      <c r="G86" s="24">
        <f t="shared" si="9"/>
        <v>2267</v>
      </c>
      <c r="H86" s="24">
        <f t="shared" si="9"/>
        <v>1002</v>
      </c>
      <c r="I86" s="24">
        <f t="shared" si="9"/>
        <v>15</v>
      </c>
    </row>
    <row r="87" spans="1:9" ht="12.75" customHeight="1">
      <c r="A87" s="30" t="s">
        <v>154</v>
      </c>
      <c r="B87" s="20" t="s">
        <v>155</v>
      </c>
      <c r="C87" s="21">
        <v>3251</v>
      </c>
      <c r="D87" s="21">
        <v>1291</v>
      </c>
      <c r="E87" s="21">
        <v>1148</v>
      </c>
      <c r="F87" s="25">
        <v>183</v>
      </c>
      <c r="G87" s="25">
        <v>1344</v>
      </c>
      <c r="H87" s="25">
        <v>370</v>
      </c>
      <c r="I87" s="25">
        <v>8</v>
      </c>
    </row>
    <row r="88" spans="1:9" ht="12.75" customHeight="1">
      <c r="A88" s="30" t="s">
        <v>156</v>
      </c>
      <c r="B88" s="20" t="s">
        <v>157</v>
      </c>
      <c r="C88" s="21">
        <v>1815</v>
      </c>
      <c r="D88" s="21">
        <v>698</v>
      </c>
      <c r="E88" s="21">
        <v>698</v>
      </c>
      <c r="F88" s="25">
        <v>77</v>
      </c>
      <c r="G88" s="25">
        <v>306</v>
      </c>
      <c r="H88" s="25">
        <v>154</v>
      </c>
      <c r="I88" s="25">
        <v>3</v>
      </c>
    </row>
    <row r="89" spans="1:9" ht="12.75" customHeight="1">
      <c r="A89" s="31"/>
      <c r="B89" s="23" t="s">
        <v>158</v>
      </c>
      <c r="C89" s="24">
        <f t="shared" ref="C89:I89" si="10">SUM(C87:C88)</f>
        <v>5066</v>
      </c>
      <c r="D89" s="24">
        <f t="shared" si="10"/>
        <v>1989</v>
      </c>
      <c r="E89" s="24">
        <f t="shared" si="10"/>
        <v>1846</v>
      </c>
      <c r="F89" s="24">
        <f t="shared" si="10"/>
        <v>260</v>
      </c>
      <c r="G89" s="24">
        <f t="shared" si="10"/>
        <v>1650</v>
      </c>
      <c r="H89" s="24">
        <f t="shared" si="10"/>
        <v>524</v>
      </c>
      <c r="I89" s="24">
        <f t="shared" si="10"/>
        <v>11</v>
      </c>
    </row>
    <row r="90" spans="1:9" ht="12.75" customHeight="1">
      <c r="A90" s="30" t="s">
        <v>159</v>
      </c>
      <c r="B90" s="20" t="s">
        <v>160</v>
      </c>
      <c r="C90" s="21">
        <v>4228</v>
      </c>
      <c r="D90" s="21">
        <v>1955</v>
      </c>
      <c r="E90" s="21">
        <v>951</v>
      </c>
      <c r="F90" s="25">
        <v>203</v>
      </c>
      <c r="G90" s="25">
        <v>1084</v>
      </c>
      <c r="H90" s="25">
        <v>169</v>
      </c>
      <c r="I90" s="25">
        <v>7</v>
      </c>
    </row>
    <row r="91" spans="1:9" ht="12.75" customHeight="1">
      <c r="A91" s="30" t="s">
        <v>161</v>
      </c>
      <c r="B91" s="20" t="s">
        <v>162</v>
      </c>
      <c r="C91" s="21">
        <v>2114</v>
      </c>
      <c r="D91" s="21">
        <v>517</v>
      </c>
      <c r="E91" s="21">
        <v>512</v>
      </c>
      <c r="F91" s="25">
        <v>254</v>
      </c>
      <c r="G91" s="25">
        <v>849</v>
      </c>
      <c r="H91" s="25">
        <v>172</v>
      </c>
      <c r="I91" s="25">
        <v>3</v>
      </c>
    </row>
    <row r="92" spans="1:9" ht="12.75" customHeight="1">
      <c r="A92" s="30" t="s">
        <v>163</v>
      </c>
      <c r="B92" s="20" t="s">
        <v>164</v>
      </c>
      <c r="C92" s="21">
        <v>786</v>
      </c>
      <c r="D92" s="21">
        <v>304</v>
      </c>
      <c r="E92" s="21">
        <v>293</v>
      </c>
      <c r="F92" s="25">
        <v>81</v>
      </c>
      <c r="G92" s="25">
        <v>396</v>
      </c>
      <c r="H92" s="25">
        <v>13</v>
      </c>
      <c r="I92" s="25">
        <v>2</v>
      </c>
    </row>
    <row r="93" spans="1:9" ht="12.75" customHeight="1">
      <c r="A93" s="30" t="s">
        <v>165</v>
      </c>
      <c r="B93" s="20" t="s">
        <v>166</v>
      </c>
      <c r="C93" s="21">
        <v>32050</v>
      </c>
      <c r="D93" s="21">
        <v>20556</v>
      </c>
      <c r="E93" s="21">
        <v>10479</v>
      </c>
      <c r="F93" s="25">
        <v>975</v>
      </c>
      <c r="G93" s="25">
        <v>3799</v>
      </c>
      <c r="H93" s="25">
        <v>1693</v>
      </c>
      <c r="I93" s="25">
        <v>39</v>
      </c>
    </row>
    <row r="94" spans="1:9" ht="12.75" customHeight="1">
      <c r="A94" s="30" t="s">
        <v>167</v>
      </c>
      <c r="B94" s="20" t="s">
        <v>168</v>
      </c>
      <c r="C94" s="21">
        <v>2254</v>
      </c>
      <c r="D94" s="21">
        <v>401</v>
      </c>
      <c r="E94" s="21">
        <v>375</v>
      </c>
      <c r="F94" s="25">
        <v>154</v>
      </c>
      <c r="G94" s="25">
        <v>935</v>
      </c>
      <c r="H94" s="25">
        <v>76</v>
      </c>
      <c r="I94" s="25">
        <v>4</v>
      </c>
    </row>
    <row r="95" spans="1:9" ht="12.75" customHeight="1">
      <c r="A95" s="31"/>
      <c r="B95" s="23" t="s">
        <v>169</v>
      </c>
      <c r="C95" s="24">
        <f t="shared" ref="C95:I95" si="11">SUM(C90:C94)</f>
        <v>41432</v>
      </c>
      <c r="D95" s="24">
        <f t="shared" si="11"/>
        <v>23733</v>
      </c>
      <c r="E95" s="24">
        <f t="shared" si="11"/>
        <v>12610</v>
      </c>
      <c r="F95" s="24">
        <f t="shared" si="11"/>
        <v>1667</v>
      </c>
      <c r="G95" s="24">
        <f t="shared" si="11"/>
        <v>7063</v>
      </c>
      <c r="H95" s="24">
        <f t="shared" si="11"/>
        <v>2123</v>
      </c>
      <c r="I95" s="24">
        <f t="shared" si="11"/>
        <v>55</v>
      </c>
    </row>
    <row r="96" spans="1:9" ht="12.75" customHeight="1">
      <c r="A96" s="30" t="s">
        <v>170</v>
      </c>
      <c r="B96" s="20" t="s">
        <v>171</v>
      </c>
      <c r="C96" s="21">
        <v>441</v>
      </c>
      <c r="D96" s="21">
        <v>168</v>
      </c>
      <c r="E96" s="21">
        <v>168</v>
      </c>
      <c r="F96" s="25">
        <v>21</v>
      </c>
      <c r="G96" s="25">
        <v>253</v>
      </c>
      <c r="H96" s="25">
        <v>423</v>
      </c>
      <c r="I96" s="25">
        <v>1</v>
      </c>
    </row>
    <row r="97" spans="1:9" ht="12.75" customHeight="1">
      <c r="A97" s="30" t="s">
        <v>172</v>
      </c>
      <c r="B97" s="20" t="s">
        <v>173</v>
      </c>
      <c r="C97" s="21">
        <v>430</v>
      </c>
      <c r="D97" s="21">
        <v>86</v>
      </c>
      <c r="E97" s="21">
        <v>48</v>
      </c>
      <c r="F97" s="25">
        <v>10</v>
      </c>
      <c r="G97" s="25">
        <v>127</v>
      </c>
      <c r="H97" s="25">
        <v>16</v>
      </c>
      <c r="I97" s="25">
        <v>0</v>
      </c>
    </row>
    <row r="98" spans="1:9" ht="12.75" customHeight="1">
      <c r="A98" s="31"/>
      <c r="B98" s="23" t="s">
        <v>174</v>
      </c>
      <c r="C98" s="24">
        <f t="shared" ref="C98:I98" si="12">SUM(C96:C97)</f>
        <v>871</v>
      </c>
      <c r="D98" s="24">
        <f t="shared" si="12"/>
        <v>254</v>
      </c>
      <c r="E98" s="24">
        <f t="shared" si="12"/>
        <v>216</v>
      </c>
      <c r="F98" s="24">
        <f t="shared" si="12"/>
        <v>31</v>
      </c>
      <c r="G98" s="24">
        <f t="shared" si="12"/>
        <v>380</v>
      </c>
      <c r="H98" s="24">
        <f t="shared" si="12"/>
        <v>439</v>
      </c>
      <c r="I98" s="24">
        <f t="shared" si="12"/>
        <v>1</v>
      </c>
    </row>
    <row r="99" spans="1:9" ht="12.75" customHeight="1">
      <c r="A99" s="30" t="s">
        <v>175</v>
      </c>
      <c r="B99" s="20" t="s">
        <v>176</v>
      </c>
      <c r="C99" s="21">
        <v>1870</v>
      </c>
      <c r="D99" s="21">
        <v>931</v>
      </c>
      <c r="E99" s="21">
        <v>241</v>
      </c>
      <c r="F99" s="25">
        <v>95</v>
      </c>
      <c r="G99" s="25">
        <v>739</v>
      </c>
      <c r="H99" s="25">
        <v>218</v>
      </c>
      <c r="I99" s="25">
        <v>5</v>
      </c>
    </row>
    <row r="100" spans="1:9" ht="12.75" customHeight="1">
      <c r="A100" s="30" t="s">
        <v>177</v>
      </c>
      <c r="B100" s="20" t="s">
        <v>178</v>
      </c>
      <c r="C100" s="21">
        <v>609</v>
      </c>
      <c r="D100" s="21">
        <v>311</v>
      </c>
      <c r="E100" s="21">
        <v>202</v>
      </c>
      <c r="F100" s="25">
        <v>48</v>
      </c>
      <c r="G100" s="25">
        <v>249</v>
      </c>
      <c r="H100" s="25">
        <v>84</v>
      </c>
      <c r="I100" s="25">
        <v>7</v>
      </c>
    </row>
    <row r="101" spans="1:9" ht="12.75" customHeight="1">
      <c r="A101" s="30" t="s">
        <v>179</v>
      </c>
      <c r="B101" s="20" t="s">
        <v>180</v>
      </c>
      <c r="C101" s="21">
        <v>2108</v>
      </c>
      <c r="D101" s="21">
        <v>734</v>
      </c>
      <c r="E101" s="21">
        <v>80</v>
      </c>
      <c r="F101" s="25">
        <v>188</v>
      </c>
      <c r="G101" s="25">
        <v>976</v>
      </c>
      <c r="H101" s="25">
        <v>190</v>
      </c>
      <c r="I101" s="25">
        <v>3</v>
      </c>
    </row>
    <row r="102" spans="1:9" ht="12.75" customHeight="1">
      <c r="A102" s="30" t="s">
        <v>181</v>
      </c>
      <c r="B102" s="20" t="s">
        <v>182</v>
      </c>
      <c r="C102" s="21">
        <v>834</v>
      </c>
      <c r="D102" s="21">
        <v>455</v>
      </c>
      <c r="E102" s="21">
        <v>370</v>
      </c>
      <c r="F102" s="25">
        <v>52</v>
      </c>
      <c r="G102" s="25">
        <v>327</v>
      </c>
      <c r="H102" s="25">
        <v>285</v>
      </c>
      <c r="I102" s="25">
        <v>1</v>
      </c>
    </row>
    <row r="103" spans="1:9" ht="12.75" customHeight="1">
      <c r="A103" s="31"/>
      <c r="B103" s="23" t="s">
        <v>183</v>
      </c>
      <c r="C103" s="24">
        <f t="shared" ref="C103:I103" si="13">SUM(C99:C102)</f>
        <v>5421</v>
      </c>
      <c r="D103" s="24">
        <f t="shared" si="13"/>
        <v>2431</v>
      </c>
      <c r="E103" s="24">
        <f t="shared" si="13"/>
        <v>893</v>
      </c>
      <c r="F103" s="24">
        <f t="shared" si="13"/>
        <v>383</v>
      </c>
      <c r="G103" s="24">
        <f t="shared" si="13"/>
        <v>2291</v>
      </c>
      <c r="H103" s="24">
        <f t="shared" si="13"/>
        <v>777</v>
      </c>
      <c r="I103" s="24">
        <f t="shared" si="13"/>
        <v>16</v>
      </c>
    </row>
    <row r="104" spans="1:9" ht="12.75" customHeight="1">
      <c r="A104" s="30" t="s">
        <v>184</v>
      </c>
      <c r="B104" s="20" t="s">
        <v>185</v>
      </c>
      <c r="C104" s="21">
        <v>1325</v>
      </c>
      <c r="D104" s="21">
        <v>423</v>
      </c>
      <c r="E104" s="21">
        <v>91</v>
      </c>
      <c r="F104" s="25">
        <v>67</v>
      </c>
      <c r="G104" s="25">
        <v>386</v>
      </c>
      <c r="H104" s="25">
        <v>316</v>
      </c>
      <c r="I104" s="25">
        <v>2</v>
      </c>
    </row>
    <row r="105" spans="1:9" ht="12.75" customHeight="1">
      <c r="A105" s="30" t="s">
        <v>186</v>
      </c>
      <c r="B105" s="20" t="s">
        <v>187</v>
      </c>
      <c r="C105" s="21">
        <v>1293</v>
      </c>
      <c r="D105" s="21">
        <v>316</v>
      </c>
      <c r="E105" s="21">
        <v>126</v>
      </c>
      <c r="F105" s="25">
        <v>46</v>
      </c>
      <c r="G105" s="25">
        <v>258</v>
      </c>
      <c r="H105" s="25">
        <v>83</v>
      </c>
      <c r="I105" s="25">
        <v>2</v>
      </c>
    </row>
    <row r="106" spans="1:9" ht="12.75" customHeight="1">
      <c r="A106" s="30" t="s">
        <v>188</v>
      </c>
      <c r="B106" s="20" t="s">
        <v>189</v>
      </c>
      <c r="C106" s="21">
        <v>8295</v>
      </c>
      <c r="D106" s="21">
        <v>4197</v>
      </c>
      <c r="E106" s="21">
        <v>955</v>
      </c>
      <c r="F106" s="25">
        <v>387</v>
      </c>
      <c r="G106" s="25">
        <v>875</v>
      </c>
      <c r="H106" s="25">
        <v>249</v>
      </c>
      <c r="I106" s="25">
        <v>6</v>
      </c>
    </row>
    <row r="107" spans="1:9" ht="12.75" customHeight="1">
      <c r="A107" s="30" t="s">
        <v>190</v>
      </c>
      <c r="B107" s="20" t="s">
        <v>191</v>
      </c>
      <c r="C107" s="21">
        <v>22430</v>
      </c>
      <c r="D107" s="21">
        <v>8898</v>
      </c>
      <c r="E107" s="21">
        <v>1109</v>
      </c>
      <c r="F107" s="25">
        <v>1810</v>
      </c>
      <c r="G107" s="25">
        <v>1245</v>
      </c>
      <c r="H107" s="25">
        <v>1129</v>
      </c>
      <c r="I107" s="25">
        <v>6</v>
      </c>
    </row>
    <row r="108" spans="1:9" ht="12.75" customHeight="1">
      <c r="A108" s="30" t="s">
        <v>192</v>
      </c>
      <c r="B108" s="20" t="s">
        <v>193</v>
      </c>
      <c r="C108" s="21">
        <v>6898</v>
      </c>
      <c r="D108" s="21">
        <v>2265</v>
      </c>
      <c r="E108" s="21">
        <v>532</v>
      </c>
      <c r="F108" s="25">
        <v>452</v>
      </c>
      <c r="G108" s="25">
        <v>699</v>
      </c>
      <c r="H108" s="25">
        <v>519</v>
      </c>
      <c r="I108" s="25">
        <v>8</v>
      </c>
    </row>
    <row r="109" spans="1:9" ht="12.75" customHeight="1">
      <c r="A109" s="31"/>
      <c r="B109" s="23" t="s">
        <v>194</v>
      </c>
      <c r="C109" s="24">
        <f t="shared" ref="C109:I109" si="14">SUM(C104:C108)</f>
        <v>40241</v>
      </c>
      <c r="D109" s="24">
        <f t="shared" si="14"/>
        <v>16099</v>
      </c>
      <c r="E109" s="24">
        <f t="shared" si="14"/>
        <v>2813</v>
      </c>
      <c r="F109" s="24">
        <f t="shared" si="14"/>
        <v>2762</v>
      </c>
      <c r="G109" s="24">
        <f t="shared" si="14"/>
        <v>3463</v>
      </c>
      <c r="H109" s="24">
        <f t="shared" si="14"/>
        <v>2296</v>
      </c>
      <c r="I109" s="24">
        <f t="shared" si="14"/>
        <v>24</v>
      </c>
    </row>
    <row r="110" spans="1:9" ht="12.75" customHeight="1">
      <c r="A110" s="19" t="s">
        <v>195</v>
      </c>
      <c r="B110" s="20" t="s">
        <v>196</v>
      </c>
      <c r="C110" s="21">
        <v>3836</v>
      </c>
      <c r="D110" s="21">
        <v>1988</v>
      </c>
      <c r="E110" s="21">
        <v>1192</v>
      </c>
      <c r="F110" s="25">
        <v>295</v>
      </c>
      <c r="G110" s="25">
        <v>855</v>
      </c>
      <c r="H110" s="25">
        <v>511</v>
      </c>
      <c r="I110" s="25">
        <v>10</v>
      </c>
    </row>
    <row r="111" spans="1:9" ht="12.75" customHeight="1">
      <c r="A111" s="19" t="s">
        <v>197</v>
      </c>
      <c r="B111" s="20" t="s">
        <v>198</v>
      </c>
      <c r="C111" s="21">
        <v>438</v>
      </c>
      <c r="D111" s="21">
        <v>276</v>
      </c>
      <c r="E111" s="21">
        <v>276</v>
      </c>
      <c r="F111" s="25">
        <v>41</v>
      </c>
      <c r="G111" s="25">
        <v>121</v>
      </c>
      <c r="H111" s="25">
        <v>24</v>
      </c>
      <c r="I111" s="25">
        <v>1</v>
      </c>
    </row>
    <row r="112" spans="1:9" ht="12.75" customHeight="1">
      <c r="A112" s="19" t="s">
        <v>199</v>
      </c>
      <c r="B112" s="20" t="s">
        <v>200</v>
      </c>
      <c r="C112" s="21">
        <v>1094</v>
      </c>
      <c r="D112" s="21">
        <v>423</v>
      </c>
      <c r="E112" s="21">
        <v>281</v>
      </c>
      <c r="F112" s="25">
        <v>229</v>
      </c>
      <c r="G112" s="25">
        <v>250</v>
      </c>
      <c r="H112" s="25">
        <v>135</v>
      </c>
      <c r="I112" s="25">
        <v>7</v>
      </c>
    </row>
    <row r="113" spans="1:9" ht="12.75" customHeight="1">
      <c r="A113" s="19" t="s">
        <v>201</v>
      </c>
      <c r="B113" s="20" t="s">
        <v>202</v>
      </c>
      <c r="C113" s="21">
        <v>3465</v>
      </c>
      <c r="D113" s="21">
        <v>2022</v>
      </c>
      <c r="E113" s="21">
        <v>245</v>
      </c>
      <c r="F113" s="25">
        <v>322</v>
      </c>
      <c r="G113" s="25">
        <v>573</v>
      </c>
      <c r="H113" s="25">
        <v>368</v>
      </c>
      <c r="I113" s="25">
        <v>3</v>
      </c>
    </row>
    <row r="114" spans="1:9" ht="12.75" customHeight="1">
      <c r="A114" s="19" t="s">
        <v>203</v>
      </c>
      <c r="B114" s="20" t="s">
        <v>204</v>
      </c>
      <c r="C114" s="21">
        <v>3357</v>
      </c>
      <c r="D114" s="21">
        <v>1431</v>
      </c>
      <c r="E114" s="21">
        <v>684</v>
      </c>
      <c r="F114" s="25">
        <v>328</v>
      </c>
      <c r="G114" s="25">
        <v>334</v>
      </c>
      <c r="H114" s="25">
        <v>227</v>
      </c>
      <c r="I114" s="25">
        <v>9</v>
      </c>
    </row>
    <row r="115" spans="1:9" ht="12.75" customHeight="1">
      <c r="A115" s="19" t="s">
        <v>205</v>
      </c>
      <c r="B115" s="20" t="s">
        <v>206</v>
      </c>
      <c r="C115" s="21">
        <v>1184</v>
      </c>
      <c r="D115" s="21">
        <v>731</v>
      </c>
      <c r="E115" s="21">
        <v>423</v>
      </c>
      <c r="F115" s="25">
        <v>248</v>
      </c>
      <c r="G115" s="25">
        <v>191</v>
      </c>
      <c r="H115" s="25">
        <v>788</v>
      </c>
      <c r="I115" s="25">
        <v>8</v>
      </c>
    </row>
    <row r="116" spans="1:9" ht="12.75" customHeight="1">
      <c r="A116" s="22"/>
      <c r="B116" s="23" t="s">
        <v>207</v>
      </c>
      <c r="C116" s="24">
        <f t="shared" ref="C116:I116" si="15">SUM(C110:C115)</f>
        <v>13374</v>
      </c>
      <c r="D116" s="24">
        <f t="shared" si="15"/>
        <v>6871</v>
      </c>
      <c r="E116" s="24">
        <f t="shared" si="15"/>
        <v>3101</v>
      </c>
      <c r="F116" s="24">
        <f t="shared" si="15"/>
        <v>1463</v>
      </c>
      <c r="G116" s="24">
        <f t="shared" si="15"/>
        <v>2324</v>
      </c>
      <c r="H116" s="24">
        <f t="shared" si="15"/>
        <v>2053</v>
      </c>
      <c r="I116" s="24">
        <f t="shared" si="15"/>
        <v>38</v>
      </c>
    </row>
    <row r="117" spans="1:9" ht="12.75" customHeight="1">
      <c r="A117" s="19" t="s">
        <v>208</v>
      </c>
      <c r="B117" s="20" t="s">
        <v>209</v>
      </c>
      <c r="C117" s="21">
        <v>343</v>
      </c>
      <c r="D117" s="21">
        <v>205</v>
      </c>
      <c r="E117" s="21">
        <v>95</v>
      </c>
      <c r="F117" s="25">
        <v>18</v>
      </c>
      <c r="G117" s="25">
        <v>120</v>
      </c>
      <c r="H117" s="25">
        <v>74</v>
      </c>
      <c r="I117" s="25">
        <v>1</v>
      </c>
    </row>
    <row r="118" spans="1:9" ht="12.75" customHeight="1">
      <c r="A118" s="19" t="s">
        <v>210</v>
      </c>
      <c r="B118" s="20" t="s">
        <v>211</v>
      </c>
      <c r="C118" s="32">
        <v>1308</v>
      </c>
      <c r="D118" s="32">
        <v>393</v>
      </c>
      <c r="E118" s="21">
        <v>254</v>
      </c>
      <c r="F118" s="25">
        <v>217</v>
      </c>
      <c r="G118" s="25">
        <v>516</v>
      </c>
      <c r="H118" s="25">
        <v>164</v>
      </c>
      <c r="I118" s="25">
        <v>3</v>
      </c>
    </row>
    <row r="119" spans="1:9" ht="12.75" customHeight="1">
      <c r="A119" s="22"/>
      <c r="B119" s="23" t="s">
        <v>212</v>
      </c>
      <c r="C119" s="24">
        <f t="shared" ref="C119:I119" si="16">SUM(C117:C118)</f>
        <v>1651</v>
      </c>
      <c r="D119" s="24">
        <f t="shared" si="16"/>
        <v>598</v>
      </c>
      <c r="E119" s="24">
        <f t="shared" si="16"/>
        <v>349</v>
      </c>
      <c r="F119" s="24">
        <f t="shared" si="16"/>
        <v>235</v>
      </c>
      <c r="G119" s="24">
        <f t="shared" si="16"/>
        <v>636</v>
      </c>
      <c r="H119" s="24">
        <f t="shared" si="16"/>
        <v>238</v>
      </c>
      <c r="I119" s="24">
        <f t="shared" si="16"/>
        <v>4</v>
      </c>
    </row>
    <row r="120" spans="1:9" ht="12.75" customHeight="1">
      <c r="A120" s="19" t="s">
        <v>213</v>
      </c>
      <c r="B120" s="20" t="s">
        <v>214</v>
      </c>
      <c r="C120" s="21">
        <v>1469</v>
      </c>
      <c r="D120" s="21">
        <v>382</v>
      </c>
      <c r="E120" s="21">
        <v>224</v>
      </c>
      <c r="F120" s="25">
        <v>403</v>
      </c>
      <c r="G120" s="25">
        <v>473</v>
      </c>
      <c r="H120" s="25">
        <v>57</v>
      </c>
      <c r="I120" s="25">
        <v>0</v>
      </c>
    </row>
    <row r="121" spans="1:9" ht="12.75" customHeight="1">
      <c r="A121" s="19" t="s">
        <v>215</v>
      </c>
      <c r="B121" s="20" t="s">
        <v>216</v>
      </c>
      <c r="C121" s="21">
        <v>2156</v>
      </c>
      <c r="D121" s="21">
        <v>406</v>
      </c>
      <c r="E121" s="21">
        <v>294</v>
      </c>
      <c r="F121" s="25">
        <v>608</v>
      </c>
      <c r="G121" s="25">
        <v>1008</v>
      </c>
      <c r="H121" s="25">
        <v>120</v>
      </c>
      <c r="I121" s="25">
        <v>3</v>
      </c>
    </row>
    <row r="122" spans="1:9" ht="12.75" customHeight="1">
      <c r="A122" s="19" t="s">
        <v>217</v>
      </c>
      <c r="B122" s="20" t="s">
        <v>218</v>
      </c>
      <c r="C122" s="21">
        <v>634</v>
      </c>
      <c r="D122" s="21">
        <v>144</v>
      </c>
      <c r="E122" s="21">
        <v>60</v>
      </c>
      <c r="F122" s="25">
        <v>138</v>
      </c>
      <c r="G122" s="25">
        <v>123</v>
      </c>
      <c r="H122" s="25">
        <v>30</v>
      </c>
      <c r="I122" s="25">
        <v>0</v>
      </c>
    </row>
    <row r="123" spans="1:9" ht="12.75" customHeight="1">
      <c r="A123" s="19" t="s">
        <v>219</v>
      </c>
      <c r="B123" s="20" t="s">
        <v>220</v>
      </c>
      <c r="C123" s="21">
        <v>1840</v>
      </c>
      <c r="D123" s="21">
        <v>591</v>
      </c>
      <c r="E123" s="21">
        <v>278</v>
      </c>
      <c r="F123" s="25">
        <v>719</v>
      </c>
      <c r="G123" s="25">
        <v>529</v>
      </c>
      <c r="H123" s="25">
        <v>88</v>
      </c>
      <c r="I123" s="25">
        <v>6</v>
      </c>
    </row>
    <row r="124" spans="1:9" ht="12.75" customHeight="1">
      <c r="A124" s="19" t="s">
        <v>221</v>
      </c>
      <c r="B124" s="20" t="s">
        <v>222</v>
      </c>
      <c r="C124" s="21">
        <v>479</v>
      </c>
      <c r="D124" s="21">
        <v>48</v>
      </c>
      <c r="E124" s="21">
        <v>38</v>
      </c>
      <c r="F124" s="25">
        <v>61</v>
      </c>
      <c r="G124" s="25">
        <v>163</v>
      </c>
      <c r="H124" s="25">
        <v>17</v>
      </c>
      <c r="I124" s="25">
        <v>1</v>
      </c>
    </row>
    <row r="125" spans="1:9" ht="12.75" customHeight="1">
      <c r="A125" s="22"/>
      <c r="B125" s="23" t="s">
        <v>223</v>
      </c>
      <c r="C125" s="24">
        <f t="shared" ref="C125:I125" si="17">SUM(C120:C124)</f>
        <v>6578</v>
      </c>
      <c r="D125" s="24">
        <f t="shared" si="17"/>
        <v>1571</v>
      </c>
      <c r="E125" s="24">
        <f t="shared" si="17"/>
        <v>894</v>
      </c>
      <c r="F125" s="24">
        <f t="shared" si="17"/>
        <v>1929</v>
      </c>
      <c r="G125" s="24">
        <f t="shared" si="17"/>
        <v>2296</v>
      </c>
      <c r="H125" s="24">
        <f t="shared" si="17"/>
        <v>312</v>
      </c>
      <c r="I125" s="24">
        <f t="shared" si="17"/>
        <v>10</v>
      </c>
    </row>
    <row r="126" spans="1:9" ht="12.75" customHeight="1">
      <c r="A126" s="19" t="s">
        <v>224</v>
      </c>
      <c r="B126" s="20" t="s">
        <v>225</v>
      </c>
      <c r="C126" s="21">
        <v>822</v>
      </c>
      <c r="D126" s="21">
        <v>72</v>
      </c>
      <c r="E126" s="21">
        <v>9</v>
      </c>
      <c r="F126" s="25">
        <v>576</v>
      </c>
      <c r="G126" s="25">
        <v>175</v>
      </c>
      <c r="H126" s="25">
        <v>99</v>
      </c>
      <c r="I126" s="25">
        <v>3</v>
      </c>
    </row>
    <row r="127" spans="1:9" ht="12.75" customHeight="1">
      <c r="A127" s="19" t="s">
        <v>226</v>
      </c>
      <c r="B127" s="20" t="s">
        <v>227</v>
      </c>
      <c r="C127" s="21">
        <v>363</v>
      </c>
      <c r="D127" s="21">
        <v>53</v>
      </c>
      <c r="E127" s="21">
        <v>17</v>
      </c>
      <c r="F127" s="25">
        <v>223</v>
      </c>
      <c r="G127" s="25">
        <v>87</v>
      </c>
      <c r="H127" s="25">
        <v>41</v>
      </c>
      <c r="I127" s="25">
        <v>2</v>
      </c>
    </row>
    <row r="128" spans="1:9" ht="12.75" customHeight="1">
      <c r="A128" s="19" t="s">
        <v>228</v>
      </c>
      <c r="B128" s="20" t="s">
        <v>229</v>
      </c>
      <c r="C128" s="21">
        <v>4358</v>
      </c>
      <c r="D128" s="21">
        <v>1543</v>
      </c>
      <c r="E128" s="21">
        <v>267</v>
      </c>
      <c r="F128" s="25">
        <v>2266</v>
      </c>
      <c r="G128" s="25">
        <v>434</v>
      </c>
      <c r="H128" s="25">
        <v>206</v>
      </c>
      <c r="I128" s="25">
        <v>1</v>
      </c>
    </row>
    <row r="129" spans="1:9" ht="12.75" customHeight="1">
      <c r="A129" s="19" t="s">
        <v>230</v>
      </c>
      <c r="B129" s="20" t="s">
        <v>231</v>
      </c>
      <c r="C129" s="21">
        <v>2316</v>
      </c>
      <c r="D129" s="21">
        <v>646</v>
      </c>
      <c r="E129" s="21">
        <v>26</v>
      </c>
      <c r="F129" s="25">
        <v>92</v>
      </c>
      <c r="G129" s="25">
        <v>62</v>
      </c>
      <c r="H129" s="25">
        <v>37</v>
      </c>
      <c r="I129" s="25">
        <v>1</v>
      </c>
    </row>
    <row r="130" spans="1:9" ht="12.75" customHeight="1">
      <c r="A130" s="19" t="s">
        <v>232</v>
      </c>
      <c r="B130" s="20" t="s">
        <v>233</v>
      </c>
      <c r="C130" s="21">
        <v>1779</v>
      </c>
      <c r="D130" s="21">
        <v>900</v>
      </c>
      <c r="E130" s="21">
        <v>790</v>
      </c>
      <c r="F130" s="25">
        <v>521</v>
      </c>
      <c r="G130" s="25">
        <v>358</v>
      </c>
      <c r="H130" s="25">
        <v>91</v>
      </c>
      <c r="I130" s="25">
        <v>10</v>
      </c>
    </row>
    <row r="131" spans="1:9" ht="12.75" customHeight="1">
      <c r="A131" s="19" t="s">
        <v>234</v>
      </c>
      <c r="B131" s="20" t="s">
        <v>235</v>
      </c>
      <c r="C131" s="21">
        <v>5725</v>
      </c>
      <c r="D131" s="21">
        <v>2641</v>
      </c>
      <c r="E131" s="21">
        <v>566</v>
      </c>
      <c r="F131" s="25">
        <v>2664</v>
      </c>
      <c r="G131" s="25">
        <v>332</v>
      </c>
      <c r="H131" s="25">
        <v>119</v>
      </c>
      <c r="I131" s="25">
        <v>7</v>
      </c>
    </row>
    <row r="132" spans="1:9" ht="12.75" customHeight="1">
      <c r="A132" s="19" t="s">
        <v>236</v>
      </c>
      <c r="B132" s="20" t="s">
        <v>237</v>
      </c>
      <c r="C132" s="21">
        <v>2095</v>
      </c>
      <c r="D132" s="21">
        <v>412</v>
      </c>
      <c r="E132" s="21">
        <v>44</v>
      </c>
      <c r="F132" s="25">
        <v>1252</v>
      </c>
      <c r="G132" s="25">
        <v>194</v>
      </c>
      <c r="H132" s="25">
        <v>169</v>
      </c>
      <c r="I132" s="25">
        <v>1</v>
      </c>
    </row>
    <row r="133" spans="1:9" ht="12.75" customHeight="1">
      <c r="A133" s="19" t="s">
        <v>238</v>
      </c>
      <c r="B133" s="20" t="s">
        <v>239</v>
      </c>
      <c r="C133" s="21">
        <v>1341</v>
      </c>
      <c r="D133" s="21">
        <v>734</v>
      </c>
      <c r="E133" s="21">
        <v>241</v>
      </c>
      <c r="F133" s="25">
        <v>353</v>
      </c>
      <c r="G133" s="25">
        <v>254</v>
      </c>
      <c r="H133" s="25">
        <v>101</v>
      </c>
      <c r="I133" s="25">
        <v>2</v>
      </c>
    </row>
    <row r="134" spans="1:9" ht="12.75" customHeight="1">
      <c r="A134" s="19" t="s">
        <v>240</v>
      </c>
      <c r="B134" s="20" t="s">
        <v>241</v>
      </c>
      <c r="C134" s="21">
        <v>1321</v>
      </c>
      <c r="D134" s="21">
        <v>259</v>
      </c>
      <c r="E134" s="21">
        <v>12</v>
      </c>
      <c r="F134" s="25">
        <v>809</v>
      </c>
      <c r="G134" s="25">
        <v>252</v>
      </c>
      <c r="H134" s="25">
        <v>114</v>
      </c>
      <c r="I134" s="25">
        <v>1</v>
      </c>
    </row>
    <row r="135" spans="1:9" ht="12.75" customHeight="1">
      <c r="A135" s="26"/>
      <c r="B135" s="23" t="s">
        <v>242</v>
      </c>
      <c r="C135" s="24">
        <f t="shared" ref="C135:I135" si="18">SUM(C126:C134)</f>
        <v>20120</v>
      </c>
      <c r="D135" s="24">
        <f t="shared" si="18"/>
        <v>7260</v>
      </c>
      <c r="E135" s="24">
        <f t="shared" si="18"/>
        <v>1972</v>
      </c>
      <c r="F135" s="24">
        <f t="shared" si="18"/>
        <v>8756</v>
      </c>
      <c r="G135" s="24">
        <f t="shared" si="18"/>
        <v>2148</v>
      </c>
      <c r="H135" s="24">
        <f t="shared" si="18"/>
        <v>977</v>
      </c>
      <c r="I135" s="24">
        <f t="shared" si="18"/>
        <v>28</v>
      </c>
    </row>
    <row r="136" spans="1:9" ht="12.75" customHeight="1">
      <c r="A136" s="19" t="s">
        <v>243</v>
      </c>
      <c r="B136" s="20" t="s">
        <v>244</v>
      </c>
      <c r="C136" s="21">
        <v>5759</v>
      </c>
      <c r="D136" s="21">
        <v>496</v>
      </c>
      <c r="E136" s="21">
        <v>287</v>
      </c>
      <c r="F136" s="25">
        <v>2732</v>
      </c>
      <c r="G136" s="25">
        <v>606</v>
      </c>
      <c r="H136" s="25">
        <v>585</v>
      </c>
      <c r="I136" s="25">
        <v>7</v>
      </c>
    </row>
    <row r="137" spans="1:9" ht="12.75" customHeight="1">
      <c r="A137" s="19" t="s">
        <v>245</v>
      </c>
      <c r="B137" s="20" t="s">
        <v>246</v>
      </c>
      <c r="C137" s="21">
        <v>671</v>
      </c>
      <c r="D137" s="21">
        <v>33</v>
      </c>
      <c r="E137" s="21">
        <v>33</v>
      </c>
      <c r="F137" s="25">
        <v>84</v>
      </c>
      <c r="G137" s="25">
        <v>554</v>
      </c>
      <c r="H137" s="25">
        <v>7</v>
      </c>
      <c r="I137" s="25">
        <v>1</v>
      </c>
    </row>
    <row r="138" spans="1:9" ht="12.75" customHeight="1">
      <c r="A138" s="19" t="s">
        <v>247</v>
      </c>
      <c r="B138" s="20" t="s">
        <v>248</v>
      </c>
      <c r="C138" s="21">
        <v>1049</v>
      </c>
      <c r="D138" s="21">
        <v>6</v>
      </c>
      <c r="E138" s="21">
        <v>6</v>
      </c>
      <c r="F138" s="25">
        <v>378</v>
      </c>
      <c r="G138" s="25">
        <v>665</v>
      </c>
      <c r="H138" s="25">
        <v>7</v>
      </c>
      <c r="I138" s="25">
        <v>1</v>
      </c>
    </row>
    <row r="139" spans="1:9" ht="12.75" customHeight="1">
      <c r="A139" s="19" t="s">
        <v>249</v>
      </c>
      <c r="B139" s="20" t="s">
        <v>250</v>
      </c>
      <c r="C139" s="21">
        <v>1434</v>
      </c>
      <c r="D139" s="21">
        <v>42</v>
      </c>
      <c r="E139" s="21">
        <v>31</v>
      </c>
      <c r="F139" s="25">
        <v>419</v>
      </c>
      <c r="G139" s="25">
        <v>188</v>
      </c>
      <c r="H139" s="25">
        <v>15</v>
      </c>
      <c r="I139" s="25">
        <v>1</v>
      </c>
    </row>
    <row r="140" spans="1:9" ht="12.75" customHeight="1">
      <c r="A140" s="19" t="s">
        <v>251</v>
      </c>
      <c r="B140" s="20" t="s">
        <v>252</v>
      </c>
      <c r="C140" s="21">
        <v>277</v>
      </c>
      <c r="D140" s="21">
        <v>0</v>
      </c>
      <c r="E140" s="21">
        <v>0</v>
      </c>
      <c r="F140" s="25">
        <v>88</v>
      </c>
      <c r="G140" s="25">
        <v>33</v>
      </c>
      <c r="H140" s="25">
        <v>0</v>
      </c>
      <c r="I140" s="25">
        <v>0</v>
      </c>
    </row>
    <row r="141" spans="1:9" ht="12.75" customHeight="1">
      <c r="A141" s="19" t="s">
        <v>253</v>
      </c>
      <c r="B141" s="20" t="s">
        <v>254</v>
      </c>
      <c r="C141" s="21">
        <v>462</v>
      </c>
      <c r="D141" s="21">
        <v>61</v>
      </c>
      <c r="E141" s="21">
        <v>61</v>
      </c>
      <c r="F141" s="25">
        <v>201</v>
      </c>
      <c r="G141" s="25">
        <v>200</v>
      </c>
      <c r="H141" s="25">
        <v>12</v>
      </c>
      <c r="I141" s="25">
        <v>3</v>
      </c>
    </row>
    <row r="142" spans="1:9" ht="12.75" customHeight="1">
      <c r="A142" s="19" t="s">
        <v>255</v>
      </c>
      <c r="B142" s="20" t="s">
        <v>256</v>
      </c>
      <c r="C142" s="21">
        <v>1079</v>
      </c>
      <c r="D142" s="21">
        <v>139</v>
      </c>
      <c r="E142" s="21">
        <v>24</v>
      </c>
      <c r="F142" s="25">
        <v>321</v>
      </c>
      <c r="G142" s="25">
        <v>209</v>
      </c>
      <c r="H142" s="25">
        <v>15</v>
      </c>
      <c r="I142" s="25">
        <v>1</v>
      </c>
    </row>
    <row r="143" spans="1:9" ht="12.75" customHeight="1">
      <c r="A143" s="19" t="s">
        <v>257</v>
      </c>
      <c r="B143" s="20" t="s">
        <v>258</v>
      </c>
      <c r="C143" s="21">
        <v>2585</v>
      </c>
      <c r="D143" s="21">
        <v>376</v>
      </c>
      <c r="E143" s="21">
        <v>148</v>
      </c>
      <c r="F143" s="25">
        <v>968</v>
      </c>
      <c r="G143" s="25">
        <v>671</v>
      </c>
      <c r="H143" s="25">
        <v>73</v>
      </c>
      <c r="I143" s="25">
        <v>1</v>
      </c>
    </row>
    <row r="144" spans="1:9" ht="14.7" customHeight="1">
      <c r="A144" s="19" t="s">
        <v>259</v>
      </c>
      <c r="B144" s="20" t="s">
        <v>260</v>
      </c>
      <c r="C144" s="21"/>
      <c r="D144" s="21"/>
      <c r="E144" s="21"/>
      <c r="F144" s="25"/>
      <c r="G144" s="25"/>
      <c r="H144" s="25"/>
      <c r="I144" s="25"/>
    </row>
    <row r="145" spans="1:9" ht="14.7" customHeight="1">
      <c r="A145" s="26"/>
      <c r="B145" s="23" t="s">
        <v>261</v>
      </c>
      <c r="C145" s="33">
        <f t="shared" ref="C145:I145" si="19">SUM(C136:C144)</f>
        <v>13316</v>
      </c>
      <c r="D145" s="33">
        <f t="shared" si="19"/>
        <v>1153</v>
      </c>
      <c r="E145" s="33">
        <f t="shared" si="19"/>
        <v>590</v>
      </c>
      <c r="F145" s="33">
        <f t="shared" si="19"/>
        <v>5191</v>
      </c>
      <c r="G145" s="33">
        <f t="shared" si="19"/>
        <v>3126</v>
      </c>
      <c r="H145" s="33">
        <f t="shared" si="19"/>
        <v>714</v>
      </c>
      <c r="I145" s="33">
        <f t="shared" si="19"/>
        <v>15</v>
      </c>
    </row>
    <row r="146" spans="1:9" ht="14.7" customHeight="1">
      <c r="A146" s="19" t="s">
        <v>262</v>
      </c>
      <c r="B146" s="34" t="s">
        <v>263</v>
      </c>
      <c r="C146" s="25">
        <f t="shared" ref="C146:I146" si="20">C145+C135+C125+C119+C116+C109+C103+C98+C95+C89+C86+C80+C69+C59+C51+C46+C43+C30+C25+C23</f>
        <v>292174</v>
      </c>
      <c r="D146" s="25">
        <f t="shared" si="20"/>
        <v>134501</v>
      </c>
      <c r="E146" s="25">
        <f t="shared" si="20"/>
        <v>61451</v>
      </c>
      <c r="F146" s="25">
        <f t="shared" si="20"/>
        <v>29389</v>
      </c>
      <c r="G146" s="25">
        <f t="shared" si="20"/>
        <v>71161</v>
      </c>
      <c r="H146" s="25">
        <f t="shared" si="20"/>
        <v>35387</v>
      </c>
      <c r="I146" s="25">
        <f t="shared" si="20"/>
        <v>408</v>
      </c>
    </row>
  </sheetData>
  <sheetProtection selectLockedCells="1" selectUnlockedCells="1"/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6"/>
  <sheetViews>
    <sheetView tabSelected="1" workbookViewId="0">
      <selection activeCell="C144" sqref="C144"/>
    </sheetView>
  </sheetViews>
  <sheetFormatPr defaultRowHeight="12.75" customHeight="1"/>
  <cols>
    <col min="1" max="1" width="7.109375" style="1" customWidth="1"/>
    <col min="2" max="2" width="25.6640625" style="1" customWidth="1"/>
    <col min="3" max="3" width="14.33203125" style="1" customWidth="1"/>
    <col min="4" max="4" width="13" style="1" customWidth="1"/>
    <col min="5" max="5" width="16.109375" style="1" customWidth="1"/>
    <col min="6" max="6" width="11.6640625" style="1" customWidth="1"/>
    <col min="7" max="7" width="13.77734375" style="1" customWidth="1"/>
    <col min="8" max="8" width="10.109375" style="1" customWidth="1"/>
    <col min="9" max="9" width="16.6640625" style="1" customWidth="1"/>
    <col min="10" max="19" width="8.77734375" customWidth="1"/>
  </cols>
  <sheetData>
    <row r="1" spans="1:19" ht="15.75" customHeight="1">
      <c r="A1" s="35" t="s">
        <v>0</v>
      </c>
      <c r="B1" s="35"/>
      <c r="C1" s="35"/>
      <c r="D1" s="36" t="s">
        <v>1</v>
      </c>
      <c r="E1" s="36"/>
      <c r="F1" s="36"/>
      <c r="G1" s="36"/>
      <c r="H1" s="36"/>
      <c r="I1" s="3"/>
    </row>
    <row r="2" spans="1:19" ht="12" customHeight="1">
      <c r="A2" s="37" t="s">
        <v>264</v>
      </c>
      <c r="B2" s="37"/>
      <c r="C2" s="37"/>
      <c r="D2" s="4"/>
      <c r="E2" s="3"/>
      <c r="F2" s="4"/>
      <c r="G2" s="4"/>
      <c r="H2" s="4"/>
      <c r="I2" s="5"/>
    </row>
    <row r="3" spans="1:19" ht="10.5" customHeight="1">
      <c r="A3" s="37"/>
      <c r="B3" s="37"/>
      <c r="C3" s="37"/>
      <c r="D3" s="35" t="s">
        <v>3</v>
      </c>
      <c r="E3" s="35"/>
      <c r="F3" s="35"/>
      <c r="G3" s="35"/>
      <c r="H3" s="35"/>
      <c r="I3" s="6"/>
    </row>
    <row r="4" spans="1:19" ht="12.75" customHeight="1">
      <c r="A4" s="38" t="s">
        <v>4</v>
      </c>
      <c r="B4" s="38"/>
      <c r="C4" s="38"/>
      <c r="D4" s="37" t="s">
        <v>5</v>
      </c>
      <c r="E4" s="37"/>
      <c r="F4" s="37"/>
      <c r="G4" s="37"/>
      <c r="H4" s="37"/>
      <c r="I4" s="5"/>
    </row>
    <row r="5" spans="1:19" ht="12.75" customHeight="1">
      <c r="A5" s="4"/>
      <c r="B5" s="4"/>
      <c r="C5" s="4"/>
      <c r="D5" s="2"/>
      <c r="E5" s="4"/>
      <c r="F5" s="4"/>
      <c r="G5" s="4"/>
      <c r="H5" s="4"/>
      <c r="I5" s="4"/>
    </row>
    <row r="6" spans="1:19" ht="12.75" customHeight="1">
      <c r="A6" s="4"/>
      <c r="B6" s="4"/>
      <c r="C6" s="5"/>
      <c r="D6" s="5"/>
      <c r="E6" s="5"/>
      <c r="F6" s="5"/>
      <c r="G6" s="5"/>
      <c r="H6" s="5"/>
      <c r="I6" s="5"/>
    </row>
    <row r="7" spans="1:19" ht="12.75" customHeight="1">
      <c r="A7" s="4"/>
      <c r="B7" s="4"/>
      <c r="C7" s="5"/>
      <c r="D7" s="5"/>
      <c r="E7" s="5"/>
      <c r="F7" s="37" t="s">
        <v>6</v>
      </c>
      <c r="G7" s="37"/>
      <c r="H7" s="37"/>
      <c r="I7" s="37"/>
    </row>
    <row r="8" spans="1:19" ht="15" customHeight="1">
      <c r="A8" s="5"/>
      <c r="B8" s="5"/>
      <c r="C8" s="5"/>
      <c r="D8" s="5"/>
      <c r="E8" s="5"/>
      <c r="F8" s="37" t="s">
        <v>265</v>
      </c>
      <c r="G8" s="37"/>
      <c r="H8" s="37"/>
      <c r="I8" s="37"/>
    </row>
    <row r="9" spans="1:19" ht="15" customHeight="1">
      <c r="A9" s="39"/>
      <c r="B9" s="39"/>
      <c r="C9" s="39"/>
      <c r="D9" s="39"/>
      <c r="E9" s="39"/>
      <c r="F9" s="5"/>
      <c r="G9" s="5"/>
      <c r="H9" s="5"/>
      <c r="I9" s="5"/>
    </row>
    <row r="10" spans="1:19" ht="4.5" customHeight="1">
      <c r="A10" s="5"/>
      <c r="B10" s="5"/>
      <c r="C10" s="5"/>
      <c r="D10" s="5"/>
      <c r="E10" s="5"/>
      <c r="F10" s="5"/>
      <c r="G10" s="5"/>
      <c r="H10" s="5"/>
      <c r="I10" s="5"/>
    </row>
    <row r="11" spans="1:19" s="7" customFormat="1" ht="17.25" customHeight="1">
      <c r="A11" s="40" t="s">
        <v>8</v>
      </c>
      <c r="B11" s="40"/>
      <c r="C11" s="41" t="s">
        <v>9</v>
      </c>
      <c r="D11" s="41"/>
      <c r="E11" s="42" t="s">
        <v>10</v>
      </c>
      <c r="F11" s="43" t="s">
        <v>11</v>
      </c>
      <c r="G11" s="43"/>
      <c r="H11" s="44" t="s">
        <v>12</v>
      </c>
      <c r="I11" s="44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46" t="s">
        <v>14</v>
      </c>
      <c r="C12" s="47" t="s">
        <v>15</v>
      </c>
      <c r="D12" s="46" t="s">
        <v>16</v>
      </c>
      <c r="E12" s="42"/>
      <c r="F12" s="47" t="s">
        <v>17</v>
      </c>
      <c r="G12" s="46" t="s">
        <v>18</v>
      </c>
      <c r="H12" s="47" t="s">
        <v>15</v>
      </c>
      <c r="I12" s="46" t="s">
        <v>19</v>
      </c>
    </row>
    <row r="13" spans="1:19" ht="12.75" customHeight="1">
      <c r="A13" s="45"/>
      <c r="B13" s="46"/>
      <c r="C13" s="47"/>
      <c r="D13" s="46"/>
      <c r="E13" s="42"/>
      <c r="F13" s="47"/>
      <c r="G13" s="46"/>
      <c r="H13" s="47"/>
      <c r="I13" s="46"/>
    </row>
    <row r="14" spans="1:19" s="15" customFormat="1" ht="10.5" customHeight="1">
      <c r="A14" s="8">
        <v>1</v>
      </c>
      <c r="B14" s="9">
        <v>2</v>
      </c>
      <c r="C14" s="10">
        <v>3</v>
      </c>
      <c r="D14" s="11">
        <v>4</v>
      </c>
      <c r="E14" s="9">
        <v>5</v>
      </c>
      <c r="F14" s="10">
        <v>6</v>
      </c>
      <c r="G14" s="12">
        <v>7</v>
      </c>
      <c r="H14" s="13">
        <v>8</v>
      </c>
      <c r="I14" s="14">
        <v>10</v>
      </c>
    </row>
    <row r="15" spans="1:19" ht="12.75" customHeight="1">
      <c r="A15" s="16" t="s">
        <v>20</v>
      </c>
      <c r="B15" s="17" t="s">
        <v>21</v>
      </c>
      <c r="C15" s="18">
        <v>18448</v>
      </c>
      <c r="D15" s="18">
        <v>10960</v>
      </c>
      <c r="E15" s="18">
        <v>9913</v>
      </c>
      <c r="F15" s="18">
        <v>713</v>
      </c>
      <c r="G15" s="18">
        <v>4584</v>
      </c>
      <c r="H15" s="18">
        <v>5093</v>
      </c>
      <c r="I15" s="18">
        <v>14</v>
      </c>
    </row>
    <row r="16" spans="1:19" ht="12.75" customHeight="1">
      <c r="A16" s="19" t="s">
        <v>22</v>
      </c>
      <c r="B16" s="20" t="s">
        <v>23</v>
      </c>
      <c r="C16" s="21">
        <v>8941</v>
      </c>
      <c r="D16" s="21">
        <v>4046</v>
      </c>
      <c r="E16" s="21">
        <v>3996</v>
      </c>
      <c r="F16" s="21">
        <v>766</v>
      </c>
      <c r="G16" s="21">
        <v>3914</v>
      </c>
      <c r="H16" s="21">
        <v>504</v>
      </c>
      <c r="I16" s="21">
        <v>9</v>
      </c>
    </row>
    <row r="17" spans="1:9" ht="12.75" customHeight="1">
      <c r="A17" s="19" t="s">
        <v>24</v>
      </c>
      <c r="B17" s="20" t="s">
        <v>25</v>
      </c>
      <c r="C17" s="21">
        <v>4633</v>
      </c>
      <c r="D17" s="21">
        <v>2559</v>
      </c>
      <c r="E17" s="21">
        <v>2548</v>
      </c>
      <c r="F17" s="21">
        <v>560</v>
      </c>
      <c r="G17" s="21">
        <v>1513</v>
      </c>
      <c r="H17" s="21">
        <v>618</v>
      </c>
      <c r="I17" s="21">
        <v>4</v>
      </c>
    </row>
    <row r="18" spans="1:9" ht="12.75" customHeight="1">
      <c r="A18" s="19" t="s">
        <v>26</v>
      </c>
      <c r="B18" s="20" t="s">
        <v>27</v>
      </c>
      <c r="C18" s="21">
        <v>34440</v>
      </c>
      <c r="D18" s="21">
        <v>12138</v>
      </c>
      <c r="E18" s="21">
        <v>4821</v>
      </c>
      <c r="F18" s="21">
        <v>2620</v>
      </c>
      <c r="G18" s="21">
        <v>15647</v>
      </c>
      <c r="H18" s="21">
        <v>9091</v>
      </c>
      <c r="I18" s="21">
        <v>18</v>
      </c>
    </row>
    <row r="19" spans="1:9" ht="12.75" customHeight="1">
      <c r="A19" s="19" t="s">
        <v>28</v>
      </c>
      <c r="B19" s="20" t="s">
        <v>29</v>
      </c>
      <c r="C19" s="21">
        <v>17993</v>
      </c>
      <c r="D19" s="21">
        <v>7794</v>
      </c>
      <c r="E19" s="21">
        <v>7167</v>
      </c>
      <c r="F19" s="21">
        <v>241</v>
      </c>
      <c r="G19" s="21">
        <v>8613</v>
      </c>
      <c r="H19" s="21">
        <v>1368</v>
      </c>
      <c r="I19" s="21">
        <v>10</v>
      </c>
    </row>
    <row r="20" spans="1:9" ht="12.75" customHeight="1">
      <c r="A20" s="19" t="s">
        <v>30</v>
      </c>
      <c r="B20" s="20" t="s">
        <v>31</v>
      </c>
      <c r="C20" s="21">
        <v>84099</v>
      </c>
      <c r="D20" s="21">
        <v>46844</v>
      </c>
      <c r="E20" s="21">
        <v>43248</v>
      </c>
      <c r="F20" s="21">
        <v>4347</v>
      </c>
      <c r="G20" s="21">
        <v>23372</v>
      </c>
      <c r="H20" s="21">
        <v>20970</v>
      </c>
      <c r="I20" s="21">
        <v>77</v>
      </c>
    </row>
    <row r="21" spans="1:9" ht="12.75" customHeight="1">
      <c r="A21" s="19" t="s">
        <v>32</v>
      </c>
      <c r="B21" s="20" t="s">
        <v>33</v>
      </c>
      <c r="C21" s="21">
        <v>3497</v>
      </c>
      <c r="D21" s="21">
        <v>1702</v>
      </c>
      <c r="E21" s="21">
        <v>1702</v>
      </c>
      <c r="F21" s="21">
        <v>308</v>
      </c>
      <c r="G21" s="21">
        <v>1484</v>
      </c>
      <c r="H21" s="21">
        <v>298</v>
      </c>
      <c r="I21" s="21">
        <v>8</v>
      </c>
    </row>
    <row r="22" spans="1:9" ht="12.75" customHeight="1">
      <c r="A22" s="19" t="s">
        <v>34</v>
      </c>
      <c r="B22" s="20" t="s">
        <v>35</v>
      </c>
      <c r="C22" s="21">
        <v>5726</v>
      </c>
      <c r="D22" s="21">
        <v>3596</v>
      </c>
      <c r="E22" s="21">
        <v>3596</v>
      </c>
      <c r="F22" s="21">
        <v>331</v>
      </c>
      <c r="G22" s="21">
        <v>1799</v>
      </c>
      <c r="H22" s="21">
        <v>762</v>
      </c>
      <c r="I22" s="21">
        <v>9</v>
      </c>
    </row>
    <row r="23" spans="1:9" ht="12.75" customHeight="1">
      <c r="A23" s="22"/>
      <c r="B23" s="23" t="s">
        <v>36</v>
      </c>
      <c r="C23" s="24">
        <f t="shared" ref="C23:I23" si="0">SUM(C15:C22)</f>
        <v>177777</v>
      </c>
      <c r="D23" s="24">
        <f t="shared" si="0"/>
        <v>89639</v>
      </c>
      <c r="E23" s="24">
        <f t="shared" si="0"/>
        <v>76991</v>
      </c>
      <c r="F23" s="24">
        <f t="shared" si="0"/>
        <v>9886</v>
      </c>
      <c r="G23" s="24">
        <f t="shared" si="0"/>
        <v>60926</v>
      </c>
      <c r="H23" s="24">
        <f t="shared" si="0"/>
        <v>38704</v>
      </c>
      <c r="I23" s="24">
        <f t="shared" si="0"/>
        <v>149</v>
      </c>
    </row>
    <row r="24" spans="1:9" ht="14.25" customHeight="1">
      <c r="A24" s="19" t="s">
        <v>37</v>
      </c>
      <c r="B24" s="20" t="s">
        <v>38</v>
      </c>
      <c r="C24" s="25">
        <v>7527</v>
      </c>
      <c r="D24" s="25">
        <v>776</v>
      </c>
      <c r="E24" s="25">
        <v>560</v>
      </c>
      <c r="F24" s="25">
        <v>930</v>
      </c>
      <c r="G24" s="25">
        <v>2400</v>
      </c>
      <c r="H24" s="25">
        <v>410</v>
      </c>
      <c r="I24" s="25">
        <v>7</v>
      </c>
    </row>
    <row r="25" spans="1:9" ht="14.25" customHeight="1">
      <c r="A25" s="26"/>
      <c r="B25" s="23" t="s">
        <v>39</v>
      </c>
      <c r="C25" s="24">
        <f t="shared" ref="C25:I25" si="1">SUM(C24)</f>
        <v>7527</v>
      </c>
      <c r="D25" s="24">
        <f t="shared" si="1"/>
        <v>776</v>
      </c>
      <c r="E25" s="24">
        <f t="shared" si="1"/>
        <v>560</v>
      </c>
      <c r="F25" s="24">
        <f t="shared" si="1"/>
        <v>930</v>
      </c>
      <c r="G25" s="24">
        <f t="shared" si="1"/>
        <v>2400</v>
      </c>
      <c r="H25" s="24">
        <f t="shared" si="1"/>
        <v>410</v>
      </c>
      <c r="I25" s="24">
        <f t="shared" si="1"/>
        <v>7</v>
      </c>
    </row>
    <row r="26" spans="1:9" ht="12.75" customHeight="1">
      <c r="A26" s="19" t="s">
        <v>40</v>
      </c>
      <c r="B26" s="20" t="s">
        <v>41</v>
      </c>
      <c r="C26" s="25">
        <v>25248</v>
      </c>
      <c r="D26" s="25">
        <v>15521</v>
      </c>
      <c r="E26" s="25">
        <v>3180</v>
      </c>
      <c r="F26" s="25">
        <v>1518</v>
      </c>
      <c r="G26" s="25">
        <v>2546</v>
      </c>
      <c r="H26" s="25">
        <v>2862</v>
      </c>
      <c r="I26" s="25">
        <v>39</v>
      </c>
    </row>
    <row r="27" spans="1:9" ht="12.75" customHeight="1">
      <c r="A27" s="19" t="s">
        <v>42</v>
      </c>
      <c r="B27" s="20" t="s">
        <v>43</v>
      </c>
      <c r="C27" s="25">
        <v>10255</v>
      </c>
      <c r="D27" s="25">
        <v>435</v>
      </c>
      <c r="E27" s="25">
        <v>423</v>
      </c>
      <c r="F27" s="25">
        <v>1819</v>
      </c>
      <c r="G27" s="25">
        <v>5743</v>
      </c>
      <c r="H27" s="25">
        <v>213</v>
      </c>
      <c r="I27" s="25">
        <v>12</v>
      </c>
    </row>
    <row r="28" spans="1:9" ht="12.75" customHeight="1">
      <c r="A28" s="19" t="s">
        <v>44</v>
      </c>
      <c r="B28" s="20" t="s">
        <v>45</v>
      </c>
      <c r="C28" s="25">
        <v>4260</v>
      </c>
      <c r="D28" s="25">
        <v>2017</v>
      </c>
      <c r="E28" s="25">
        <v>1970</v>
      </c>
      <c r="F28" s="25">
        <v>134</v>
      </c>
      <c r="G28" s="25">
        <v>898</v>
      </c>
      <c r="H28" s="25">
        <v>647</v>
      </c>
      <c r="I28" s="25">
        <v>14</v>
      </c>
    </row>
    <row r="29" spans="1:9" ht="12.75" customHeight="1">
      <c r="A29" s="19" t="s">
        <v>46</v>
      </c>
      <c r="B29" s="20" t="s">
        <v>47</v>
      </c>
      <c r="C29" s="25">
        <v>6111</v>
      </c>
      <c r="D29" s="25">
        <v>572</v>
      </c>
      <c r="E29" s="25">
        <v>547</v>
      </c>
      <c r="F29" s="25">
        <v>837</v>
      </c>
      <c r="G29" s="25">
        <v>3656</v>
      </c>
      <c r="H29" s="25">
        <v>939</v>
      </c>
      <c r="I29" s="25">
        <v>15</v>
      </c>
    </row>
    <row r="30" spans="1:9" ht="12.75" customHeight="1">
      <c r="A30" s="22"/>
      <c r="B30" s="23" t="s">
        <v>48</v>
      </c>
      <c r="C30" s="24">
        <f t="shared" ref="C30:I30" si="2">SUM(C26:C29)</f>
        <v>45874</v>
      </c>
      <c r="D30" s="24">
        <f t="shared" si="2"/>
        <v>18545</v>
      </c>
      <c r="E30" s="24">
        <f t="shared" si="2"/>
        <v>6120</v>
      </c>
      <c r="F30" s="24">
        <f t="shared" si="2"/>
        <v>4308</v>
      </c>
      <c r="G30" s="24">
        <f t="shared" si="2"/>
        <v>12843</v>
      </c>
      <c r="H30" s="24">
        <f t="shared" si="2"/>
        <v>4661</v>
      </c>
      <c r="I30" s="24">
        <f t="shared" si="2"/>
        <v>80</v>
      </c>
    </row>
    <row r="31" spans="1:9" ht="12.75" customHeight="1">
      <c r="A31" s="19" t="s">
        <v>49</v>
      </c>
      <c r="B31" s="20" t="s">
        <v>50</v>
      </c>
      <c r="C31" s="25">
        <v>35513</v>
      </c>
      <c r="D31" s="25">
        <v>8182</v>
      </c>
      <c r="E31" s="25">
        <v>7708</v>
      </c>
      <c r="F31" s="25">
        <v>1613</v>
      </c>
      <c r="G31" s="25">
        <v>22751</v>
      </c>
      <c r="H31" s="25">
        <v>8225</v>
      </c>
      <c r="I31" s="25">
        <v>22</v>
      </c>
    </row>
    <row r="32" spans="1:9" ht="12.75" customHeight="1">
      <c r="A32" s="19" t="s">
        <v>51</v>
      </c>
      <c r="B32" s="20" t="s">
        <v>52</v>
      </c>
      <c r="C32" s="25">
        <v>51434</v>
      </c>
      <c r="D32" s="25">
        <v>30843</v>
      </c>
      <c r="E32" s="25">
        <v>19821</v>
      </c>
      <c r="F32" s="25">
        <v>2024</v>
      </c>
      <c r="G32" s="25">
        <v>13480</v>
      </c>
      <c r="H32" s="25">
        <v>17539</v>
      </c>
      <c r="I32" s="25">
        <v>31</v>
      </c>
    </row>
    <row r="33" spans="1:9" ht="12.75" customHeight="1">
      <c r="A33" s="19" t="s">
        <v>53</v>
      </c>
      <c r="B33" s="20" t="s">
        <v>54</v>
      </c>
      <c r="C33" s="25">
        <v>7951</v>
      </c>
      <c r="D33" s="25">
        <v>2275</v>
      </c>
      <c r="E33" s="25">
        <v>2275</v>
      </c>
      <c r="F33" s="25">
        <v>777</v>
      </c>
      <c r="G33" s="25">
        <v>3573</v>
      </c>
      <c r="H33" s="25">
        <v>2941</v>
      </c>
      <c r="I33" s="25">
        <v>22</v>
      </c>
    </row>
    <row r="34" spans="1:9" ht="12.75" customHeight="1">
      <c r="A34" s="19" t="s">
        <v>55</v>
      </c>
      <c r="B34" s="20" t="s">
        <v>56</v>
      </c>
      <c r="C34" s="25">
        <v>23564</v>
      </c>
      <c r="D34" s="25">
        <v>12966</v>
      </c>
      <c r="E34" s="25">
        <v>3927</v>
      </c>
      <c r="F34" s="25">
        <v>307</v>
      </c>
      <c r="G34" s="25">
        <v>1592</v>
      </c>
      <c r="H34" s="25">
        <v>4361</v>
      </c>
      <c r="I34" s="25">
        <v>12</v>
      </c>
    </row>
    <row r="35" spans="1:9" ht="12.75" customHeight="1">
      <c r="A35" s="19" t="s">
        <v>57</v>
      </c>
      <c r="B35" s="20" t="s">
        <v>58</v>
      </c>
      <c r="C35" s="25">
        <v>5222</v>
      </c>
      <c r="D35" s="25">
        <v>2230</v>
      </c>
      <c r="E35" s="25">
        <v>2230</v>
      </c>
      <c r="F35" s="25">
        <v>416</v>
      </c>
      <c r="G35" s="25">
        <v>2441</v>
      </c>
      <c r="H35" s="25">
        <v>2820</v>
      </c>
      <c r="I35" s="25">
        <v>9</v>
      </c>
    </row>
    <row r="36" spans="1:9" ht="12.75" customHeight="1">
      <c r="A36" s="19" t="s">
        <v>59</v>
      </c>
      <c r="B36" s="20" t="s">
        <v>60</v>
      </c>
      <c r="C36" s="25">
        <v>4250</v>
      </c>
      <c r="D36" s="25">
        <v>2856</v>
      </c>
      <c r="E36" s="25">
        <v>2770</v>
      </c>
      <c r="F36" s="25">
        <v>109</v>
      </c>
      <c r="G36" s="25">
        <v>529</v>
      </c>
      <c r="H36" s="25">
        <v>3073</v>
      </c>
      <c r="I36" s="25">
        <v>10</v>
      </c>
    </row>
    <row r="37" spans="1:9" ht="12.75" customHeight="1">
      <c r="A37" s="19" t="s">
        <v>61</v>
      </c>
      <c r="B37" s="20" t="s">
        <v>62</v>
      </c>
      <c r="C37" s="25">
        <v>24967</v>
      </c>
      <c r="D37" s="25">
        <v>14432</v>
      </c>
      <c r="E37" s="25">
        <v>4732</v>
      </c>
      <c r="F37" s="25">
        <v>671</v>
      </c>
      <c r="G37" s="25">
        <v>5632</v>
      </c>
      <c r="H37" s="25">
        <v>5206</v>
      </c>
      <c r="I37" s="25">
        <v>18</v>
      </c>
    </row>
    <row r="38" spans="1:9" ht="12.75" customHeight="1">
      <c r="A38" s="19" t="s">
        <v>63</v>
      </c>
      <c r="B38" s="20" t="s">
        <v>64</v>
      </c>
      <c r="C38" s="25">
        <v>70124</v>
      </c>
      <c r="D38" s="25">
        <v>49458</v>
      </c>
      <c r="E38" s="25">
        <v>31279</v>
      </c>
      <c r="F38" s="25">
        <v>1247</v>
      </c>
      <c r="G38" s="25">
        <v>5909</v>
      </c>
      <c r="H38" s="25">
        <v>35021</v>
      </c>
      <c r="I38" s="25">
        <v>102</v>
      </c>
    </row>
    <row r="39" spans="1:9" ht="12.75" customHeight="1">
      <c r="A39" s="19" t="s">
        <v>65</v>
      </c>
      <c r="B39" s="20" t="s">
        <v>66</v>
      </c>
      <c r="C39" s="25">
        <v>10460</v>
      </c>
      <c r="D39" s="25">
        <v>8474</v>
      </c>
      <c r="E39" s="25">
        <v>8163</v>
      </c>
      <c r="F39" s="25">
        <v>470</v>
      </c>
      <c r="G39" s="25">
        <v>1209</v>
      </c>
      <c r="H39" s="25">
        <v>6724</v>
      </c>
      <c r="I39" s="25">
        <v>15</v>
      </c>
    </row>
    <row r="40" spans="1:9" ht="12.75" customHeight="1">
      <c r="A40" s="19" t="s">
        <v>67</v>
      </c>
      <c r="B40" s="20" t="s">
        <v>68</v>
      </c>
      <c r="C40" s="25">
        <v>10797</v>
      </c>
      <c r="D40" s="25">
        <v>7086</v>
      </c>
      <c r="E40" s="25">
        <v>5183</v>
      </c>
      <c r="F40" s="25">
        <v>508</v>
      </c>
      <c r="G40" s="25">
        <v>2200</v>
      </c>
      <c r="H40" s="25">
        <v>4391</v>
      </c>
      <c r="I40" s="25">
        <v>16</v>
      </c>
    </row>
    <row r="41" spans="1:9" ht="12.75" customHeight="1">
      <c r="A41" s="19" t="s">
        <v>69</v>
      </c>
      <c r="B41" s="20" t="s">
        <v>70</v>
      </c>
      <c r="C41" s="25">
        <v>9041</v>
      </c>
      <c r="D41" s="25">
        <v>1167</v>
      </c>
      <c r="E41" s="25">
        <v>947</v>
      </c>
      <c r="F41" s="25">
        <v>1591</v>
      </c>
      <c r="G41" s="25">
        <v>3335</v>
      </c>
      <c r="H41" s="25">
        <v>787</v>
      </c>
      <c r="I41" s="25">
        <v>5</v>
      </c>
    </row>
    <row r="42" spans="1:9" ht="12.75" customHeight="1">
      <c r="A42" s="19" t="s">
        <v>71</v>
      </c>
      <c r="B42" s="20" t="s">
        <v>72</v>
      </c>
      <c r="C42" s="25">
        <v>9820</v>
      </c>
      <c r="D42" s="25">
        <v>6279</v>
      </c>
      <c r="E42" s="25">
        <v>5660</v>
      </c>
      <c r="F42" s="25">
        <v>744</v>
      </c>
      <c r="G42" s="25">
        <v>2767</v>
      </c>
      <c r="H42" s="25">
        <v>3039</v>
      </c>
      <c r="I42" s="25">
        <v>33</v>
      </c>
    </row>
    <row r="43" spans="1:9" ht="12.75" customHeight="1">
      <c r="A43" s="22"/>
      <c r="B43" s="23" t="s">
        <v>73</v>
      </c>
      <c r="C43" s="24">
        <f t="shared" ref="C43:I43" si="3">SUM(C31:C42)</f>
        <v>263143</v>
      </c>
      <c r="D43" s="24">
        <f t="shared" si="3"/>
        <v>146248</v>
      </c>
      <c r="E43" s="24">
        <f t="shared" si="3"/>
        <v>94695</v>
      </c>
      <c r="F43" s="24">
        <f t="shared" si="3"/>
        <v>10477</v>
      </c>
      <c r="G43" s="24">
        <f t="shared" si="3"/>
        <v>65418</v>
      </c>
      <c r="H43" s="24">
        <f t="shared" si="3"/>
        <v>94127</v>
      </c>
      <c r="I43" s="24">
        <f t="shared" si="3"/>
        <v>295</v>
      </c>
    </row>
    <row r="44" spans="1:9" ht="12.75" customHeight="1">
      <c r="A44" s="19" t="s">
        <v>74</v>
      </c>
      <c r="B44" s="20" t="s">
        <v>75</v>
      </c>
      <c r="C44" s="25">
        <v>13746</v>
      </c>
      <c r="D44" s="25">
        <v>2874</v>
      </c>
      <c r="E44" s="25">
        <v>2342</v>
      </c>
      <c r="F44" s="25">
        <v>2577</v>
      </c>
      <c r="G44" s="25">
        <v>6700</v>
      </c>
      <c r="H44" s="25">
        <v>2066</v>
      </c>
      <c r="I44" s="25">
        <v>27</v>
      </c>
    </row>
    <row r="45" spans="1:9" ht="12.75" customHeight="1">
      <c r="A45" s="19" t="s">
        <v>76</v>
      </c>
      <c r="B45" s="20" t="s">
        <v>77</v>
      </c>
      <c r="C45" s="25">
        <v>20979</v>
      </c>
      <c r="D45" s="25">
        <v>7758</v>
      </c>
      <c r="E45" s="25">
        <v>6897</v>
      </c>
      <c r="F45" s="25">
        <v>2610</v>
      </c>
      <c r="G45" s="25">
        <v>10612</v>
      </c>
      <c r="H45" s="25">
        <v>4054</v>
      </c>
      <c r="I45" s="25">
        <v>27</v>
      </c>
    </row>
    <row r="46" spans="1:9" ht="12.75" customHeight="1">
      <c r="A46" s="22"/>
      <c r="B46" s="23" t="s">
        <v>78</v>
      </c>
      <c r="C46" s="24">
        <f t="shared" ref="C46:I46" si="4">SUM(C44:C45)</f>
        <v>34725</v>
      </c>
      <c r="D46" s="24">
        <f t="shared" si="4"/>
        <v>10632</v>
      </c>
      <c r="E46" s="24">
        <f t="shared" si="4"/>
        <v>9239</v>
      </c>
      <c r="F46" s="24">
        <f t="shared" si="4"/>
        <v>5187</v>
      </c>
      <c r="G46" s="24">
        <f t="shared" si="4"/>
        <v>17312</v>
      </c>
      <c r="H46" s="24">
        <f t="shared" si="4"/>
        <v>6120</v>
      </c>
      <c r="I46" s="24">
        <f t="shared" si="4"/>
        <v>54</v>
      </c>
    </row>
    <row r="47" spans="1:9" ht="12.75" customHeight="1">
      <c r="A47" s="27" t="s">
        <v>79</v>
      </c>
      <c r="B47" s="20" t="s">
        <v>80</v>
      </c>
      <c r="C47" s="28">
        <v>1104</v>
      </c>
      <c r="D47" s="28">
        <v>174</v>
      </c>
      <c r="E47" s="28">
        <v>174</v>
      </c>
      <c r="F47" s="25">
        <v>223</v>
      </c>
      <c r="G47" s="25">
        <v>707</v>
      </c>
      <c r="H47" s="25">
        <v>573</v>
      </c>
      <c r="I47" s="25">
        <v>4</v>
      </c>
    </row>
    <row r="48" spans="1:9" ht="12.75" customHeight="1">
      <c r="A48" s="27" t="s">
        <v>81</v>
      </c>
      <c r="B48" s="20" t="s">
        <v>82</v>
      </c>
      <c r="C48" s="28">
        <v>11335</v>
      </c>
      <c r="D48" s="28">
        <v>2326</v>
      </c>
      <c r="E48" s="28">
        <v>2043</v>
      </c>
      <c r="F48" s="25">
        <v>1093</v>
      </c>
      <c r="G48" s="25">
        <v>7051</v>
      </c>
      <c r="H48" s="25">
        <v>1942</v>
      </c>
      <c r="I48" s="25">
        <v>7</v>
      </c>
    </row>
    <row r="49" spans="1:9" ht="12.75" customHeight="1">
      <c r="A49" s="27" t="s">
        <v>83</v>
      </c>
      <c r="B49" s="20" t="s">
        <v>84</v>
      </c>
      <c r="C49" s="28">
        <v>1588</v>
      </c>
      <c r="D49" s="28">
        <v>83</v>
      </c>
      <c r="E49" s="28">
        <v>11</v>
      </c>
      <c r="F49" s="25">
        <v>689</v>
      </c>
      <c r="G49" s="25">
        <v>816</v>
      </c>
      <c r="H49" s="25">
        <v>604</v>
      </c>
      <c r="I49" s="25">
        <v>4</v>
      </c>
    </row>
    <row r="50" spans="1:9" ht="12.75" customHeight="1">
      <c r="A50" s="27" t="s">
        <v>85</v>
      </c>
      <c r="B50" s="20" t="s">
        <v>86</v>
      </c>
      <c r="C50" s="28">
        <v>38493</v>
      </c>
      <c r="D50" s="28">
        <v>4209</v>
      </c>
      <c r="E50" s="28">
        <v>1849</v>
      </c>
      <c r="F50" s="25">
        <v>3535</v>
      </c>
      <c r="G50" s="25">
        <v>26824</v>
      </c>
      <c r="H50" s="25">
        <v>3722</v>
      </c>
      <c r="I50" s="25">
        <v>22</v>
      </c>
    </row>
    <row r="51" spans="1:9" ht="12.75" customHeight="1">
      <c r="A51" s="29"/>
      <c r="B51" s="23" t="s">
        <v>87</v>
      </c>
      <c r="C51" s="24">
        <f t="shared" ref="C51:I51" si="5">SUM(C47:C50)</f>
        <v>52520</v>
      </c>
      <c r="D51" s="24">
        <f t="shared" si="5"/>
        <v>6792</v>
      </c>
      <c r="E51" s="24">
        <f t="shared" si="5"/>
        <v>4077</v>
      </c>
      <c r="F51" s="24">
        <f t="shared" si="5"/>
        <v>5540</v>
      </c>
      <c r="G51" s="24">
        <f t="shared" si="5"/>
        <v>35398</v>
      </c>
      <c r="H51" s="24">
        <f t="shared" si="5"/>
        <v>6841</v>
      </c>
      <c r="I51" s="24">
        <f t="shared" si="5"/>
        <v>37</v>
      </c>
    </row>
    <row r="52" spans="1:9" ht="12.75" customHeight="1">
      <c r="A52" s="27" t="s">
        <v>88</v>
      </c>
      <c r="B52" s="20" t="s">
        <v>89</v>
      </c>
      <c r="C52" s="28">
        <v>13906</v>
      </c>
      <c r="D52" s="28">
        <v>2299</v>
      </c>
      <c r="E52" s="28">
        <v>1151</v>
      </c>
      <c r="F52" s="25">
        <v>1517</v>
      </c>
      <c r="G52" s="25">
        <v>9861</v>
      </c>
      <c r="H52" s="25">
        <v>335</v>
      </c>
      <c r="I52" s="25">
        <v>4</v>
      </c>
    </row>
    <row r="53" spans="1:9" ht="12.75" customHeight="1">
      <c r="A53" s="27" t="s">
        <v>90</v>
      </c>
      <c r="B53" s="20" t="s">
        <v>91</v>
      </c>
      <c r="C53" s="28">
        <v>47511</v>
      </c>
      <c r="D53" s="28">
        <v>29562</v>
      </c>
      <c r="E53" s="28">
        <v>16668</v>
      </c>
      <c r="F53" s="25">
        <v>1824</v>
      </c>
      <c r="G53" s="25">
        <v>10515</v>
      </c>
      <c r="H53" s="25">
        <v>5744</v>
      </c>
      <c r="I53" s="25">
        <v>26</v>
      </c>
    </row>
    <row r="54" spans="1:9" ht="12.75" customHeight="1">
      <c r="A54" s="27" t="s">
        <v>92</v>
      </c>
      <c r="B54" s="20" t="s">
        <v>93</v>
      </c>
      <c r="C54" s="28">
        <v>10979</v>
      </c>
      <c r="D54" s="28">
        <v>6283</v>
      </c>
      <c r="E54" s="28">
        <v>2858</v>
      </c>
      <c r="F54" s="25">
        <v>648</v>
      </c>
      <c r="G54" s="25">
        <v>2816</v>
      </c>
      <c r="H54" s="25">
        <v>4474</v>
      </c>
      <c r="I54" s="25">
        <v>5</v>
      </c>
    </row>
    <row r="55" spans="1:9" ht="12.75" customHeight="1">
      <c r="A55" s="27" t="s">
        <v>94</v>
      </c>
      <c r="B55" s="20" t="s">
        <v>95</v>
      </c>
      <c r="C55" s="28">
        <v>28612</v>
      </c>
      <c r="D55" s="28">
        <v>11753</v>
      </c>
      <c r="E55" s="28">
        <v>8327</v>
      </c>
      <c r="F55" s="25">
        <v>2627</v>
      </c>
      <c r="G55" s="25">
        <v>13904</v>
      </c>
      <c r="H55" s="25">
        <v>4224</v>
      </c>
      <c r="I55" s="25">
        <v>17</v>
      </c>
    </row>
    <row r="56" spans="1:9" ht="12.75" customHeight="1">
      <c r="A56" s="27" t="s">
        <v>96</v>
      </c>
      <c r="B56" s="20" t="s">
        <v>97</v>
      </c>
      <c r="C56" s="28">
        <v>56976</v>
      </c>
      <c r="D56" s="28">
        <v>37517</v>
      </c>
      <c r="E56" s="28">
        <v>9968</v>
      </c>
      <c r="F56" s="25">
        <v>1218</v>
      </c>
      <c r="G56" s="25">
        <v>13457</v>
      </c>
      <c r="H56" s="25">
        <v>2881</v>
      </c>
      <c r="I56" s="25">
        <v>26</v>
      </c>
    </row>
    <row r="57" spans="1:9" ht="12.75" customHeight="1">
      <c r="A57" s="27" t="s">
        <v>98</v>
      </c>
      <c r="B57" s="20" t="s">
        <v>99</v>
      </c>
      <c r="C57" s="28">
        <v>68870</v>
      </c>
      <c r="D57" s="28">
        <v>40643</v>
      </c>
      <c r="E57" s="28">
        <v>15251</v>
      </c>
      <c r="F57" s="25">
        <v>1965</v>
      </c>
      <c r="G57" s="25">
        <v>17909</v>
      </c>
      <c r="H57" s="25">
        <v>3522</v>
      </c>
      <c r="I57" s="25">
        <v>46</v>
      </c>
    </row>
    <row r="58" spans="1:9" ht="12.75" customHeight="1">
      <c r="A58" s="27" t="s">
        <v>100</v>
      </c>
      <c r="B58" s="20" t="s">
        <v>101</v>
      </c>
      <c r="C58" s="28">
        <v>26481</v>
      </c>
      <c r="D58" s="28">
        <v>14497</v>
      </c>
      <c r="E58" s="28">
        <v>11170</v>
      </c>
      <c r="F58" s="25">
        <v>1383</v>
      </c>
      <c r="G58" s="25">
        <v>6954</v>
      </c>
      <c r="H58" s="25">
        <v>10070</v>
      </c>
      <c r="I58" s="25">
        <v>38</v>
      </c>
    </row>
    <row r="59" spans="1:9" ht="12.75" customHeight="1">
      <c r="A59" s="29"/>
      <c r="B59" s="23" t="s">
        <v>102</v>
      </c>
      <c r="C59" s="24">
        <f t="shared" ref="C59:I59" si="6">SUM(C52:C58)</f>
        <v>253335</v>
      </c>
      <c r="D59" s="24">
        <f t="shared" si="6"/>
        <v>142554</v>
      </c>
      <c r="E59" s="24">
        <f t="shared" si="6"/>
        <v>65393</v>
      </c>
      <c r="F59" s="24">
        <f t="shared" si="6"/>
        <v>11182</v>
      </c>
      <c r="G59" s="24">
        <f t="shared" si="6"/>
        <v>75416</v>
      </c>
      <c r="H59" s="24">
        <f t="shared" si="6"/>
        <v>31250</v>
      </c>
      <c r="I59" s="24">
        <f t="shared" si="6"/>
        <v>162</v>
      </c>
    </row>
    <row r="60" spans="1:9" ht="12.75" customHeight="1">
      <c r="A60" s="27" t="s">
        <v>103</v>
      </c>
      <c r="B60" s="20" t="s">
        <v>104</v>
      </c>
      <c r="C60" s="28">
        <v>43425</v>
      </c>
      <c r="D60" s="28">
        <v>27926</v>
      </c>
      <c r="E60" s="28">
        <v>8922</v>
      </c>
      <c r="F60" s="25">
        <v>1091</v>
      </c>
      <c r="G60" s="25">
        <v>12895</v>
      </c>
      <c r="H60" s="25">
        <v>6033</v>
      </c>
      <c r="I60" s="25">
        <v>52</v>
      </c>
    </row>
    <row r="61" spans="1:9" ht="12.75" customHeight="1">
      <c r="A61" s="27" t="s">
        <v>105</v>
      </c>
      <c r="B61" s="20" t="s">
        <v>106</v>
      </c>
      <c r="C61" s="28">
        <v>16361</v>
      </c>
      <c r="D61" s="28">
        <v>8997</v>
      </c>
      <c r="E61" s="28">
        <v>7740</v>
      </c>
      <c r="F61" s="25">
        <v>798</v>
      </c>
      <c r="G61" s="25">
        <v>6390</v>
      </c>
      <c r="H61" s="25">
        <v>1891</v>
      </c>
      <c r="I61" s="25">
        <v>11</v>
      </c>
    </row>
    <row r="62" spans="1:9" ht="12.75" customHeight="1">
      <c r="A62" s="27" t="s">
        <v>107</v>
      </c>
      <c r="B62" s="20" t="s">
        <v>108</v>
      </c>
      <c r="C62" s="28">
        <v>40152</v>
      </c>
      <c r="D62" s="28">
        <v>27667</v>
      </c>
      <c r="E62" s="28">
        <v>6820</v>
      </c>
      <c r="F62" s="25">
        <v>1324</v>
      </c>
      <c r="G62" s="25">
        <v>10211</v>
      </c>
      <c r="H62" s="25">
        <v>6570</v>
      </c>
      <c r="I62" s="25">
        <v>18</v>
      </c>
    </row>
    <row r="63" spans="1:9" ht="12.75" customHeight="1">
      <c r="A63" s="27" t="s">
        <v>109</v>
      </c>
      <c r="B63" s="20" t="s">
        <v>110</v>
      </c>
      <c r="C63" s="28">
        <v>19496</v>
      </c>
      <c r="D63" s="28">
        <v>14713</v>
      </c>
      <c r="E63" s="28">
        <v>10963</v>
      </c>
      <c r="F63" s="25">
        <v>720</v>
      </c>
      <c r="G63" s="25">
        <v>4002</v>
      </c>
      <c r="H63" s="25">
        <v>7690</v>
      </c>
      <c r="I63" s="25">
        <v>21</v>
      </c>
    </row>
    <row r="64" spans="1:9" ht="12.75" customHeight="1">
      <c r="A64" s="27" t="s">
        <v>111</v>
      </c>
      <c r="B64" s="20" t="s">
        <v>112</v>
      </c>
      <c r="C64" s="28">
        <v>197455</v>
      </c>
      <c r="D64" s="28">
        <v>160494</v>
      </c>
      <c r="E64" s="28">
        <v>7454</v>
      </c>
      <c r="F64" s="25">
        <v>362</v>
      </c>
      <c r="G64" s="25">
        <v>17897</v>
      </c>
      <c r="H64" s="25">
        <v>3110</v>
      </c>
      <c r="I64" s="25">
        <v>22</v>
      </c>
    </row>
    <row r="65" spans="1:9" ht="12.75" customHeight="1">
      <c r="A65" s="27" t="s">
        <v>113</v>
      </c>
      <c r="B65" s="20" t="s">
        <v>114</v>
      </c>
      <c r="C65" s="28">
        <v>12187</v>
      </c>
      <c r="D65" s="28">
        <v>7790</v>
      </c>
      <c r="E65" s="28">
        <v>6156</v>
      </c>
      <c r="F65" s="25">
        <v>321</v>
      </c>
      <c r="G65" s="25">
        <v>3220</v>
      </c>
      <c r="H65" s="25">
        <v>1843</v>
      </c>
      <c r="I65" s="25">
        <v>14</v>
      </c>
    </row>
    <row r="66" spans="1:9" ht="12.75" customHeight="1">
      <c r="A66" s="27" t="s">
        <v>115</v>
      </c>
      <c r="B66" s="20" t="s">
        <v>116</v>
      </c>
      <c r="C66" s="28">
        <v>14098</v>
      </c>
      <c r="D66" s="28">
        <v>9501</v>
      </c>
      <c r="E66" s="28">
        <v>6471</v>
      </c>
      <c r="F66" s="25">
        <v>444</v>
      </c>
      <c r="G66" s="25">
        <v>1869</v>
      </c>
      <c r="H66" s="25">
        <v>6428</v>
      </c>
      <c r="I66" s="25">
        <v>15</v>
      </c>
    </row>
    <row r="67" spans="1:9" ht="12.75" customHeight="1">
      <c r="A67" s="27" t="s">
        <v>117</v>
      </c>
      <c r="B67" s="20" t="s">
        <v>118</v>
      </c>
      <c r="C67" s="28">
        <v>25458</v>
      </c>
      <c r="D67" s="28">
        <v>18699</v>
      </c>
      <c r="E67" s="28">
        <v>7135</v>
      </c>
      <c r="F67" s="25">
        <v>643</v>
      </c>
      <c r="G67" s="25">
        <v>4734</v>
      </c>
      <c r="H67" s="25">
        <v>4494</v>
      </c>
      <c r="I67" s="25">
        <v>9</v>
      </c>
    </row>
    <row r="68" spans="1:9" ht="12.75" customHeight="1">
      <c r="A68" s="27" t="s">
        <v>119</v>
      </c>
      <c r="B68" s="20" t="s">
        <v>120</v>
      </c>
      <c r="C68" s="28">
        <v>13134</v>
      </c>
      <c r="D68" s="28">
        <v>8578</v>
      </c>
      <c r="E68" s="28">
        <v>4954</v>
      </c>
      <c r="F68" s="25">
        <v>553</v>
      </c>
      <c r="G68" s="25">
        <v>2282</v>
      </c>
      <c r="H68" s="25">
        <v>659</v>
      </c>
      <c r="I68" s="25">
        <v>21</v>
      </c>
    </row>
    <row r="69" spans="1:9" ht="12.75" customHeight="1">
      <c r="A69" s="22"/>
      <c r="B69" s="23" t="s">
        <v>121</v>
      </c>
      <c r="C69" s="24">
        <f t="shared" ref="C69:I69" si="7">SUM(C60:C68)</f>
        <v>381766</v>
      </c>
      <c r="D69" s="24">
        <f t="shared" si="7"/>
        <v>284365</v>
      </c>
      <c r="E69" s="24">
        <f t="shared" si="7"/>
        <v>66615</v>
      </c>
      <c r="F69" s="24">
        <f t="shared" si="7"/>
        <v>6256</v>
      </c>
      <c r="G69" s="24">
        <f t="shared" si="7"/>
        <v>63500</v>
      </c>
      <c r="H69" s="24">
        <f t="shared" si="7"/>
        <v>38718</v>
      </c>
      <c r="I69" s="24">
        <f t="shared" si="7"/>
        <v>183</v>
      </c>
    </row>
    <row r="70" spans="1:9" ht="12.75" customHeight="1">
      <c r="A70" s="27" t="s">
        <v>122</v>
      </c>
      <c r="B70" s="20" t="s">
        <v>123</v>
      </c>
      <c r="C70" s="28">
        <v>20495</v>
      </c>
      <c r="D70" s="28">
        <v>11761</v>
      </c>
      <c r="E70" s="28">
        <v>8161</v>
      </c>
      <c r="F70" s="25">
        <v>1317</v>
      </c>
      <c r="G70" s="25">
        <v>5846</v>
      </c>
      <c r="H70" s="25">
        <v>3716</v>
      </c>
      <c r="I70" s="25">
        <v>19</v>
      </c>
    </row>
    <row r="71" spans="1:9" ht="12.75" customHeight="1">
      <c r="A71" s="27" t="s">
        <v>124</v>
      </c>
      <c r="B71" s="20" t="s">
        <v>125</v>
      </c>
      <c r="C71" s="28">
        <v>36405</v>
      </c>
      <c r="D71" s="28">
        <v>19700</v>
      </c>
      <c r="E71" s="28">
        <v>18083</v>
      </c>
      <c r="F71" s="25">
        <v>1873</v>
      </c>
      <c r="G71" s="25">
        <v>7493</v>
      </c>
      <c r="H71" s="25">
        <v>3661</v>
      </c>
      <c r="I71" s="25">
        <v>41</v>
      </c>
    </row>
    <row r="72" spans="1:9" ht="12.75" customHeight="1">
      <c r="A72" s="27" t="s">
        <v>126</v>
      </c>
      <c r="B72" s="20" t="s">
        <v>127</v>
      </c>
      <c r="C72" s="28">
        <v>11606</v>
      </c>
      <c r="D72" s="28">
        <v>3888</v>
      </c>
      <c r="E72" s="28">
        <v>3655</v>
      </c>
      <c r="F72" s="25">
        <v>1875</v>
      </c>
      <c r="G72" s="25">
        <v>5752</v>
      </c>
      <c r="H72" s="25">
        <v>644</v>
      </c>
      <c r="I72" s="25">
        <v>9</v>
      </c>
    </row>
    <row r="73" spans="1:9" ht="12.75" customHeight="1">
      <c r="A73" s="27" t="s">
        <v>128</v>
      </c>
      <c r="B73" s="20" t="s">
        <v>129</v>
      </c>
      <c r="C73" s="28">
        <v>13332</v>
      </c>
      <c r="D73" s="28">
        <v>3739</v>
      </c>
      <c r="E73" s="28">
        <v>3593</v>
      </c>
      <c r="F73" s="25">
        <v>1294</v>
      </c>
      <c r="G73" s="25">
        <v>8160</v>
      </c>
      <c r="H73" s="25">
        <v>1308</v>
      </c>
      <c r="I73" s="25">
        <v>20</v>
      </c>
    </row>
    <row r="74" spans="1:9" ht="12.75" customHeight="1">
      <c r="A74" s="27" t="s">
        <v>130</v>
      </c>
      <c r="B74" s="20" t="s">
        <v>131</v>
      </c>
      <c r="C74" s="28">
        <v>15275</v>
      </c>
      <c r="D74" s="28">
        <v>6205</v>
      </c>
      <c r="E74" s="28">
        <v>5638</v>
      </c>
      <c r="F74" s="25">
        <v>1344</v>
      </c>
      <c r="G74" s="25">
        <v>4606</v>
      </c>
      <c r="H74" s="25">
        <v>2467</v>
      </c>
      <c r="I74" s="25">
        <v>21</v>
      </c>
    </row>
    <row r="75" spans="1:9" ht="12.75" customHeight="1">
      <c r="A75" s="27" t="s">
        <v>132</v>
      </c>
      <c r="B75" s="20" t="s">
        <v>133</v>
      </c>
      <c r="C75" s="28">
        <v>6571</v>
      </c>
      <c r="D75" s="28">
        <v>2009</v>
      </c>
      <c r="E75" s="28">
        <v>1322</v>
      </c>
      <c r="F75" s="25">
        <v>1012</v>
      </c>
      <c r="G75" s="25">
        <v>1227</v>
      </c>
      <c r="H75" s="25">
        <v>5324</v>
      </c>
      <c r="I75" s="25">
        <v>10</v>
      </c>
    </row>
    <row r="76" spans="1:9" ht="12.75" customHeight="1">
      <c r="A76" s="30" t="s">
        <v>134</v>
      </c>
      <c r="B76" s="20" t="s">
        <v>135</v>
      </c>
      <c r="C76" s="28">
        <v>13157</v>
      </c>
      <c r="D76" s="28">
        <v>9015</v>
      </c>
      <c r="E76" s="28">
        <v>7827</v>
      </c>
      <c r="F76" s="25">
        <v>797</v>
      </c>
      <c r="G76" s="25">
        <v>3103</v>
      </c>
      <c r="H76" s="25">
        <v>1164</v>
      </c>
      <c r="I76" s="25">
        <v>18</v>
      </c>
    </row>
    <row r="77" spans="1:9" ht="12.75" customHeight="1">
      <c r="A77" s="30" t="s">
        <v>136</v>
      </c>
      <c r="B77" s="20" t="s">
        <v>137</v>
      </c>
      <c r="C77" s="28">
        <v>21207</v>
      </c>
      <c r="D77" s="28">
        <v>4387</v>
      </c>
      <c r="E77" s="28">
        <v>3404</v>
      </c>
      <c r="F77" s="25">
        <v>1185</v>
      </c>
      <c r="G77" s="25">
        <v>6304</v>
      </c>
      <c r="H77" s="25">
        <v>1378</v>
      </c>
      <c r="I77" s="25">
        <v>17</v>
      </c>
    </row>
    <row r="78" spans="1:9" ht="12.75" customHeight="1">
      <c r="A78" s="30" t="s">
        <v>138</v>
      </c>
      <c r="B78" s="20" t="s">
        <v>139</v>
      </c>
      <c r="C78" s="28">
        <v>4491</v>
      </c>
      <c r="D78" s="28">
        <v>3286</v>
      </c>
      <c r="E78" s="28">
        <v>3285</v>
      </c>
      <c r="F78" s="25">
        <v>484</v>
      </c>
      <c r="G78" s="25">
        <v>721</v>
      </c>
      <c r="H78" s="25">
        <v>659</v>
      </c>
      <c r="I78" s="25">
        <v>6</v>
      </c>
    </row>
    <row r="79" spans="1:9" ht="12.75" customHeight="1">
      <c r="A79" s="30" t="s">
        <v>140</v>
      </c>
      <c r="B79" s="20" t="s">
        <v>141</v>
      </c>
      <c r="C79" s="28">
        <v>13510</v>
      </c>
      <c r="D79" s="28">
        <v>4042</v>
      </c>
      <c r="E79" s="28">
        <v>3411</v>
      </c>
      <c r="F79" s="25">
        <v>930</v>
      </c>
      <c r="G79" s="25">
        <v>6181</v>
      </c>
      <c r="H79" s="25">
        <v>1107</v>
      </c>
      <c r="I79" s="25">
        <v>15</v>
      </c>
    </row>
    <row r="80" spans="1:9" ht="12.75" customHeight="1">
      <c r="A80" s="31"/>
      <c r="B80" s="23" t="s">
        <v>142</v>
      </c>
      <c r="C80" s="24">
        <f t="shared" ref="C80:I80" si="8">SUM(C70:C79)</f>
        <v>156049</v>
      </c>
      <c r="D80" s="24">
        <f t="shared" si="8"/>
        <v>68032</v>
      </c>
      <c r="E80" s="24">
        <f t="shared" si="8"/>
        <v>58379</v>
      </c>
      <c r="F80" s="24">
        <f t="shared" si="8"/>
        <v>12111</v>
      </c>
      <c r="G80" s="24">
        <f t="shared" si="8"/>
        <v>49393</v>
      </c>
      <c r="H80" s="24">
        <f t="shared" si="8"/>
        <v>21428</v>
      </c>
      <c r="I80" s="24">
        <f t="shared" si="8"/>
        <v>176</v>
      </c>
    </row>
    <row r="81" spans="1:9" ht="12.75" customHeight="1">
      <c r="A81" s="30" t="s">
        <v>143</v>
      </c>
      <c r="B81" s="20" t="s">
        <v>144</v>
      </c>
      <c r="C81" s="21">
        <v>30908</v>
      </c>
      <c r="D81" s="21">
        <v>19971</v>
      </c>
      <c r="E81" s="21">
        <v>6913</v>
      </c>
      <c r="F81" s="25">
        <v>708</v>
      </c>
      <c r="G81" s="25">
        <v>6850</v>
      </c>
      <c r="H81" s="25">
        <v>3176</v>
      </c>
      <c r="I81" s="25">
        <v>18</v>
      </c>
    </row>
    <row r="82" spans="1:9" ht="12.75" customHeight="1">
      <c r="A82" s="30" t="s">
        <v>145</v>
      </c>
      <c r="B82" s="20" t="s">
        <v>146</v>
      </c>
      <c r="C82" s="21">
        <v>10002</v>
      </c>
      <c r="D82" s="21">
        <v>6696</v>
      </c>
      <c r="E82" s="21">
        <v>4674</v>
      </c>
      <c r="F82" s="25">
        <v>328</v>
      </c>
      <c r="G82" s="25">
        <v>2198</v>
      </c>
      <c r="H82" s="25">
        <v>2837</v>
      </c>
      <c r="I82" s="25">
        <v>8</v>
      </c>
    </row>
    <row r="83" spans="1:9" ht="12.75" customHeight="1">
      <c r="A83" s="30" t="s">
        <v>147</v>
      </c>
      <c r="B83" s="20" t="s">
        <v>148</v>
      </c>
      <c r="C83" s="21">
        <v>3493</v>
      </c>
      <c r="D83" s="21">
        <v>918</v>
      </c>
      <c r="E83" s="21">
        <v>830</v>
      </c>
      <c r="F83" s="25">
        <v>273</v>
      </c>
      <c r="G83" s="25">
        <v>730</v>
      </c>
      <c r="H83" s="25">
        <v>435</v>
      </c>
      <c r="I83" s="25">
        <v>3</v>
      </c>
    </row>
    <row r="84" spans="1:9" ht="12.75" customHeight="1">
      <c r="A84" s="30" t="s">
        <v>149</v>
      </c>
      <c r="B84" s="20" t="s">
        <v>150</v>
      </c>
      <c r="C84" s="21">
        <v>17287</v>
      </c>
      <c r="D84" s="21">
        <v>9197</v>
      </c>
      <c r="E84" s="21">
        <v>3593</v>
      </c>
      <c r="F84" s="25">
        <v>1335</v>
      </c>
      <c r="G84" s="25">
        <v>6642</v>
      </c>
      <c r="H84" s="25">
        <v>1681</v>
      </c>
      <c r="I84" s="25">
        <v>9</v>
      </c>
    </row>
    <row r="85" spans="1:9" ht="12.75" customHeight="1">
      <c r="A85" s="30" t="s">
        <v>151</v>
      </c>
      <c r="B85" s="20" t="s">
        <v>152</v>
      </c>
      <c r="C85" s="21">
        <v>13145</v>
      </c>
      <c r="D85" s="21">
        <v>6012</v>
      </c>
      <c r="E85" s="21">
        <v>4342</v>
      </c>
      <c r="F85" s="25">
        <v>681</v>
      </c>
      <c r="G85" s="25">
        <v>4744</v>
      </c>
      <c r="H85" s="25">
        <v>1276</v>
      </c>
      <c r="I85" s="25">
        <v>15</v>
      </c>
    </row>
    <row r="86" spans="1:9" ht="12.75" customHeight="1">
      <c r="A86" s="31"/>
      <c r="B86" s="23" t="s">
        <v>153</v>
      </c>
      <c r="C86" s="24">
        <f t="shared" ref="C86:I86" si="9">SUM(C81:C85)</f>
        <v>74835</v>
      </c>
      <c r="D86" s="24">
        <f t="shared" si="9"/>
        <v>42794</v>
      </c>
      <c r="E86" s="24">
        <f t="shared" si="9"/>
        <v>20352</v>
      </c>
      <c r="F86" s="24">
        <f t="shared" si="9"/>
        <v>3325</v>
      </c>
      <c r="G86" s="24">
        <f t="shared" si="9"/>
        <v>21164</v>
      </c>
      <c r="H86" s="24">
        <f t="shared" si="9"/>
        <v>9405</v>
      </c>
      <c r="I86" s="24">
        <f t="shared" si="9"/>
        <v>53</v>
      </c>
    </row>
    <row r="87" spans="1:9" ht="12.75" customHeight="1">
      <c r="A87" s="30" t="s">
        <v>154</v>
      </c>
      <c r="B87" s="20" t="s">
        <v>155</v>
      </c>
      <c r="C87" s="21">
        <v>33706</v>
      </c>
      <c r="D87" s="21">
        <v>14576</v>
      </c>
      <c r="E87" s="21">
        <v>13207</v>
      </c>
      <c r="F87" s="25">
        <v>1656</v>
      </c>
      <c r="G87" s="25">
        <v>13278</v>
      </c>
      <c r="H87" s="25">
        <v>4093</v>
      </c>
      <c r="I87" s="25">
        <v>31</v>
      </c>
    </row>
    <row r="88" spans="1:9" ht="12.75" customHeight="1">
      <c r="A88" s="30" t="s">
        <v>156</v>
      </c>
      <c r="B88" s="20" t="s">
        <v>157</v>
      </c>
      <c r="C88" s="21">
        <v>22628</v>
      </c>
      <c r="D88" s="21">
        <v>8416</v>
      </c>
      <c r="E88" s="21">
        <v>7984</v>
      </c>
      <c r="F88" s="25">
        <v>599</v>
      </c>
      <c r="G88" s="25">
        <v>3565</v>
      </c>
      <c r="H88" s="25">
        <v>1739</v>
      </c>
      <c r="I88" s="25">
        <v>11</v>
      </c>
    </row>
    <row r="89" spans="1:9" ht="12.75" customHeight="1">
      <c r="A89" s="31"/>
      <c r="B89" s="23" t="s">
        <v>158</v>
      </c>
      <c r="C89" s="24">
        <f t="shared" ref="C89:I89" si="10">SUM(C87:C88)</f>
        <v>56334</v>
      </c>
      <c r="D89" s="24">
        <f t="shared" si="10"/>
        <v>22992</v>
      </c>
      <c r="E89" s="24">
        <f t="shared" si="10"/>
        <v>21191</v>
      </c>
      <c r="F89" s="24">
        <f t="shared" si="10"/>
        <v>2255</v>
      </c>
      <c r="G89" s="24">
        <f t="shared" si="10"/>
        <v>16843</v>
      </c>
      <c r="H89" s="24">
        <f t="shared" si="10"/>
        <v>5832</v>
      </c>
      <c r="I89" s="24">
        <f t="shared" si="10"/>
        <v>42</v>
      </c>
    </row>
    <row r="90" spans="1:9" ht="12.75" customHeight="1">
      <c r="A90" s="30" t="s">
        <v>159</v>
      </c>
      <c r="B90" s="20" t="s">
        <v>160</v>
      </c>
      <c r="C90" s="21">
        <v>46906</v>
      </c>
      <c r="D90" s="21">
        <v>18929</v>
      </c>
      <c r="E90" s="21">
        <v>11176</v>
      </c>
      <c r="F90" s="25">
        <v>1599</v>
      </c>
      <c r="G90" s="25">
        <v>14236</v>
      </c>
      <c r="H90" s="25">
        <v>2062</v>
      </c>
      <c r="I90" s="25">
        <v>31</v>
      </c>
    </row>
    <row r="91" spans="1:9" ht="12.75" customHeight="1">
      <c r="A91" s="30" t="s">
        <v>161</v>
      </c>
      <c r="B91" s="20" t="s">
        <v>162</v>
      </c>
      <c r="C91" s="21">
        <v>24758</v>
      </c>
      <c r="D91" s="21">
        <v>7522</v>
      </c>
      <c r="E91" s="21">
        <v>6849</v>
      </c>
      <c r="F91" s="25">
        <v>2370</v>
      </c>
      <c r="G91" s="25">
        <v>8332</v>
      </c>
      <c r="H91" s="25">
        <v>1905</v>
      </c>
      <c r="I91" s="25">
        <v>24</v>
      </c>
    </row>
    <row r="92" spans="1:9" ht="12.75" customHeight="1">
      <c r="A92" s="30" t="s">
        <v>163</v>
      </c>
      <c r="B92" s="20" t="s">
        <v>164</v>
      </c>
      <c r="C92" s="21">
        <v>9739</v>
      </c>
      <c r="D92" s="21">
        <v>3694</v>
      </c>
      <c r="E92" s="21">
        <v>3647</v>
      </c>
      <c r="F92" s="25">
        <v>910</v>
      </c>
      <c r="G92" s="25">
        <v>5101</v>
      </c>
      <c r="H92" s="25">
        <v>160</v>
      </c>
      <c r="I92" s="25">
        <v>5</v>
      </c>
    </row>
    <row r="93" spans="1:9" ht="12.75" customHeight="1">
      <c r="A93" s="30" t="s">
        <v>165</v>
      </c>
      <c r="B93" s="20" t="s">
        <v>166</v>
      </c>
      <c r="C93" s="21">
        <v>357433</v>
      </c>
      <c r="D93" s="21">
        <v>254529</v>
      </c>
      <c r="E93" s="21">
        <v>118879</v>
      </c>
      <c r="F93" s="25">
        <v>5919</v>
      </c>
      <c r="G93" s="25">
        <v>37903</v>
      </c>
      <c r="H93" s="25">
        <v>18668</v>
      </c>
      <c r="I93" s="25">
        <v>199</v>
      </c>
    </row>
    <row r="94" spans="1:9" ht="12.75" customHeight="1">
      <c r="A94" s="30" t="s">
        <v>167</v>
      </c>
      <c r="B94" s="20" t="s">
        <v>168</v>
      </c>
      <c r="C94" s="21">
        <v>21629</v>
      </c>
      <c r="D94" s="21">
        <v>5693</v>
      </c>
      <c r="E94" s="21">
        <v>5057</v>
      </c>
      <c r="F94" s="25">
        <v>1473</v>
      </c>
      <c r="G94" s="25">
        <v>8077</v>
      </c>
      <c r="H94" s="25">
        <v>848</v>
      </c>
      <c r="I94" s="25">
        <v>11</v>
      </c>
    </row>
    <row r="95" spans="1:9" ht="12.75" customHeight="1">
      <c r="A95" s="31"/>
      <c r="B95" s="23" t="s">
        <v>169</v>
      </c>
      <c r="C95" s="24">
        <f t="shared" ref="C95:I95" si="11">SUM(C90:C94)</f>
        <v>460465</v>
      </c>
      <c r="D95" s="24">
        <f t="shared" si="11"/>
        <v>290367</v>
      </c>
      <c r="E95" s="24">
        <f t="shared" si="11"/>
        <v>145608</v>
      </c>
      <c r="F95" s="24">
        <f t="shared" si="11"/>
        <v>12271</v>
      </c>
      <c r="G95" s="24">
        <f t="shared" si="11"/>
        <v>73649</v>
      </c>
      <c r="H95" s="24">
        <f t="shared" si="11"/>
        <v>23643</v>
      </c>
      <c r="I95" s="24">
        <f t="shared" si="11"/>
        <v>270</v>
      </c>
    </row>
    <row r="96" spans="1:9" ht="12.75" customHeight="1">
      <c r="A96" s="30" t="s">
        <v>170</v>
      </c>
      <c r="B96" s="20" t="s">
        <v>171</v>
      </c>
      <c r="C96" s="21">
        <v>5110</v>
      </c>
      <c r="D96" s="21">
        <v>2635</v>
      </c>
      <c r="E96" s="21">
        <v>2477</v>
      </c>
      <c r="F96" s="25">
        <v>215</v>
      </c>
      <c r="G96" s="25">
        <v>2260</v>
      </c>
      <c r="H96" s="25">
        <v>4272</v>
      </c>
      <c r="I96" s="25">
        <v>9</v>
      </c>
    </row>
    <row r="97" spans="1:9" ht="12.75" customHeight="1">
      <c r="A97" s="30" t="s">
        <v>172</v>
      </c>
      <c r="B97" s="20" t="s">
        <v>173</v>
      </c>
      <c r="C97" s="21">
        <v>3582</v>
      </c>
      <c r="D97" s="21">
        <v>886</v>
      </c>
      <c r="E97" s="21">
        <v>534</v>
      </c>
      <c r="F97" s="25">
        <v>120</v>
      </c>
      <c r="G97" s="25">
        <v>1104</v>
      </c>
      <c r="H97" s="25">
        <v>183</v>
      </c>
      <c r="I97" s="25">
        <v>1</v>
      </c>
    </row>
    <row r="98" spans="1:9" ht="12.75" customHeight="1">
      <c r="A98" s="31"/>
      <c r="B98" s="23" t="s">
        <v>174</v>
      </c>
      <c r="C98" s="24">
        <f t="shared" ref="C98:I98" si="12">SUM(C96:C97)</f>
        <v>8692</v>
      </c>
      <c r="D98" s="24">
        <f t="shared" si="12"/>
        <v>3521</v>
      </c>
      <c r="E98" s="24">
        <f t="shared" si="12"/>
        <v>3011</v>
      </c>
      <c r="F98" s="24">
        <f t="shared" si="12"/>
        <v>335</v>
      </c>
      <c r="G98" s="24">
        <f t="shared" si="12"/>
        <v>3364</v>
      </c>
      <c r="H98" s="24">
        <f t="shared" si="12"/>
        <v>4455</v>
      </c>
      <c r="I98" s="24">
        <f t="shared" si="12"/>
        <v>10</v>
      </c>
    </row>
    <row r="99" spans="1:9" ht="12.75" customHeight="1">
      <c r="A99" s="30" t="s">
        <v>175</v>
      </c>
      <c r="B99" s="20" t="s">
        <v>176</v>
      </c>
      <c r="C99" s="21">
        <v>17726</v>
      </c>
      <c r="D99" s="21">
        <v>9446</v>
      </c>
      <c r="E99" s="21">
        <v>3606</v>
      </c>
      <c r="F99" s="25">
        <v>1023</v>
      </c>
      <c r="G99" s="25">
        <v>5640</v>
      </c>
      <c r="H99" s="25">
        <v>2345</v>
      </c>
      <c r="I99" s="25">
        <v>23</v>
      </c>
    </row>
    <row r="100" spans="1:9" ht="12.75" customHeight="1">
      <c r="A100" s="30" t="s">
        <v>177</v>
      </c>
      <c r="B100" s="20" t="s">
        <v>178</v>
      </c>
      <c r="C100" s="21">
        <v>7016</v>
      </c>
      <c r="D100" s="21">
        <v>3847</v>
      </c>
      <c r="E100" s="21">
        <v>2799</v>
      </c>
      <c r="F100" s="25">
        <v>504</v>
      </c>
      <c r="G100" s="25">
        <v>2602</v>
      </c>
      <c r="H100" s="25">
        <v>1168</v>
      </c>
      <c r="I100" s="25">
        <v>16</v>
      </c>
    </row>
    <row r="101" spans="1:9" ht="12.75" customHeight="1">
      <c r="A101" s="30" t="s">
        <v>179</v>
      </c>
      <c r="B101" s="20" t="s">
        <v>180</v>
      </c>
      <c r="C101" s="21">
        <v>19910</v>
      </c>
      <c r="D101" s="21">
        <v>10009</v>
      </c>
      <c r="E101" s="21">
        <v>1886</v>
      </c>
      <c r="F101" s="25">
        <v>1609</v>
      </c>
      <c r="G101" s="25">
        <v>6825</v>
      </c>
      <c r="H101" s="25">
        <v>1618</v>
      </c>
      <c r="I101" s="25">
        <v>8</v>
      </c>
    </row>
    <row r="102" spans="1:9" ht="12.75" customHeight="1">
      <c r="A102" s="30" t="s">
        <v>181</v>
      </c>
      <c r="B102" s="20" t="s">
        <v>182</v>
      </c>
      <c r="C102" s="21">
        <v>10363</v>
      </c>
      <c r="D102" s="21">
        <v>6313</v>
      </c>
      <c r="E102" s="21">
        <v>5120</v>
      </c>
      <c r="F102" s="25">
        <v>572</v>
      </c>
      <c r="G102" s="25">
        <v>3453</v>
      </c>
      <c r="H102" s="25">
        <v>2996</v>
      </c>
      <c r="I102" s="25">
        <v>13</v>
      </c>
    </row>
    <row r="103" spans="1:9" ht="12.75" customHeight="1">
      <c r="A103" s="31"/>
      <c r="B103" s="23" t="s">
        <v>183</v>
      </c>
      <c r="C103" s="24">
        <f t="shared" ref="C103:I103" si="13">SUM(C99:C102)</f>
        <v>55015</v>
      </c>
      <c r="D103" s="24">
        <f t="shared" si="13"/>
        <v>29615</v>
      </c>
      <c r="E103" s="24">
        <f t="shared" si="13"/>
        <v>13411</v>
      </c>
      <c r="F103" s="24">
        <f t="shared" si="13"/>
        <v>3708</v>
      </c>
      <c r="G103" s="24">
        <f t="shared" si="13"/>
        <v>18520</v>
      </c>
      <c r="H103" s="24">
        <f t="shared" si="13"/>
        <v>8127</v>
      </c>
      <c r="I103" s="24">
        <f t="shared" si="13"/>
        <v>60</v>
      </c>
    </row>
    <row r="104" spans="1:9" ht="12.75" customHeight="1">
      <c r="A104" s="30" t="s">
        <v>184</v>
      </c>
      <c r="B104" s="20" t="s">
        <v>185</v>
      </c>
      <c r="C104" s="21">
        <v>13479</v>
      </c>
      <c r="D104" s="21">
        <v>5018</v>
      </c>
      <c r="E104" s="21">
        <v>1179</v>
      </c>
      <c r="F104" s="25">
        <v>590</v>
      </c>
      <c r="G104" s="25">
        <v>2977</v>
      </c>
      <c r="H104" s="25">
        <v>3935</v>
      </c>
      <c r="I104" s="25">
        <v>11</v>
      </c>
    </row>
    <row r="105" spans="1:9" ht="12.75" customHeight="1">
      <c r="A105" s="30" t="s">
        <v>186</v>
      </c>
      <c r="B105" s="20" t="s">
        <v>187</v>
      </c>
      <c r="C105" s="21">
        <v>13780</v>
      </c>
      <c r="D105" s="21">
        <v>3709</v>
      </c>
      <c r="E105" s="21">
        <v>1444</v>
      </c>
      <c r="F105" s="25">
        <v>879</v>
      </c>
      <c r="G105" s="25">
        <v>2971</v>
      </c>
      <c r="H105" s="25">
        <v>929</v>
      </c>
      <c r="I105" s="25">
        <v>8</v>
      </c>
    </row>
    <row r="106" spans="1:9" ht="12.75" customHeight="1">
      <c r="A106" s="30" t="s">
        <v>188</v>
      </c>
      <c r="B106" s="20" t="s">
        <v>189</v>
      </c>
      <c r="C106" s="21">
        <v>74530</v>
      </c>
      <c r="D106" s="21">
        <v>39900</v>
      </c>
      <c r="E106" s="21">
        <v>11794</v>
      </c>
      <c r="F106" s="25">
        <v>2126</v>
      </c>
      <c r="G106" s="25">
        <v>9417</v>
      </c>
      <c r="H106" s="25">
        <v>2785</v>
      </c>
      <c r="I106" s="25">
        <v>24</v>
      </c>
    </row>
    <row r="107" spans="1:9" ht="12.75" customHeight="1">
      <c r="A107" s="30" t="s">
        <v>190</v>
      </c>
      <c r="B107" s="20" t="s">
        <v>191</v>
      </c>
      <c r="C107" s="21">
        <v>209597</v>
      </c>
      <c r="D107" s="21">
        <v>106982</v>
      </c>
      <c r="E107" s="21">
        <v>14543</v>
      </c>
      <c r="F107" s="25">
        <v>14474</v>
      </c>
      <c r="G107" s="25">
        <v>12899</v>
      </c>
      <c r="H107" s="25">
        <v>11742</v>
      </c>
      <c r="I107" s="25">
        <v>42</v>
      </c>
    </row>
    <row r="108" spans="1:9" ht="12.75" customHeight="1">
      <c r="A108" s="30" t="s">
        <v>192</v>
      </c>
      <c r="B108" s="20" t="s">
        <v>193</v>
      </c>
      <c r="C108" s="21">
        <v>69335</v>
      </c>
      <c r="D108" s="21">
        <v>22083</v>
      </c>
      <c r="E108" s="21">
        <v>6490</v>
      </c>
      <c r="F108" s="25">
        <v>5264</v>
      </c>
      <c r="G108" s="25">
        <v>8899</v>
      </c>
      <c r="H108" s="25">
        <v>5207</v>
      </c>
      <c r="I108" s="25">
        <v>26</v>
      </c>
    </row>
    <row r="109" spans="1:9" ht="12.75" customHeight="1">
      <c r="A109" s="31"/>
      <c r="B109" s="23" t="s">
        <v>194</v>
      </c>
      <c r="C109" s="24">
        <f t="shared" ref="C109:I109" si="14">SUM(C104:C108)</f>
        <v>380721</v>
      </c>
      <c r="D109" s="24">
        <f t="shared" si="14"/>
        <v>177692</v>
      </c>
      <c r="E109" s="24">
        <f t="shared" si="14"/>
        <v>35450</v>
      </c>
      <c r="F109" s="24">
        <f t="shared" si="14"/>
        <v>23333</v>
      </c>
      <c r="G109" s="24">
        <f t="shared" si="14"/>
        <v>37163</v>
      </c>
      <c r="H109" s="24">
        <f t="shared" si="14"/>
        <v>24598</v>
      </c>
      <c r="I109" s="24">
        <f t="shared" si="14"/>
        <v>111</v>
      </c>
    </row>
    <row r="110" spans="1:9" ht="12.75" customHeight="1">
      <c r="A110" s="19" t="s">
        <v>195</v>
      </c>
      <c r="B110" s="20" t="s">
        <v>196</v>
      </c>
      <c r="C110" s="21">
        <v>44175</v>
      </c>
      <c r="D110" s="21">
        <v>23861</v>
      </c>
      <c r="E110" s="21">
        <v>15309</v>
      </c>
      <c r="F110" s="25">
        <v>3805</v>
      </c>
      <c r="G110" s="25">
        <v>9101</v>
      </c>
      <c r="H110" s="25">
        <v>5794</v>
      </c>
      <c r="I110" s="25">
        <v>42</v>
      </c>
    </row>
    <row r="111" spans="1:9" ht="12.75" customHeight="1">
      <c r="A111" s="19" t="s">
        <v>197</v>
      </c>
      <c r="B111" s="20" t="s">
        <v>198</v>
      </c>
      <c r="C111" s="21">
        <v>4719</v>
      </c>
      <c r="D111" s="21">
        <v>2695</v>
      </c>
      <c r="E111" s="21">
        <v>2655</v>
      </c>
      <c r="F111" s="25">
        <v>409</v>
      </c>
      <c r="G111" s="25">
        <v>1577</v>
      </c>
      <c r="H111" s="25">
        <v>253</v>
      </c>
      <c r="I111" s="25">
        <v>5</v>
      </c>
    </row>
    <row r="112" spans="1:9" ht="12.75" customHeight="1">
      <c r="A112" s="19" t="s">
        <v>199</v>
      </c>
      <c r="B112" s="20" t="s">
        <v>200</v>
      </c>
      <c r="C112" s="21">
        <v>12074</v>
      </c>
      <c r="D112" s="21">
        <v>5988</v>
      </c>
      <c r="E112" s="21">
        <v>3879</v>
      </c>
      <c r="F112" s="25">
        <v>1885</v>
      </c>
      <c r="G112" s="25">
        <v>2847</v>
      </c>
      <c r="H112" s="25">
        <v>1141</v>
      </c>
      <c r="I112" s="25">
        <v>21</v>
      </c>
    </row>
    <row r="113" spans="1:9" ht="12.75" customHeight="1">
      <c r="A113" s="19" t="s">
        <v>201</v>
      </c>
      <c r="B113" s="20" t="s">
        <v>202</v>
      </c>
      <c r="C113" s="21">
        <v>31492</v>
      </c>
      <c r="D113" s="21">
        <v>14924</v>
      </c>
      <c r="E113" s="21">
        <v>3300</v>
      </c>
      <c r="F113" s="25">
        <v>2710</v>
      </c>
      <c r="G113" s="25">
        <v>6327</v>
      </c>
      <c r="H113" s="25">
        <v>4308</v>
      </c>
      <c r="I113" s="25">
        <v>10</v>
      </c>
    </row>
    <row r="114" spans="1:9" ht="12.75" customHeight="1">
      <c r="A114" s="19" t="s">
        <v>203</v>
      </c>
      <c r="B114" s="20" t="s">
        <v>204</v>
      </c>
      <c r="C114" s="21">
        <v>37609</v>
      </c>
      <c r="D114" s="21">
        <v>18717</v>
      </c>
      <c r="E114" s="21">
        <v>9387</v>
      </c>
      <c r="F114" s="25">
        <v>3409</v>
      </c>
      <c r="G114" s="25">
        <v>3658</v>
      </c>
      <c r="H114" s="25">
        <v>2109</v>
      </c>
      <c r="I114" s="25">
        <v>42</v>
      </c>
    </row>
    <row r="115" spans="1:9" ht="12.75" customHeight="1">
      <c r="A115" s="19" t="s">
        <v>205</v>
      </c>
      <c r="B115" s="20" t="s">
        <v>206</v>
      </c>
      <c r="C115" s="21">
        <v>12965</v>
      </c>
      <c r="D115" s="21">
        <v>8119</v>
      </c>
      <c r="E115" s="21">
        <v>5583</v>
      </c>
      <c r="F115" s="25">
        <v>1913</v>
      </c>
      <c r="G115" s="25">
        <v>2641</v>
      </c>
      <c r="H115" s="25">
        <v>10444</v>
      </c>
      <c r="I115" s="25">
        <v>20</v>
      </c>
    </row>
    <row r="116" spans="1:9" ht="12.75" customHeight="1">
      <c r="A116" s="22"/>
      <c r="B116" s="23" t="s">
        <v>207</v>
      </c>
      <c r="C116" s="24">
        <f t="shared" ref="C116:I116" si="15">SUM(C110:C115)</f>
        <v>143034</v>
      </c>
      <c r="D116" s="24">
        <f t="shared" si="15"/>
        <v>74304</v>
      </c>
      <c r="E116" s="24">
        <f t="shared" si="15"/>
        <v>40113</v>
      </c>
      <c r="F116" s="24">
        <f t="shared" si="15"/>
        <v>14131</v>
      </c>
      <c r="G116" s="24">
        <f t="shared" si="15"/>
        <v>26151</v>
      </c>
      <c r="H116" s="24">
        <f t="shared" si="15"/>
        <v>24049</v>
      </c>
      <c r="I116" s="24">
        <f t="shared" si="15"/>
        <v>140</v>
      </c>
    </row>
    <row r="117" spans="1:9" ht="12.75" customHeight="1">
      <c r="A117" s="19" t="s">
        <v>208</v>
      </c>
      <c r="B117" s="20" t="s">
        <v>209</v>
      </c>
      <c r="C117" s="21">
        <v>3832</v>
      </c>
      <c r="D117" s="21">
        <v>2170</v>
      </c>
      <c r="E117" s="21">
        <v>1330</v>
      </c>
      <c r="F117" s="25">
        <v>215</v>
      </c>
      <c r="G117" s="25">
        <v>1404</v>
      </c>
      <c r="H117" s="25">
        <v>751</v>
      </c>
      <c r="I117" s="25">
        <v>3</v>
      </c>
    </row>
    <row r="118" spans="1:9" ht="12.75" customHeight="1">
      <c r="A118" s="19" t="s">
        <v>210</v>
      </c>
      <c r="B118" s="20" t="s">
        <v>211</v>
      </c>
      <c r="C118" s="32">
        <v>13453</v>
      </c>
      <c r="D118" s="32">
        <v>4382</v>
      </c>
      <c r="E118" s="21">
        <v>3301</v>
      </c>
      <c r="F118" s="25">
        <v>2287</v>
      </c>
      <c r="G118" s="25">
        <v>5127</v>
      </c>
      <c r="H118" s="25">
        <v>1757</v>
      </c>
      <c r="I118" s="25">
        <v>11</v>
      </c>
    </row>
    <row r="119" spans="1:9" ht="12.75" customHeight="1">
      <c r="A119" s="22"/>
      <c r="B119" s="23" t="s">
        <v>212</v>
      </c>
      <c r="C119" s="24">
        <f t="shared" ref="C119:I119" si="16">SUM(C117:C118)</f>
        <v>17285</v>
      </c>
      <c r="D119" s="24">
        <f t="shared" si="16"/>
        <v>6552</v>
      </c>
      <c r="E119" s="24">
        <f t="shared" si="16"/>
        <v>4631</v>
      </c>
      <c r="F119" s="24">
        <f t="shared" si="16"/>
        <v>2502</v>
      </c>
      <c r="G119" s="24">
        <f t="shared" si="16"/>
        <v>6531</v>
      </c>
      <c r="H119" s="24">
        <f t="shared" si="16"/>
        <v>2508</v>
      </c>
      <c r="I119" s="24">
        <f t="shared" si="16"/>
        <v>14</v>
      </c>
    </row>
    <row r="120" spans="1:9" ht="12.75" customHeight="1">
      <c r="A120" s="19" t="s">
        <v>213</v>
      </c>
      <c r="B120" s="20" t="s">
        <v>214</v>
      </c>
      <c r="C120" s="21">
        <v>18627</v>
      </c>
      <c r="D120" s="21">
        <v>5443</v>
      </c>
      <c r="E120" s="21">
        <v>3043</v>
      </c>
      <c r="F120" s="25">
        <v>4344</v>
      </c>
      <c r="G120" s="25">
        <v>5277</v>
      </c>
      <c r="H120" s="25">
        <v>552</v>
      </c>
      <c r="I120" s="25">
        <v>11</v>
      </c>
    </row>
    <row r="121" spans="1:9" ht="12.75" customHeight="1">
      <c r="A121" s="19" t="s">
        <v>215</v>
      </c>
      <c r="B121" s="20" t="s">
        <v>216</v>
      </c>
      <c r="C121" s="21">
        <v>23056</v>
      </c>
      <c r="D121" s="21">
        <v>4857</v>
      </c>
      <c r="E121" s="21">
        <v>3721</v>
      </c>
      <c r="F121" s="25">
        <v>6253</v>
      </c>
      <c r="G121" s="25">
        <v>9403</v>
      </c>
      <c r="H121" s="25">
        <v>1239</v>
      </c>
      <c r="I121" s="25">
        <v>23</v>
      </c>
    </row>
    <row r="122" spans="1:9" ht="12.75" customHeight="1">
      <c r="A122" s="19" t="s">
        <v>217</v>
      </c>
      <c r="B122" s="20" t="s">
        <v>218</v>
      </c>
      <c r="C122" s="21">
        <v>7528</v>
      </c>
      <c r="D122" s="21">
        <v>1823</v>
      </c>
      <c r="E122" s="21">
        <v>602</v>
      </c>
      <c r="F122" s="25">
        <v>1065</v>
      </c>
      <c r="G122" s="25">
        <v>1834</v>
      </c>
      <c r="H122" s="25">
        <v>350</v>
      </c>
      <c r="I122" s="25">
        <v>3</v>
      </c>
    </row>
    <row r="123" spans="1:9" ht="12.75" customHeight="1">
      <c r="A123" s="19" t="s">
        <v>219</v>
      </c>
      <c r="B123" s="20" t="s">
        <v>220</v>
      </c>
      <c r="C123" s="21">
        <v>20296</v>
      </c>
      <c r="D123" s="21">
        <v>5659</v>
      </c>
      <c r="E123" s="21">
        <v>3256</v>
      </c>
      <c r="F123" s="25">
        <v>7444</v>
      </c>
      <c r="G123" s="25">
        <v>6012</v>
      </c>
      <c r="H123" s="25">
        <v>1121</v>
      </c>
      <c r="I123" s="25">
        <v>27</v>
      </c>
    </row>
    <row r="124" spans="1:9" ht="12.75" customHeight="1">
      <c r="A124" s="19" t="s">
        <v>221</v>
      </c>
      <c r="B124" s="20" t="s">
        <v>222</v>
      </c>
      <c r="C124" s="21">
        <v>6881</v>
      </c>
      <c r="D124" s="21">
        <v>863</v>
      </c>
      <c r="E124" s="21">
        <v>618</v>
      </c>
      <c r="F124" s="25">
        <v>660</v>
      </c>
      <c r="G124" s="25">
        <v>2313</v>
      </c>
      <c r="H124" s="25">
        <v>162</v>
      </c>
      <c r="I124" s="25">
        <v>5</v>
      </c>
    </row>
    <row r="125" spans="1:9" ht="12.75" customHeight="1">
      <c r="A125" s="22"/>
      <c r="B125" s="23" t="s">
        <v>223</v>
      </c>
      <c r="C125" s="24">
        <f t="shared" ref="C125:I125" si="17">SUM(C120:C124)</f>
        <v>76388</v>
      </c>
      <c r="D125" s="24">
        <f t="shared" si="17"/>
        <v>18645</v>
      </c>
      <c r="E125" s="24">
        <f t="shared" si="17"/>
        <v>11240</v>
      </c>
      <c r="F125" s="24">
        <f t="shared" si="17"/>
        <v>19766</v>
      </c>
      <c r="G125" s="24">
        <f t="shared" si="17"/>
        <v>24839</v>
      </c>
      <c r="H125" s="24">
        <f t="shared" si="17"/>
        <v>3424</v>
      </c>
      <c r="I125" s="24">
        <f t="shared" si="17"/>
        <v>69</v>
      </c>
    </row>
    <row r="126" spans="1:9" ht="12.75" customHeight="1">
      <c r="A126" s="19" t="s">
        <v>224</v>
      </c>
      <c r="B126" s="20" t="s">
        <v>225</v>
      </c>
      <c r="C126" s="21">
        <v>9363</v>
      </c>
      <c r="D126" s="21">
        <v>938</v>
      </c>
      <c r="E126" s="21">
        <v>211</v>
      </c>
      <c r="F126" s="25">
        <v>5245</v>
      </c>
      <c r="G126" s="25">
        <v>2583</v>
      </c>
      <c r="H126" s="25">
        <v>1032</v>
      </c>
      <c r="I126" s="25">
        <v>14</v>
      </c>
    </row>
    <row r="127" spans="1:9" ht="12.75" customHeight="1">
      <c r="A127" s="19" t="s">
        <v>226</v>
      </c>
      <c r="B127" s="20" t="s">
        <v>227</v>
      </c>
      <c r="C127" s="21">
        <v>3076</v>
      </c>
      <c r="D127" s="21">
        <v>727</v>
      </c>
      <c r="E127" s="21">
        <v>209</v>
      </c>
      <c r="F127" s="25">
        <v>1344</v>
      </c>
      <c r="G127" s="25">
        <v>1005</v>
      </c>
      <c r="H127" s="25">
        <v>434</v>
      </c>
      <c r="I127" s="25">
        <v>8</v>
      </c>
    </row>
    <row r="128" spans="1:9" ht="12.75" customHeight="1">
      <c r="A128" s="19" t="s">
        <v>228</v>
      </c>
      <c r="B128" s="20" t="s">
        <v>229</v>
      </c>
      <c r="C128" s="21">
        <v>49904</v>
      </c>
      <c r="D128" s="21">
        <v>18401</v>
      </c>
      <c r="E128" s="21">
        <v>3086</v>
      </c>
      <c r="F128" s="25">
        <v>24003</v>
      </c>
      <c r="G128" s="25">
        <v>4731</v>
      </c>
      <c r="H128" s="25">
        <v>2015</v>
      </c>
      <c r="I128" s="25">
        <v>22</v>
      </c>
    </row>
    <row r="129" spans="1:9" ht="12.75" customHeight="1">
      <c r="A129" s="19" t="s">
        <v>230</v>
      </c>
      <c r="B129" s="20" t="s">
        <v>231</v>
      </c>
      <c r="C129" s="21">
        <v>26815</v>
      </c>
      <c r="D129" s="21">
        <v>10138</v>
      </c>
      <c r="E129" s="21">
        <v>913</v>
      </c>
      <c r="F129" s="25">
        <v>1346</v>
      </c>
      <c r="G129" s="25">
        <v>569</v>
      </c>
      <c r="H129" s="25">
        <v>415</v>
      </c>
      <c r="I129" s="25">
        <v>2</v>
      </c>
    </row>
    <row r="130" spans="1:9" ht="12.75" customHeight="1">
      <c r="A130" s="19" t="s">
        <v>232</v>
      </c>
      <c r="B130" s="20" t="s">
        <v>233</v>
      </c>
      <c r="C130" s="21">
        <v>19598</v>
      </c>
      <c r="D130" s="21">
        <v>9807</v>
      </c>
      <c r="E130" s="21">
        <v>8059</v>
      </c>
      <c r="F130" s="25">
        <v>5398</v>
      </c>
      <c r="G130" s="25">
        <v>4393</v>
      </c>
      <c r="H130" s="25">
        <v>1344</v>
      </c>
      <c r="I130" s="25">
        <v>31</v>
      </c>
    </row>
    <row r="131" spans="1:9" ht="12.75" customHeight="1">
      <c r="A131" s="19" t="s">
        <v>234</v>
      </c>
      <c r="B131" s="20" t="s">
        <v>235</v>
      </c>
      <c r="C131" s="21">
        <v>55091</v>
      </c>
      <c r="D131" s="21">
        <v>27869</v>
      </c>
      <c r="E131" s="21">
        <v>11360</v>
      </c>
      <c r="F131" s="25">
        <v>20740</v>
      </c>
      <c r="G131" s="25">
        <v>5119</v>
      </c>
      <c r="H131" s="25">
        <v>1389</v>
      </c>
      <c r="I131" s="25">
        <v>27</v>
      </c>
    </row>
    <row r="132" spans="1:9" ht="12.75" customHeight="1">
      <c r="A132" s="19" t="s">
        <v>236</v>
      </c>
      <c r="B132" s="20" t="s">
        <v>237</v>
      </c>
      <c r="C132" s="21">
        <v>23320</v>
      </c>
      <c r="D132" s="21">
        <v>5755</v>
      </c>
      <c r="E132" s="21">
        <v>1326</v>
      </c>
      <c r="F132" s="25">
        <v>13402</v>
      </c>
      <c r="G132" s="25">
        <v>1688</v>
      </c>
      <c r="H132" s="25">
        <v>1461</v>
      </c>
      <c r="I132" s="25">
        <v>8</v>
      </c>
    </row>
    <row r="133" spans="1:9" ht="12.75" customHeight="1">
      <c r="A133" s="19" t="s">
        <v>238</v>
      </c>
      <c r="B133" s="20" t="s">
        <v>239</v>
      </c>
      <c r="C133" s="21">
        <v>14501</v>
      </c>
      <c r="D133" s="21">
        <v>6419</v>
      </c>
      <c r="E133" s="21">
        <v>2963</v>
      </c>
      <c r="F133" s="25">
        <v>5117</v>
      </c>
      <c r="G133" s="25">
        <v>2965</v>
      </c>
      <c r="H133" s="25">
        <v>1242</v>
      </c>
      <c r="I133" s="25">
        <v>11</v>
      </c>
    </row>
    <row r="134" spans="1:9" ht="12.75" customHeight="1">
      <c r="A134" s="19" t="s">
        <v>240</v>
      </c>
      <c r="B134" s="20" t="s">
        <v>241</v>
      </c>
      <c r="C134" s="21">
        <v>12953</v>
      </c>
      <c r="D134" s="21">
        <v>2352</v>
      </c>
      <c r="E134" s="21">
        <v>1669</v>
      </c>
      <c r="F134" s="25">
        <v>7782</v>
      </c>
      <c r="G134" s="25">
        <v>2818</v>
      </c>
      <c r="H134" s="25">
        <v>1088</v>
      </c>
      <c r="I134" s="25">
        <v>11</v>
      </c>
    </row>
    <row r="135" spans="1:9" ht="12.75" customHeight="1">
      <c r="A135" s="26"/>
      <c r="B135" s="23" t="s">
        <v>242</v>
      </c>
      <c r="C135" s="24">
        <f t="shared" ref="C135:I135" si="18">SUM(C126:C134)</f>
        <v>214621</v>
      </c>
      <c r="D135" s="24">
        <f t="shared" si="18"/>
        <v>82406</v>
      </c>
      <c r="E135" s="24">
        <f t="shared" si="18"/>
        <v>29796</v>
      </c>
      <c r="F135" s="24">
        <f t="shared" si="18"/>
        <v>84377</v>
      </c>
      <c r="G135" s="24">
        <f t="shared" si="18"/>
        <v>25871</v>
      </c>
      <c r="H135" s="24">
        <f t="shared" si="18"/>
        <v>10420</v>
      </c>
      <c r="I135" s="24">
        <f t="shared" si="18"/>
        <v>134</v>
      </c>
    </row>
    <row r="136" spans="1:9" ht="12.75" customHeight="1">
      <c r="A136" s="19" t="s">
        <v>243</v>
      </c>
      <c r="B136" s="20" t="s">
        <v>244</v>
      </c>
      <c r="C136" s="21">
        <v>56555</v>
      </c>
      <c r="D136" s="21">
        <v>5978</v>
      </c>
      <c r="E136" s="21">
        <v>3793</v>
      </c>
      <c r="F136" s="25">
        <v>24082</v>
      </c>
      <c r="G136" s="25">
        <v>8438</v>
      </c>
      <c r="H136" s="25">
        <v>4971</v>
      </c>
      <c r="I136" s="25">
        <v>21</v>
      </c>
    </row>
    <row r="137" spans="1:9" ht="12.75" customHeight="1">
      <c r="A137" s="19" t="s">
        <v>245</v>
      </c>
      <c r="B137" s="20" t="s">
        <v>246</v>
      </c>
      <c r="C137" s="21">
        <v>7400</v>
      </c>
      <c r="D137" s="21">
        <v>407</v>
      </c>
      <c r="E137" s="21">
        <v>407</v>
      </c>
      <c r="F137" s="25">
        <v>1494</v>
      </c>
      <c r="G137" s="25">
        <v>5498</v>
      </c>
      <c r="H137" s="25">
        <v>51</v>
      </c>
      <c r="I137" s="25">
        <v>3</v>
      </c>
    </row>
    <row r="138" spans="1:9" ht="12.75" customHeight="1">
      <c r="A138" s="19" t="s">
        <v>247</v>
      </c>
      <c r="B138" s="20" t="s">
        <v>248</v>
      </c>
      <c r="C138" s="21">
        <v>8395</v>
      </c>
      <c r="D138" s="21">
        <v>106</v>
      </c>
      <c r="E138" s="21">
        <v>106</v>
      </c>
      <c r="F138" s="25">
        <v>1893</v>
      </c>
      <c r="G138" s="25">
        <v>6396</v>
      </c>
      <c r="H138" s="25">
        <v>40</v>
      </c>
      <c r="I138" s="25">
        <v>3</v>
      </c>
    </row>
    <row r="139" spans="1:9" ht="12.75" customHeight="1">
      <c r="A139" s="19" t="s">
        <v>249</v>
      </c>
      <c r="B139" s="20" t="s">
        <v>250</v>
      </c>
      <c r="C139" s="21">
        <v>13848</v>
      </c>
      <c r="D139" s="21">
        <v>1152</v>
      </c>
      <c r="E139" s="21">
        <v>501</v>
      </c>
      <c r="F139" s="25">
        <v>3659</v>
      </c>
      <c r="G139" s="25">
        <v>2571</v>
      </c>
      <c r="H139" s="25">
        <v>176</v>
      </c>
      <c r="I139" s="25">
        <v>8</v>
      </c>
    </row>
    <row r="140" spans="1:9" ht="12.75" customHeight="1">
      <c r="A140" s="19" t="s">
        <v>251</v>
      </c>
      <c r="B140" s="20" t="s">
        <v>252</v>
      </c>
      <c r="C140" s="21">
        <v>3666</v>
      </c>
      <c r="D140" s="21">
        <v>0</v>
      </c>
      <c r="E140" s="21">
        <v>0</v>
      </c>
      <c r="F140" s="25">
        <v>1197</v>
      </c>
      <c r="G140" s="25">
        <v>724</v>
      </c>
      <c r="H140" s="25">
        <v>3</v>
      </c>
      <c r="I140" s="25">
        <v>2</v>
      </c>
    </row>
    <row r="141" spans="1:9" ht="12.75" customHeight="1">
      <c r="A141" s="19" t="s">
        <v>253</v>
      </c>
      <c r="B141" s="20" t="s">
        <v>254</v>
      </c>
      <c r="C141" s="21">
        <v>9665</v>
      </c>
      <c r="D141" s="21">
        <v>945</v>
      </c>
      <c r="E141" s="21">
        <v>945</v>
      </c>
      <c r="F141" s="25">
        <v>2912</v>
      </c>
      <c r="G141" s="25">
        <v>5809</v>
      </c>
      <c r="H141" s="25">
        <v>129</v>
      </c>
      <c r="I141" s="25">
        <v>12</v>
      </c>
    </row>
    <row r="142" spans="1:9" ht="12.75" customHeight="1">
      <c r="A142" s="19" t="s">
        <v>255</v>
      </c>
      <c r="B142" s="20" t="s">
        <v>256</v>
      </c>
      <c r="C142" s="21">
        <v>11169</v>
      </c>
      <c r="D142" s="21">
        <v>1412</v>
      </c>
      <c r="E142" s="21">
        <v>195</v>
      </c>
      <c r="F142" s="25">
        <v>2956</v>
      </c>
      <c r="G142" s="25">
        <v>2735</v>
      </c>
      <c r="H142" s="25">
        <v>175</v>
      </c>
      <c r="I142" s="25">
        <v>5</v>
      </c>
    </row>
    <row r="143" spans="1:9" ht="12.75" customHeight="1">
      <c r="A143" s="19" t="s">
        <v>257</v>
      </c>
      <c r="B143" s="20" t="s">
        <v>258</v>
      </c>
      <c r="C143" s="21">
        <v>24628</v>
      </c>
      <c r="D143" s="21">
        <v>4742</v>
      </c>
      <c r="E143" s="21">
        <v>1529</v>
      </c>
      <c r="F143" s="25">
        <v>8906</v>
      </c>
      <c r="G143" s="25">
        <v>6490</v>
      </c>
      <c r="H143" s="25">
        <v>942</v>
      </c>
      <c r="I143" s="25">
        <v>7</v>
      </c>
    </row>
    <row r="144" spans="1:9" ht="14.7" customHeight="1">
      <c r="A144" s="19" t="s">
        <v>259</v>
      </c>
      <c r="B144" s="20" t="s">
        <v>260</v>
      </c>
      <c r="C144" s="21"/>
      <c r="D144" s="21"/>
      <c r="E144" s="21"/>
      <c r="F144" s="25"/>
      <c r="G144" s="25"/>
      <c r="H144" s="25"/>
      <c r="I144" s="25"/>
    </row>
    <row r="145" spans="1:9" ht="14.7" customHeight="1">
      <c r="A145" s="26"/>
      <c r="B145" s="23" t="s">
        <v>261</v>
      </c>
      <c r="C145" s="33">
        <f t="shared" ref="C145:I145" si="19">SUM(C136:C144)</f>
        <v>135326</v>
      </c>
      <c r="D145" s="33">
        <f t="shared" si="19"/>
        <v>14742</v>
      </c>
      <c r="E145" s="33">
        <f t="shared" si="19"/>
        <v>7476</v>
      </c>
      <c r="F145" s="33">
        <f t="shared" si="19"/>
        <v>47099</v>
      </c>
      <c r="G145" s="33">
        <f t="shared" si="19"/>
        <v>38661</v>
      </c>
      <c r="H145" s="33">
        <f t="shared" si="19"/>
        <v>6487</v>
      </c>
      <c r="I145" s="33">
        <f t="shared" si="19"/>
        <v>61</v>
      </c>
    </row>
    <row r="146" spans="1:9" ht="14.7" customHeight="1">
      <c r="A146" s="19" t="s">
        <v>262</v>
      </c>
      <c r="B146" s="34" t="s">
        <v>263</v>
      </c>
      <c r="C146" s="25">
        <f t="shared" ref="C146:I146" si="20">C145+C135+C125+C119+C116+C109+C103+C98+C95+C89+C86+C80+C69+C59+C51+C46+C43+C30+C25+C23</f>
        <v>2995432</v>
      </c>
      <c r="D146" s="25">
        <f t="shared" si="20"/>
        <v>1531213</v>
      </c>
      <c r="E146" s="25">
        <f t="shared" si="20"/>
        <v>714348</v>
      </c>
      <c r="F146" s="25">
        <f t="shared" si="20"/>
        <v>278979</v>
      </c>
      <c r="G146" s="25">
        <f t="shared" si="20"/>
        <v>675362</v>
      </c>
      <c r="H146" s="25">
        <f t="shared" si="20"/>
        <v>365207</v>
      </c>
      <c r="I146" s="25">
        <f t="shared" si="20"/>
        <v>2107</v>
      </c>
    </row>
  </sheetData>
  <sheetProtection selectLockedCells="1" selectUnlockedCells="1"/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51180555555555551" footer="0.51180555555555551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2018-05-23T13:10:06Z</dcterms:modified>
</cp:coreProperties>
</file>