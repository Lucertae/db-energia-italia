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N145" s="1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F144" s="1"/>
  <c r="F145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E145" s="1"/>
  <c r="G144"/>
  <c r="G145" s="1"/>
  <c r="H144"/>
  <c r="H145" s="1"/>
  <c r="I144"/>
  <c r="I145" s="1"/>
  <c r="K144"/>
  <c r="K145" s="1"/>
  <c r="L144"/>
  <c r="L145" s="1"/>
  <c r="M144"/>
  <c r="M145" s="1"/>
  <c r="N144"/>
  <c r="O144"/>
  <c r="O145" s="1"/>
  <c r="N145"/>
  <c r="J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<sst xmlns="http://schemas.openxmlformats.org/spreadsheetml/2006/main" count="544" uniqueCount="271">
  <si>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</si>
  <si>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</si>
  <si>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</si>
  <si>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</si>
  <si>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</si>
  <si>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</si>
  <si>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</si>
  <si>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marzo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</si>
  <si>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</si>
  <si>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</si>
  <si>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</si>
  <si>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</si>
  <si>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</si>
  <si>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</si>
  <si>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</si>
  <si>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</si>
  <si>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</si>
  <si>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</si>
  <si>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</si>
  <si>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</si>
  <si>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</si>
  <si>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</si>
  <si>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</si>
  <si>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</si>
  <si>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</si>
  <si>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</si>
  <si>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</si>
  <si>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</si>
  <si>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</si>
  <si>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</si>
  <si>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</si>
  <si>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</si>
  <si>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</si>
  <si>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</si>
  <si>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</si>
  <si>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</si>
  <si>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</si>
  <si>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</si>
  <si>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</si>
  <si>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</si>
  <si>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</si>
  <si>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</si>
  <si>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</si>
  <si>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</si>
  <si>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</si>
  <si>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</si>
  <si>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</si>
  <si>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</si>
  <si>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</si>
  <si>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</si>
  <si>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</si>
  <si>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</si>
  <si>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</si>
  <si>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</si>
  <si>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</si>
  <si>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</si>
  <si>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</si>
  <si>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</si>
  <si>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</si>
  <si>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</si>
  <si>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</si>
  <si>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</si>
  <si>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</si>
  <si>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</si>
  <si>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</si>
  <si>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</si>
  <si>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</si>
  <si>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</si>
  <si>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</si>
  <si>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</si>
  <si>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</si>
  <si>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</si>
  <si>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</si>
  <si>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</si>
  <si>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</si>
  <si>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</si>
  <si>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</si>
  <si>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</si>
  <si>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</si>
  <si>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</si>
  <si>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</si>
  <si>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</si>
  <si>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</si>
  <si>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</si>
  <si>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</si>
  <si>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</si>
  <si>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</si>
  <si>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</si>
  <si>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</si>
  <si>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</si>
  <si>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</si>
  <si>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</si>
  <si>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</si>
  <si>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</si>
  <si>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</si>
  <si>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</si>
  <si>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</si>
  <si>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</si>
  <si>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</si>
  <si>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</si>
  <si>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</si>
  <si>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</si>
  <si>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</si>
  <si>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</si>
  <si>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</si>
  <si>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</si>
  <si>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</si>
  <si>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</si>
  <si>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</si>
  <si>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</si>
  <si>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</si>
  <si>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</si>
  <si>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</si>
  <si>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</si>
  <si>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</si>
  <si>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</si>
  <si>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</si>
  <si>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</si>
  <si>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</si>
  <si>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</si>
  <si>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</si>
  <si>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</si>
  <si>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</si>
  <si>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</si>
  <si>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</si>
  <si>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</si>
  <si>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</si>
  <si>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</si>
  <si>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</si>
  <si>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</si>
  <si>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</si>
  <si>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</si>
  <si>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</si>
  <si>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</si>
  <si>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</si>
  <si>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</si>
  <si>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</si>
  <si>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</si>
  <si>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</si>
  <si>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</si>
  <si>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</si>
  <si>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</si>
  <si>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</si>
  <si>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</si>
  <si>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</si>
  <si>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</si>
  <si>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</si>
  <si>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</si>
  <si>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</si>
  <si>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</si>
  <si>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</si>
  <si>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</si>
  <si>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</si>
  <si>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</si>
  <si>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</si>
  <si>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</si>
  <si>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</si>
  <si>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</si>
  <si>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</si>
  <si>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</si>
  <si>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</si>
  <si>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</si>
  <si>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</si>
  <si>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</si>
  <si>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</si>
  <si>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</si>
  <si>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</si>
  <si>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</si>
  <si>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</si>
  <si>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</si>
  <si>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</si>
  <si>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</si>
  <si>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</si>
  <si>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</si>
  <si>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</si>
  <si>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</si>
  <si>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</si>
  <si>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</si>
  <si>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</si>
  <si>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</si>
  <si>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</si>
  <si>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</si>
  <si>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</si>
  <si>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</si>
  <si>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</si>
  <si>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</si>
  <si>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</si>
  <si>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</si>
  <si>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</si>
  <si>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</si>
  <si>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</si>
  <si>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</si>
  <si>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</si>
  <si>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</si>
  <si>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</si>
  <si>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</si>
  <si>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</si>
  <si>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</si>
  <si>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</si>
  <si>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</si>
  <si>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</si>
  <si>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</si>
  <si>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</si>
  <si>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</si>
  <si>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</si>
  <si>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</si>
  <si>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</si>
  <si>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</si>
  <si>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</si>
  <si>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</si>
  <si>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</si>
  <si>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</si>
  <si>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</si>
  <si>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</si>
  <si>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</si>
  <si>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</si>
  <si>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</si>
  <si>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</si>
  <si>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</si>
  <si>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</si>
  <si>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</si>
  <si>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</si>
  <si>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</si>
  <si>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</si>
  <si>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</si>
  <si>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</si>
  <si>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</si>
  <si>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</si>
  <si>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</si>
  <si>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</si>
  <si>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</si>
  <si>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</si>
  <si>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</si>
  <si>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</si>
  <si>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</si>
  <si>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</si>
  <si>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</si>
  <si>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</si>
  <si>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</si>
  <si>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</si>
  <si>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</si>
  <si>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</si>
  <si>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</si>
  <si>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</si>
  <si>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</si>
  <si>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</si>
  <si>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</si>
  <si>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</si>
  <si>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</si>
  <si>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</si>
  <si>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</si>
  <si>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</si>
  <si>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</si>
  <si>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</si>
  <si>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</si>
  <si>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</si>
  <si>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</si>
  <si>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</si>
  <si>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</si>
  <si>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</si>
  <si>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</si>
  <si>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</si>
  <si>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</si>
  <si>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</si>
  <si>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</si>
  <si>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</si>
  <si>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</si>
  <si>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</si>
  <si>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</si>
  <si>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</si>
  <si>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gennaio-marzo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</si>
</sst>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4582</v>
      </c>
      <c r="D15" s="28">
        <v>3507</v>
      </c>
      <c r="E15" s="28">
        <v>411</v>
      </c>
      <c r="F15" s="28">
        <f t="shared" ref="F15:F22" si="0">SUM(C15-D15-E15)</f>
        <v>664</v>
      </c>
      <c r="G15" s="28">
        <v>24786</v>
      </c>
      <c r="H15" s="28">
        <v>9856</v>
      </c>
      <c r="I15" s="28">
        <v>2904</v>
      </c>
      <c r="J15" s="28">
        <f t="shared" ref="J15:J22" si="1">SUM(G15-H15-I15)</f>
        <v>12026</v>
      </c>
      <c r="K15" s="28">
        <v>930</v>
      </c>
      <c r="L15" s="28">
        <v>0</v>
      </c>
      <c r="M15" s="28">
        <v>2751</v>
      </c>
      <c r="N15" s="28">
        <v>639</v>
      </c>
      <c r="O15" s="28">
        <v>639</v>
      </c>
    </row>
    <row r="16" spans="1:15" ht="12.75" customHeight="1">
      <c r="A16" s="4" t="s">
        <v>29</v>
      </c>
      <c r="B16" s="5" t="s">
        <v>30</v>
      </c>
      <c r="C16" s="28">
        <v>3442</v>
      </c>
      <c r="D16" s="28">
        <v>1519</v>
      </c>
      <c r="E16" s="28">
        <v>67</v>
      </c>
      <c r="F16" s="28">
        <f t="shared" si="0"/>
        <v>1856</v>
      </c>
      <c r="G16" s="28">
        <v>23866</v>
      </c>
      <c r="H16" s="28">
        <v>3990</v>
      </c>
      <c r="I16" s="28">
        <v>510</v>
      </c>
      <c r="J16" s="28">
        <f t="shared" si="1"/>
        <v>19366</v>
      </c>
      <c r="K16" s="28">
        <v>336</v>
      </c>
      <c r="L16" s="28">
        <v>0</v>
      </c>
      <c r="M16" s="28">
        <v>1730</v>
      </c>
      <c r="N16" s="28">
        <v>28</v>
      </c>
      <c r="O16" s="28">
        <v>28</v>
      </c>
    </row>
    <row r="17" spans="1:15" ht="12.75" customHeight="1">
      <c r="A17" s="4" t="s">
        <v>31</v>
      </c>
      <c r="B17" s="5" t="s">
        <v>32</v>
      </c>
      <c r="C17" s="28">
        <v>2041</v>
      </c>
      <c r="D17" s="28">
        <v>1574</v>
      </c>
      <c r="E17" s="28">
        <v>0</v>
      </c>
      <c r="F17" s="28">
        <f t="shared" si="0"/>
        <v>467</v>
      </c>
      <c r="G17" s="28">
        <v>3959</v>
      </c>
      <c r="H17" s="28">
        <v>2977</v>
      </c>
      <c r="I17" s="28">
        <v>0</v>
      </c>
      <c r="J17" s="28">
        <f t="shared" si="1"/>
        <v>982</v>
      </c>
      <c r="K17" s="28">
        <v>102</v>
      </c>
      <c r="L17" s="28">
        <v>0</v>
      </c>
      <c r="M17" s="28">
        <v>119</v>
      </c>
      <c r="N17" s="28">
        <v>120</v>
      </c>
      <c r="O17" s="28">
        <v>120</v>
      </c>
    </row>
    <row r="18" spans="1:15" ht="12.75" customHeight="1">
      <c r="A18" s="4" t="s">
        <v>33</v>
      </c>
      <c r="B18" s="5" t="s">
        <v>34</v>
      </c>
      <c r="C18" s="28">
        <v>6040</v>
      </c>
      <c r="D18" s="28">
        <v>4023</v>
      </c>
      <c r="E18" s="28">
        <v>87</v>
      </c>
      <c r="F18" s="28">
        <f t="shared" si="0"/>
        <v>1930</v>
      </c>
      <c r="G18" s="28">
        <v>15720</v>
      </c>
      <c r="H18" s="28">
        <v>10945</v>
      </c>
      <c r="I18" s="28">
        <v>407</v>
      </c>
      <c r="J18" s="28">
        <f t="shared" si="1"/>
        <v>4368</v>
      </c>
      <c r="K18" s="28">
        <v>539</v>
      </c>
      <c r="L18" s="28">
        <v>0</v>
      </c>
      <c r="M18" s="28">
        <v>1394</v>
      </c>
      <c r="N18" s="28">
        <v>92</v>
      </c>
      <c r="O18" s="28">
        <v>92</v>
      </c>
    </row>
    <row r="19" spans="1:15" ht="12.75" customHeight="1">
      <c r="A19" s="4" t="s">
        <v>35</v>
      </c>
      <c r="B19" s="5" t="s">
        <v>36</v>
      </c>
      <c r="C19" s="28">
        <v>3659</v>
      </c>
      <c r="D19" s="28">
        <v>3508</v>
      </c>
      <c r="E19" s="28">
        <v>115</v>
      </c>
      <c r="F19" s="28">
        <f t="shared" si="0"/>
        <v>36</v>
      </c>
      <c r="G19" s="28">
        <v>10849</v>
      </c>
      <c r="H19" s="28">
        <v>8628</v>
      </c>
      <c r="I19" s="28">
        <v>734</v>
      </c>
      <c r="J19" s="28">
        <f t="shared" si="1"/>
        <v>1487</v>
      </c>
      <c r="K19" s="28">
        <v>108</v>
      </c>
      <c r="L19" s="28">
        <v>0</v>
      </c>
      <c r="M19" s="28">
        <v>55</v>
      </c>
      <c r="N19" s="28">
        <v>29</v>
      </c>
      <c r="O19" s="28">
        <v>29</v>
      </c>
    </row>
    <row r="20" spans="1:15" ht="12.75" customHeight="1">
      <c r="A20" s="4" t="s">
        <v>37</v>
      </c>
      <c r="B20" s="5" t="s">
        <v>38</v>
      </c>
      <c r="C20" s="28">
        <v>21092</v>
      </c>
      <c r="D20" s="28">
        <v>19035</v>
      </c>
      <c r="E20" s="28">
        <v>525</v>
      </c>
      <c r="F20" s="28">
        <f t="shared" si="0"/>
        <v>1532</v>
      </c>
      <c r="G20" s="28">
        <v>56895</v>
      </c>
      <c r="H20" s="28">
        <v>40980</v>
      </c>
      <c r="I20" s="28">
        <v>2972</v>
      </c>
      <c r="J20" s="28">
        <f t="shared" si="1"/>
        <v>12943</v>
      </c>
      <c r="K20" s="28">
        <v>1730</v>
      </c>
      <c r="L20" s="28">
        <v>0</v>
      </c>
      <c r="M20" s="28">
        <v>2720</v>
      </c>
      <c r="N20" s="28">
        <v>552</v>
      </c>
      <c r="O20" s="28">
        <v>552</v>
      </c>
    </row>
    <row r="21" spans="1:15" ht="12.75" customHeight="1">
      <c r="A21" s="4" t="s">
        <v>39</v>
      </c>
      <c r="B21" s="5" t="s">
        <v>40</v>
      </c>
      <c r="C21" s="28">
        <v>1551</v>
      </c>
      <c r="D21" s="28">
        <v>1538</v>
      </c>
      <c r="E21" s="28">
        <v>0</v>
      </c>
      <c r="F21" s="28">
        <f t="shared" si="0"/>
        <v>13</v>
      </c>
      <c r="G21" s="28">
        <v>2887</v>
      </c>
      <c r="H21" s="28">
        <v>2856</v>
      </c>
      <c r="I21" s="28">
        <v>0</v>
      </c>
      <c r="J21" s="28">
        <f t="shared" si="1"/>
        <v>31</v>
      </c>
      <c r="K21" s="28">
        <v>2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1636</v>
      </c>
      <c r="D22" s="28">
        <v>1337</v>
      </c>
      <c r="E22" s="28">
        <v>154</v>
      </c>
      <c r="F22" s="28">
        <f t="shared" si="0"/>
        <v>145</v>
      </c>
      <c r="G22" s="28">
        <v>4697</v>
      </c>
      <c r="H22" s="28">
        <v>2856</v>
      </c>
      <c r="I22" s="28">
        <v>754</v>
      </c>
      <c r="J22" s="28">
        <f t="shared" si="1"/>
        <v>1087</v>
      </c>
      <c r="K22" s="28">
        <v>243</v>
      </c>
      <c r="L22" s="28">
        <v>0</v>
      </c>
      <c r="M22" s="28">
        <v>1221</v>
      </c>
      <c r="N22" s="28">
        <v>95</v>
      </c>
      <c r="O22" s="28">
        <v>95</v>
      </c>
    </row>
    <row r="23" spans="1:15" ht="12.75" customHeight="1">
      <c r="A23" s="8"/>
      <c r="B23" s="9" t="s">
        <v>43</v>
      </c>
      <c r="C23" s="29">
        <f t="shared" ref="C23:O23" si="2">SUM(C15:C22)</f>
        <v>44043</v>
      </c>
      <c r="D23" s="29">
        <f t="shared" si="2"/>
        <v>36041</v>
      </c>
      <c r="E23" s="29">
        <f t="shared" si="2"/>
        <v>1359</v>
      </c>
      <c r="F23" s="29">
        <f t="shared" si="2"/>
        <v>6643</v>
      </c>
      <c r="G23" s="29">
        <f t="shared" si="2"/>
        <v>143659</v>
      </c>
      <c r="H23" s="29">
        <f t="shared" si="2"/>
        <v>83088</v>
      </c>
      <c r="I23" s="29">
        <f t="shared" si="2"/>
        <v>8281</v>
      </c>
      <c r="J23" s="29">
        <f t="shared" si="2"/>
        <v>52290</v>
      </c>
      <c r="K23" s="29">
        <f t="shared" si="2"/>
        <v>3990</v>
      </c>
      <c r="L23" s="29">
        <f t="shared" si="2"/>
        <v>0</v>
      </c>
      <c r="M23" s="29">
        <f t="shared" si="2"/>
        <v>9990</v>
      </c>
      <c r="N23" s="29">
        <f t="shared" si="2"/>
        <v>1571</v>
      </c>
      <c r="O23" s="29">
        <f t="shared" si="2"/>
        <v>1571</v>
      </c>
    </row>
    <row r="24" spans="1:15" ht="14.25" customHeight="1">
      <c r="A24" s="4" t="s">
        <v>44</v>
      </c>
      <c r="B24" s="5" t="s">
        <v>45</v>
      </c>
      <c r="C24" s="28">
        <v>1820</v>
      </c>
      <c r="D24" s="28">
        <v>1273</v>
      </c>
      <c r="E24" s="28">
        <v>106</v>
      </c>
      <c r="F24" s="28">
        <f>SUM(C24-D24-E24)</f>
        <v>441</v>
      </c>
      <c r="G24" s="28">
        <v>4630</v>
      </c>
      <c r="H24" s="28">
        <v>2351</v>
      </c>
      <c r="I24" s="28">
        <v>458</v>
      </c>
      <c r="J24" s="28">
        <f>SUM(G24-H24-I24)</f>
        <v>1821</v>
      </c>
      <c r="K24" s="28">
        <v>1160</v>
      </c>
      <c r="L24" s="28">
        <v>0</v>
      </c>
      <c r="M24" s="28">
        <v>366</v>
      </c>
      <c r="N24" s="28">
        <v>57</v>
      </c>
      <c r="O24" s="28">
        <v>57</v>
      </c>
    </row>
    <row r="25" spans="1:15" ht="14.25" customHeight="1">
      <c r="A25" s="10"/>
      <c r="B25" s="9" t="s">
        <v>46</v>
      </c>
      <c r="C25" s="29">
        <f t="shared" ref="C25:O25" si="3">SUM(C24)</f>
        <v>1820</v>
      </c>
      <c r="D25" s="29">
        <f t="shared" si="3"/>
        <v>1273</v>
      </c>
      <c r="E25" s="29">
        <f t="shared" si="3"/>
        <v>106</v>
      </c>
      <c r="F25" s="29">
        <f t="shared" si="3"/>
        <v>441</v>
      </c>
      <c r="G25" s="29">
        <f t="shared" si="3"/>
        <v>4630</v>
      </c>
      <c r="H25" s="29">
        <f t="shared" si="3"/>
        <v>2351</v>
      </c>
      <c r="I25" s="29">
        <f t="shared" si="3"/>
        <v>458</v>
      </c>
      <c r="J25" s="29">
        <f t="shared" si="3"/>
        <v>1821</v>
      </c>
      <c r="K25" s="29">
        <f t="shared" si="3"/>
        <v>1160</v>
      </c>
      <c r="L25" s="29">
        <f t="shared" si="3"/>
        <v>0</v>
      </c>
      <c r="M25" s="29">
        <f t="shared" si="3"/>
        <v>366</v>
      </c>
      <c r="N25" s="29">
        <f t="shared" si="3"/>
        <v>57</v>
      </c>
      <c r="O25" s="29">
        <f t="shared" si="3"/>
        <v>57</v>
      </c>
    </row>
    <row r="26" spans="1:15" ht="12.75" customHeight="1">
      <c r="A26" s="4" t="s">
        <v>47</v>
      </c>
      <c r="B26" s="5" t="s">
        <v>48</v>
      </c>
      <c r="C26" s="28">
        <v>15321</v>
      </c>
      <c r="D26" s="28">
        <v>6725</v>
      </c>
      <c r="E26" s="28">
        <v>370</v>
      </c>
      <c r="F26" s="28">
        <f>SUM(C26-D26-E26)</f>
        <v>8226</v>
      </c>
      <c r="G26" s="28">
        <v>37463</v>
      </c>
      <c r="H26" s="28">
        <v>11901</v>
      </c>
      <c r="I26" s="28">
        <v>1477</v>
      </c>
      <c r="J26" s="28">
        <f>SUM(G26-H26-I26)</f>
        <v>24085</v>
      </c>
      <c r="K26" s="28">
        <v>2205</v>
      </c>
      <c r="L26" s="28">
        <v>0</v>
      </c>
      <c r="M26" s="28">
        <v>855</v>
      </c>
      <c r="N26" s="28">
        <v>431</v>
      </c>
      <c r="O26" s="28">
        <v>431</v>
      </c>
    </row>
    <row r="27" spans="1:15" ht="12.75" customHeight="1">
      <c r="A27" s="4" t="s">
        <v>49</v>
      </c>
      <c r="B27" s="5" t="s">
        <v>50</v>
      </c>
      <c r="C27" s="28">
        <v>2462</v>
      </c>
      <c r="D27" s="28">
        <v>2091</v>
      </c>
      <c r="E27" s="28">
        <v>65</v>
      </c>
      <c r="F27" s="28">
        <f>SUM(C27-D27-E27)</f>
        <v>306</v>
      </c>
      <c r="G27" s="28">
        <v>4709</v>
      </c>
      <c r="H27" s="28">
        <v>3284</v>
      </c>
      <c r="I27" s="28">
        <v>301</v>
      </c>
      <c r="J27" s="28">
        <f>SUM(G27-H27-I27)</f>
        <v>1124</v>
      </c>
      <c r="K27" s="28">
        <v>291</v>
      </c>
      <c r="L27" s="28">
        <v>0</v>
      </c>
      <c r="M27" s="28">
        <v>170</v>
      </c>
      <c r="N27" s="28">
        <v>163</v>
      </c>
      <c r="O27" s="28">
        <v>163</v>
      </c>
    </row>
    <row r="28" spans="1:15" ht="12.75" customHeight="1">
      <c r="A28" s="4" t="s">
        <v>51</v>
      </c>
      <c r="B28" s="5" t="s">
        <v>52</v>
      </c>
      <c r="C28" s="28">
        <v>2428</v>
      </c>
      <c r="D28" s="28">
        <v>1569</v>
      </c>
      <c r="E28" s="28">
        <v>175</v>
      </c>
      <c r="F28" s="28">
        <f>SUM(C28-D28-E28)</f>
        <v>684</v>
      </c>
      <c r="G28" s="28">
        <v>6593</v>
      </c>
      <c r="H28" s="28">
        <v>3674</v>
      </c>
      <c r="I28" s="28">
        <v>1026</v>
      </c>
      <c r="J28" s="28">
        <f>SUM(G28-H28-I28)</f>
        <v>1893</v>
      </c>
      <c r="K28" s="28">
        <v>124</v>
      </c>
      <c r="L28" s="28">
        <v>0</v>
      </c>
      <c r="M28" s="28">
        <v>72</v>
      </c>
      <c r="N28" s="28">
        <v>33</v>
      </c>
      <c r="O28" s="28">
        <v>33</v>
      </c>
    </row>
    <row r="29" spans="1:15" ht="12.75" customHeight="1">
      <c r="A29" s="4" t="s">
        <v>53</v>
      </c>
      <c r="B29" s="5" t="s">
        <v>54</v>
      </c>
      <c r="C29" s="28">
        <v>2918</v>
      </c>
      <c r="D29" s="28">
        <v>2545</v>
      </c>
      <c r="E29" s="28">
        <v>258</v>
      </c>
      <c r="F29" s="28">
        <f>SUM(C29-D29-E29)</f>
        <v>115</v>
      </c>
      <c r="G29" s="28">
        <v>7149</v>
      </c>
      <c r="H29" s="28">
        <v>5640</v>
      </c>
      <c r="I29" s="28">
        <v>1205</v>
      </c>
      <c r="J29" s="28">
        <f>SUM(G29-H29-I29)</f>
        <v>304</v>
      </c>
      <c r="K29" s="28">
        <v>8</v>
      </c>
      <c r="L29" s="28">
        <v>0</v>
      </c>
      <c r="M29" s="28">
        <v>30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23129</v>
      </c>
      <c r="D30" s="29">
        <f t="shared" si="4"/>
        <v>12930</v>
      </c>
      <c r="E30" s="29">
        <f t="shared" si="4"/>
        <v>868</v>
      </c>
      <c r="F30" s="29">
        <f t="shared" si="4"/>
        <v>9331</v>
      </c>
      <c r="G30" s="29">
        <f t="shared" si="4"/>
        <v>55914</v>
      </c>
      <c r="H30" s="29">
        <f t="shared" si="4"/>
        <v>24499</v>
      </c>
      <c r="I30" s="29">
        <f t="shared" si="4"/>
        <v>4009</v>
      </c>
      <c r="J30" s="29">
        <f t="shared" si="4"/>
        <v>27406</v>
      </c>
      <c r="K30" s="29">
        <f t="shared" si="4"/>
        <v>2628</v>
      </c>
      <c r="L30" s="29">
        <f t="shared" si="4"/>
        <v>0</v>
      </c>
      <c r="M30" s="29">
        <f t="shared" si="4"/>
        <v>1127</v>
      </c>
      <c r="N30" s="29">
        <f t="shared" si="4"/>
        <v>627</v>
      </c>
      <c r="O30" s="29">
        <f t="shared" si="4"/>
        <v>627</v>
      </c>
    </row>
    <row r="31" spans="1:15" ht="12.75" customHeight="1">
      <c r="A31" s="4" t="s">
        <v>56</v>
      </c>
      <c r="B31" s="5" t="s">
        <v>57</v>
      </c>
      <c r="C31" s="28">
        <v>10777</v>
      </c>
      <c r="D31" s="28">
        <v>8653</v>
      </c>
      <c r="E31" s="28">
        <v>156</v>
      </c>
      <c r="F31" s="28">
        <f t="shared" ref="F31:F42" si="5">SUM(C31-D31-E31)</f>
        <v>1968</v>
      </c>
      <c r="G31" s="28">
        <v>32832</v>
      </c>
      <c r="H31" s="28">
        <v>18222</v>
      </c>
      <c r="I31" s="28">
        <v>881</v>
      </c>
      <c r="J31" s="28">
        <f t="shared" ref="J31:J42" si="6">SUM(G31-H31-I31)</f>
        <v>13729</v>
      </c>
      <c r="K31" s="28">
        <v>476</v>
      </c>
      <c r="L31" s="28">
        <v>0</v>
      </c>
      <c r="M31" s="28">
        <v>834</v>
      </c>
      <c r="N31" s="28">
        <v>146</v>
      </c>
      <c r="O31" s="28">
        <v>146</v>
      </c>
    </row>
    <row r="32" spans="1:15" ht="12.75" customHeight="1">
      <c r="A32" s="4" t="s">
        <v>58</v>
      </c>
      <c r="B32" s="5" t="s">
        <v>59</v>
      </c>
      <c r="C32" s="28">
        <v>11950</v>
      </c>
      <c r="D32" s="28">
        <v>10552</v>
      </c>
      <c r="E32" s="28">
        <v>388</v>
      </c>
      <c r="F32" s="28">
        <f t="shared" si="5"/>
        <v>1010</v>
      </c>
      <c r="G32" s="28">
        <v>49977</v>
      </c>
      <c r="H32" s="28">
        <v>27507</v>
      </c>
      <c r="I32" s="28">
        <v>2518</v>
      </c>
      <c r="J32" s="28">
        <f t="shared" si="6"/>
        <v>19952</v>
      </c>
      <c r="K32" s="28">
        <v>1435</v>
      </c>
      <c r="L32" s="28">
        <v>0</v>
      </c>
      <c r="M32" s="28">
        <v>9941</v>
      </c>
      <c r="N32" s="28">
        <v>306</v>
      </c>
      <c r="O32" s="28">
        <v>306</v>
      </c>
    </row>
    <row r="33" spans="1:256" ht="12.75" customHeight="1">
      <c r="A33" s="4" t="s">
        <v>60</v>
      </c>
      <c r="B33" s="5" t="s">
        <v>61</v>
      </c>
      <c r="C33" s="28">
        <v>7606</v>
      </c>
      <c r="D33" s="28">
        <v>5809</v>
      </c>
      <c r="E33" s="28">
        <v>129</v>
      </c>
      <c r="F33" s="28">
        <f t="shared" si="5"/>
        <v>1668</v>
      </c>
      <c r="G33" s="28">
        <v>26654</v>
      </c>
      <c r="H33" s="28">
        <v>7768</v>
      </c>
      <c r="I33" s="28">
        <v>434</v>
      </c>
      <c r="J33" s="28">
        <f t="shared" si="6"/>
        <v>18452</v>
      </c>
      <c r="K33" s="28">
        <v>1716</v>
      </c>
      <c r="L33" s="28">
        <v>31</v>
      </c>
      <c r="M33" s="28">
        <v>2298</v>
      </c>
      <c r="N33" s="28">
        <v>234</v>
      </c>
      <c r="O33" s="28">
        <v>234</v>
      </c>
    </row>
    <row r="34" spans="1:256" ht="12.75" customHeight="1">
      <c r="A34" s="4" t="s">
        <v>62</v>
      </c>
      <c r="B34" s="5" t="s">
        <v>63</v>
      </c>
      <c r="C34" s="28">
        <v>7229</v>
      </c>
      <c r="D34" s="28">
        <v>2589</v>
      </c>
      <c r="E34" s="28">
        <v>31</v>
      </c>
      <c r="F34" s="28">
        <f t="shared" si="5"/>
        <v>4609</v>
      </c>
      <c r="G34" s="28">
        <v>29213</v>
      </c>
      <c r="H34" s="28">
        <v>6935</v>
      </c>
      <c r="I34" s="28">
        <v>180</v>
      </c>
      <c r="J34" s="28">
        <f t="shared" si="6"/>
        <v>22098</v>
      </c>
      <c r="K34" s="28">
        <v>195</v>
      </c>
      <c r="L34" s="28">
        <v>18</v>
      </c>
      <c r="M34" s="28">
        <v>3858</v>
      </c>
      <c r="N34" s="28">
        <v>28</v>
      </c>
      <c r="O34" s="28">
        <v>28</v>
      </c>
    </row>
    <row r="35" spans="1:256" ht="12.75" customHeight="1">
      <c r="A35" s="4" t="s">
        <v>64</v>
      </c>
      <c r="B35" s="5" t="s">
        <v>65</v>
      </c>
      <c r="C35" s="28">
        <v>3454</v>
      </c>
      <c r="D35" s="28">
        <v>3346</v>
      </c>
      <c r="E35" s="28">
        <v>0</v>
      </c>
      <c r="F35" s="28">
        <f t="shared" si="5"/>
        <v>108</v>
      </c>
      <c r="G35" s="28">
        <v>6346</v>
      </c>
      <c r="H35" s="28">
        <v>5723</v>
      </c>
      <c r="I35" s="28">
        <v>0</v>
      </c>
      <c r="J35" s="28">
        <f t="shared" si="6"/>
        <v>623</v>
      </c>
      <c r="K35" s="28">
        <v>126</v>
      </c>
      <c r="L35" s="28">
        <v>0</v>
      </c>
      <c r="M35" s="28">
        <v>47</v>
      </c>
      <c r="N35" s="28">
        <v>295</v>
      </c>
      <c r="O35" s="28">
        <v>295</v>
      </c>
    </row>
    <row r="36" spans="1:256" ht="12.75" customHeight="1">
      <c r="A36" s="4" t="s">
        <v>66</v>
      </c>
      <c r="B36" s="5" t="s">
        <v>67</v>
      </c>
      <c r="C36" s="28">
        <v>2008</v>
      </c>
      <c r="D36" s="28">
        <v>1697</v>
      </c>
      <c r="E36" s="28">
        <v>119</v>
      </c>
      <c r="F36" s="28">
        <f t="shared" si="5"/>
        <v>192</v>
      </c>
      <c r="G36" s="28">
        <v>6007</v>
      </c>
      <c r="H36" s="28">
        <v>4326</v>
      </c>
      <c r="I36" s="28">
        <v>843</v>
      </c>
      <c r="J36" s="28">
        <f t="shared" si="6"/>
        <v>838</v>
      </c>
      <c r="K36" s="28">
        <v>51</v>
      </c>
      <c r="L36" s="28">
        <v>0</v>
      </c>
      <c r="M36" s="28">
        <v>447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3307</v>
      </c>
      <c r="D37" s="28">
        <v>2838</v>
      </c>
      <c r="E37" s="28">
        <v>40</v>
      </c>
      <c r="F37" s="28">
        <f t="shared" si="5"/>
        <v>429</v>
      </c>
      <c r="G37" s="28">
        <v>11753</v>
      </c>
      <c r="H37" s="28">
        <v>7992</v>
      </c>
      <c r="I37" s="28">
        <v>212</v>
      </c>
      <c r="J37" s="28">
        <f t="shared" si="6"/>
        <v>3549</v>
      </c>
      <c r="K37" s="28">
        <v>74</v>
      </c>
      <c r="L37" s="28">
        <v>0</v>
      </c>
      <c r="M37" s="28">
        <v>836</v>
      </c>
      <c r="N37" s="28">
        <v>389</v>
      </c>
      <c r="O37" s="28">
        <v>389</v>
      </c>
    </row>
    <row r="38" spans="1:256" ht="12.75" customHeight="1">
      <c r="A38" s="4" t="s">
        <v>70</v>
      </c>
      <c r="B38" s="5" t="s">
        <v>71</v>
      </c>
      <c r="C38" s="28">
        <v>46971</v>
      </c>
      <c r="D38" s="28">
        <v>38799</v>
      </c>
      <c r="E38" s="28">
        <v>1274</v>
      </c>
      <c r="F38" s="28">
        <f t="shared" si="5"/>
        <v>6898</v>
      </c>
      <c r="G38" s="28">
        <v>113700</v>
      </c>
      <c r="H38" s="28">
        <v>69333</v>
      </c>
      <c r="I38" s="28">
        <v>5445</v>
      </c>
      <c r="J38" s="28">
        <f t="shared" si="6"/>
        <v>38922</v>
      </c>
      <c r="K38" s="28">
        <v>5206</v>
      </c>
      <c r="L38" s="28">
        <v>0</v>
      </c>
      <c r="M38" s="28">
        <v>4584</v>
      </c>
      <c r="N38" s="28">
        <v>35351</v>
      </c>
      <c r="O38" s="28">
        <v>5362</v>
      </c>
    </row>
    <row r="39" spans="1:256" ht="12.75" customHeight="1">
      <c r="A39" s="4" t="s">
        <v>72</v>
      </c>
      <c r="B39" s="5" t="s">
        <v>73</v>
      </c>
      <c r="C39" s="28">
        <v>7259</v>
      </c>
      <c r="D39" s="28">
        <v>6616</v>
      </c>
      <c r="E39" s="28">
        <v>203</v>
      </c>
      <c r="F39" s="28">
        <f t="shared" si="5"/>
        <v>440</v>
      </c>
      <c r="G39" s="28">
        <v>13908</v>
      </c>
      <c r="H39" s="28">
        <v>11110</v>
      </c>
      <c r="I39" s="28">
        <v>1239</v>
      </c>
      <c r="J39" s="28">
        <f t="shared" si="6"/>
        <v>1559</v>
      </c>
      <c r="K39" s="28">
        <v>298</v>
      </c>
      <c r="L39" s="28">
        <v>0</v>
      </c>
      <c r="M39" s="28">
        <v>33</v>
      </c>
      <c r="N39" s="28">
        <v>28</v>
      </c>
      <c r="O39" s="28">
        <v>28</v>
      </c>
    </row>
    <row r="40" spans="1:256" ht="12.75" customHeight="1">
      <c r="A40" s="4" t="s">
        <v>74</v>
      </c>
      <c r="B40" s="5" t="s">
        <v>75</v>
      </c>
      <c r="C40" s="28">
        <v>5114</v>
      </c>
      <c r="D40" s="28">
        <v>4414</v>
      </c>
      <c r="E40" s="28">
        <v>151</v>
      </c>
      <c r="F40" s="28">
        <f t="shared" si="5"/>
        <v>549</v>
      </c>
      <c r="G40" s="28">
        <v>14637</v>
      </c>
      <c r="H40" s="28">
        <v>9461</v>
      </c>
      <c r="I40" s="28">
        <v>941</v>
      </c>
      <c r="J40" s="28">
        <f t="shared" si="6"/>
        <v>4235</v>
      </c>
      <c r="K40" s="28">
        <v>283</v>
      </c>
      <c r="L40" s="28">
        <v>0</v>
      </c>
      <c r="M40" s="28">
        <v>4317</v>
      </c>
      <c r="N40" s="28">
        <v>74</v>
      </c>
      <c r="O40" s="28">
        <v>74</v>
      </c>
    </row>
    <row r="41" spans="1:256" ht="12.75" customHeight="1">
      <c r="A41" s="4" t="s">
        <v>76</v>
      </c>
      <c r="B41" s="5" t="s">
        <v>77</v>
      </c>
      <c r="C41" s="28">
        <v>1573</v>
      </c>
      <c r="D41" s="28">
        <v>1292</v>
      </c>
      <c r="E41" s="28">
        <v>0</v>
      </c>
      <c r="F41" s="28">
        <f t="shared" si="5"/>
        <v>281</v>
      </c>
      <c r="G41" s="28">
        <v>6325</v>
      </c>
      <c r="H41" s="28">
        <v>3934</v>
      </c>
      <c r="I41" s="28">
        <v>0</v>
      </c>
      <c r="J41" s="28">
        <f t="shared" si="6"/>
        <v>2391</v>
      </c>
      <c r="K41" s="28">
        <v>624</v>
      </c>
      <c r="L41" s="28">
        <v>0</v>
      </c>
      <c r="M41" s="28">
        <v>197</v>
      </c>
      <c r="N41" s="28">
        <v>532</v>
      </c>
      <c r="O41" s="28">
        <v>532</v>
      </c>
    </row>
    <row r="42" spans="1:256" ht="12.75" customHeight="1">
      <c r="A42" s="4" t="s">
        <v>78</v>
      </c>
      <c r="B42" s="5" t="s">
        <v>79</v>
      </c>
      <c r="C42" s="28">
        <v>11709</v>
      </c>
      <c r="D42" s="28">
        <v>9738</v>
      </c>
      <c r="E42" s="28">
        <v>235</v>
      </c>
      <c r="F42" s="28">
        <f t="shared" si="5"/>
        <v>1736</v>
      </c>
      <c r="G42" s="28">
        <v>19979</v>
      </c>
      <c r="H42" s="28">
        <v>15844</v>
      </c>
      <c r="I42" s="28">
        <v>640</v>
      </c>
      <c r="J42" s="28">
        <f t="shared" si="6"/>
        <v>3495</v>
      </c>
      <c r="K42" s="28">
        <v>471</v>
      </c>
      <c r="L42" s="28">
        <v>0</v>
      </c>
      <c r="M42" s="28">
        <v>73</v>
      </c>
      <c r="N42" s="28">
        <v>87</v>
      </c>
      <c r="O42" s="28">
        <v>87</v>
      </c>
    </row>
    <row r="43" spans="1:256" ht="12.75" customHeight="1">
      <c r="A43" s="8"/>
      <c r="B43" s="9" t="s">
        <v>80</v>
      </c>
      <c r="C43" s="29">
        <f t="shared" ref="C43:O43" si="7">SUM(C31:C42)</f>
        <v>118957</v>
      </c>
      <c r="D43" s="29">
        <f t="shared" si="7"/>
        <v>96343</v>
      </c>
      <c r="E43" s="29">
        <f t="shared" si="7"/>
        <v>2726</v>
      </c>
      <c r="F43" s="29">
        <f t="shared" si="7"/>
        <v>19888</v>
      </c>
      <c r="G43" s="29">
        <f t="shared" si="7"/>
        <v>331331</v>
      </c>
      <c r="H43" s="29">
        <f t="shared" si="7"/>
        <v>188155</v>
      </c>
      <c r="I43" s="29">
        <f t="shared" si="7"/>
        <v>13333</v>
      </c>
      <c r="J43" s="29">
        <f t="shared" si="7"/>
        <v>129843</v>
      </c>
      <c r="K43" s="29">
        <f t="shared" si="7"/>
        <v>10955</v>
      </c>
      <c r="L43" s="29">
        <f t="shared" si="7"/>
        <v>49</v>
      </c>
      <c r="M43" s="29">
        <f t="shared" si="7"/>
        <v>27465</v>
      </c>
      <c r="N43" s="29">
        <f t="shared" si="7"/>
        <v>37470</v>
      </c>
      <c r="O43" s="29">
        <f t="shared" si="7"/>
        <v>7481</v>
      </c>
    </row>
    <row r="44" spans="1:256" ht="12.75" customHeight="1">
      <c r="A44" s="4" t="s">
        <v>81</v>
      </c>
      <c r="B44" s="5" t="s">
        <v>82</v>
      </c>
      <c r="C44" s="28">
        <v>3758</v>
      </c>
      <c r="D44" s="28">
        <v>3239</v>
      </c>
      <c r="E44" s="28">
        <v>64</v>
      </c>
      <c r="F44" s="28">
        <f>SUM(C44-D44-E44)</f>
        <v>455</v>
      </c>
      <c r="G44" s="28">
        <v>15792</v>
      </c>
      <c r="H44" s="28">
        <v>8894</v>
      </c>
      <c r="I44" s="28">
        <v>467</v>
      </c>
      <c r="J44" s="28">
        <f>SUM(G44-H44-I44)</f>
        <v>6431</v>
      </c>
      <c r="K44" s="28">
        <v>910</v>
      </c>
      <c r="L44" s="28">
        <v>0</v>
      </c>
      <c r="M44" s="28">
        <v>1222</v>
      </c>
      <c r="N44" s="28">
        <v>227</v>
      </c>
      <c r="O44" s="28">
        <v>227</v>
      </c>
    </row>
    <row r="45" spans="1:256" ht="12.75" customHeight="1">
      <c r="A45" s="4" t="s">
        <v>83</v>
      </c>
      <c r="B45" s="5" t="s">
        <v>84</v>
      </c>
      <c r="C45" s="28">
        <v>5446</v>
      </c>
      <c r="D45" s="28">
        <v>4118</v>
      </c>
      <c r="E45" s="28">
        <v>123</v>
      </c>
      <c r="F45" s="28">
        <f>SUM(C45-D45-E45)</f>
        <v>1205</v>
      </c>
      <c r="G45" s="28">
        <v>26758</v>
      </c>
      <c r="H45" s="28">
        <v>10413</v>
      </c>
      <c r="I45" s="28">
        <v>805</v>
      </c>
      <c r="J45" s="28">
        <f>SUM(G45-H45-I45)</f>
        <v>15540</v>
      </c>
      <c r="K45" s="28">
        <v>5397</v>
      </c>
      <c r="L45" s="28">
        <v>0</v>
      </c>
      <c r="M45" s="28">
        <v>4910</v>
      </c>
      <c r="N45" s="28">
        <v>29</v>
      </c>
      <c r="O45" s="28">
        <v>29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9204</v>
      </c>
      <c r="D46" s="29">
        <f t="shared" si="8"/>
        <v>7357</v>
      </c>
      <c r="E46" s="29">
        <f t="shared" si="8"/>
        <v>187</v>
      </c>
      <c r="F46" s="29">
        <f t="shared" si="8"/>
        <v>1660</v>
      </c>
      <c r="G46" s="29">
        <f t="shared" si="8"/>
        <v>42550</v>
      </c>
      <c r="H46" s="29">
        <f t="shared" si="8"/>
        <v>19307</v>
      </c>
      <c r="I46" s="29">
        <f t="shared" si="8"/>
        <v>1272</v>
      </c>
      <c r="J46" s="29">
        <f t="shared" si="8"/>
        <v>21971</v>
      </c>
      <c r="K46" s="29">
        <f t="shared" si="8"/>
        <v>6307</v>
      </c>
      <c r="L46" s="29">
        <f t="shared" si="8"/>
        <v>0</v>
      </c>
      <c r="M46" s="29">
        <f t="shared" si="8"/>
        <v>6132</v>
      </c>
      <c r="N46" s="29">
        <f t="shared" si="8"/>
        <v>256</v>
      </c>
      <c r="O46" s="29">
        <f t="shared" si="8"/>
        <v>256</v>
      </c>
    </row>
    <row r="47" spans="1:256" ht="12.75" customHeight="1">
      <c r="A47" s="4" t="s">
        <v>86</v>
      </c>
      <c r="B47" s="5" t="s">
        <v>87</v>
      </c>
      <c r="C47" s="28">
        <v>1031</v>
      </c>
      <c r="D47" s="28">
        <v>920</v>
      </c>
      <c r="E47" s="28">
        <v>0</v>
      </c>
      <c r="F47" s="28">
        <f>SUM(C47-D47-E47)</f>
        <v>111</v>
      </c>
      <c r="G47" s="28">
        <v>1052</v>
      </c>
      <c r="H47" s="28">
        <v>842</v>
      </c>
      <c r="I47" s="28">
        <v>0</v>
      </c>
      <c r="J47" s="28">
        <f>SUM(G47-H47-I47)</f>
        <v>210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3126</v>
      </c>
      <c r="D48" s="28">
        <v>2473</v>
      </c>
      <c r="E48" s="28">
        <v>21</v>
      </c>
      <c r="F48" s="28">
        <f>SUM(C48-D48-E48)</f>
        <v>632</v>
      </c>
      <c r="G48" s="28">
        <v>5935</v>
      </c>
      <c r="H48" s="28">
        <v>4573</v>
      </c>
      <c r="I48" s="28">
        <v>71</v>
      </c>
      <c r="J48" s="28">
        <f>SUM(G48-H48-I48)</f>
        <v>1291</v>
      </c>
      <c r="K48" s="28">
        <v>1</v>
      </c>
      <c r="L48" s="28">
        <v>0</v>
      </c>
      <c r="M48" s="28">
        <v>244</v>
      </c>
      <c r="N48" s="28">
        <v>56</v>
      </c>
      <c r="O48" s="28">
        <v>56</v>
      </c>
    </row>
    <row r="49" spans="1:15" ht="12.75" customHeight="1">
      <c r="A49" s="4" t="s">
        <v>90</v>
      </c>
      <c r="B49" s="5" t="s">
        <v>91</v>
      </c>
      <c r="C49" s="28">
        <v>1045</v>
      </c>
      <c r="D49" s="28">
        <v>963</v>
      </c>
      <c r="E49" s="28">
        <v>51</v>
      </c>
      <c r="F49" s="28">
        <f>SUM(C49-D49-E49)</f>
        <v>31</v>
      </c>
      <c r="G49" s="28">
        <v>1566</v>
      </c>
      <c r="H49" s="28">
        <v>1112</v>
      </c>
      <c r="I49" s="28">
        <v>152</v>
      </c>
      <c r="J49" s="28">
        <f>SUM(G49-H49-I49)</f>
        <v>302</v>
      </c>
      <c r="K49" s="28">
        <v>1878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9851</v>
      </c>
      <c r="D50" s="28">
        <v>9508</v>
      </c>
      <c r="E50" s="28">
        <v>76</v>
      </c>
      <c r="F50" s="28">
        <f>SUM(C50-D50-E50)</f>
        <v>267</v>
      </c>
      <c r="G50" s="28">
        <v>21521</v>
      </c>
      <c r="H50" s="28">
        <v>15850</v>
      </c>
      <c r="I50" s="28">
        <v>444</v>
      </c>
      <c r="J50" s="28">
        <f>SUM(G50-H50-I50)</f>
        <v>5227</v>
      </c>
      <c r="K50" s="28">
        <v>1957</v>
      </c>
      <c r="L50" s="28">
        <v>0</v>
      </c>
      <c r="M50" s="28">
        <v>1532</v>
      </c>
      <c r="N50" s="28">
        <v>452</v>
      </c>
      <c r="O50" s="28">
        <v>452</v>
      </c>
    </row>
    <row r="51" spans="1:15" ht="12.75" customHeight="1">
      <c r="A51" s="8"/>
      <c r="B51" s="9" t="s">
        <v>94</v>
      </c>
      <c r="C51" s="29">
        <f t="shared" ref="C51:O51" si="9">SUM(C47:C50)</f>
        <v>15053</v>
      </c>
      <c r="D51" s="29">
        <f t="shared" si="9"/>
        <v>13864</v>
      </c>
      <c r="E51" s="29">
        <f t="shared" si="9"/>
        <v>148</v>
      </c>
      <c r="F51" s="29">
        <f t="shared" si="9"/>
        <v>1041</v>
      </c>
      <c r="G51" s="29">
        <f t="shared" si="9"/>
        <v>30074</v>
      </c>
      <c r="H51" s="29">
        <f t="shared" si="9"/>
        <v>22377</v>
      </c>
      <c r="I51" s="29">
        <f t="shared" si="9"/>
        <v>667</v>
      </c>
      <c r="J51" s="29">
        <f t="shared" si="9"/>
        <v>7030</v>
      </c>
      <c r="K51" s="29">
        <f t="shared" si="9"/>
        <v>3836</v>
      </c>
      <c r="L51" s="29">
        <f t="shared" si="9"/>
        <v>0</v>
      </c>
      <c r="M51" s="29">
        <f t="shared" si="9"/>
        <v>1776</v>
      </c>
      <c r="N51" s="29">
        <f t="shared" si="9"/>
        <v>508</v>
      </c>
      <c r="O51" s="29">
        <f t="shared" si="9"/>
        <v>508</v>
      </c>
    </row>
    <row r="52" spans="1:15" ht="12.75" customHeight="1">
      <c r="A52" s="4" t="s">
        <v>95</v>
      </c>
      <c r="B52" s="5" t="s">
        <v>96</v>
      </c>
      <c r="C52" s="28">
        <v>1648</v>
      </c>
      <c r="D52" s="28">
        <v>1192</v>
      </c>
      <c r="E52" s="28">
        <v>22</v>
      </c>
      <c r="F52" s="28">
        <f t="shared" ref="F52:F58" si="10">SUM(C52-D52-E52)</f>
        <v>434</v>
      </c>
      <c r="G52" s="28">
        <v>5822</v>
      </c>
      <c r="H52" s="28">
        <v>3103</v>
      </c>
      <c r="I52" s="28">
        <v>72</v>
      </c>
      <c r="J52" s="28">
        <f t="shared" ref="J52:J58" si="11">SUM(G52-H52-I52)</f>
        <v>2647</v>
      </c>
      <c r="K52" s="28">
        <v>1474</v>
      </c>
      <c r="L52" s="28">
        <v>0</v>
      </c>
      <c r="M52" s="28">
        <v>86</v>
      </c>
      <c r="N52" s="28">
        <v>88</v>
      </c>
      <c r="O52" s="28">
        <v>88</v>
      </c>
    </row>
    <row r="53" spans="1:15" ht="12.75" customHeight="1">
      <c r="A53" s="4" t="s">
        <v>97</v>
      </c>
      <c r="B53" s="5" t="s">
        <v>98</v>
      </c>
      <c r="C53" s="28">
        <v>9653</v>
      </c>
      <c r="D53" s="28">
        <v>6886</v>
      </c>
      <c r="E53" s="28">
        <v>122</v>
      </c>
      <c r="F53" s="28">
        <f t="shared" si="10"/>
        <v>2645</v>
      </c>
      <c r="G53" s="28">
        <v>31892</v>
      </c>
      <c r="H53" s="28">
        <v>18842</v>
      </c>
      <c r="I53" s="28">
        <v>919</v>
      </c>
      <c r="J53" s="28">
        <f t="shared" si="11"/>
        <v>12131</v>
      </c>
      <c r="K53" s="28">
        <v>1101</v>
      </c>
      <c r="L53" s="28">
        <v>0</v>
      </c>
      <c r="M53" s="28">
        <v>1388</v>
      </c>
      <c r="N53" s="28">
        <v>568</v>
      </c>
      <c r="O53" s="28">
        <v>568</v>
      </c>
    </row>
    <row r="54" spans="1:15" ht="12.75" customHeight="1">
      <c r="A54" s="4" t="s">
        <v>99</v>
      </c>
      <c r="B54" s="5" t="s">
        <v>100</v>
      </c>
      <c r="C54" s="28">
        <v>1685</v>
      </c>
      <c r="D54" s="28">
        <v>885</v>
      </c>
      <c r="E54" s="28">
        <v>36</v>
      </c>
      <c r="F54" s="28">
        <f t="shared" si="10"/>
        <v>764</v>
      </c>
      <c r="G54" s="28">
        <v>5692</v>
      </c>
      <c r="H54" s="28">
        <v>2989</v>
      </c>
      <c r="I54" s="28">
        <v>354</v>
      </c>
      <c r="J54" s="28">
        <f t="shared" si="11"/>
        <v>2349</v>
      </c>
      <c r="K54" s="28">
        <v>96</v>
      </c>
      <c r="L54" s="28">
        <v>0</v>
      </c>
      <c r="M54" s="28">
        <v>754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6934</v>
      </c>
      <c r="D55" s="28">
        <v>4691</v>
      </c>
      <c r="E55" s="28">
        <v>94</v>
      </c>
      <c r="F55" s="28">
        <f t="shared" si="10"/>
        <v>2149</v>
      </c>
      <c r="G55" s="28">
        <v>25799</v>
      </c>
      <c r="H55" s="28">
        <v>12064</v>
      </c>
      <c r="I55" s="28">
        <v>444</v>
      </c>
      <c r="J55" s="28">
        <f t="shared" si="11"/>
        <v>13291</v>
      </c>
      <c r="K55" s="28">
        <v>2471</v>
      </c>
      <c r="L55" s="28">
        <v>0</v>
      </c>
      <c r="M55" s="28">
        <v>2055</v>
      </c>
      <c r="N55" s="28">
        <v>2080</v>
      </c>
      <c r="O55" s="28">
        <v>2080</v>
      </c>
    </row>
    <row r="56" spans="1:15" ht="12.75" customHeight="1">
      <c r="A56" s="4" t="s">
        <v>103</v>
      </c>
      <c r="B56" s="5" t="s">
        <v>104</v>
      </c>
      <c r="C56" s="28">
        <v>7377</v>
      </c>
      <c r="D56" s="28">
        <v>3999</v>
      </c>
      <c r="E56" s="28">
        <v>330</v>
      </c>
      <c r="F56" s="28">
        <f t="shared" si="10"/>
        <v>3048</v>
      </c>
      <c r="G56" s="28">
        <v>30022</v>
      </c>
      <c r="H56" s="28">
        <v>9959</v>
      </c>
      <c r="I56" s="28">
        <v>2093</v>
      </c>
      <c r="J56" s="28">
        <f t="shared" si="11"/>
        <v>17970</v>
      </c>
      <c r="K56" s="28">
        <v>814</v>
      </c>
      <c r="L56" s="28">
        <v>10</v>
      </c>
      <c r="M56" s="28">
        <v>3656</v>
      </c>
      <c r="N56" s="28">
        <v>4652</v>
      </c>
      <c r="O56" s="28">
        <v>702</v>
      </c>
    </row>
    <row r="57" spans="1:15" ht="12.75" customHeight="1">
      <c r="A57" s="4" t="s">
        <v>105</v>
      </c>
      <c r="B57" s="5" t="s">
        <v>106</v>
      </c>
      <c r="C57" s="28">
        <v>8463</v>
      </c>
      <c r="D57" s="28">
        <v>4681</v>
      </c>
      <c r="E57" s="28">
        <v>326</v>
      </c>
      <c r="F57" s="28">
        <f t="shared" si="10"/>
        <v>3456</v>
      </c>
      <c r="G57" s="28">
        <v>35472</v>
      </c>
      <c r="H57" s="28">
        <v>15300</v>
      </c>
      <c r="I57" s="28">
        <v>1934</v>
      </c>
      <c r="J57" s="28">
        <f t="shared" si="11"/>
        <v>18238</v>
      </c>
      <c r="K57" s="28">
        <v>360</v>
      </c>
      <c r="L57" s="28">
        <v>0</v>
      </c>
      <c r="M57" s="28">
        <v>3266</v>
      </c>
      <c r="N57" s="28">
        <v>56</v>
      </c>
      <c r="O57" s="28">
        <v>56</v>
      </c>
    </row>
    <row r="58" spans="1:15" ht="12.75" customHeight="1">
      <c r="A58" s="4" t="s">
        <v>107</v>
      </c>
      <c r="B58" s="5" t="s">
        <v>108</v>
      </c>
      <c r="C58" s="28">
        <v>9047</v>
      </c>
      <c r="D58" s="28">
        <v>5281</v>
      </c>
      <c r="E58" s="28">
        <v>107</v>
      </c>
      <c r="F58" s="28">
        <f t="shared" si="10"/>
        <v>3659</v>
      </c>
      <c r="G58" s="28">
        <v>32736</v>
      </c>
      <c r="H58" s="28">
        <v>13306</v>
      </c>
      <c r="I58" s="28">
        <v>712</v>
      </c>
      <c r="J58" s="28">
        <f t="shared" si="11"/>
        <v>18718</v>
      </c>
      <c r="K58" s="28">
        <v>1114</v>
      </c>
      <c r="L58" s="28">
        <v>24</v>
      </c>
      <c r="M58" s="28">
        <v>2252</v>
      </c>
      <c r="N58" s="28">
        <v>2737</v>
      </c>
      <c r="O58" s="28">
        <v>2737</v>
      </c>
    </row>
    <row r="59" spans="1:15" ht="12.75" customHeight="1">
      <c r="A59" s="8"/>
      <c r="B59" s="9" t="s">
        <v>109</v>
      </c>
      <c r="C59" s="29">
        <f t="shared" ref="C59:O59" si="12">SUM(C52:C58)</f>
        <v>44807</v>
      </c>
      <c r="D59" s="29">
        <f t="shared" si="12"/>
        <v>27615</v>
      </c>
      <c r="E59" s="29">
        <f t="shared" si="12"/>
        <v>1037</v>
      </c>
      <c r="F59" s="29">
        <f t="shared" si="12"/>
        <v>16155</v>
      </c>
      <c r="G59" s="29">
        <f t="shared" si="12"/>
        <v>167435</v>
      </c>
      <c r="H59" s="29">
        <f t="shared" si="12"/>
        <v>75563</v>
      </c>
      <c r="I59" s="29">
        <f t="shared" si="12"/>
        <v>6528</v>
      </c>
      <c r="J59" s="29">
        <f t="shared" si="12"/>
        <v>85344</v>
      </c>
      <c r="K59" s="29">
        <f t="shared" si="12"/>
        <v>7430</v>
      </c>
      <c r="L59" s="29">
        <f t="shared" si="12"/>
        <v>34</v>
      </c>
      <c r="M59" s="29">
        <f t="shared" si="12"/>
        <v>13457</v>
      </c>
      <c r="N59" s="29">
        <f t="shared" si="12"/>
        <v>10181</v>
      </c>
      <c r="O59" s="29">
        <f t="shared" si="12"/>
        <v>6231</v>
      </c>
    </row>
    <row r="60" spans="1:15" ht="12.75" customHeight="1">
      <c r="A60" s="4" t="s">
        <v>110</v>
      </c>
      <c r="B60" s="5" t="s">
        <v>111</v>
      </c>
      <c r="C60" s="28">
        <v>9929</v>
      </c>
      <c r="D60" s="28">
        <v>7345</v>
      </c>
      <c r="E60" s="28">
        <v>501</v>
      </c>
      <c r="F60" s="28">
        <f t="shared" ref="F60:F68" si="13">SUM(C60-D60-E60)</f>
        <v>2083</v>
      </c>
      <c r="G60" s="28">
        <v>32021</v>
      </c>
      <c r="H60" s="28">
        <v>18725</v>
      </c>
      <c r="I60" s="28">
        <v>3730</v>
      </c>
      <c r="J60" s="28">
        <f t="shared" ref="J60:J68" si="14">SUM(G60-H60-I60)</f>
        <v>9566</v>
      </c>
      <c r="K60" s="28">
        <v>282</v>
      </c>
      <c r="L60" s="28">
        <v>0</v>
      </c>
      <c r="M60" s="28">
        <v>1150</v>
      </c>
      <c r="N60" s="28">
        <v>229</v>
      </c>
      <c r="O60" s="28">
        <v>229</v>
      </c>
    </row>
    <row r="61" spans="1:15" ht="12.75" customHeight="1">
      <c r="A61" s="4" t="s">
        <v>112</v>
      </c>
      <c r="B61" s="5" t="s">
        <v>113</v>
      </c>
      <c r="C61" s="28">
        <v>2874</v>
      </c>
      <c r="D61" s="28">
        <v>1949</v>
      </c>
      <c r="E61" s="28">
        <v>48</v>
      </c>
      <c r="F61" s="28">
        <f t="shared" si="13"/>
        <v>877</v>
      </c>
      <c r="G61" s="28">
        <v>8440</v>
      </c>
      <c r="H61" s="28">
        <v>5169</v>
      </c>
      <c r="I61" s="28">
        <v>266</v>
      </c>
      <c r="J61" s="28">
        <f t="shared" si="14"/>
        <v>3005</v>
      </c>
      <c r="K61" s="28">
        <v>2</v>
      </c>
      <c r="L61" s="28">
        <v>0</v>
      </c>
      <c r="M61" s="28">
        <v>1413</v>
      </c>
      <c r="N61" s="28">
        <v>29</v>
      </c>
      <c r="O61" s="28">
        <v>29</v>
      </c>
    </row>
    <row r="62" spans="1:15" ht="12.75" customHeight="1">
      <c r="A62" s="4" t="s">
        <v>114</v>
      </c>
      <c r="B62" s="5" t="s">
        <v>115</v>
      </c>
      <c r="C62" s="28">
        <v>4803</v>
      </c>
      <c r="D62" s="28">
        <v>2426</v>
      </c>
      <c r="E62" s="28">
        <v>126</v>
      </c>
      <c r="F62" s="28">
        <f t="shared" si="13"/>
        <v>2251</v>
      </c>
      <c r="G62" s="28">
        <v>23220</v>
      </c>
      <c r="H62" s="28">
        <v>7000</v>
      </c>
      <c r="I62" s="28">
        <v>1054</v>
      </c>
      <c r="J62" s="28">
        <f t="shared" si="14"/>
        <v>15166</v>
      </c>
      <c r="K62" s="28">
        <v>313</v>
      </c>
      <c r="L62" s="28">
        <v>46</v>
      </c>
      <c r="M62" s="28">
        <v>2295</v>
      </c>
      <c r="N62" s="28">
        <v>325</v>
      </c>
      <c r="O62" s="28">
        <v>325</v>
      </c>
    </row>
    <row r="63" spans="1:15" ht="12.75" customHeight="1">
      <c r="A63" s="4" t="s">
        <v>116</v>
      </c>
      <c r="B63" s="5" t="s">
        <v>117</v>
      </c>
      <c r="C63" s="28">
        <v>6666</v>
      </c>
      <c r="D63" s="28">
        <v>4150</v>
      </c>
      <c r="E63" s="28">
        <v>294</v>
      </c>
      <c r="F63" s="28">
        <f t="shared" si="13"/>
        <v>2222</v>
      </c>
      <c r="G63" s="28">
        <v>23045</v>
      </c>
      <c r="H63" s="28">
        <v>12760</v>
      </c>
      <c r="I63" s="28">
        <v>2549</v>
      </c>
      <c r="J63" s="28">
        <f t="shared" si="14"/>
        <v>7736</v>
      </c>
      <c r="K63" s="28">
        <v>62</v>
      </c>
      <c r="L63" s="28">
        <v>0</v>
      </c>
      <c r="M63" s="28">
        <v>867</v>
      </c>
      <c r="N63" s="28">
        <v>79</v>
      </c>
      <c r="O63" s="28">
        <v>79</v>
      </c>
    </row>
    <row r="64" spans="1:15" ht="12.75" customHeight="1">
      <c r="A64" s="4" t="s">
        <v>118</v>
      </c>
      <c r="B64" s="5" t="s">
        <v>119</v>
      </c>
      <c r="C64" s="28">
        <v>6423</v>
      </c>
      <c r="D64" s="28">
        <v>3146</v>
      </c>
      <c r="E64" s="28">
        <v>234</v>
      </c>
      <c r="F64" s="28">
        <f t="shared" si="13"/>
        <v>3043</v>
      </c>
      <c r="G64" s="28">
        <v>24940</v>
      </c>
      <c r="H64" s="28">
        <v>9863</v>
      </c>
      <c r="I64" s="28">
        <v>1953</v>
      </c>
      <c r="J64" s="28">
        <f t="shared" si="14"/>
        <v>13124</v>
      </c>
      <c r="K64" s="28">
        <v>56</v>
      </c>
      <c r="L64" s="28">
        <v>8</v>
      </c>
      <c r="M64" s="28">
        <v>836</v>
      </c>
      <c r="N64" s="28">
        <v>168</v>
      </c>
      <c r="O64" s="28">
        <v>168</v>
      </c>
    </row>
    <row r="65" spans="1:15" ht="12.75" customHeight="1">
      <c r="A65" s="4" t="s">
        <v>120</v>
      </c>
      <c r="B65" s="5" t="s">
        <v>121</v>
      </c>
      <c r="C65" s="28">
        <v>3037</v>
      </c>
      <c r="D65" s="28">
        <v>2085</v>
      </c>
      <c r="E65" s="28">
        <v>249</v>
      </c>
      <c r="F65" s="28">
        <f t="shared" si="13"/>
        <v>703</v>
      </c>
      <c r="G65" s="28">
        <v>17722</v>
      </c>
      <c r="H65" s="28">
        <v>6364</v>
      </c>
      <c r="I65" s="28">
        <v>1687</v>
      </c>
      <c r="J65" s="28">
        <f t="shared" si="14"/>
        <v>9671</v>
      </c>
      <c r="K65" s="28">
        <v>725</v>
      </c>
      <c r="L65" s="28">
        <v>0</v>
      </c>
      <c r="M65" s="28">
        <v>2011</v>
      </c>
      <c r="N65" s="28">
        <v>183</v>
      </c>
      <c r="O65" s="28">
        <v>183</v>
      </c>
    </row>
    <row r="66" spans="1:15" ht="12.75" customHeight="1">
      <c r="A66" s="4" t="s">
        <v>122</v>
      </c>
      <c r="B66" s="5" t="s">
        <v>123</v>
      </c>
      <c r="C66" s="28">
        <v>6325</v>
      </c>
      <c r="D66" s="28">
        <v>2164</v>
      </c>
      <c r="E66" s="28">
        <v>73</v>
      </c>
      <c r="F66" s="28">
        <f t="shared" si="13"/>
        <v>4088</v>
      </c>
      <c r="G66" s="28">
        <v>31063</v>
      </c>
      <c r="H66" s="28">
        <v>6630</v>
      </c>
      <c r="I66" s="28">
        <v>525</v>
      </c>
      <c r="J66" s="28">
        <f t="shared" si="14"/>
        <v>23908</v>
      </c>
      <c r="K66" s="28">
        <v>1877</v>
      </c>
      <c r="L66" s="28">
        <v>30</v>
      </c>
      <c r="M66" s="28">
        <v>6544</v>
      </c>
      <c r="N66" s="28">
        <v>57</v>
      </c>
      <c r="O66" s="28">
        <v>57</v>
      </c>
    </row>
    <row r="67" spans="1:15" ht="12.75" customHeight="1">
      <c r="A67" s="4" t="s">
        <v>124</v>
      </c>
      <c r="B67" s="5" t="s">
        <v>125</v>
      </c>
      <c r="C67" s="28">
        <v>8206</v>
      </c>
      <c r="D67" s="28">
        <v>2374</v>
      </c>
      <c r="E67" s="28">
        <v>0</v>
      </c>
      <c r="F67" s="28">
        <f t="shared" si="13"/>
        <v>5832</v>
      </c>
      <c r="G67" s="28">
        <v>36617</v>
      </c>
      <c r="H67" s="28">
        <v>6772</v>
      </c>
      <c r="I67" s="28">
        <v>0</v>
      </c>
      <c r="J67" s="28">
        <f t="shared" si="14"/>
        <v>29845</v>
      </c>
      <c r="K67" s="28">
        <v>1170</v>
      </c>
      <c r="L67" s="28">
        <v>0</v>
      </c>
      <c r="M67" s="28">
        <v>7194</v>
      </c>
      <c r="N67" s="28">
        <v>189</v>
      </c>
      <c r="O67" s="28">
        <v>189</v>
      </c>
    </row>
    <row r="68" spans="1:15" ht="12.75" customHeight="1">
      <c r="A68" s="4" t="s">
        <v>126</v>
      </c>
      <c r="B68" s="5" t="s">
        <v>127</v>
      </c>
      <c r="C68" s="28">
        <v>7351</v>
      </c>
      <c r="D68" s="28">
        <v>2837</v>
      </c>
      <c r="E68" s="28">
        <v>49</v>
      </c>
      <c r="F68" s="28">
        <f t="shared" si="13"/>
        <v>4465</v>
      </c>
      <c r="G68" s="28">
        <v>15402</v>
      </c>
      <c r="H68" s="28">
        <v>6773</v>
      </c>
      <c r="I68" s="28">
        <v>628</v>
      </c>
      <c r="J68" s="28">
        <f t="shared" si="14"/>
        <v>8001</v>
      </c>
      <c r="K68" s="28">
        <v>67</v>
      </c>
      <c r="L68" s="28">
        <v>17</v>
      </c>
      <c r="M68" s="28">
        <v>378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55614</v>
      </c>
      <c r="D69" s="29">
        <f t="shared" si="15"/>
        <v>28476</v>
      </c>
      <c r="E69" s="29">
        <f t="shared" si="15"/>
        <v>1574</v>
      </c>
      <c r="F69" s="29">
        <f t="shared" si="15"/>
        <v>25564</v>
      </c>
      <c r="G69" s="29">
        <f t="shared" si="15"/>
        <v>212470</v>
      </c>
      <c r="H69" s="29">
        <f t="shared" si="15"/>
        <v>80056</v>
      </c>
      <c r="I69" s="29">
        <f t="shared" si="15"/>
        <v>12392</v>
      </c>
      <c r="J69" s="29">
        <f t="shared" si="15"/>
        <v>120022</v>
      </c>
      <c r="K69" s="29">
        <f t="shared" si="15"/>
        <v>4554</v>
      </c>
      <c r="L69" s="29">
        <f t="shared" si="15"/>
        <v>101</v>
      </c>
      <c r="M69" s="29">
        <f t="shared" si="15"/>
        <v>22688</v>
      </c>
      <c r="N69" s="29">
        <f t="shared" si="15"/>
        <v>1259</v>
      </c>
      <c r="O69" s="29">
        <f t="shared" si="15"/>
        <v>1259</v>
      </c>
    </row>
    <row r="70" spans="1:15" ht="12.75" customHeight="1">
      <c r="A70" s="4" t="s">
        <v>129</v>
      </c>
      <c r="B70" s="5" t="s">
        <v>130</v>
      </c>
      <c r="C70" s="28">
        <v>3474</v>
      </c>
      <c r="D70" s="28">
        <v>2637</v>
      </c>
      <c r="E70" s="28">
        <v>170</v>
      </c>
      <c r="F70" s="28">
        <f t="shared" ref="F70:F79" si="16">SUM(C70-D70-E70)</f>
        <v>667</v>
      </c>
      <c r="G70" s="28">
        <v>12560</v>
      </c>
      <c r="H70" s="28">
        <v>7182</v>
      </c>
      <c r="I70" s="28">
        <v>1663</v>
      </c>
      <c r="J70" s="28">
        <f t="shared" ref="J70:J79" si="17">SUM(G70-H70-I70)</f>
        <v>3715</v>
      </c>
      <c r="K70" s="28">
        <v>314</v>
      </c>
      <c r="L70" s="28">
        <v>0</v>
      </c>
      <c r="M70" s="28">
        <v>1000</v>
      </c>
      <c r="N70" s="28">
        <v>65</v>
      </c>
      <c r="O70" s="28">
        <v>65</v>
      </c>
    </row>
    <row r="71" spans="1:15" ht="12.75" customHeight="1">
      <c r="A71" s="4" t="s">
        <v>131</v>
      </c>
      <c r="B71" s="5" t="s">
        <v>132</v>
      </c>
      <c r="C71" s="28">
        <v>13636</v>
      </c>
      <c r="D71" s="28">
        <v>8940</v>
      </c>
      <c r="E71" s="28">
        <v>344</v>
      </c>
      <c r="F71" s="28">
        <f t="shared" si="16"/>
        <v>4352</v>
      </c>
      <c r="G71" s="28">
        <v>33507</v>
      </c>
      <c r="H71" s="28">
        <v>16314</v>
      </c>
      <c r="I71" s="28">
        <v>2164</v>
      </c>
      <c r="J71" s="28">
        <f t="shared" si="17"/>
        <v>15029</v>
      </c>
      <c r="K71" s="28">
        <v>1382</v>
      </c>
      <c r="L71" s="28">
        <v>0</v>
      </c>
      <c r="M71" s="28">
        <v>1059</v>
      </c>
      <c r="N71" s="28">
        <v>2763</v>
      </c>
      <c r="O71" s="28">
        <v>2763</v>
      </c>
    </row>
    <row r="72" spans="1:15" ht="12.75" customHeight="1">
      <c r="A72" s="4" t="s">
        <v>133</v>
      </c>
      <c r="B72" s="5" t="s">
        <v>134</v>
      </c>
      <c r="C72" s="28">
        <v>2414</v>
      </c>
      <c r="D72" s="28">
        <v>1661</v>
      </c>
      <c r="E72" s="28">
        <v>0</v>
      </c>
      <c r="F72" s="28">
        <f t="shared" si="16"/>
        <v>753</v>
      </c>
      <c r="G72" s="28">
        <v>7873</v>
      </c>
      <c r="H72" s="28">
        <v>4621</v>
      </c>
      <c r="I72" s="28">
        <v>0</v>
      </c>
      <c r="J72" s="28">
        <f t="shared" si="17"/>
        <v>3252</v>
      </c>
      <c r="K72" s="28">
        <v>616</v>
      </c>
      <c r="L72" s="28">
        <v>47</v>
      </c>
      <c r="M72" s="28">
        <v>1556</v>
      </c>
      <c r="N72" s="28">
        <v>56</v>
      </c>
      <c r="O72" s="28">
        <v>56</v>
      </c>
    </row>
    <row r="73" spans="1:15" ht="12.75" customHeight="1">
      <c r="A73" s="4" t="s">
        <v>135</v>
      </c>
      <c r="B73" s="5" t="s">
        <v>136</v>
      </c>
      <c r="C73" s="28">
        <v>5611</v>
      </c>
      <c r="D73" s="28">
        <v>4160</v>
      </c>
      <c r="E73" s="28">
        <v>15</v>
      </c>
      <c r="F73" s="28">
        <f t="shared" si="16"/>
        <v>1436</v>
      </c>
      <c r="G73" s="28">
        <v>16632</v>
      </c>
      <c r="H73" s="28">
        <v>10133</v>
      </c>
      <c r="I73" s="28">
        <v>93</v>
      </c>
      <c r="J73" s="28">
        <f t="shared" si="17"/>
        <v>6406</v>
      </c>
      <c r="K73" s="28">
        <v>801</v>
      </c>
      <c r="L73" s="28">
        <v>0</v>
      </c>
      <c r="M73" s="28">
        <v>688</v>
      </c>
      <c r="N73" s="28">
        <v>4599</v>
      </c>
      <c r="O73" s="28">
        <v>4599</v>
      </c>
    </row>
    <row r="74" spans="1:15" ht="12.75" customHeight="1">
      <c r="A74" s="4" t="s">
        <v>137</v>
      </c>
      <c r="B74" s="5" t="s">
        <v>138</v>
      </c>
      <c r="C74" s="28">
        <v>5037</v>
      </c>
      <c r="D74" s="28">
        <v>3768</v>
      </c>
      <c r="E74" s="28">
        <v>113</v>
      </c>
      <c r="F74" s="28">
        <f t="shared" si="16"/>
        <v>1156</v>
      </c>
      <c r="G74" s="28">
        <v>11901</v>
      </c>
      <c r="H74" s="28">
        <v>7176</v>
      </c>
      <c r="I74" s="28">
        <v>658</v>
      </c>
      <c r="J74" s="28">
        <f t="shared" si="17"/>
        <v>4067</v>
      </c>
      <c r="K74" s="28">
        <v>502</v>
      </c>
      <c r="L74" s="28">
        <v>0</v>
      </c>
      <c r="M74" s="28">
        <v>233</v>
      </c>
      <c r="N74" s="28">
        <v>345</v>
      </c>
      <c r="O74" s="28">
        <v>345</v>
      </c>
    </row>
    <row r="75" spans="1:15" ht="12.75" customHeight="1">
      <c r="A75" s="4" t="s">
        <v>139</v>
      </c>
      <c r="B75" s="5" t="s">
        <v>140</v>
      </c>
      <c r="C75" s="28">
        <v>2336</v>
      </c>
      <c r="D75" s="28">
        <v>2173</v>
      </c>
      <c r="E75" s="28">
        <v>25</v>
      </c>
      <c r="F75" s="28">
        <f t="shared" si="16"/>
        <v>138</v>
      </c>
      <c r="G75" s="28">
        <v>4886</v>
      </c>
      <c r="H75" s="28">
        <v>3990</v>
      </c>
      <c r="I75" s="28">
        <v>320</v>
      </c>
      <c r="J75" s="28">
        <f t="shared" si="17"/>
        <v>576</v>
      </c>
      <c r="K75" s="28">
        <v>74</v>
      </c>
      <c r="L75" s="28">
        <v>0</v>
      </c>
      <c r="M75" s="28">
        <v>26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4937</v>
      </c>
      <c r="D76" s="28">
        <v>3541</v>
      </c>
      <c r="E76" s="28">
        <v>35</v>
      </c>
      <c r="F76" s="28">
        <f t="shared" si="16"/>
        <v>1361</v>
      </c>
      <c r="G76" s="28">
        <v>14193</v>
      </c>
      <c r="H76" s="28">
        <v>8519</v>
      </c>
      <c r="I76" s="28">
        <v>284</v>
      </c>
      <c r="J76" s="28">
        <f t="shared" si="17"/>
        <v>5390</v>
      </c>
      <c r="K76" s="28">
        <v>287</v>
      </c>
      <c r="L76" s="28">
        <v>107</v>
      </c>
      <c r="M76" s="28">
        <v>731</v>
      </c>
      <c r="N76" s="28">
        <v>148</v>
      </c>
      <c r="O76" s="28">
        <v>148</v>
      </c>
    </row>
    <row r="77" spans="1:15" ht="12.75" customHeight="1">
      <c r="A77" s="4" t="s">
        <v>143</v>
      </c>
      <c r="B77" s="5" t="s">
        <v>144</v>
      </c>
      <c r="C77" s="28">
        <v>4100</v>
      </c>
      <c r="D77" s="28">
        <v>2486</v>
      </c>
      <c r="E77" s="28">
        <v>34</v>
      </c>
      <c r="F77" s="28">
        <f t="shared" si="16"/>
        <v>1580</v>
      </c>
      <c r="G77" s="28">
        <v>10001</v>
      </c>
      <c r="H77" s="28">
        <v>5390</v>
      </c>
      <c r="I77" s="28">
        <v>214</v>
      </c>
      <c r="J77" s="28">
        <f t="shared" si="17"/>
        <v>4397</v>
      </c>
      <c r="K77" s="28">
        <v>575</v>
      </c>
      <c r="L77" s="28">
        <v>0</v>
      </c>
      <c r="M77" s="28">
        <v>540</v>
      </c>
      <c r="N77" s="28">
        <v>91</v>
      </c>
      <c r="O77" s="28">
        <v>91</v>
      </c>
    </row>
    <row r="78" spans="1:15" ht="12.75" customHeight="1">
      <c r="A78" s="4" t="s">
        <v>145</v>
      </c>
      <c r="B78" s="5" t="s">
        <v>146</v>
      </c>
      <c r="C78" s="28">
        <v>3124</v>
      </c>
      <c r="D78" s="28">
        <v>2117</v>
      </c>
      <c r="E78" s="28">
        <v>0</v>
      </c>
      <c r="F78" s="28">
        <f t="shared" si="16"/>
        <v>1007</v>
      </c>
      <c r="G78" s="28">
        <v>6850</v>
      </c>
      <c r="H78" s="28">
        <v>4278</v>
      </c>
      <c r="I78" s="28">
        <v>0</v>
      </c>
      <c r="J78" s="28">
        <f t="shared" si="17"/>
        <v>2572</v>
      </c>
      <c r="K78" s="28">
        <v>136</v>
      </c>
      <c r="L78" s="28">
        <v>0</v>
      </c>
      <c r="M78" s="28">
        <v>0</v>
      </c>
      <c r="N78" s="28">
        <v>195</v>
      </c>
      <c r="O78" s="28">
        <v>195</v>
      </c>
    </row>
    <row r="79" spans="1:15" ht="12.75" customHeight="1">
      <c r="A79" s="4" t="s">
        <v>147</v>
      </c>
      <c r="B79" s="5" t="s">
        <v>148</v>
      </c>
      <c r="C79" s="28">
        <v>3011</v>
      </c>
      <c r="D79" s="28">
        <v>2184</v>
      </c>
      <c r="E79" s="28">
        <v>35</v>
      </c>
      <c r="F79" s="28">
        <f t="shared" si="16"/>
        <v>792</v>
      </c>
      <c r="G79" s="28">
        <v>10665</v>
      </c>
      <c r="H79" s="28">
        <v>5749</v>
      </c>
      <c r="I79" s="28">
        <v>325</v>
      </c>
      <c r="J79" s="28">
        <f t="shared" si="17"/>
        <v>4591</v>
      </c>
      <c r="K79" s="28">
        <v>544</v>
      </c>
      <c r="L79" s="28">
        <v>0</v>
      </c>
      <c r="M79" s="28">
        <v>1316</v>
      </c>
      <c r="N79" s="28">
        <v>60</v>
      </c>
      <c r="O79" s="28">
        <v>60</v>
      </c>
    </row>
    <row r="80" spans="1:15" ht="12.75" customHeight="1">
      <c r="A80" s="8"/>
      <c r="B80" s="9" t="s">
        <v>149</v>
      </c>
      <c r="C80" s="29">
        <f t="shared" ref="C80:O80" si="18">SUM(C70:C79)</f>
        <v>47680</v>
      </c>
      <c r="D80" s="29">
        <f t="shared" si="18"/>
        <v>33667</v>
      </c>
      <c r="E80" s="29">
        <f t="shared" si="18"/>
        <v>771</v>
      </c>
      <c r="F80" s="29">
        <f t="shared" si="18"/>
        <v>13242</v>
      </c>
      <c r="G80" s="29">
        <f t="shared" si="18"/>
        <v>129068</v>
      </c>
      <c r="H80" s="29">
        <f t="shared" si="18"/>
        <v>73352</v>
      </c>
      <c r="I80" s="29">
        <f t="shared" si="18"/>
        <v>5721</v>
      </c>
      <c r="J80" s="29">
        <f t="shared" si="18"/>
        <v>49995</v>
      </c>
      <c r="K80" s="29">
        <f t="shared" si="18"/>
        <v>5231</v>
      </c>
      <c r="L80" s="29">
        <f t="shared" si="18"/>
        <v>154</v>
      </c>
      <c r="M80" s="29">
        <f t="shared" si="18"/>
        <v>7149</v>
      </c>
      <c r="N80" s="29">
        <f t="shared" si="18"/>
        <v>8322</v>
      </c>
      <c r="O80" s="29">
        <f t="shared" si="18"/>
        <v>8322</v>
      </c>
    </row>
    <row r="81" spans="1:15" ht="12.75" customHeight="1">
      <c r="A81" s="4" t="s">
        <v>150</v>
      </c>
      <c r="B81" s="5" t="s">
        <v>151</v>
      </c>
      <c r="C81" s="28">
        <v>5136</v>
      </c>
      <c r="D81" s="28">
        <v>3280</v>
      </c>
      <c r="E81" s="28">
        <v>79</v>
      </c>
      <c r="F81" s="28">
        <f>SUM(C81-D81-E81)</f>
        <v>1777</v>
      </c>
      <c r="G81" s="28">
        <v>21487</v>
      </c>
      <c r="H81" s="28">
        <v>11193</v>
      </c>
      <c r="I81" s="28">
        <v>1028</v>
      </c>
      <c r="J81" s="28">
        <f>SUM(G81-H81-I81)</f>
        <v>9266</v>
      </c>
      <c r="K81" s="28">
        <v>238</v>
      </c>
      <c r="L81" s="28">
        <v>243</v>
      </c>
      <c r="M81" s="28">
        <v>1279</v>
      </c>
      <c r="N81" s="28">
        <v>271</v>
      </c>
      <c r="O81" s="28">
        <v>271</v>
      </c>
    </row>
    <row r="82" spans="1:15" ht="12.75" customHeight="1">
      <c r="A82" s="4" t="s">
        <v>152</v>
      </c>
      <c r="B82" s="5" t="s">
        <v>153</v>
      </c>
      <c r="C82" s="28">
        <v>1918</v>
      </c>
      <c r="D82" s="28">
        <v>1347</v>
      </c>
      <c r="E82" s="28">
        <v>19</v>
      </c>
      <c r="F82" s="28">
        <f>SUM(C82-D82-E82)</f>
        <v>552</v>
      </c>
      <c r="G82" s="28">
        <v>10872</v>
      </c>
      <c r="H82" s="28">
        <v>4693</v>
      </c>
      <c r="I82" s="28">
        <v>223</v>
      </c>
      <c r="J82" s="28">
        <f>SUM(G82-H82-I82)</f>
        <v>5956</v>
      </c>
      <c r="K82" s="28">
        <v>83</v>
      </c>
      <c r="L82" s="28">
        <v>4</v>
      </c>
      <c r="M82" s="28">
        <v>1283</v>
      </c>
      <c r="N82" s="28">
        <v>42</v>
      </c>
      <c r="O82" s="28">
        <v>42</v>
      </c>
    </row>
    <row r="83" spans="1:15" ht="12.75" customHeight="1">
      <c r="A83" s="4" t="s">
        <v>154</v>
      </c>
      <c r="B83" s="5" t="s">
        <v>155</v>
      </c>
      <c r="C83" s="28">
        <v>631</v>
      </c>
      <c r="D83" s="28">
        <v>617</v>
      </c>
      <c r="E83" s="28">
        <v>13</v>
      </c>
      <c r="F83" s="28">
        <f>SUM(C83-D83-E83)</f>
        <v>1</v>
      </c>
      <c r="G83" s="28">
        <v>2542</v>
      </c>
      <c r="H83" s="28">
        <v>2126</v>
      </c>
      <c r="I83" s="28">
        <v>218</v>
      </c>
      <c r="J83" s="28">
        <f>SUM(G83-H83-I83)</f>
        <v>198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2130</v>
      </c>
      <c r="D84" s="28">
        <v>1906</v>
      </c>
      <c r="E84" s="28">
        <v>16</v>
      </c>
      <c r="F84" s="28">
        <f>SUM(C84-D84-E84)</f>
        <v>208</v>
      </c>
      <c r="G84" s="28">
        <v>10634</v>
      </c>
      <c r="H84" s="28">
        <v>6516</v>
      </c>
      <c r="I84" s="28">
        <v>180</v>
      </c>
      <c r="J84" s="28">
        <f>SUM(G84-H84-I84)</f>
        <v>3938</v>
      </c>
      <c r="K84" s="28">
        <v>134</v>
      </c>
      <c r="L84" s="28">
        <v>0</v>
      </c>
      <c r="M84" s="28">
        <v>1051</v>
      </c>
      <c r="N84" s="28">
        <v>70</v>
      </c>
      <c r="O84" s="28">
        <v>70</v>
      </c>
    </row>
    <row r="85" spans="1:15" ht="12.75" customHeight="1">
      <c r="A85" s="4" t="s">
        <v>158</v>
      </c>
      <c r="B85" s="5" t="s">
        <v>159</v>
      </c>
      <c r="C85" s="28">
        <v>3194</v>
      </c>
      <c r="D85" s="28">
        <v>2597</v>
      </c>
      <c r="E85" s="28">
        <v>65</v>
      </c>
      <c r="F85" s="28">
        <f>SUM(C85-D85-E85)</f>
        <v>532</v>
      </c>
      <c r="G85" s="28">
        <v>10995</v>
      </c>
      <c r="H85" s="28">
        <v>7166</v>
      </c>
      <c r="I85" s="28">
        <v>510</v>
      </c>
      <c r="J85" s="28">
        <f>SUM(G85-H85-I85)</f>
        <v>3319</v>
      </c>
      <c r="K85" s="28">
        <v>319</v>
      </c>
      <c r="L85" s="28">
        <v>42</v>
      </c>
      <c r="M85" s="28">
        <v>809</v>
      </c>
      <c r="N85" s="28">
        <v>2621</v>
      </c>
      <c r="O85" s="28">
        <v>2621</v>
      </c>
    </row>
    <row r="86" spans="1:15" ht="12.75" customHeight="1">
      <c r="A86" s="8"/>
      <c r="B86" s="9" t="s">
        <v>160</v>
      </c>
      <c r="C86" s="29">
        <f t="shared" ref="C86:O86" si="19">SUM(C81:C85)</f>
        <v>13009</v>
      </c>
      <c r="D86" s="29">
        <f t="shared" si="19"/>
        <v>9747</v>
      </c>
      <c r="E86" s="29">
        <f t="shared" si="19"/>
        <v>192</v>
      </c>
      <c r="F86" s="29">
        <f t="shared" si="19"/>
        <v>3070</v>
      </c>
      <c r="G86" s="29">
        <f t="shared" si="19"/>
        <v>56530</v>
      </c>
      <c r="H86" s="29">
        <f t="shared" si="19"/>
        <v>31694</v>
      </c>
      <c r="I86" s="29">
        <f t="shared" si="19"/>
        <v>2159</v>
      </c>
      <c r="J86" s="29">
        <f t="shared" si="19"/>
        <v>22677</v>
      </c>
      <c r="K86" s="29">
        <f t="shared" si="19"/>
        <v>774</v>
      </c>
      <c r="L86" s="29">
        <f t="shared" si="19"/>
        <v>289</v>
      </c>
      <c r="M86" s="29">
        <f t="shared" si="19"/>
        <v>4422</v>
      </c>
      <c r="N86" s="29">
        <f t="shared" si="19"/>
        <v>3004</v>
      </c>
      <c r="O86" s="29">
        <f t="shared" si="19"/>
        <v>3004</v>
      </c>
    </row>
    <row r="87" spans="1:15" ht="12.75" customHeight="1">
      <c r="A87" s="4" t="s">
        <v>161</v>
      </c>
      <c r="B87" s="5" t="s">
        <v>162</v>
      </c>
      <c r="C87" s="28">
        <v>5581</v>
      </c>
      <c r="D87" s="28">
        <v>4225</v>
      </c>
      <c r="E87" s="28">
        <v>0</v>
      </c>
      <c r="F87" s="28">
        <f>SUM(C87-D87-E87)</f>
        <v>1356</v>
      </c>
      <c r="G87" s="28">
        <v>26292</v>
      </c>
      <c r="H87" s="28">
        <v>13033</v>
      </c>
      <c r="I87" s="28">
        <v>0</v>
      </c>
      <c r="J87" s="28">
        <f>SUM(G87-H87-I87)</f>
        <v>13259</v>
      </c>
      <c r="K87" s="28">
        <v>297</v>
      </c>
      <c r="L87" s="28">
        <v>12</v>
      </c>
      <c r="M87" s="28">
        <v>1850</v>
      </c>
      <c r="N87" s="28">
        <v>217</v>
      </c>
      <c r="O87" s="28">
        <v>217</v>
      </c>
    </row>
    <row r="88" spans="1:15" ht="12.75" customHeight="1">
      <c r="A88" s="4" t="s">
        <v>163</v>
      </c>
      <c r="B88" s="5" t="s">
        <v>164</v>
      </c>
      <c r="C88" s="28">
        <v>4170</v>
      </c>
      <c r="D88" s="28">
        <v>2066</v>
      </c>
      <c r="E88" s="28">
        <v>93</v>
      </c>
      <c r="F88" s="28">
        <f>SUM(C88-D88-E88)</f>
        <v>2011</v>
      </c>
      <c r="G88" s="28">
        <v>12582</v>
      </c>
      <c r="H88" s="28">
        <v>5124</v>
      </c>
      <c r="I88" s="28">
        <v>1043</v>
      </c>
      <c r="J88" s="28">
        <f>SUM(G88-H88-I88)</f>
        <v>6415</v>
      </c>
      <c r="K88" s="28">
        <v>98</v>
      </c>
      <c r="L88" s="28">
        <v>0</v>
      </c>
      <c r="M88" s="28">
        <v>660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9751</v>
      </c>
      <c r="D89" s="29">
        <f t="shared" si="20"/>
        <v>6291</v>
      </c>
      <c r="E89" s="29">
        <f t="shared" si="20"/>
        <v>93</v>
      </c>
      <c r="F89" s="29">
        <f t="shared" si="20"/>
        <v>3367</v>
      </c>
      <c r="G89" s="29">
        <f t="shared" si="20"/>
        <v>38874</v>
      </c>
      <c r="H89" s="29">
        <f t="shared" si="20"/>
        <v>18157</v>
      </c>
      <c r="I89" s="29">
        <f t="shared" si="20"/>
        <v>1043</v>
      </c>
      <c r="J89" s="29">
        <f t="shared" si="20"/>
        <v>19674</v>
      </c>
      <c r="K89" s="29">
        <f t="shared" si="20"/>
        <v>395</v>
      </c>
      <c r="L89" s="29">
        <f t="shared" si="20"/>
        <v>12</v>
      </c>
      <c r="M89" s="29">
        <f t="shared" si="20"/>
        <v>2510</v>
      </c>
      <c r="N89" s="29">
        <f t="shared" si="20"/>
        <v>217</v>
      </c>
      <c r="O89" s="29">
        <f t="shared" si="20"/>
        <v>217</v>
      </c>
    </row>
    <row r="90" spans="1:15" ht="12.75" customHeight="1">
      <c r="A90" s="4" t="s">
        <v>166</v>
      </c>
      <c r="B90" s="5" t="s">
        <v>167</v>
      </c>
      <c r="C90" s="28">
        <v>6718</v>
      </c>
      <c r="D90" s="28">
        <v>3032</v>
      </c>
      <c r="E90" s="28">
        <v>193</v>
      </c>
      <c r="F90" s="28">
        <f>SUM(C90-D90-E90)</f>
        <v>3493</v>
      </c>
      <c r="G90" s="28">
        <v>28210</v>
      </c>
      <c r="H90" s="28">
        <v>9869</v>
      </c>
      <c r="I90" s="28">
        <v>1829</v>
      </c>
      <c r="J90" s="28">
        <f>SUM(G90-H90-I90)</f>
        <v>16512</v>
      </c>
      <c r="K90" s="28">
        <v>182</v>
      </c>
      <c r="L90" s="28">
        <v>0</v>
      </c>
      <c r="M90" s="28">
        <v>1953</v>
      </c>
      <c r="N90" s="28">
        <v>34</v>
      </c>
      <c r="O90" s="28">
        <v>34</v>
      </c>
    </row>
    <row r="91" spans="1:15" ht="12.75" customHeight="1">
      <c r="A91" s="4" t="s">
        <v>168</v>
      </c>
      <c r="B91" s="5" t="s">
        <v>169</v>
      </c>
      <c r="C91" s="28">
        <v>5791</v>
      </c>
      <c r="D91" s="28">
        <v>4170</v>
      </c>
      <c r="E91" s="28">
        <v>0</v>
      </c>
      <c r="F91" s="28">
        <f>SUM(C91-D91-E91)</f>
        <v>1621</v>
      </c>
      <c r="G91" s="28">
        <v>26180</v>
      </c>
      <c r="H91" s="28">
        <v>10876</v>
      </c>
      <c r="I91" s="28">
        <v>0</v>
      </c>
      <c r="J91" s="28">
        <f>SUM(G91-H91-I91)</f>
        <v>15304</v>
      </c>
      <c r="K91" s="28">
        <v>84</v>
      </c>
      <c r="L91" s="28">
        <v>12</v>
      </c>
      <c r="M91" s="28">
        <v>2990</v>
      </c>
      <c r="N91" s="28">
        <v>28</v>
      </c>
      <c r="O91" s="28">
        <v>28</v>
      </c>
    </row>
    <row r="92" spans="1:15" ht="12.75" customHeight="1">
      <c r="A92" s="4" t="s">
        <v>170</v>
      </c>
      <c r="B92" s="5" t="s">
        <v>171</v>
      </c>
      <c r="C92" s="28">
        <v>1126</v>
      </c>
      <c r="D92" s="28">
        <v>883</v>
      </c>
      <c r="E92" s="28">
        <v>96</v>
      </c>
      <c r="F92" s="28">
        <f>SUM(C92-D92-E92)</f>
        <v>147</v>
      </c>
      <c r="G92" s="28">
        <v>4252</v>
      </c>
      <c r="H92" s="28">
        <v>2424</v>
      </c>
      <c r="I92" s="28">
        <v>1065</v>
      </c>
      <c r="J92" s="28">
        <f>SUM(G92-H92-I92)</f>
        <v>763</v>
      </c>
      <c r="K92" s="28">
        <v>42</v>
      </c>
      <c r="L92" s="28">
        <v>0</v>
      </c>
      <c r="M92" s="28">
        <v>120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61139</v>
      </c>
      <c r="D93" s="28">
        <v>40060</v>
      </c>
      <c r="E93" s="28">
        <v>2172</v>
      </c>
      <c r="F93" s="28">
        <f>SUM(C93-D93-E93)</f>
        <v>18907</v>
      </c>
      <c r="G93" s="28">
        <v>182140</v>
      </c>
      <c r="H93" s="28">
        <v>69538</v>
      </c>
      <c r="I93" s="28">
        <v>7803</v>
      </c>
      <c r="J93" s="28">
        <f>SUM(G93-H93-I93)</f>
        <v>104799</v>
      </c>
      <c r="K93" s="28">
        <v>12667</v>
      </c>
      <c r="L93" s="28">
        <v>31</v>
      </c>
      <c r="M93" s="28">
        <v>11572</v>
      </c>
      <c r="N93" s="28">
        <v>1924</v>
      </c>
      <c r="O93" s="28">
        <v>1924</v>
      </c>
    </row>
    <row r="94" spans="1:15" ht="12.75" customHeight="1">
      <c r="A94" s="4" t="s">
        <v>174</v>
      </c>
      <c r="B94" s="5" t="s">
        <v>175</v>
      </c>
      <c r="C94" s="28">
        <v>3937</v>
      </c>
      <c r="D94" s="28">
        <v>1193</v>
      </c>
      <c r="E94" s="28">
        <v>71</v>
      </c>
      <c r="F94" s="28">
        <f>SUM(C94-D94-E94)</f>
        <v>2673</v>
      </c>
      <c r="G94" s="28">
        <v>11843</v>
      </c>
      <c r="H94" s="28">
        <v>3886</v>
      </c>
      <c r="I94" s="28">
        <v>615</v>
      </c>
      <c r="J94" s="28">
        <f>SUM(G94-H94-I94)</f>
        <v>7342</v>
      </c>
      <c r="K94" s="28">
        <v>237</v>
      </c>
      <c r="L94" s="28">
        <v>72</v>
      </c>
      <c r="M94" s="28">
        <v>1384</v>
      </c>
      <c r="N94" s="28">
        <v>56</v>
      </c>
      <c r="O94" s="28">
        <v>56</v>
      </c>
    </row>
    <row r="95" spans="1:15" ht="12.75" customHeight="1">
      <c r="A95" s="8"/>
      <c r="B95" s="9" t="s">
        <v>176</v>
      </c>
      <c r="C95" s="29">
        <f t="shared" ref="C95:O95" si="21">SUM(C90:C94)</f>
        <v>78711</v>
      </c>
      <c r="D95" s="29">
        <f t="shared" si="21"/>
        <v>49338</v>
      </c>
      <c r="E95" s="29">
        <f t="shared" si="21"/>
        <v>2532</v>
      </c>
      <c r="F95" s="29">
        <f t="shared" si="21"/>
        <v>26841</v>
      </c>
      <c r="G95" s="29">
        <f t="shared" si="21"/>
        <v>252625</v>
      </c>
      <c r="H95" s="29">
        <f t="shared" si="21"/>
        <v>96593</v>
      </c>
      <c r="I95" s="29">
        <f t="shared" si="21"/>
        <v>11312</v>
      </c>
      <c r="J95" s="29">
        <f t="shared" si="21"/>
        <v>144720</v>
      </c>
      <c r="K95" s="29">
        <f t="shared" si="21"/>
        <v>13212</v>
      </c>
      <c r="L95" s="29">
        <f t="shared" si="21"/>
        <v>115</v>
      </c>
      <c r="M95" s="29">
        <f t="shared" si="21"/>
        <v>18019</v>
      </c>
      <c r="N95" s="29">
        <f t="shared" si="21"/>
        <v>2042</v>
      </c>
      <c r="O95" s="29">
        <f t="shared" si="21"/>
        <v>2042</v>
      </c>
    </row>
    <row r="96" spans="1:15" ht="12.75" customHeight="1">
      <c r="A96" s="4" t="s">
        <v>177</v>
      </c>
      <c r="B96" s="5" t="s">
        <v>178</v>
      </c>
      <c r="C96" s="28">
        <v>1113</v>
      </c>
      <c r="D96" s="28">
        <v>844</v>
      </c>
      <c r="E96" s="28">
        <v>21</v>
      </c>
      <c r="F96" s="28">
        <f>SUM(C96-D96-E96)</f>
        <v>248</v>
      </c>
      <c r="G96" s="28">
        <v>6164</v>
      </c>
      <c r="H96" s="28">
        <v>3232</v>
      </c>
      <c r="I96" s="28">
        <v>303</v>
      </c>
      <c r="J96" s="28">
        <f>SUM(G96-H96-I96)</f>
        <v>2629</v>
      </c>
      <c r="K96" s="28">
        <v>0</v>
      </c>
      <c r="L96" s="28">
        <v>0</v>
      </c>
      <c r="M96" s="28">
        <v>1160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369</v>
      </c>
      <c r="D97" s="28">
        <v>324</v>
      </c>
      <c r="E97" s="28">
        <v>0</v>
      </c>
      <c r="F97" s="28">
        <f>SUM(C97-D97-E97)</f>
        <v>45</v>
      </c>
      <c r="G97" s="28">
        <v>1462</v>
      </c>
      <c r="H97" s="28">
        <v>1155</v>
      </c>
      <c r="I97" s="28">
        <v>0</v>
      </c>
      <c r="J97" s="28">
        <f>SUM(G97-H97-I97)</f>
        <v>307</v>
      </c>
      <c r="K97" s="28">
        <v>0</v>
      </c>
      <c r="L97" s="28">
        <v>0</v>
      </c>
      <c r="M97" s="28">
        <v>59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1482</v>
      </c>
      <c r="D98" s="29">
        <f t="shared" si="22"/>
        <v>1168</v>
      </c>
      <c r="E98" s="29">
        <f t="shared" si="22"/>
        <v>21</v>
      </c>
      <c r="F98" s="29">
        <f t="shared" si="22"/>
        <v>293</v>
      </c>
      <c r="G98" s="29">
        <f t="shared" si="22"/>
        <v>7626</v>
      </c>
      <c r="H98" s="29">
        <f t="shared" si="22"/>
        <v>4387</v>
      </c>
      <c r="I98" s="29">
        <f t="shared" si="22"/>
        <v>303</v>
      </c>
      <c r="J98" s="29">
        <f t="shared" si="22"/>
        <v>2936</v>
      </c>
      <c r="K98" s="29">
        <f t="shared" si="22"/>
        <v>0</v>
      </c>
      <c r="L98" s="29">
        <f t="shared" si="22"/>
        <v>0</v>
      </c>
      <c r="M98" s="29">
        <f t="shared" si="22"/>
        <v>1219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2912</v>
      </c>
      <c r="D99" s="28">
        <v>2425</v>
      </c>
      <c r="E99" s="28">
        <v>44</v>
      </c>
      <c r="F99" s="28">
        <f>SUM(C99-D99-E99)</f>
        <v>443</v>
      </c>
      <c r="G99" s="28">
        <v>14198</v>
      </c>
      <c r="H99" s="28">
        <v>8074</v>
      </c>
      <c r="I99" s="28">
        <v>556</v>
      </c>
      <c r="J99" s="28">
        <f>SUM(G99-H99-I99)</f>
        <v>5568</v>
      </c>
      <c r="K99" s="28">
        <v>35</v>
      </c>
      <c r="L99" s="28">
        <v>0</v>
      </c>
      <c r="M99" s="28">
        <v>1544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2358</v>
      </c>
      <c r="D100" s="28">
        <v>1418</v>
      </c>
      <c r="E100" s="28">
        <v>88</v>
      </c>
      <c r="F100" s="28">
        <f>SUM(C100-D100-E100)</f>
        <v>852</v>
      </c>
      <c r="G100" s="28">
        <v>10518</v>
      </c>
      <c r="H100" s="28">
        <v>4128</v>
      </c>
      <c r="I100" s="28">
        <v>521</v>
      </c>
      <c r="J100" s="28">
        <f>SUM(G100-H100-I100)</f>
        <v>5869</v>
      </c>
      <c r="K100" s="28">
        <v>316</v>
      </c>
      <c r="L100" s="28">
        <v>0</v>
      </c>
      <c r="M100" s="28">
        <v>564</v>
      </c>
      <c r="N100" s="28">
        <v>26</v>
      </c>
      <c r="O100" s="28">
        <v>26</v>
      </c>
    </row>
    <row r="101" spans="1:15" ht="12.75" customHeight="1">
      <c r="A101" s="4" t="s">
        <v>186</v>
      </c>
      <c r="B101" s="5" t="s">
        <v>187</v>
      </c>
      <c r="C101" s="28">
        <v>1459</v>
      </c>
      <c r="D101" s="28">
        <v>1145</v>
      </c>
      <c r="E101" s="28">
        <v>0</v>
      </c>
      <c r="F101" s="28">
        <f>SUM(C101-D101-E101)</f>
        <v>314</v>
      </c>
      <c r="G101" s="28">
        <v>5134</v>
      </c>
      <c r="H101" s="28">
        <v>3275</v>
      </c>
      <c r="I101" s="28">
        <v>0</v>
      </c>
      <c r="J101" s="28">
        <f>SUM(G101-H101-I101)</f>
        <v>1859</v>
      </c>
      <c r="K101" s="28">
        <v>9</v>
      </c>
      <c r="L101" s="28">
        <v>0</v>
      </c>
      <c r="M101" s="28">
        <v>593</v>
      </c>
      <c r="N101" s="28">
        <v>41</v>
      </c>
      <c r="O101" s="28">
        <v>41</v>
      </c>
    </row>
    <row r="102" spans="1:15" ht="12.75" customHeight="1">
      <c r="A102" s="4" t="s">
        <v>188</v>
      </c>
      <c r="B102" s="5" t="s">
        <v>189</v>
      </c>
      <c r="C102" s="28">
        <v>2296</v>
      </c>
      <c r="D102" s="28">
        <v>1934</v>
      </c>
      <c r="E102" s="28">
        <v>74</v>
      </c>
      <c r="F102" s="28">
        <f>SUM(C102-D102-E102)</f>
        <v>288</v>
      </c>
      <c r="G102" s="28">
        <v>9261</v>
      </c>
      <c r="H102" s="28">
        <v>5594</v>
      </c>
      <c r="I102" s="28">
        <v>955</v>
      </c>
      <c r="J102" s="28">
        <f>SUM(G102-H102-I102)</f>
        <v>2712</v>
      </c>
      <c r="K102" s="28">
        <v>258</v>
      </c>
      <c r="L102" s="28">
        <v>0</v>
      </c>
      <c r="M102" s="28">
        <v>870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9025</v>
      </c>
      <c r="D103" s="29">
        <f t="shared" si="23"/>
        <v>6922</v>
      </c>
      <c r="E103" s="29">
        <f t="shared" si="23"/>
        <v>206</v>
      </c>
      <c r="F103" s="29">
        <f t="shared" si="23"/>
        <v>1897</v>
      </c>
      <c r="G103" s="29">
        <f t="shared" si="23"/>
        <v>39111</v>
      </c>
      <c r="H103" s="29">
        <f t="shared" si="23"/>
        <v>21071</v>
      </c>
      <c r="I103" s="29">
        <f t="shared" si="23"/>
        <v>2032</v>
      </c>
      <c r="J103" s="29">
        <f t="shared" si="23"/>
        <v>16008</v>
      </c>
      <c r="K103" s="29">
        <f t="shared" si="23"/>
        <v>618</v>
      </c>
      <c r="L103" s="29">
        <f t="shared" si="23"/>
        <v>0</v>
      </c>
      <c r="M103" s="29">
        <f t="shared" si="23"/>
        <v>3571</v>
      </c>
      <c r="N103" s="29">
        <f t="shared" si="23"/>
        <v>80</v>
      </c>
      <c r="O103" s="29">
        <f t="shared" si="23"/>
        <v>80</v>
      </c>
    </row>
    <row r="104" spans="1:15" ht="12.75" customHeight="1">
      <c r="A104" s="4" t="s">
        <v>191</v>
      </c>
      <c r="B104" s="5" t="s">
        <v>192</v>
      </c>
      <c r="C104" s="28">
        <v>1749</v>
      </c>
      <c r="D104" s="28">
        <v>1438</v>
      </c>
      <c r="E104" s="28">
        <v>48</v>
      </c>
      <c r="F104" s="28">
        <f>SUM(C104-D104-E104)</f>
        <v>263</v>
      </c>
      <c r="G104" s="28">
        <v>8347</v>
      </c>
      <c r="H104" s="28">
        <v>5018</v>
      </c>
      <c r="I104" s="28">
        <v>486</v>
      </c>
      <c r="J104" s="28">
        <f>SUM(G104-H104-I104)</f>
        <v>2843</v>
      </c>
      <c r="K104" s="28">
        <v>80</v>
      </c>
      <c r="L104" s="28">
        <v>0</v>
      </c>
      <c r="M104" s="28">
        <v>196</v>
      </c>
      <c r="N104" s="28">
        <v>47</v>
      </c>
      <c r="O104" s="28">
        <v>47</v>
      </c>
    </row>
    <row r="105" spans="1:15" ht="12.75" customHeight="1">
      <c r="A105" s="4" t="s">
        <v>193</v>
      </c>
      <c r="B105" s="5" t="s">
        <v>194</v>
      </c>
      <c r="C105" s="28">
        <v>1441</v>
      </c>
      <c r="D105" s="28">
        <v>852</v>
      </c>
      <c r="E105" s="28">
        <v>0</v>
      </c>
      <c r="F105" s="28">
        <f>SUM(C105-D105-E105)</f>
        <v>589</v>
      </c>
      <c r="G105" s="28">
        <v>6002</v>
      </c>
      <c r="H105" s="28">
        <v>2910</v>
      </c>
      <c r="I105" s="28">
        <v>0</v>
      </c>
      <c r="J105" s="28">
        <f>SUM(G105-H105-I105)</f>
        <v>3092</v>
      </c>
      <c r="K105" s="28">
        <v>8</v>
      </c>
      <c r="L105" s="28">
        <v>0</v>
      </c>
      <c r="M105" s="28">
        <v>252</v>
      </c>
      <c r="N105" s="28">
        <v>85</v>
      </c>
      <c r="O105" s="28">
        <v>85</v>
      </c>
    </row>
    <row r="106" spans="1:15" ht="12.75" customHeight="1">
      <c r="A106" s="4" t="s">
        <v>195</v>
      </c>
      <c r="B106" s="5" t="s">
        <v>196</v>
      </c>
      <c r="C106" s="28">
        <v>6575</v>
      </c>
      <c r="D106" s="28">
        <v>4094</v>
      </c>
      <c r="E106" s="28">
        <v>129</v>
      </c>
      <c r="F106" s="28">
        <f>SUM(C106-D106-E106)</f>
        <v>2352</v>
      </c>
      <c r="G106" s="28">
        <v>27880</v>
      </c>
      <c r="H106" s="28">
        <v>12313</v>
      </c>
      <c r="I106" s="28">
        <v>1124</v>
      </c>
      <c r="J106" s="28">
        <f>SUM(G106-H106-I106)</f>
        <v>14443</v>
      </c>
      <c r="K106" s="28">
        <v>92</v>
      </c>
      <c r="L106" s="28">
        <v>0</v>
      </c>
      <c r="M106" s="28">
        <v>6086</v>
      </c>
      <c r="N106" s="28">
        <v>64</v>
      </c>
      <c r="O106" s="28">
        <v>64</v>
      </c>
    </row>
    <row r="107" spans="1:15" ht="12.75" customHeight="1">
      <c r="A107" s="4" t="s">
        <v>197</v>
      </c>
      <c r="B107" s="5" t="s">
        <v>198</v>
      </c>
      <c r="C107" s="28">
        <v>20260</v>
      </c>
      <c r="D107" s="28">
        <v>13879</v>
      </c>
      <c r="E107" s="28">
        <v>496</v>
      </c>
      <c r="F107" s="28">
        <f>SUM(C107-D107-E107)</f>
        <v>5885</v>
      </c>
      <c r="G107" s="28">
        <v>64519</v>
      </c>
      <c r="H107" s="28">
        <v>27987</v>
      </c>
      <c r="I107" s="28">
        <v>1387</v>
      </c>
      <c r="J107" s="28">
        <f>SUM(G107-H107-I107)</f>
        <v>35145</v>
      </c>
      <c r="K107" s="28">
        <v>1746</v>
      </c>
      <c r="L107" s="28">
        <v>0</v>
      </c>
      <c r="M107" s="28">
        <v>804</v>
      </c>
      <c r="N107" s="28">
        <v>1407</v>
      </c>
      <c r="O107" s="28">
        <v>1407</v>
      </c>
    </row>
    <row r="108" spans="1:15" ht="12.75" customHeight="1">
      <c r="A108" s="4" t="s">
        <v>199</v>
      </c>
      <c r="B108" s="5" t="s">
        <v>200</v>
      </c>
      <c r="C108" s="28">
        <v>7112</v>
      </c>
      <c r="D108" s="28">
        <v>3902</v>
      </c>
      <c r="E108" s="28">
        <v>137</v>
      </c>
      <c r="F108" s="28">
        <f>SUM(C108-D108-E108)</f>
        <v>3073</v>
      </c>
      <c r="G108" s="28">
        <v>51353</v>
      </c>
      <c r="H108" s="28">
        <v>13814</v>
      </c>
      <c r="I108" s="28">
        <v>1305</v>
      </c>
      <c r="J108" s="28">
        <f>SUM(G108-H108-I108)</f>
        <v>36234</v>
      </c>
      <c r="K108" s="28">
        <v>345</v>
      </c>
      <c r="L108" s="28">
        <v>0</v>
      </c>
      <c r="M108" s="28">
        <v>1449</v>
      </c>
      <c r="N108" s="28">
        <v>637</v>
      </c>
      <c r="O108" s="28">
        <v>637</v>
      </c>
    </row>
    <row r="109" spans="1:15" ht="12.75" customHeight="1">
      <c r="A109" s="8"/>
      <c r="B109" s="9" t="s">
        <v>201</v>
      </c>
      <c r="C109" s="29">
        <f t="shared" ref="C109:O109" si="24">SUM(C104:C108)</f>
        <v>37137</v>
      </c>
      <c r="D109" s="29">
        <f t="shared" si="24"/>
        <v>24165</v>
      </c>
      <c r="E109" s="29">
        <f t="shared" si="24"/>
        <v>810</v>
      </c>
      <c r="F109" s="29">
        <f t="shared" si="24"/>
        <v>12162</v>
      </c>
      <c r="G109" s="29">
        <f t="shared" si="24"/>
        <v>158101</v>
      </c>
      <c r="H109" s="29">
        <f t="shared" si="24"/>
        <v>62042</v>
      </c>
      <c r="I109" s="29">
        <f t="shared" si="24"/>
        <v>4302</v>
      </c>
      <c r="J109" s="29">
        <f t="shared" si="24"/>
        <v>91757</v>
      </c>
      <c r="K109" s="29">
        <f t="shared" si="24"/>
        <v>2271</v>
      </c>
      <c r="L109" s="29">
        <f t="shared" si="24"/>
        <v>0</v>
      </c>
      <c r="M109" s="29">
        <f t="shared" si="24"/>
        <v>8787</v>
      </c>
      <c r="N109" s="29">
        <f t="shared" si="24"/>
        <v>2240</v>
      </c>
      <c r="O109" s="29">
        <f t="shared" si="24"/>
        <v>2240</v>
      </c>
    </row>
    <row r="110" spans="1:15" ht="12.75" customHeight="1">
      <c r="A110" s="4" t="s">
        <v>202</v>
      </c>
      <c r="B110" s="5" t="s">
        <v>203</v>
      </c>
      <c r="C110" s="28">
        <v>10315</v>
      </c>
      <c r="D110" s="28">
        <v>8517</v>
      </c>
      <c r="E110" s="28">
        <v>70</v>
      </c>
      <c r="F110" s="28">
        <f t="shared" ref="F110:F115" si="25">SUM(C110-D110-E110)</f>
        <v>1728</v>
      </c>
      <c r="G110" s="28">
        <v>49208</v>
      </c>
      <c r="H110" s="28">
        <v>29263</v>
      </c>
      <c r="I110" s="28">
        <v>563</v>
      </c>
      <c r="J110" s="28">
        <f t="shared" ref="J110:J115" si="26">SUM(G110-H110-I110)</f>
        <v>19382</v>
      </c>
      <c r="K110" s="28">
        <v>497</v>
      </c>
      <c r="L110" s="28">
        <v>0</v>
      </c>
      <c r="M110" s="28">
        <v>5697</v>
      </c>
      <c r="N110" s="28">
        <v>170</v>
      </c>
      <c r="O110" s="28">
        <v>170</v>
      </c>
    </row>
    <row r="111" spans="1:15" ht="12.75" customHeight="1">
      <c r="A111" s="4" t="s">
        <v>204</v>
      </c>
      <c r="B111" s="5" t="s">
        <v>205</v>
      </c>
      <c r="C111" s="28">
        <v>1328</v>
      </c>
      <c r="D111" s="28">
        <v>1267</v>
      </c>
      <c r="E111" s="28">
        <v>7</v>
      </c>
      <c r="F111" s="28">
        <f t="shared" si="25"/>
        <v>54</v>
      </c>
      <c r="G111" s="28">
        <v>4512</v>
      </c>
      <c r="H111" s="28">
        <v>4129</v>
      </c>
      <c r="I111" s="28">
        <v>158</v>
      </c>
      <c r="J111" s="28">
        <f t="shared" si="26"/>
        <v>225</v>
      </c>
      <c r="K111" s="28">
        <v>5</v>
      </c>
      <c r="L111" s="28">
        <v>0</v>
      </c>
      <c r="M111" s="28">
        <v>194</v>
      </c>
      <c r="N111" s="28">
        <v>29</v>
      </c>
      <c r="O111" s="28">
        <v>29</v>
      </c>
    </row>
    <row r="112" spans="1:15" ht="12.75" customHeight="1">
      <c r="A112" s="4" t="s">
        <v>206</v>
      </c>
      <c r="B112" s="5" t="s">
        <v>207</v>
      </c>
      <c r="C112" s="28">
        <v>3423</v>
      </c>
      <c r="D112" s="28">
        <v>2465</v>
      </c>
      <c r="E112" s="28">
        <v>0</v>
      </c>
      <c r="F112" s="28">
        <f t="shared" si="25"/>
        <v>958</v>
      </c>
      <c r="G112" s="28">
        <v>12735</v>
      </c>
      <c r="H112" s="28">
        <v>7777</v>
      </c>
      <c r="I112" s="28">
        <v>0</v>
      </c>
      <c r="J112" s="28">
        <f t="shared" si="26"/>
        <v>4958</v>
      </c>
      <c r="K112" s="28">
        <v>5736</v>
      </c>
      <c r="L112" s="28">
        <v>0</v>
      </c>
      <c r="M112" s="28">
        <v>1612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3095</v>
      </c>
      <c r="D113" s="28">
        <v>2001</v>
      </c>
      <c r="E113" s="28">
        <v>22</v>
      </c>
      <c r="F113" s="28">
        <f t="shared" si="25"/>
        <v>1072</v>
      </c>
      <c r="G113" s="28">
        <v>13494</v>
      </c>
      <c r="H113" s="28">
        <v>6624</v>
      </c>
      <c r="I113" s="28">
        <v>194</v>
      </c>
      <c r="J113" s="28">
        <f t="shared" si="26"/>
        <v>6676</v>
      </c>
      <c r="K113" s="28">
        <v>248</v>
      </c>
      <c r="L113" s="28">
        <v>0</v>
      </c>
      <c r="M113" s="28">
        <v>3620</v>
      </c>
      <c r="N113" s="28">
        <v>56</v>
      </c>
      <c r="O113" s="28">
        <v>56</v>
      </c>
    </row>
    <row r="114" spans="1:15" ht="12.75" customHeight="1">
      <c r="A114" s="4" t="s">
        <v>210</v>
      </c>
      <c r="B114" s="5" t="s">
        <v>211</v>
      </c>
      <c r="C114" s="28">
        <v>7774</v>
      </c>
      <c r="D114" s="28">
        <v>5379</v>
      </c>
      <c r="E114" s="28">
        <v>0</v>
      </c>
      <c r="F114" s="28">
        <f t="shared" si="25"/>
        <v>2395</v>
      </c>
      <c r="G114" s="28">
        <v>23720</v>
      </c>
      <c r="H114" s="28">
        <v>13030</v>
      </c>
      <c r="I114" s="28">
        <v>0</v>
      </c>
      <c r="J114" s="28">
        <f t="shared" si="26"/>
        <v>10690</v>
      </c>
      <c r="K114" s="28">
        <v>868</v>
      </c>
      <c r="L114" s="28">
        <v>0</v>
      </c>
      <c r="M114" s="28">
        <v>3800</v>
      </c>
      <c r="N114" s="28">
        <v>299</v>
      </c>
      <c r="O114" s="28">
        <v>299</v>
      </c>
    </row>
    <row r="115" spans="1:15" ht="12.75" customHeight="1">
      <c r="A115" s="4" t="s">
        <v>212</v>
      </c>
      <c r="B115" s="5" t="s">
        <v>213</v>
      </c>
      <c r="C115" s="28">
        <v>4873</v>
      </c>
      <c r="D115" s="28">
        <v>4247</v>
      </c>
      <c r="E115" s="28">
        <v>0</v>
      </c>
      <c r="F115" s="28">
        <f t="shared" si="25"/>
        <v>626</v>
      </c>
      <c r="G115" s="28">
        <v>18114</v>
      </c>
      <c r="H115" s="28">
        <v>13569</v>
      </c>
      <c r="I115" s="28">
        <v>0</v>
      </c>
      <c r="J115" s="28">
        <f t="shared" si="26"/>
        <v>4545</v>
      </c>
      <c r="K115" s="28">
        <v>950</v>
      </c>
      <c r="L115" s="28">
        <v>0</v>
      </c>
      <c r="M115" s="28">
        <v>2421</v>
      </c>
      <c r="N115" s="28">
        <v>265</v>
      </c>
      <c r="O115" s="28">
        <v>265</v>
      </c>
    </row>
    <row r="116" spans="1:15" ht="12.75" customHeight="1">
      <c r="A116" s="8"/>
      <c r="B116" s="9" t="s">
        <v>214</v>
      </c>
      <c r="C116" s="29">
        <f t="shared" ref="C116:O116" si="27">SUM(C110:C115)</f>
        <v>30808</v>
      </c>
      <c r="D116" s="29">
        <f t="shared" si="27"/>
        <v>23876</v>
      </c>
      <c r="E116" s="29">
        <f t="shared" si="27"/>
        <v>99</v>
      </c>
      <c r="F116" s="29">
        <f t="shared" si="27"/>
        <v>6833</v>
      </c>
      <c r="G116" s="29">
        <f t="shared" si="27"/>
        <v>121783</v>
      </c>
      <c r="H116" s="29">
        <f t="shared" si="27"/>
        <v>74392</v>
      </c>
      <c r="I116" s="29">
        <f t="shared" si="27"/>
        <v>915</v>
      </c>
      <c r="J116" s="29">
        <f t="shared" si="27"/>
        <v>46476</v>
      </c>
      <c r="K116" s="29">
        <f t="shared" si="27"/>
        <v>8304</v>
      </c>
      <c r="L116" s="29">
        <f t="shared" si="27"/>
        <v>0</v>
      </c>
      <c r="M116" s="29">
        <f t="shared" si="27"/>
        <v>17344</v>
      </c>
      <c r="N116" s="29">
        <f t="shared" si="27"/>
        <v>819</v>
      </c>
      <c r="O116" s="29">
        <f t="shared" si="27"/>
        <v>819</v>
      </c>
    </row>
    <row r="117" spans="1:15" ht="12.75" customHeight="1">
      <c r="A117" s="4" t="s">
        <v>215</v>
      </c>
      <c r="B117" s="5" t="s">
        <v>216</v>
      </c>
      <c r="C117" s="28">
        <v>1226</v>
      </c>
      <c r="D117" s="28">
        <v>832</v>
      </c>
      <c r="E117" s="28">
        <v>0</v>
      </c>
      <c r="F117" s="28">
        <f>SUM(C117-D117-E117)</f>
        <v>394</v>
      </c>
      <c r="G117" s="28">
        <v>5477</v>
      </c>
      <c r="H117" s="28">
        <v>3228</v>
      </c>
      <c r="I117" s="28">
        <v>0</v>
      </c>
      <c r="J117" s="28">
        <f>SUM(G117-H117-I117)</f>
        <v>2249</v>
      </c>
      <c r="K117" s="28">
        <v>0</v>
      </c>
      <c r="L117" s="28">
        <v>0</v>
      </c>
      <c r="M117" s="28">
        <v>1886</v>
      </c>
      <c r="N117" s="28">
        <v>95</v>
      </c>
      <c r="O117" s="28">
        <v>95</v>
      </c>
    </row>
    <row r="118" spans="1:15" ht="12.75" customHeight="1">
      <c r="A118" s="4" t="s">
        <v>217</v>
      </c>
      <c r="B118" s="5" t="s">
        <v>218</v>
      </c>
      <c r="C118" s="28">
        <v>2780</v>
      </c>
      <c r="D118" s="28">
        <v>2239</v>
      </c>
      <c r="E118" s="28">
        <v>36</v>
      </c>
      <c r="F118" s="28">
        <f>SUM(C118-D118-E118)</f>
        <v>505</v>
      </c>
      <c r="G118" s="28">
        <v>11120</v>
      </c>
      <c r="H118" s="28">
        <v>7049</v>
      </c>
      <c r="I118" s="28">
        <v>369</v>
      </c>
      <c r="J118" s="28">
        <f>SUM(G118-H118-I118)</f>
        <v>3702</v>
      </c>
      <c r="K118" s="28">
        <v>17</v>
      </c>
      <c r="L118" s="28">
        <v>0</v>
      </c>
      <c r="M118" s="28">
        <v>1013</v>
      </c>
      <c r="N118" s="28">
        <v>143</v>
      </c>
      <c r="O118" s="28">
        <v>143</v>
      </c>
    </row>
    <row r="119" spans="1:15" ht="12.75" customHeight="1">
      <c r="A119" s="8"/>
      <c r="B119" s="9" t="s">
        <v>219</v>
      </c>
      <c r="C119" s="29">
        <f t="shared" ref="C119:O119" si="28">SUM(C117:C118)</f>
        <v>4006</v>
      </c>
      <c r="D119" s="29">
        <f t="shared" si="28"/>
        <v>3071</v>
      </c>
      <c r="E119" s="29">
        <f t="shared" si="28"/>
        <v>36</v>
      </c>
      <c r="F119" s="29">
        <f t="shared" si="28"/>
        <v>899</v>
      </c>
      <c r="G119" s="29">
        <f t="shared" si="28"/>
        <v>16597</v>
      </c>
      <c r="H119" s="29">
        <f t="shared" si="28"/>
        <v>10277</v>
      </c>
      <c r="I119" s="29">
        <f t="shared" si="28"/>
        <v>369</v>
      </c>
      <c r="J119" s="29">
        <f t="shared" si="28"/>
        <v>5951</v>
      </c>
      <c r="K119" s="29">
        <f t="shared" si="28"/>
        <v>17</v>
      </c>
      <c r="L119" s="29">
        <f t="shared" si="28"/>
        <v>0</v>
      </c>
      <c r="M119" s="29">
        <f t="shared" si="28"/>
        <v>2899</v>
      </c>
      <c r="N119" s="29">
        <f t="shared" si="28"/>
        <v>238</v>
      </c>
      <c r="O119" s="29">
        <f t="shared" si="28"/>
        <v>238</v>
      </c>
    </row>
    <row r="120" spans="1:15" ht="12.75" customHeight="1">
      <c r="A120" s="4" t="s">
        <v>220</v>
      </c>
      <c r="B120" s="5" t="s">
        <v>221</v>
      </c>
      <c r="C120" s="28">
        <v>2962</v>
      </c>
      <c r="D120" s="28">
        <v>2655</v>
      </c>
      <c r="E120" s="28">
        <v>28</v>
      </c>
      <c r="F120" s="28">
        <f>SUM(C120-D120-E120)</f>
        <v>279</v>
      </c>
      <c r="G120" s="28">
        <v>10480</v>
      </c>
      <c r="H120" s="28">
        <v>7975</v>
      </c>
      <c r="I120" s="28">
        <v>428</v>
      </c>
      <c r="J120" s="28">
        <f>SUM(G120-H120-I120)</f>
        <v>2077</v>
      </c>
      <c r="K120" s="28">
        <v>460</v>
      </c>
      <c r="L120" s="28">
        <v>0</v>
      </c>
      <c r="M120" s="28">
        <v>482</v>
      </c>
      <c r="N120" s="28">
        <v>401</v>
      </c>
      <c r="O120" s="28">
        <v>401</v>
      </c>
    </row>
    <row r="121" spans="1:15" ht="12.75" customHeight="1">
      <c r="A121" s="4" t="s">
        <v>222</v>
      </c>
      <c r="B121" s="5" t="s">
        <v>223</v>
      </c>
      <c r="C121" s="28">
        <v>4777</v>
      </c>
      <c r="D121" s="28">
        <v>4336</v>
      </c>
      <c r="E121" s="28">
        <v>84</v>
      </c>
      <c r="F121" s="28">
        <f>SUM(C121-D121-E121)</f>
        <v>357</v>
      </c>
      <c r="G121" s="28">
        <v>18787</v>
      </c>
      <c r="H121" s="28">
        <v>13248</v>
      </c>
      <c r="I121" s="28">
        <v>720</v>
      </c>
      <c r="J121" s="28">
        <f>SUM(G121-H121-I121)</f>
        <v>4819</v>
      </c>
      <c r="K121" s="28">
        <v>65</v>
      </c>
      <c r="L121" s="28">
        <v>0</v>
      </c>
      <c r="M121" s="28">
        <v>1321</v>
      </c>
      <c r="N121" s="28">
        <v>91</v>
      </c>
      <c r="O121" s="28">
        <v>91</v>
      </c>
    </row>
    <row r="122" spans="1:15" ht="12.75" customHeight="1">
      <c r="A122" s="4" t="s">
        <v>224</v>
      </c>
      <c r="B122" s="5" t="s">
        <v>225</v>
      </c>
      <c r="C122" s="28">
        <v>854</v>
      </c>
      <c r="D122" s="28">
        <v>733</v>
      </c>
      <c r="E122" s="28">
        <v>0</v>
      </c>
      <c r="F122" s="28">
        <f>SUM(C122-D122-E122)</f>
        <v>121</v>
      </c>
      <c r="G122" s="28">
        <v>3021</v>
      </c>
      <c r="H122" s="28">
        <v>1973</v>
      </c>
      <c r="I122" s="28">
        <v>0</v>
      </c>
      <c r="J122" s="28">
        <f>SUM(G122-H122-I122)</f>
        <v>1048</v>
      </c>
      <c r="K122" s="28">
        <v>65</v>
      </c>
      <c r="L122" s="28">
        <v>0</v>
      </c>
      <c r="M122" s="28">
        <v>1253</v>
      </c>
      <c r="N122" s="28">
        <v>40</v>
      </c>
      <c r="O122" s="28">
        <v>40</v>
      </c>
    </row>
    <row r="123" spans="1:15" ht="12.75" customHeight="1">
      <c r="A123" s="4" t="s">
        <v>226</v>
      </c>
      <c r="B123" s="5" t="s">
        <v>227</v>
      </c>
      <c r="C123" s="28">
        <v>4512</v>
      </c>
      <c r="D123" s="28">
        <v>3747</v>
      </c>
      <c r="E123" s="28">
        <v>43</v>
      </c>
      <c r="F123" s="28">
        <f>SUM(C123-D123-E123)</f>
        <v>722</v>
      </c>
      <c r="G123" s="28">
        <v>15544</v>
      </c>
      <c r="H123" s="28">
        <v>9914</v>
      </c>
      <c r="I123" s="28">
        <v>367</v>
      </c>
      <c r="J123" s="28">
        <f>SUM(G123-H123-I123)</f>
        <v>5263</v>
      </c>
      <c r="K123" s="28">
        <v>225</v>
      </c>
      <c r="L123" s="28">
        <v>0</v>
      </c>
      <c r="M123" s="28">
        <v>927</v>
      </c>
      <c r="N123" s="28">
        <v>246</v>
      </c>
      <c r="O123" s="28">
        <v>246</v>
      </c>
    </row>
    <row r="124" spans="1:15" ht="12.75" customHeight="1">
      <c r="A124" s="4" t="s">
        <v>228</v>
      </c>
      <c r="B124" s="5" t="s">
        <v>229</v>
      </c>
      <c r="C124" s="28">
        <v>1528</v>
      </c>
      <c r="D124" s="28">
        <v>1344</v>
      </c>
      <c r="E124" s="28">
        <v>37</v>
      </c>
      <c r="F124" s="28">
        <f>SUM(C124-D124-E124)</f>
        <v>147</v>
      </c>
      <c r="G124" s="28">
        <v>4834</v>
      </c>
      <c r="H124" s="28">
        <v>3604</v>
      </c>
      <c r="I124" s="28">
        <v>338</v>
      </c>
      <c r="J124" s="28">
        <f>SUM(G124-H124-I124)</f>
        <v>892</v>
      </c>
      <c r="K124" s="28">
        <v>72</v>
      </c>
      <c r="L124" s="28">
        <v>0</v>
      </c>
      <c r="M124" s="28">
        <v>29</v>
      </c>
      <c r="N124" s="28">
        <v>82</v>
      </c>
      <c r="O124" s="28">
        <v>82</v>
      </c>
    </row>
    <row r="125" spans="1:15" ht="12.75" customHeight="1">
      <c r="A125" s="8"/>
      <c r="B125" s="9" t="s">
        <v>230</v>
      </c>
      <c r="C125" s="29">
        <f t="shared" ref="C125:O125" si="29">SUM(C120:C124)</f>
        <v>14633</v>
      </c>
      <c r="D125" s="29">
        <f t="shared" si="29"/>
        <v>12815</v>
      </c>
      <c r="E125" s="29">
        <f t="shared" si="29"/>
        <v>192</v>
      </c>
      <c r="F125" s="29">
        <f t="shared" si="29"/>
        <v>1626</v>
      </c>
      <c r="G125" s="29">
        <f t="shared" si="29"/>
        <v>52666</v>
      </c>
      <c r="H125" s="29">
        <f t="shared" si="29"/>
        <v>36714</v>
      </c>
      <c r="I125" s="29">
        <f t="shared" si="29"/>
        <v>1853</v>
      </c>
      <c r="J125" s="29">
        <f t="shared" si="29"/>
        <v>14099</v>
      </c>
      <c r="K125" s="29">
        <f t="shared" si="29"/>
        <v>887</v>
      </c>
      <c r="L125" s="29">
        <f t="shared" si="29"/>
        <v>0</v>
      </c>
      <c r="M125" s="29">
        <f t="shared" si="29"/>
        <v>4012</v>
      </c>
      <c r="N125" s="29">
        <f t="shared" si="29"/>
        <v>860</v>
      </c>
      <c r="O125" s="29">
        <f t="shared" si="29"/>
        <v>860</v>
      </c>
    </row>
    <row r="126" spans="1:15" ht="12.75" customHeight="1">
      <c r="A126" s="4" t="s">
        <v>231</v>
      </c>
      <c r="B126" s="5" t="s">
        <v>232</v>
      </c>
      <c r="C126" s="28">
        <v>3052</v>
      </c>
      <c r="D126" s="28">
        <v>2287</v>
      </c>
      <c r="E126" s="28">
        <v>0</v>
      </c>
      <c r="F126" s="28">
        <f t="shared" ref="F126:F134" si="30">SUM(C126-D126-E126)</f>
        <v>765</v>
      </c>
      <c r="G126" s="28">
        <v>9858</v>
      </c>
      <c r="H126" s="28">
        <v>5392</v>
      </c>
      <c r="I126" s="28">
        <v>0</v>
      </c>
      <c r="J126" s="28">
        <f t="shared" ref="J126:J134" si="31">SUM(G126-H126-I126)</f>
        <v>4466</v>
      </c>
      <c r="K126" s="28">
        <v>59</v>
      </c>
      <c r="L126" s="28">
        <v>0</v>
      </c>
      <c r="M126" s="28">
        <v>1027</v>
      </c>
      <c r="N126" s="28">
        <v>47</v>
      </c>
      <c r="O126" s="28">
        <v>47</v>
      </c>
    </row>
    <row r="127" spans="1:15" ht="12.75" customHeight="1">
      <c r="A127" s="4" t="s">
        <v>233</v>
      </c>
      <c r="B127" s="5" t="s">
        <v>234</v>
      </c>
      <c r="C127" s="28">
        <v>1555</v>
      </c>
      <c r="D127" s="28">
        <v>1264</v>
      </c>
      <c r="E127" s="28">
        <v>0</v>
      </c>
      <c r="F127" s="28">
        <f t="shared" si="30"/>
        <v>291</v>
      </c>
      <c r="G127" s="28">
        <v>5608</v>
      </c>
      <c r="H127" s="28">
        <v>4340</v>
      </c>
      <c r="I127" s="28">
        <v>0</v>
      </c>
      <c r="J127" s="28">
        <f t="shared" si="31"/>
        <v>1268</v>
      </c>
      <c r="K127" s="28">
        <v>4</v>
      </c>
      <c r="L127" s="28">
        <v>0</v>
      </c>
      <c r="M127" s="28">
        <v>244</v>
      </c>
      <c r="N127" s="28">
        <v>65</v>
      </c>
      <c r="O127" s="28">
        <v>65</v>
      </c>
    </row>
    <row r="128" spans="1:15" ht="12.75" customHeight="1">
      <c r="A128" s="4" t="s">
        <v>235</v>
      </c>
      <c r="B128" s="5" t="s">
        <v>236</v>
      </c>
      <c r="C128" s="28">
        <v>10038</v>
      </c>
      <c r="D128" s="28">
        <v>7734</v>
      </c>
      <c r="E128" s="28">
        <v>163</v>
      </c>
      <c r="F128" s="28">
        <f t="shared" si="30"/>
        <v>2141</v>
      </c>
      <c r="G128" s="28">
        <v>25452</v>
      </c>
      <c r="H128" s="28">
        <v>16723</v>
      </c>
      <c r="I128" s="28">
        <v>865</v>
      </c>
      <c r="J128" s="28">
        <f t="shared" si="31"/>
        <v>7864</v>
      </c>
      <c r="K128" s="28">
        <v>397</v>
      </c>
      <c r="L128" s="28">
        <v>0</v>
      </c>
      <c r="M128" s="28">
        <v>1627</v>
      </c>
      <c r="N128" s="28">
        <v>292</v>
      </c>
      <c r="O128" s="28">
        <v>292</v>
      </c>
    </row>
    <row r="129" spans="1:15" ht="12.75" customHeight="1">
      <c r="A129" s="4" t="s">
        <v>237</v>
      </c>
      <c r="B129" s="5" t="s">
        <v>238</v>
      </c>
      <c r="C129" s="28">
        <v>1018</v>
      </c>
      <c r="D129" s="28">
        <v>814</v>
      </c>
      <c r="E129" s="28">
        <v>42</v>
      </c>
      <c r="F129" s="28">
        <f t="shared" si="30"/>
        <v>162</v>
      </c>
      <c r="G129" s="28">
        <v>4488</v>
      </c>
      <c r="H129" s="28">
        <v>2030</v>
      </c>
      <c r="I129" s="28">
        <v>480</v>
      </c>
      <c r="J129" s="28">
        <f t="shared" si="31"/>
        <v>1978</v>
      </c>
      <c r="K129" s="28">
        <v>17</v>
      </c>
      <c r="L129" s="28">
        <v>0</v>
      </c>
      <c r="M129" s="28">
        <v>698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6231</v>
      </c>
      <c r="D130" s="28">
        <v>5139</v>
      </c>
      <c r="E130" s="28">
        <v>299</v>
      </c>
      <c r="F130" s="28">
        <f t="shared" si="30"/>
        <v>793</v>
      </c>
      <c r="G130" s="28">
        <v>16593</v>
      </c>
      <c r="H130" s="28">
        <v>8838</v>
      </c>
      <c r="I130" s="28">
        <v>1498</v>
      </c>
      <c r="J130" s="28">
        <f t="shared" si="31"/>
        <v>6257</v>
      </c>
      <c r="K130" s="28">
        <v>412</v>
      </c>
      <c r="L130" s="28">
        <v>0</v>
      </c>
      <c r="M130" s="28">
        <v>188</v>
      </c>
      <c r="N130" s="28">
        <v>864</v>
      </c>
      <c r="O130" s="28">
        <v>864</v>
      </c>
    </row>
    <row r="131" spans="1:15" ht="12.75" customHeight="1">
      <c r="A131" s="4" t="s">
        <v>241</v>
      </c>
      <c r="B131" s="5" t="s">
        <v>242</v>
      </c>
      <c r="C131" s="28">
        <v>11480</v>
      </c>
      <c r="D131" s="28">
        <v>9844</v>
      </c>
      <c r="E131" s="28">
        <v>63</v>
      </c>
      <c r="F131" s="28">
        <f t="shared" si="30"/>
        <v>1573</v>
      </c>
      <c r="G131" s="28">
        <v>34582</v>
      </c>
      <c r="H131" s="28">
        <v>16199</v>
      </c>
      <c r="I131" s="28">
        <v>491</v>
      </c>
      <c r="J131" s="28">
        <f t="shared" si="31"/>
        <v>17892</v>
      </c>
      <c r="K131" s="28">
        <v>805</v>
      </c>
      <c r="L131" s="28">
        <v>0</v>
      </c>
      <c r="M131" s="28">
        <v>687</v>
      </c>
      <c r="N131" s="28">
        <v>340</v>
      </c>
      <c r="O131" s="28">
        <v>340</v>
      </c>
    </row>
    <row r="132" spans="1:15" ht="12.75" customHeight="1">
      <c r="A132" s="4" t="s">
        <v>243</v>
      </c>
      <c r="B132" s="5" t="s">
        <v>244</v>
      </c>
      <c r="C132" s="28">
        <v>5511</v>
      </c>
      <c r="D132" s="28">
        <v>4593</v>
      </c>
      <c r="E132" s="28">
        <v>0</v>
      </c>
      <c r="F132" s="28">
        <f t="shared" si="30"/>
        <v>918</v>
      </c>
      <c r="G132" s="28">
        <v>16700</v>
      </c>
      <c r="H132" s="28">
        <v>10049</v>
      </c>
      <c r="I132" s="28">
        <v>0</v>
      </c>
      <c r="J132" s="28">
        <f t="shared" si="31"/>
        <v>6651</v>
      </c>
      <c r="K132" s="28">
        <v>629</v>
      </c>
      <c r="L132" s="28">
        <v>0</v>
      </c>
      <c r="M132" s="28">
        <v>1353</v>
      </c>
      <c r="N132" s="28">
        <v>73</v>
      </c>
      <c r="O132" s="28">
        <v>73</v>
      </c>
    </row>
    <row r="133" spans="1:15" ht="12.75" customHeight="1">
      <c r="A133" s="4" t="s">
        <v>245</v>
      </c>
      <c r="B133" s="5" t="s">
        <v>246</v>
      </c>
      <c r="C133" s="28">
        <v>4937</v>
      </c>
      <c r="D133" s="28">
        <v>4185</v>
      </c>
      <c r="E133" s="28">
        <v>0</v>
      </c>
      <c r="F133" s="28">
        <f t="shared" si="30"/>
        <v>752</v>
      </c>
      <c r="G133" s="28">
        <v>11772</v>
      </c>
      <c r="H133" s="28">
        <v>9200</v>
      </c>
      <c r="I133" s="28">
        <v>0</v>
      </c>
      <c r="J133" s="28">
        <f t="shared" si="31"/>
        <v>2572</v>
      </c>
      <c r="K133" s="28">
        <v>1004</v>
      </c>
      <c r="L133" s="28">
        <v>0</v>
      </c>
      <c r="M133" s="28">
        <v>1164</v>
      </c>
      <c r="N133" s="28">
        <v>145</v>
      </c>
      <c r="O133" s="28">
        <v>145</v>
      </c>
    </row>
    <row r="134" spans="1:15" ht="12.75" customHeight="1">
      <c r="A134" s="4" t="s">
        <v>247</v>
      </c>
      <c r="B134" s="5" t="s">
        <v>248</v>
      </c>
      <c r="C134" s="28">
        <v>2929</v>
      </c>
      <c r="D134" s="28">
        <v>2323</v>
      </c>
      <c r="E134" s="28">
        <v>0</v>
      </c>
      <c r="F134" s="28">
        <f t="shared" si="30"/>
        <v>606</v>
      </c>
      <c r="G134" s="28">
        <v>7480</v>
      </c>
      <c r="H134" s="28">
        <v>5215</v>
      </c>
      <c r="I134" s="28">
        <v>0</v>
      </c>
      <c r="J134" s="28">
        <f t="shared" si="31"/>
        <v>2265</v>
      </c>
      <c r="K134" s="28">
        <v>28</v>
      </c>
      <c r="L134" s="28">
        <v>0</v>
      </c>
      <c r="M134" s="28">
        <v>1405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46751</v>
      </c>
      <c r="D135" s="29">
        <f t="shared" si="32"/>
        <v>38183</v>
      </c>
      <c r="E135" s="29">
        <f t="shared" si="32"/>
        <v>567</v>
      </c>
      <c r="F135" s="29">
        <f t="shared" si="32"/>
        <v>8001</v>
      </c>
      <c r="G135" s="29">
        <f t="shared" si="32"/>
        <v>132533</v>
      </c>
      <c r="H135" s="29">
        <f t="shared" si="32"/>
        <v>77986</v>
      </c>
      <c r="I135" s="29">
        <f t="shared" si="32"/>
        <v>3334</v>
      </c>
      <c r="J135" s="29">
        <f t="shared" si="32"/>
        <v>51213</v>
      </c>
      <c r="K135" s="29">
        <f t="shared" si="32"/>
        <v>3355</v>
      </c>
      <c r="L135" s="29">
        <f t="shared" si="32"/>
        <v>0</v>
      </c>
      <c r="M135" s="29">
        <f t="shared" si="32"/>
        <v>8393</v>
      </c>
      <c r="N135" s="29">
        <f t="shared" si="32"/>
        <v>1826</v>
      </c>
      <c r="O135" s="29">
        <f t="shared" si="32"/>
        <v>1826</v>
      </c>
    </row>
    <row r="136" spans="1:15" ht="12.75" customHeight="1">
      <c r="A136" s="4" t="s">
        <v>250</v>
      </c>
      <c r="B136" s="5" t="s">
        <v>251</v>
      </c>
      <c r="C136" s="28">
        <v>7048</v>
      </c>
      <c r="D136" s="28">
        <v>6511</v>
      </c>
      <c r="E136" s="28">
        <v>0</v>
      </c>
      <c r="F136" s="28">
        <f t="shared" ref="F136:F143" si="33">SUM(C136-D136-E136)</f>
        <v>537</v>
      </c>
      <c r="G136" s="28">
        <v>17687</v>
      </c>
      <c r="H136" s="28">
        <v>13494</v>
      </c>
      <c r="I136" s="28">
        <v>0</v>
      </c>
      <c r="J136" s="28">
        <f t="shared" ref="J136:J143" si="34">SUM(G136-H136-I136)</f>
        <v>4193</v>
      </c>
      <c r="K136" s="28">
        <v>1602</v>
      </c>
      <c r="L136" s="28">
        <v>961</v>
      </c>
      <c r="M136" s="28">
        <v>806</v>
      </c>
      <c r="N136" s="28">
        <v>2561</v>
      </c>
      <c r="O136" s="28">
        <v>2561</v>
      </c>
    </row>
    <row r="137" spans="1:15" ht="12.75" customHeight="1">
      <c r="A137" s="4" t="s">
        <v>252</v>
      </c>
      <c r="B137" s="5" t="s">
        <v>253</v>
      </c>
      <c r="C137" s="28">
        <v>1016</v>
      </c>
      <c r="D137" s="28">
        <v>1014</v>
      </c>
      <c r="E137" s="28">
        <v>0</v>
      </c>
      <c r="F137" s="28">
        <f t="shared" si="33"/>
        <v>2</v>
      </c>
      <c r="G137" s="28">
        <v>2334</v>
      </c>
      <c r="H137" s="28">
        <v>2308</v>
      </c>
      <c r="I137" s="28">
        <v>0</v>
      </c>
      <c r="J137" s="28">
        <f t="shared" si="34"/>
        <v>26</v>
      </c>
      <c r="K137" s="28">
        <v>93</v>
      </c>
      <c r="L137" s="28">
        <v>0</v>
      </c>
      <c r="M137" s="28">
        <v>0</v>
      </c>
      <c r="N137" s="28">
        <v>206</v>
      </c>
      <c r="O137" s="28">
        <v>206</v>
      </c>
    </row>
    <row r="138" spans="1:15" ht="12.75" customHeight="1">
      <c r="A138" s="4" t="s">
        <v>254</v>
      </c>
      <c r="B138" s="5" t="s">
        <v>255</v>
      </c>
      <c r="C138" s="28">
        <v>669</v>
      </c>
      <c r="D138" s="28">
        <v>655</v>
      </c>
      <c r="E138" s="28">
        <v>0</v>
      </c>
      <c r="F138" s="28">
        <f t="shared" si="33"/>
        <v>14</v>
      </c>
      <c r="G138" s="28">
        <v>2440</v>
      </c>
      <c r="H138" s="28">
        <v>2052</v>
      </c>
      <c r="I138" s="28">
        <v>0</v>
      </c>
      <c r="J138" s="28">
        <f t="shared" si="34"/>
        <v>388</v>
      </c>
      <c r="K138" s="28">
        <v>218</v>
      </c>
      <c r="L138" s="28">
        <v>0</v>
      </c>
      <c r="M138" s="28">
        <v>257</v>
      </c>
      <c r="N138" s="28">
        <v>488</v>
      </c>
      <c r="O138" s="28">
        <v>488</v>
      </c>
    </row>
    <row r="139" spans="1:15" ht="12.75" customHeight="1">
      <c r="A139" s="4" t="s">
        <v>256</v>
      </c>
      <c r="B139" s="5" t="s">
        <v>257</v>
      </c>
      <c r="C139" s="28">
        <v>1664</v>
      </c>
      <c r="D139" s="28">
        <v>1538</v>
      </c>
      <c r="E139" s="28">
        <v>0</v>
      </c>
      <c r="F139" s="28">
        <f t="shared" si="33"/>
        <v>126</v>
      </c>
      <c r="G139" s="28">
        <v>5341</v>
      </c>
      <c r="H139" s="28">
        <v>4469</v>
      </c>
      <c r="I139" s="28">
        <v>0</v>
      </c>
      <c r="J139" s="28">
        <f t="shared" si="34"/>
        <v>872</v>
      </c>
      <c r="K139" s="28">
        <v>1172</v>
      </c>
      <c r="L139" s="28">
        <v>31</v>
      </c>
      <c r="M139" s="28">
        <v>904</v>
      </c>
      <c r="N139" s="28">
        <v>386</v>
      </c>
      <c r="O139" s="28">
        <v>386</v>
      </c>
    </row>
    <row r="140" spans="1:15" ht="12.75" customHeight="1">
      <c r="A140" s="4" t="s">
        <v>258</v>
      </c>
      <c r="B140" s="5" t="s">
        <v>259</v>
      </c>
      <c r="C140" s="28">
        <v>342</v>
      </c>
      <c r="D140" s="28">
        <v>342</v>
      </c>
      <c r="E140" s="28">
        <v>0</v>
      </c>
      <c r="F140" s="28">
        <f t="shared" si="33"/>
        <v>0</v>
      </c>
      <c r="G140" s="28">
        <v>784</v>
      </c>
      <c r="H140" s="28">
        <v>770</v>
      </c>
      <c r="I140" s="28">
        <v>0</v>
      </c>
      <c r="J140" s="28">
        <f t="shared" si="34"/>
        <v>14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1811</v>
      </c>
      <c r="D141" s="28">
        <v>1732</v>
      </c>
      <c r="E141" s="28">
        <v>0</v>
      </c>
      <c r="F141" s="28">
        <f t="shared" si="33"/>
        <v>79</v>
      </c>
      <c r="G141" s="28">
        <v>4011</v>
      </c>
      <c r="H141" s="28">
        <v>3644</v>
      </c>
      <c r="I141" s="28">
        <v>0</v>
      </c>
      <c r="J141" s="28">
        <f t="shared" si="34"/>
        <v>367</v>
      </c>
      <c r="K141" s="28">
        <v>20</v>
      </c>
      <c r="L141" s="28">
        <v>0</v>
      </c>
      <c r="M141" s="28">
        <v>8</v>
      </c>
      <c r="N141" s="28">
        <v>253</v>
      </c>
      <c r="O141" s="28">
        <v>253</v>
      </c>
    </row>
    <row r="142" spans="1:15" ht="12.75" customHeight="1">
      <c r="A142" s="4" t="s">
        <v>262</v>
      </c>
      <c r="B142" s="5" t="s">
        <v>263</v>
      </c>
      <c r="C142" s="28">
        <v>1662</v>
      </c>
      <c r="D142" s="28">
        <v>1221</v>
      </c>
      <c r="E142" s="28">
        <v>0</v>
      </c>
      <c r="F142" s="28">
        <f t="shared" si="33"/>
        <v>441</v>
      </c>
      <c r="G142" s="28">
        <v>5517</v>
      </c>
      <c r="H142" s="28">
        <v>4303</v>
      </c>
      <c r="I142" s="28">
        <v>0</v>
      </c>
      <c r="J142" s="28">
        <f t="shared" si="34"/>
        <v>1214</v>
      </c>
      <c r="K142" s="28">
        <v>721</v>
      </c>
      <c r="L142" s="28">
        <v>0</v>
      </c>
      <c r="M142" s="28">
        <v>813</v>
      </c>
      <c r="N142" s="28">
        <v>612</v>
      </c>
      <c r="O142" s="28">
        <v>612</v>
      </c>
    </row>
    <row r="143" spans="1:15" ht="12.75" customHeight="1">
      <c r="A143" s="4" t="s">
        <v>264</v>
      </c>
      <c r="B143" s="5" t="s">
        <v>265</v>
      </c>
      <c r="C143" s="28">
        <v>4175</v>
      </c>
      <c r="D143" s="28">
        <v>3487</v>
      </c>
      <c r="E143" s="28">
        <v>0</v>
      </c>
      <c r="F143" s="28">
        <f t="shared" si="33"/>
        <v>688</v>
      </c>
      <c r="G143" s="28">
        <v>14744</v>
      </c>
      <c r="H143" s="28">
        <v>6560</v>
      </c>
      <c r="I143" s="28">
        <v>0</v>
      </c>
      <c r="J143" s="28">
        <f t="shared" si="34"/>
        <v>8184</v>
      </c>
      <c r="K143" s="28">
        <v>4935</v>
      </c>
      <c r="L143" s="28">
        <v>148</v>
      </c>
      <c r="M143" s="28">
        <v>1443</v>
      </c>
      <c r="N143" s="28">
        <v>1078</v>
      </c>
      <c r="O143" s="28">
        <v>1078</v>
      </c>
    </row>
    <row r="144" spans="1:15" ht="12.75" customHeight="1">
      <c r="A144" s="10"/>
      <c r="B144" s="9" t="s">
        <v>266</v>
      </c>
      <c r="C144" s="30">
        <f t="shared" ref="C144:O144" si="35">SUM(C136:C143)</f>
        <v>18387</v>
      </c>
      <c r="D144" s="30">
        <f t="shared" si="35"/>
        <v>16500</v>
      </c>
      <c r="E144" s="30">
        <f t="shared" si="35"/>
        <v>0</v>
      </c>
      <c r="F144" s="30">
        <f t="shared" si="35"/>
        <v>1887</v>
      </c>
      <c r="G144" s="30">
        <f t="shared" si="35"/>
        <v>52858</v>
      </c>
      <c r="H144" s="30">
        <f t="shared" si="35"/>
        <v>37600</v>
      </c>
      <c r="I144" s="30">
        <f t="shared" si="35"/>
        <v>0</v>
      </c>
      <c r="J144" s="30">
        <f t="shared" si="35"/>
        <v>15258</v>
      </c>
      <c r="K144" s="30">
        <f t="shared" si="35"/>
        <v>8761</v>
      </c>
      <c r="L144" s="30">
        <f t="shared" si="35"/>
        <v>1140</v>
      </c>
      <c r="M144" s="30">
        <f t="shared" si="35"/>
        <v>4231</v>
      </c>
      <c r="N144" s="30">
        <f t="shared" si="35"/>
        <v>5584</v>
      </c>
      <c r="O144" s="30">
        <f t="shared" si="35"/>
        <v>5584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624007</v>
      </c>
      <c r="D145" s="31">
        <f t="shared" si="36"/>
        <v>449642</v>
      </c>
      <c r="E145" s="31">
        <f t="shared" si="36"/>
        <v>13524</v>
      </c>
      <c r="F145" s="31">
        <f t="shared" si="36"/>
        <v>160841</v>
      </c>
      <c r="G145" s="31">
        <f t="shared" si="36"/>
        <v>2046435</v>
      </c>
      <c r="H145" s="31">
        <f t="shared" si="36"/>
        <v>1039661</v>
      </c>
      <c r="I145" s="31">
        <f t="shared" si="36"/>
        <v>80283</v>
      </c>
      <c r="J145" s="31">
        <f t="shared" si="36"/>
        <v>926491</v>
      </c>
      <c r="K145" s="31">
        <f t="shared" si="36"/>
        <v>84685</v>
      </c>
      <c r="L145" s="31">
        <f t="shared" si="36"/>
        <v>1894</v>
      </c>
      <c r="M145" s="31">
        <f t="shared" si="36"/>
        <v>165557</v>
      </c>
      <c r="N145" s="31">
        <f t="shared" si="36"/>
        <v>77161</v>
      </c>
      <c r="O145" s="31">
        <f t="shared" si="36"/>
        <v>43222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12111</v>
      </c>
      <c r="D15" s="28">
        <v>9447</v>
      </c>
      <c r="E15" s="28">
        <v>953</v>
      </c>
      <c r="F15" s="28">
        <f t="shared" ref="F15:F22" si="0">SUM(C15-D15-E15)</f>
        <v>1711</v>
      </c>
      <c r="G15" s="28">
        <v>67156</v>
      </c>
      <c r="H15" s="28">
        <v>27289</v>
      </c>
      <c r="I15" s="28">
        <v>7580</v>
      </c>
      <c r="J15" s="28">
        <f t="shared" ref="J15:J22" si="1">SUM(G15-H15-I15)</f>
        <v>32287</v>
      </c>
      <c r="K15" s="28">
        <v>4898</v>
      </c>
      <c r="L15" s="28">
        <v>0</v>
      </c>
      <c r="M15" s="28">
        <v>5233</v>
      </c>
      <c r="N15" s="28">
        <v>2483</v>
      </c>
      <c r="O15" s="28">
        <v>1757</v>
      </c>
    </row>
    <row r="16" spans="1:15" ht="12.75" customHeight="1">
      <c r="A16" s="4" t="s">
        <v>29</v>
      </c>
      <c r="B16" s="5" t="s">
        <v>30</v>
      </c>
      <c r="C16" s="28">
        <v>8411</v>
      </c>
      <c r="D16" s="28">
        <v>4014</v>
      </c>
      <c r="E16" s="28">
        <v>155</v>
      </c>
      <c r="F16" s="28">
        <f t="shared" si="0"/>
        <v>4242</v>
      </c>
      <c r="G16" s="28">
        <v>63809</v>
      </c>
      <c r="H16" s="28">
        <v>10925</v>
      </c>
      <c r="I16" s="28">
        <v>1362</v>
      </c>
      <c r="J16" s="28">
        <f t="shared" si="1"/>
        <v>51522</v>
      </c>
      <c r="K16" s="28">
        <v>1801</v>
      </c>
      <c r="L16" s="28">
        <v>0</v>
      </c>
      <c r="M16" s="28">
        <v>3587</v>
      </c>
      <c r="N16" s="28">
        <v>90</v>
      </c>
      <c r="O16" s="28">
        <v>90</v>
      </c>
    </row>
    <row r="17" spans="1:15" ht="12.75" customHeight="1">
      <c r="A17" s="4" t="s">
        <v>31</v>
      </c>
      <c r="B17" s="5" t="s">
        <v>32</v>
      </c>
      <c r="C17" s="28">
        <v>5371</v>
      </c>
      <c r="D17" s="28">
        <v>4351</v>
      </c>
      <c r="E17" s="28">
        <v>0</v>
      </c>
      <c r="F17" s="28">
        <f t="shared" si="0"/>
        <v>1020</v>
      </c>
      <c r="G17" s="28">
        <v>11206</v>
      </c>
      <c r="H17" s="28">
        <v>8399</v>
      </c>
      <c r="I17" s="28">
        <v>0</v>
      </c>
      <c r="J17" s="28">
        <f t="shared" si="1"/>
        <v>2807</v>
      </c>
      <c r="K17" s="28">
        <v>740</v>
      </c>
      <c r="L17" s="28">
        <v>0</v>
      </c>
      <c r="M17" s="28">
        <v>226</v>
      </c>
      <c r="N17" s="28">
        <v>498</v>
      </c>
      <c r="O17" s="28">
        <v>498</v>
      </c>
    </row>
    <row r="18" spans="1:15" ht="12.75" customHeight="1">
      <c r="A18" s="4" t="s">
        <v>33</v>
      </c>
      <c r="B18" s="5" t="s">
        <v>34</v>
      </c>
      <c r="C18" s="28">
        <v>16327</v>
      </c>
      <c r="D18" s="28">
        <v>10974</v>
      </c>
      <c r="E18" s="28">
        <v>185</v>
      </c>
      <c r="F18" s="28">
        <f t="shared" si="0"/>
        <v>5168</v>
      </c>
      <c r="G18" s="28">
        <v>43274</v>
      </c>
      <c r="H18" s="28">
        <v>30497</v>
      </c>
      <c r="I18" s="28">
        <v>1032</v>
      </c>
      <c r="J18" s="28">
        <f t="shared" si="1"/>
        <v>11745</v>
      </c>
      <c r="K18" s="28">
        <v>2556</v>
      </c>
      <c r="L18" s="28">
        <v>0</v>
      </c>
      <c r="M18" s="28">
        <v>2012</v>
      </c>
      <c r="N18" s="28">
        <v>381</v>
      </c>
      <c r="O18" s="28">
        <v>381</v>
      </c>
    </row>
    <row r="19" spans="1:15" ht="12.75" customHeight="1">
      <c r="A19" s="4" t="s">
        <v>35</v>
      </c>
      <c r="B19" s="5" t="s">
        <v>36</v>
      </c>
      <c r="C19" s="28">
        <v>9996</v>
      </c>
      <c r="D19" s="28">
        <v>9616</v>
      </c>
      <c r="E19" s="28">
        <v>302</v>
      </c>
      <c r="F19" s="28">
        <f t="shared" si="0"/>
        <v>78</v>
      </c>
      <c r="G19" s="28">
        <v>29736</v>
      </c>
      <c r="H19" s="28">
        <v>23788</v>
      </c>
      <c r="I19" s="28">
        <v>1875</v>
      </c>
      <c r="J19" s="28">
        <f t="shared" si="1"/>
        <v>4073</v>
      </c>
      <c r="K19" s="28">
        <v>533</v>
      </c>
      <c r="L19" s="28">
        <v>0</v>
      </c>
      <c r="M19" s="28">
        <v>118</v>
      </c>
      <c r="N19" s="28">
        <v>114</v>
      </c>
      <c r="O19" s="28">
        <v>114</v>
      </c>
    </row>
    <row r="20" spans="1:15" ht="12.75" customHeight="1">
      <c r="A20" s="4" t="s">
        <v>37</v>
      </c>
      <c r="B20" s="5" t="s">
        <v>38</v>
      </c>
      <c r="C20" s="28">
        <v>59013</v>
      </c>
      <c r="D20" s="28">
        <v>53022</v>
      </c>
      <c r="E20" s="28">
        <v>1404</v>
      </c>
      <c r="F20" s="28">
        <f t="shared" si="0"/>
        <v>4587</v>
      </c>
      <c r="G20" s="28">
        <v>157344</v>
      </c>
      <c r="H20" s="28">
        <v>113970</v>
      </c>
      <c r="I20" s="28">
        <v>8054</v>
      </c>
      <c r="J20" s="28">
        <f t="shared" si="1"/>
        <v>35320</v>
      </c>
      <c r="K20" s="28">
        <v>8014</v>
      </c>
      <c r="L20" s="28">
        <v>0</v>
      </c>
      <c r="M20" s="28">
        <v>4558</v>
      </c>
      <c r="N20" s="28">
        <v>2131</v>
      </c>
      <c r="O20" s="28">
        <v>2131</v>
      </c>
    </row>
    <row r="21" spans="1:15" ht="12.75" customHeight="1">
      <c r="A21" s="4" t="s">
        <v>39</v>
      </c>
      <c r="B21" s="5" t="s">
        <v>40</v>
      </c>
      <c r="C21" s="28">
        <v>4281</v>
      </c>
      <c r="D21" s="28">
        <v>4256</v>
      </c>
      <c r="E21" s="28">
        <v>0</v>
      </c>
      <c r="F21" s="28">
        <f t="shared" si="0"/>
        <v>25</v>
      </c>
      <c r="G21" s="28">
        <v>7948</v>
      </c>
      <c r="H21" s="28">
        <v>7758</v>
      </c>
      <c r="I21" s="28">
        <v>0</v>
      </c>
      <c r="J21" s="28">
        <f t="shared" si="1"/>
        <v>190</v>
      </c>
      <c r="K21" s="28">
        <v>63</v>
      </c>
      <c r="L21" s="28">
        <v>0</v>
      </c>
      <c r="M21" s="28">
        <v>0</v>
      </c>
      <c r="N21" s="28">
        <v>47</v>
      </c>
      <c r="O21" s="28">
        <v>47</v>
      </c>
    </row>
    <row r="22" spans="1:15" ht="12.75" customHeight="1">
      <c r="A22" s="4" t="s">
        <v>41</v>
      </c>
      <c r="B22" s="5" t="s">
        <v>42</v>
      </c>
      <c r="C22" s="28">
        <v>4476</v>
      </c>
      <c r="D22" s="28">
        <v>3654</v>
      </c>
      <c r="E22" s="28">
        <v>410</v>
      </c>
      <c r="F22" s="28">
        <f t="shared" si="0"/>
        <v>412</v>
      </c>
      <c r="G22" s="28">
        <v>13190</v>
      </c>
      <c r="H22" s="28">
        <v>8006</v>
      </c>
      <c r="I22" s="28">
        <v>2014</v>
      </c>
      <c r="J22" s="28">
        <f t="shared" si="1"/>
        <v>3170</v>
      </c>
      <c r="K22" s="28">
        <v>1336</v>
      </c>
      <c r="L22" s="28">
        <v>0</v>
      </c>
      <c r="M22" s="28">
        <v>1919</v>
      </c>
      <c r="N22" s="28">
        <v>588</v>
      </c>
      <c r="O22" s="28">
        <v>588</v>
      </c>
    </row>
    <row r="23" spans="1:15" ht="12.75" customHeight="1">
      <c r="A23" s="8"/>
      <c r="B23" s="9" t="s">
        <v>43</v>
      </c>
      <c r="C23" s="29">
        <f t="shared" ref="C23:O23" si="2">SUM(C15:C22)</f>
        <v>119986</v>
      </c>
      <c r="D23" s="29">
        <f t="shared" si="2"/>
        <v>99334</v>
      </c>
      <c r="E23" s="29">
        <f t="shared" si="2"/>
        <v>3409</v>
      </c>
      <c r="F23" s="29">
        <f t="shared" si="2"/>
        <v>17243</v>
      </c>
      <c r="G23" s="29">
        <f t="shared" si="2"/>
        <v>393663</v>
      </c>
      <c r="H23" s="29">
        <f t="shared" si="2"/>
        <v>230632</v>
      </c>
      <c r="I23" s="29">
        <f t="shared" si="2"/>
        <v>21917</v>
      </c>
      <c r="J23" s="29">
        <f t="shared" si="2"/>
        <v>141114</v>
      </c>
      <c r="K23" s="29">
        <f t="shared" si="2"/>
        <v>19941</v>
      </c>
      <c r="L23" s="29">
        <f t="shared" si="2"/>
        <v>0</v>
      </c>
      <c r="M23" s="29">
        <f t="shared" si="2"/>
        <v>17653</v>
      </c>
      <c r="N23" s="29">
        <f t="shared" si="2"/>
        <v>6332</v>
      </c>
      <c r="O23" s="29">
        <f t="shared" si="2"/>
        <v>5606</v>
      </c>
    </row>
    <row r="24" spans="1:15" ht="14.25" customHeight="1">
      <c r="A24" s="4" t="s">
        <v>44</v>
      </c>
      <c r="B24" s="5" t="s">
        <v>45</v>
      </c>
      <c r="C24" s="28">
        <v>5003</v>
      </c>
      <c r="D24" s="28">
        <v>3564</v>
      </c>
      <c r="E24" s="28">
        <v>270</v>
      </c>
      <c r="F24" s="28">
        <f>SUM(C24-D24-E24)</f>
        <v>1169</v>
      </c>
      <c r="G24" s="28">
        <v>13230</v>
      </c>
      <c r="H24" s="28">
        <v>6905</v>
      </c>
      <c r="I24" s="28">
        <v>1213</v>
      </c>
      <c r="J24" s="28">
        <f>SUM(G24-H24-I24)</f>
        <v>5112</v>
      </c>
      <c r="K24" s="28">
        <v>4759</v>
      </c>
      <c r="L24" s="28">
        <v>0</v>
      </c>
      <c r="M24" s="28">
        <v>642</v>
      </c>
      <c r="N24" s="28">
        <v>236</v>
      </c>
      <c r="O24" s="28">
        <v>236</v>
      </c>
    </row>
    <row r="25" spans="1:15" ht="14.25" customHeight="1">
      <c r="A25" s="10"/>
      <c r="B25" s="9" t="s">
        <v>46</v>
      </c>
      <c r="C25" s="29">
        <f t="shared" ref="C25:O25" si="3">SUM(C24)</f>
        <v>5003</v>
      </c>
      <c r="D25" s="29">
        <f t="shared" si="3"/>
        <v>3564</v>
      </c>
      <c r="E25" s="29">
        <f t="shared" si="3"/>
        <v>270</v>
      </c>
      <c r="F25" s="29">
        <f t="shared" si="3"/>
        <v>1169</v>
      </c>
      <c r="G25" s="29">
        <f t="shared" si="3"/>
        <v>13230</v>
      </c>
      <c r="H25" s="29">
        <f t="shared" si="3"/>
        <v>6905</v>
      </c>
      <c r="I25" s="29">
        <f t="shared" si="3"/>
        <v>1213</v>
      </c>
      <c r="J25" s="29">
        <f t="shared" si="3"/>
        <v>5112</v>
      </c>
      <c r="K25" s="29">
        <f t="shared" si="3"/>
        <v>4759</v>
      </c>
      <c r="L25" s="29">
        <f t="shared" si="3"/>
        <v>0</v>
      </c>
      <c r="M25" s="29">
        <f t="shared" si="3"/>
        <v>642</v>
      </c>
      <c r="N25" s="29">
        <f t="shared" si="3"/>
        <v>236</v>
      </c>
      <c r="O25" s="29">
        <f t="shared" si="3"/>
        <v>236</v>
      </c>
    </row>
    <row r="26" spans="1:15" ht="12.75" customHeight="1">
      <c r="A26" s="4" t="s">
        <v>47</v>
      </c>
      <c r="B26" s="5" t="s">
        <v>48</v>
      </c>
      <c r="C26" s="28">
        <v>42953</v>
      </c>
      <c r="D26" s="28">
        <v>18187</v>
      </c>
      <c r="E26" s="28">
        <v>912</v>
      </c>
      <c r="F26" s="28">
        <f>SUM(C26-D26-E26)</f>
        <v>23854</v>
      </c>
      <c r="G26" s="28">
        <v>104971</v>
      </c>
      <c r="H26" s="28">
        <v>32607</v>
      </c>
      <c r="I26" s="28">
        <v>3807</v>
      </c>
      <c r="J26" s="28">
        <f>SUM(G26-H26-I26)</f>
        <v>68557</v>
      </c>
      <c r="K26" s="28">
        <v>12430</v>
      </c>
      <c r="L26" s="28">
        <v>0</v>
      </c>
      <c r="M26" s="28">
        <v>1669</v>
      </c>
      <c r="N26" s="28">
        <v>1567</v>
      </c>
      <c r="O26" s="28">
        <v>1567</v>
      </c>
    </row>
    <row r="27" spans="1:15" ht="12.75" customHeight="1">
      <c r="A27" s="4" t="s">
        <v>49</v>
      </c>
      <c r="B27" s="5" t="s">
        <v>50</v>
      </c>
      <c r="C27" s="28">
        <v>6690</v>
      </c>
      <c r="D27" s="28">
        <v>5616</v>
      </c>
      <c r="E27" s="28">
        <v>215</v>
      </c>
      <c r="F27" s="28">
        <f>SUM(C27-D27-E27)</f>
        <v>859</v>
      </c>
      <c r="G27" s="28">
        <v>13375</v>
      </c>
      <c r="H27" s="28">
        <v>9047</v>
      </c>
      <c r="I27" s="28">
        <v>922</v>
      </c>
      <c r="J27" s="28">
        <f>SUM(G27-H27-I27)</f>
        <v>3406</v>
      </c>
      <c r="K27" s="28">
        <v>1772</v>
      </c>
      <c r="L27" s="28">
        <v>0</v>
      </c>
      <c r="M27" s="28">
        <v>503</v>
      </c>
      <c r="N27" s="28">
        <v>517</v>
      </c>
      <c r="O27" s="28">
        <v>517</v>
      </c>
    </row>
    <row r="28" spans="1:15" ht="12.75" customHeight="1">
      <c r="A28" s="4" t="s">
        <v>51</v>
      </c>
      <c r="B28" s="5" t="s">
        <v>52</v>
      </c>
      <c r="C28" s="28">
        <v>6411</v>
      </c>
      <c r="D28" s="28">
        <v>4135</v>
      </c>
      <c r="E28" s="28">
        <v>398</v>
      </c>
      <c r="F28" s="28">
        <f>SUM(C28-D28-E28)</f>
        <v>1878</v>
      </c>
      <c r="G28" s="28">
        <v>18374</v>
      </c>
      <c r="H28" s="28">
        <v>9933</v>
      </c>
      <c r="I28" s="28">
        <v>2733</v>
      </c>
      <c r="J28" s="28">
        <f>SUM(G28-H28-I28)</f>
        <v>5708</v>
      </c>
      <c r="K28" s="28">
        <v>573</v>
      </c>
      <c r="L28" s="28">
        <v>0</v>
      </c>
      <c r="M28" s="28">
        <v>179</v>
      </c>
      <c r="N28" s="28">
        <v>82</v>
      </c>
      <c r="O28" s="28">
        <v>82</v>
      </c>
    </row>
    <row r="29" spans="1:15" ht="12.75" customHeight="1">
      <c r="A29" s="4" t="s">
        <v>53</v>
      </c>
      <c r="B29" s="5" t="s">
        <v>54</v>
      </c>
      <c r="C29" s="28">
        <v>7805</v>
      </c>
      <c r="D29" s="28">
        <v>6848</v>
      </c>
      <c r="E29" s="28">
        <v>628</v>
      </c>
      <c r="F29" s="28">
        <f>SUM(C29-D29-E29)</f>
        <v>329</v>
      </c>
      <c r="G29" s="28">
        <v>19466</v>
      </c>
      <c r="H29" s="28">
        <v>15491</v>
      </c>
      <c r="I29" s="28">
        <v>3152</v>
      </c>
      <c r="J29" s="28">
        <f>SUM(G29-H29-I29)</f>
        <v>823</v>
      </c>
      <c r="K29" s="28">
        <v>35</v>
      </c>
      <c r="L29" s="28">
        <v>0</v>
      </c>
      <c r="M29" s="28">
        <v>89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63859</v>
      </c>
      <c r="D30" s="29">
        <f t="shared" si="4"/>
        <v>34786</v>
      </c>
      <c r="E30" s="29">
        <f t="shared" si="4"/>
        <v>2153</v>
      </c>
      <c r="F30" s="29">
        <f t="shared" si="4"/>
        <v>26920</v>
      </c>
      <c r="G30" s="29">
        <f t="shared" si="4"/>
        <v>156186</v>
      </c>
      <c r="H30" s="29">
        <f t="shared" si="4"/>
        <v>67078</v>
      </c>
      <c r="I30" s="29">
        <f t="shared" si="4"/>
        <v>10614</v>
      </c>
      <c r="J30" s="29">
        <f t="shared" si="4"/>
        <v>78494</v>
      </c>
      <c r="K30" s="29">
        <f t="shared" si="4"/>
        <v>14810</v>
      </c>
      <c r="L30" s="29">
        <f t="shared" si="4"/>
        <v>0</v>
      </c>
      <c r="M30" s="29">
        <f t="shared" si="4"/>
        <v>2440</v>
      </c>
      <c r="N30" s="29">
        <f t="shared" si="4"/>
        <v>2255</v>
      </c>
      <c r="O30" s="29">
        <f t="shared" si="4"/>
        <v>2255</v>
      </c>
    </row>
    <row r="31" spans="1:15" ht="12.75" customHeight="1">
      <c r="A31" s="4" t="s">
        <v>56</v>
      </c>
      <c r="B31" s="5" t="s">
        <v>57</v>
      </c>
      <c r="C31" s="28">
        <v>29228</v>
      </c>
      <c r="D31" s="28">
        <v>23959</v>
      </c>
      <c r="E31" s="28">
        <v>457</v>
      </c>
      <c r="F31" s="28">
        <f t="shared" ref="F31:F42" si="5">SUM(C31-D31-E31)</f>
        <v>4812</v>
      </c>
      <c r="G31" s="28">
        <v>89556</v>
      </c>
      <c r="H31" s="28">
        <v>50191</v>
      </c>
      <c r="I31" s="28">
        <v>2452</v>
      </c>
      <c r="J31" s="28">
        <f t="shared" ref="J31:J42" si="6">SUM(G31-H31-I31)</f>
        <v>36913</v>
      </c>
      <c r="K31" s="28">
        <v>3136</v>
      </c>
      <c r="L31" s="28">
        <v>0</v>
      </c>
      <c r="M31" s="28">
        <v>1545</v>
      </c>
      <c r="N31" s="28">
        <v>405</v>
      </c>
      <c r="O31" s="28">
        <v>405</v>
      </c>
    </row>
    <row r="32" spans="1:15" ht="12.75" customHeight="1">
      <c r="A32" s="4" t="s">
        <v>58</v>
      </c>
      <c r="B32" s="5" t="s">
        <v>59</v>
      </c>
      <c r="C32" s="28">
        <v>33231</v>
      </c>
      <c r="D32" s="28">
        <v>29308</v>
      </c>
      <c r="E32" s="28">
        <v>1053</v>
      </c>
      <c r="F32" s="28">
        <f t="shared" si="5"/>
        <v>2870</v>
      </c>
      <c r="G32" s="28">
        <v>134078</v>
      </c>
      <c r="H32" s="28">
        <v>75977</v>
      </c>
      <c r="I32" s="28">
        <v>7062</v>
      </c>
      <c r="J32" s="28">
        <f t="shared" si="6"/>
        <v>51039</v>
      </c>
      <c r="K32" s="28">
        <v>5935</v>
      </c>
      <c r="L32" s="28">
        <v>0</v>
      </c>
      <c r="M32" s="28">
        <v>15797</v>
      </c>
      <c r="N32" s="28">
        <v>828</v>
      </c>
      <c r="O32" s="28">
        <v>828</v>
      </c>
    </row>
    <row r="33" spans="1:256" ht="12.75" customHeight="1">
      <c r="A33" s="4" t="s">
        <v>60</v>
      </c>
      <c r="B33" s="5" t="s">
        <v>61</v>
      </c>
      <c r="C33" s="28">
        <v>20773</v>
      </c>
      <c r="D33" s="28">
        <v>15806</v>
      </c>
      <c r="E33" s="28">
        <v>347</v>
      </c>
      <c r="F33" s="28">
        <f t="shared" si="5"/>
        <v>4620</v>
      </c>
      <c r="G33" s="28">
        <v>74380</v>
      </c>
      <c r="H33" s="28">
        <v>21282</v>
      </c>
      <c r="I33" s="28">
        <v>1175</v>
      </c>
      <c r="J33" s="28">
        <f t="shared" si="6"/>
        <v>51923</v>
      </c>
      <c r="K33" s="28">
        <v>9934</v>
      </c>
      <c r="L33" s="28">
        <v>31</v>
      </c>
      <c r="M33" s="28">
        <v>4000</v>
      </c>
      <c r="N33" s="28">
        <v>837</v>
      </c>
      <c r="O33" s="28">
        <v>837</v>
      </c>
    </row>
    <row r="34" spans="1:256" ht="12.75" customHeight="1">
      <c r="A34" s="4" t="s">
        <v>62</v>
      </c>
      <c r="B34" s="5" t="s">
        <v>63</v>
      </c>
      <c r="C34" s="28">
        <v>20860</v>
      </c>
      <c r="D34" s="28">
        <v>7070</v>
      </c>
      <c r="E34" s="28">
        <v>78</v>
      </c>
      <c r="F34" s="28">
        <f t="shared" si="5"/>
        <v>13712</v>
      </c>
      <c r="G34" s="28">
        <v>72637</v>
      </c>
      <c r="H34" s="28">
        <v>18954</v>
      </c>
      <c r="I34" s="28">
        <v>467</v>
      </c>
      <c r="J34" s="28">
        <f t="shared" si="6"/>
        <v>53216</v>
      </c>
      <c r="K34" s="28">
        <v>1036</v>
      </c>
      <c r="L34" s="28">
        <v>37</v>
      </c>
      <c r="M34" s="28">
        <v>5851</v>
      </c>
      <c r="N34" s="28">
        <v>111</v>
      </c>
      <c r="O34" s="28">
        <v>111</v>
      </c>
    </row>
    <row r="35" spans="1:256" ht="12.75" customHeight="1">
      <c r="A35" s="4" t="s">
        <v>64</v>
      </c>
      <c r="B35" s="5" t="s">
        <v>65</v>
      </c>
      <c r="C35" s="28">
        <v>9400</v>
      </c>
      <c r="D35" s="28">
        <v>9133</v>
      </c>
      <c r="E35" s="28">
        <v>0</v>
      </c>
      <c r="F35" s="28">
        <f t="shared" si="5"/>
        <v>267</v>
      </c>
      <c r="G35" s="28">
        <v>17582</v>
      </c>
      <c r="H35" s="28">
        <v>15864</v>
      </c>
      <c r="I35" s="28">
        <v>0</v>
      </c>
      <c r="J35" s="28">
        <f t="shared" si="6"/>
        <v>1718</v>
      </c>
      <c r="K35" s="28">
        <v>777</v>
      </c>
      <c r="L35" s="28">
        <v>0</v>
      </c>
      <c r="M35" s="28">
        <v>80</v>
      </c>
      <c r="N35" s="28">
        <v>915</v>
      </c>
      <c r="O35" s="28">
        <v>915</v>
      </c>
    </row>
    <row r="36" spans="1:256" ht="12.75" customHeight="1">
      <c r="A36" s="4" t="s">
        <v>66</v>
      </c>
      <c r="B36" s="5" t="s">
        <v>67</v>
      </c>
      <c r="C36" s="28">
        <v>5561</v>
      </c>
      <c r="D36" s="28">
        <v>4753</v>
      </c>
      <c r="E36" s="28">
        <v>289</v>
      </c>
      <c r="F36" s="28">
        <f t="shared" si="5"/>
        <v>519</v>
      </c>
      <c r="G36" s="28">
        <v>16475</v>
      </c>
      <c r="H36" s="28">
        <v>12095</v>
      </c>
      <c r="I36" s="28">
        <v>2098</v>
      </c>
      <c r="J36" s="28">
        <f t="shared" si="6"/>
        <v>2282</v>
      </c>
      <c r="K36" s="28">
        <v>152</v>
      </c>
      <c r="L36" s="28">
        <v>0</v>
      </c>
      <c r="M36" s="28">
        <v>699</v>
      </c>
      <c r="N36" s="28">
        <v>5</v>
      </c>
      <c r="O36" s="28">
        <v>5</v>
      </c>
    </row>
    <row r="37" spans="1:256" ht="12.75" customHeight="1">
      <c r="A37" s="4" t="s">
        <v>68</v>
      </c>
      <c r="B37" s="5" t="s">
        <v>69</v>
      </c>
      <c r="C37" s="28">
        <v>9039</v>
      </c>
      <c r="D37" s="28">
        <v>7780</v>
      </c>
      <c r="E37" s="28">
        <v>111</v>
      </c>
      <c r="F37" s="28">
        <f t="shared" si="5"/>
        <v>1148</v>
      </c>
      <c r="G37" s="28">
        <v>36298</v>
      </c>
      <c r="H37" s="28">
        <v>21972</v>
      </c>
      <c r="I37" s="28">
        <v>612</v>
      </c>
      <c r="J37" s="28">
        <f t="shared" si="6"/>
        <v>13714</v>
      </c>
      <c r="K37" s="28">
        <v>453</v>
      </c>
      <c r="L37" s="28">
        <v>0</v>
      </c>
      <c r="M37" s="28">
        <v>1627</v>
      </c>
      <c r="N37" s="28">
        <v>1002</v>
      </c>
      <c r="O37" s="28">
        <v>1002</v>
      </c>
    </row>
    <row r="38" spans="1:256" ht="12.75" customHeight="1">
      <c r="A38" s="4" t="s">
        <v>70</v>
      </c>
      <c r="B38" s="5" t="s">
        <v>71</v>
      </c>
      <c r="C38" s="28">
        <v>132072</v>
      </c>
      <c r="D38" s="28">
        <v>108401</v>
      </c>
      <c r="E38" s="28">
        <v>3390</v>
      </c>
      <c r="F38" s="28">
        <f t="shared" si="5"/>
        <v>20281</v>
      </c>
      <c r="G38" s="28">
        <v>317914</v>
      </c>
      <c r="H38" s="28">
        <v>192307</v>
      </c>
      <c r="I38" s="28">
        <v>14975</v>
      </c>
      <c r="J38" s="28">
        <f t="shared" si="6"/>
        <v>110632</v>
      </c>
      <c r="K38" s="28">
        <v>25481</v>
      </c>
      <c r="L38" s="28">
        <v>0</v>
      </c>
      <c r="M38" s="28">
        <v>9691</v>
      </c>
      <c r="N38" s="28">
        <v>124753</v>
      </c>
      <c r="O38" s="28">
        <v>15429</v>
      </c>
    </row>
    <row r="39" spans="1:256" ht="12.75" customHeight="1">
      <c r="A39" s="4" t="s">
        <v>72</v>
      </c>
      <c r="B39" s="5" t="s">
        <v>73</v>
      </c>
      <c r="C39" s="28">
        <v>20130</v>
      </c>
      <c r="D39" s="28">
        <v>18687</v>
      </c>
      <c r="E39" s="28">
        <v>556</v>
      </c>
      <c r="F39" s="28">
        <f t="shared" si="5"/>
        <v>887</v>
      </c>
      <c r="G39" s="28">
        <v>38213</v>
      </c>
      <c r="H39" s="28">
        <v>31248</v>
      </c>
      <c r="I39" s="28">
        <v>3431</v>
      </c>
      <c r="J39" s="28">
        <f t="shared" si="6"/>
        <v>3534</v>
      </c>
      <c r="K39" s="28">
        <v>872</v>
      </c>
      <c r="L39" s="28">
        <v>0</v>
      </c>
      <c r="M39" s="28">
        <v>34</v>
      </c>
      <c r="N39" s="28">
        <v>85</v>
      </c>
      <c r="O39" s="28">
        <v>85</v>
      </c>
    </row>
    <row r="40" spans="1:256" ht="12.75" customHeight="1">
      <c r="A40" s="4" t="s">
        <v>74</v>
      </c>
      <c r="B40" s="5" t="s">
        <v>75</v>
      </c>
      <c r="C40" s="28">
        <v>14331</v>
      </c>
      <c r="D40" s="28">
        <v>12430</v>
      </c>
      <c r="E40" s="28">
        <v>400</v>
      </c>
      <c r="F40" s="28">
        <f t="shared" si="5"/>
        <v>1501</v>
      </c>
      <c r="G40" s="28">
        <v>41051</v>
      </c>
      <c r="H40" s="28">
        <v>26485</v>
      </c>
      <c r="I40" s="28">
        <v>2395</v>
      </c>
      <c r="J40" s="28">
        <f t="shared" si="6"/>
        <v>12171</v>
      </c>
      <c r="K40" s="28">
        <v>1743</v>
      </c>
      <c r="L40" s="28">
        <v>0</v>
      </c>
      <c r="M40" s="28">
        <v>6162</v>
      </c>
      <c r="N40" s="28">
        <v>190</v>
      </c>
      <c r="O40" s="28">
        <v>190</v>
      </c>
    </row>
    <row r="41" spans="1:256" ht="12.75" customHeight="1">
      <c r="A41" s="4" t="s">
        <v>76</v>
      </c>
      <c r="B41" s="5" t="s">
        <v>77</v>
      </c>
      <c r="C41" s="28">
        <v>4429</v>
      </c>
      <c r="D41" s="28">
        <v>3535</v>
      </c>
      <c r="E41" s="28">
        <v>0</v>
      </c>
      <c r="F41" s="28">
        <f t="shared" si="5"/>
        <v>894</v>
      </c>
      <c r="G41" s="28">
        <v>18179</v>
      </c>
      <c r="H41" s="28">
        <v>11305</v>
      </c>
      <c r="I41" s="28">
        <v>0</v>
      </c>
      <c r="J41" s="28">
        <f t="shared" si="6"/>
        <v>6874</v>
      </c>
      <c r="K41" s="28">
        <v>3135</v>
      </c>
      <c r="L41" s="28">
        <v>0</v>
      </c>
      <c r="M41" s="28">
        <v>340</v>
      </c>
      <c r="N41" s="28">
        <v>1459</v>
      </c>
      <c r="O41" s="28">
        <v>1459</v>
      </c>
    </row>
    <row r="42" spans="1:256" ht="12.75" customHeight="1">
      <c r="A42" s="4" t="s">
        <v>78</v>
      </c>
      <c r="B42" s="5" t="s">
        <v>79</v>
      </c>
      <c r="C42" s="28">
        <v>30650</v>
      </c>
      <c r="D42" s="28">
        <v>26461</v>
      </c>
      <c r="E42" s="28">
        <v>608</v>
      </c>
      <c r="F42" s="28">
        <f t="shared" si="5"/>
        <v>3581</v>
      </c>
      <c r="G42" s="28">
        <v>55663</v>
      </c>
      <c r="H42" s="28">
        <v>43424</v>
      </c>
      <c r="I42" s="28">
        <v>1652</v>
      </c>
      <c r="J42" s="28">
        <f t="shared" si="6"/>
        <v>10587</v>
      </c>
      <c r="K42" s="28">
        <v>2321</v>
      </c>
      <c r="L42" s="28">
        <v>0</v>
      </c>
      <c r="M42" s="28">
        <v>166</v>
      </c>
      <c r="N42" s="28">
        <v>330</v>
      </c>
      <c r="O42" s="28">
        <v>330</v>
      </c>
    </row>
    <row r="43" spans="1:256" ht="12.75" customHeight="1">
      <c r="A43" s="8"/>
      <c r="B43" s="9" t="s">
        <v>80</v>
      </c>
      <c r="C43" s="29">
        <f t="shared" ref="C43:O43" si="7">SUM(C31:C42)</f>
        <v>329704</v>
      </c>
      <c r="D43" s="29">
        <f t="shared" si="7"/>
        <v>267323</v>
      </c>
      <c r="E43" s="29">
        <f t="shared" si="7"/>
        <v>7289</v>
      </c>
      <c r="F43" s="29">
        <f t="shared" si="7"/>
        <v>55092</v>
      </c>
      <c r="G43" s="29">
        <f t="shared" si="7"/>
        <v>912026</v>
      </c>
      <c r="H43" s="29">
        <f t="shared" si="7"/>
        <v>521104</v>
      </c>
      <c r="I43" s="29">
        <f t="shared" si="7"/>
        <v>36319</v>
      </c>
      <c r="J43" s="29">
        <f t="shared" si="7"/>
        <v>354603</v>
      </c>
      <c r="K43" s="29">
        <f t="shared" si="7"/>
        <v>54975</v>
      </c>
      <c r="L43" s="29">
        <f t="shared" si="7"/>
        <v>68</v>
      </c>
      <c r="M43" s="29">
        <f t="shared" si="7"/>
        <v>45992</v>
      </c>
      <c r="N43" s="29">
        <f t="shared" si="7"/>
        <v>130920</v>
      </c>
      <c r="O43" s="29">
        <f t="shared" si="7"/>
        <v>21596</v>
      </c>
    </row>
    <row r="44" spans="1:256" ht="12.75" customHeight="1">
      <c r="A44" s="4" t="s">
        <v>81</v>
      </c>
      <c r="B44" s="5" t="s">
        <v>82</v>
      </c>
      <c r="C44" s="28">
        <v>10420</v>
      </c>
      <c r="D44" s="28">
        <v>9006</v>
      </c>
      <c r="E44" s="28">
        <v>216</v>
      </c>
      <c r="F44" s="28">
        <f>SUM(C44-D44-E44)</f>
        <v>1198</v>
      </c>
      <c r="G44" s="28">
        <v>42412</v>
      </c>
      <c r="H44" s="28">
        <v>25362</v>
      </c>
      <c r="I44" s="28">
        <v>1277</v>
      </c>
      <c r="J44" s="28">
        <f>SUM(G44-H44-I44)</f>
        <v>15773</v>
      </c>
      <c r="K44" s="28">
        <v>3808</v>
      </c>
      <c r="L44" s="28">
        <v>0</v>
      </c>
      <c r="M44" s="28">
        <v>1837</v>
      </c>
      <c r="N44" s="28">
        <v>603</v>
      </c>
      <c r="O44" s="28">
        <v>603</v>
      </c>
    </row>
    <row r="45" spans="1:256" ht="12.75" customHeight="1">
      <c r="A45" s="4" t="s">
        <v>83</v>
      </c>
      <c r="B45" s="5" t="s">
        <v>84</v>
      </c>
      <c r="C45" s="28">
        <v>15305</v>
      </c>
      <c r="D45" s="28">
        <v>11497</v>
      </c>
      <c r="E45" s="28">
        <v>342</v>
      </c>
      <c r="F45" s="28">
        <f>SUM(C45-D45-E45)</f>
        <v>3466</v>
      </c>
      <c r="G45" s="28">
        <v>72708</v>
      </c>
      <c r="H45" s="28">
        <v>30095</v>
      </c>
      <c r="I45" s="28">
        <v>2211</v>
      </c>
      <c r="J45" s="28">
        <f>SUM(G45-H45-I45)</f>
        <v>40402</v>
      </c>
      <c r="K45" s="28">
        <v>18845</v>
      </c>
      <c r="L45" s="28">
        <v>0</v>
      </c>
      <c r="M45" s="28">
        <v>9041</v>
      </c>
      <c r="N45" s="28">
        <v>112</v>
      </c>
      <c r="O45" s="28">
        <v>112</v>
      </c>
    </row>
    <row r="46" spans="1:256" ht="12.75" customHeight="1">
      <c r="A46" s="8"/>
      <c r="B46" s="9" t="s">
        <v>85</v>
      </c>
      <c r="C46" s="29">
        <f t="shared" ref="C46:O46" si="8">SUM(C44:C45)</f>
        <v>25725</v>
      </c>
      <c r="D46" s="29">
        <f t="shared" si="8"/>
        <v>20503</v>
      </c>
      <c r="E46" s="29">
        <f t="shared" si="8"/>
        <v>558</v>
      </c>
      <c r="F46" s="29">
        <f t="shared" si="8"/>
        <v>4664</v>
      </c>
      <c r="G46" s="29">
        <f t="shared" si="8"/>
        <v>115120</v>
      </c>
      <c r="H46" s="29">
        <f t="shared" si="8"/>
        <v>55457</v>
      </c>
      <c r="I46" s="29">
        <f t="shared" si="8"/>
        <v>3488</v>
      </c>
      <c r="J46" s="29">
        <f t="shared" si="8"/>
        <v>56175</v>
      </c>
      <c r="K46" s="29">
        <f t="shared" si="8"/>
        <v>22653</v>
      </c>
      <c r="L46" s="29">
        <f t="shared" si="8"/>
        <v>0</v>
      </c>
      <c r="M46" s="29">
        <f t="shared" si="8"/>
        <v>10878</v>
      </c>
      <c r="N46" s="29">
        <f t="shared" si="8"/>
        <v>715</v>
      </c>
      <c r="O46" s="29">
        <f t="shared" si="8"/>
        <v>715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2883</v>
      </c>
      <c r="D47" s="28">
        <v>2594</v>
      </c>
      <c r="E47" s="28">
        <v>0</v>
      </c>
      <c r="F47" s="28">
        <f>SUM(C47-D47-E47)</f>
        <v>289</v>
      </c>
      <c r="G47" s="28">
        <v>3103</v>
      </c>
      <c r="H47" s="28">
        <v>2355</v>
      </c>
      <c r="I47" s="28">
        <v>0</v>
      </c>
      <c r="J47" s="28">
        <f>SUM(G47-H47-I47)</f>
        <v>748</v>
      </c>
      <c r="K47" s="28">
        <v>2</v>
      </c>
      <c r="L47" s="28">
        <v>0</v>
      </c>
      <c r="M47" s="28">
        <v>17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8556</v>
      </c>
      <c r="D48" s="28">
        <v>6748</v>
      </c>
      <c r="E48" s="28">
        <v>56</v>
      </c>
      <c r="F48" s="28">
        <f>SUM(C48-D48-E48)</f>
        <v>1752</v>
      </c>
      <c r="G48" s="28">
        <v>15991</v>
      </c>
      <c r="H48" s="28">
        <v>12545</v>
      </c>
      <c r="I48" s="28">
        <v>200</v>
      </c>
      <c r="J48" s="28">
        <f>SUM(G48-H48-I48)</f>
        <v>3246</v>
      </c>
      <c r="K48" s="28">
        <v>49</v>
      </c>
      <c r="L48" s="28">
        <v>0</v>
      </c>
      <c r="M48" s="28">
        <v>577</v>
      </c>
      <c r="N48" s="28">
        <v>197</v>
      </c>
      <c r="O48" s="28">
        <v>197</v>
      </c>
    </row>
    <row r="49" spans="1:15" ht="12.75" customHeight="1">
      <c r="A49" s="4" t="s">
        <v>90</v>
      </c>
      <c r="B49" s="5" t="s">
        <v>91</v>
      </c>
      <c r="C49" s="28">
        <v>2762</v>
      </c>
      <c r="D49" s="28">
        <v>2549</v>
      </c>
      <c r="E49" s="28">
        <v>138</v>
      </c>
      <c r="F49" s="28">
        <f>SUM(C49-D49-E49)</f>
        <v>75</v>
      </c>
      <c r="G49" s="28">
        <v>3865</v>
      </c>
      <c r="H49" s="28">
        <v>3012</v>
      </c>
      <c r="I49" s="28">
        <v>403</v>
      </c>
      <c r="J49" s="28">
        <f>SUM(G49-H49-I49)</f>
        <v>450</v>
      </c>
      <c r="K49" s="28">
        <v>2742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26647</v>
      </c>
      <c r="D50" s="28">
        <v>25746</v>
      </c>
      <c r="E50" s="28">
        <v>225</v>
      </c>
      <c r="F50" s="28">
        <f>SUM(C50-D50-E50)</f>
        <v>676</v>
      </c>
      <c r="G50" s="28">
        <v>58918</v>
      </c>
      <c r="H50" s="28">
        <v>42941</v>
      </c>
      <c r="I50" s="28">
        <v>1209</v>
      </c>
      <c r="J50" s="28">
        <f>SUM(G50-H50-I50)</f>
        <v>14768</v>
      </c>
      <c r="K50" s="28">
        <v>10741</v>
      </c>
      <c r="L50" s="28">
        <v>0</v>
      </c>
      <c r="M50" s="28">
        <v>3212</v>
      </c>
      <c r="N50" s="28">
        <v>2667</v>
      </c>
      <c r="O50" s="28">
        <v>2667</v>
      </c>
    </row>
    <row r="51" spans="1:15" ht="12.75" customHeight="1">
      <c r="A51" s="8"/>
      <c r="B51" s="9" t="s">
        <v>94</v>
      </c>
      <c r="C51" s="29">
        <f t="shared" ref="C51:O51" si="9">SUM(C47:C50)</f>
        <v>40848</v>
      </c>
      <c r="D51" s="29">
        <f t="shared" si="9"/>
        <v>37637</v>
      </c>
      <c r="E51" s="29">
        <f t="shared" si="9"/>
        <v>419</v>
      </c>
      <c r="F51" s="29">
        <f t="shared" si="9"/>
        <v>2792</v>
      </c>
      <c r="G51" s="29">
        <f t="shared" si="9"/>
        <v>81877</v>
      </c>
      <c r="H51" s="29">
        <f t="shared" si="9"/>
        <v>60853</v>
      </c>
      <c r="I51" s="29">
        <f t="shared" si="9"/>
        <v>1812</v>
      </c>
      <c r="J51" s="29">
        <f t="shared" si="9"/>
        <v>19212</v>
      </c>
      <c r="K51" s="29">
        <f t="shared" si="9"/>
        <v>13534</v>
      </c>
      <c r="L51" s="29">
        <f t="shared" si="9"/>
        <v>0</v>
      </c>
      <c r="M51" s="29">
        <f t="shared" si="9"/>
        <v>3806</v>
      </c>
      <c r="N51" s="29">
        <f t="shared" si="9"/>
        <v>2864</v>
      </c>
      <c r="O51" s="29">
        <f t="shared" si="9"/>
        <v>2864</v>
      </c>
    </row>
    <row r="52" spans="1:15" ht="12.75" customHeight="1">
      <c r="A52" s="4" t="s">
        <v>95</v>
      </c>
      <c r="B52" s="5" t="s">
        <v>96</v>
      </c>
      <c r="C52" s="28">
        <v>4901</v>
      </c>
      <c r="D52" s="28">
        <v>3378</v>
      </c>
      <c r="E52" s="28">
        <v>30</v>
      </c>
      <c r="F52" s="28">
        <f t="shared" ref="F52:F58" si="10">SUM(C52-D52-E52)</f>
        <v>1493</v>
      </c>
      <c r="G52" s="28">
        <v>17293</v>
      </c>
      <c r="H52" s="28">
        <v>9241</v>
      </c>
      <c r="I52" s="28">
        <v>123</v>
      </c>
      <c r="J52" s="28">
        <f t="shared" ref="J52:J58" si="11">SUM(G52-H52-I52)</f>
        <v>7929</v>
      </c>
      <c r="K52" s="28">
        <v>6032</v>
      </c>
      <c r="L52" s="28">
        <v>0</v>
      </c>
      <c r="M52" s="28">
        <v>145</v>
      </c>
      <c r="N52" s="28">
        <v>378</v>
      </c>
      <c r="O52" s="28">
        <v>378</v>
      </c>
    </row>
    <row r="53" spans="1:15" ht="12.75" customHeight="1">
      <c r="A53" s="4" t="s">
        <v>97</v>
      </c>
      <c r="B53" s="5" t="s">
        <v>98</v>
      </c>
      <c r="C53" s="28">
        <v>24854</v>
      </c>
      <c r="D53" s="28">
        <v>18849</v>
      </c>
      <c r="E53" s="28">
        <v>314</v>
      </c>
      <c r="F53" s="28">
        <f t="shared" si="10"/>
        <v>5691</v>
      </c>
      <c r="G53" s="28">
        <v>81978</v>
      </c>
      <c r="H53" s="28">
        <v>51312</v>
      </c>
      <c r="I53" s="28">
        <v>2466</v>
      </c>
      <c r="J53" s="28">
        <f t="shared" si="11"/>
        <v>28200</v>
      </c>
      <c r="K53" s="28">
        <v>4027</v>
      </c>
      <c r="L53" s="28">
        <v>0</v>
      </c>
      <c r="M53" s="28">
        <v>2424</v>
      </c>
      <c r="N53" s="28">
        <v>1445</v>
      </c>
      <c r="O53" s="28">
        <v>1445</v>
      </c>
    </row>
    <row r="54" spans="1:15" ht="12.75" customHeight="1">
      <c r="A54" s="4" t="s">
        <v>99</v>
      </c>
      <c r="B54" s="5" t="s">
        <v>100</v>
      </c>
      <c r="C54" s="28">
        <v>4332</v>
      </c>
      <c r="D54" s="28">
        <v>2429</v>
      </c>
      <c r="E54" s="28">
        <v>91</v>
      </c>
      <c r="F54" s="28">
        <f t="shared" si="10"/>
        <v>1812</v>
      </c>
      <c r="G54" s="28">
        <v>15197</v>
      </c>
      <c r="H54" s="28">
        <v>8309</v>
      </c>
      <c r="I54" s="28">
        <v>968</v>
      </c>
      <c r="J54" s="28">
        <f t="shared" si="11"/>
        <v>5920</v>
      </c>
      <c r="K54" s="28">
        <v>285</v>
      </c>
      <c r="L54" s="28">
        <v>0</v>
      </c>
      <c r="M54" s="28">
        <v>1143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19355</v>
      </c>
      <c r="D55" s="28">
        <v>13014</v>
      </c>
      <c r="E55" s="28">
        <v>245</v>
      </c>
      <c r="F55" s="28">
        <f t="shared" si="10"/>
        <v>6096</v>
      </c>
      <c r="G55" s="28">
        <v>72364</v>
      </c>
      <c r="H55" s="28">
        <v>33618</v>
      </c>
      <c r="I55" s="28">
        <v>1215</v>
      </c>
      <c r="J55" s="28">
        <f t="shared" si="11"/>
        <v>37531</v>
      </c>
      <c r="K55" s="28">
        <v>12166</v>
      </c>
      <c r="L55" s="28">
        <v>0</v>
      </c>
      <c r="M55" s="28">
        <v>4466</v>
      </c>
      <c r="N55" s="28">
        <v>6102</v>
      </c>
      <c r="O55" s="28">
        <v>6102</v>
      </c>
    </row>
    <row r="56" spans="1:15" ht="12.75" customHeight="1">
      <c r="A56" s="4" t="s">
        <v>103</v>
      </c>
      <c r="B56" s="5" t="s">
        <v>104</v>
      </c>
      <c r="C56" s="28">
        <v>28175</v>
      </c>
      <c r="D56" s="28">
        <v>10765</v>
      </c>
      <c r="E56" s="28">
        <v>894</v>
      </c>
      <c r="F56" s="28">
        <f t="shared" si="10"/>
        <v>16516</v>
      </c>
      <c r="G56" s="28">
        <v>97053</v>
      </c>
      <c r="H56" s="28">
        <v>27214</v>
      </c>
      <c r="I56" s="28">
        <v>5636</v>
      </c>
      <c r="J56" s="28">
        <f t="shared" si="11"/>
        <v>64203</v>
      </c>
      <c r="K56" s="28">
        <v>4471</v>
      </c>
      <c r="L56" s="28">
        <v>76</v>
      </c>
      <c r="M56" s="28">
        <v>6666</v>
      </c>
      <c r="N56" s="28">
        <v>10657</v>
      </c>
      <c r="O56" s="28">
        <v>1678</v>
      </c>
    </row>
    <row r="57" spans="1:15" ht="12.75" customHeight="1">
      <c r="A57" s="4" t="s">
        <v>105</v>
      </c>
      <c r="B57" s="5" t="s">
        <v>106</v>
      </c>
      <c r="C57" s="28">
        <v>22960</v>
      </c>
      <c r="D57" s="28">
        <v>12696</v>
      </c>
      <c r="E57" s="28">
        <v>906</v>
      </c>
      <c r="F57" s="28">
        <f t="shared" si="10"/>
        <v>9358</v>
      </c>
      <c r="G57" s="28">
        <v>97163</v>
      </c>
      <c r="H57" s="28">
        <v>42203</v>
      </c>
      <c r="I57" s="28">
        <v>5476</v>
      </c>
      <c r="J57" s="28">
        <f t="shared" si="11"/>
        <v>49484</v>
      </c>
      <c r="K57" s="28">
        <v>1677</v>
      </c>
      <c r="L57" s="28">
        <v>0</v>
      </c>
      <c r="M57" s="28">
        <v>6575</v>
      </c>
      <c r="N57" s="28">
        <v>153</v>
      </c>
      <c r="O57" s="28">
        <v>153</v>
      </c>
    </row>
    <row r="58" spans="1:15" ht="12.75" customHeight="1">
      <c r="A58" s="4" t="s">
        <v>107</v>
      </c>
      <c r="B58" s="5" t="s">
        <v>108</v>
      </c>
      <c r="C58" s="28">
        <v>24804</v>
      </c>
      <c r="D58" s="28">
        <v>14278</v>
      </c>
      <c r="E58" s="28">
        <v>308</v>
      </c>
      <c r="F58" s="28">
        <f t="shared" si="10"/>
        <v>10218</v>
      </c>
      <c r="G58" s="28">
        <v>92136</v>
      </c>
      <c r="H58" s="28">
        <v>36473</v>
      </c>
      <c r="I58" s="28">
        <v>1956</v>
      </c>
      <c r="J58" s="28">
        <f t="shared" si="11"/>
        <v>53707</v>
      </c>
      <c r="K58" s="28">
        <v>4884</v>
      </c>
      <c r="L58" s="28">
        <v>74</v>
      </c>
      <c r="M58" s="28">
        <v>4296</v>
      </c>
      <c r="N58" s="28">
        <v>8296</v>
      </c>
      <c r="O58" s="28">
        <v>8296</v>
      </c>
    </row>
    <row r="59" spans="1:15" ht="12.75" customHeight="1">
      <c r="A59" s="8"/>
      <c r="B59" s="9" t="s">
        <v>109</v>
      </c>
      <c r="C59" s="29">
        <f t="shared" ref="C59:O59" si="12">SUM(C52:C58)</f>
        <v>129381</v>
      </c>
      <c r="D59" s="29">
        <f t="shared" si="12"/>
        <v>75409</v>
      </c>
      <c r="E59" s="29">
        <f t="shared" si="12"/>
        <v>2788</v>
      </c>
      <c r="F59" s="29">
        <f t="shared" si="12"/>
        <v>51184</v>
      </c>
      <c r="G59" s="29">
        <f t="shared" si="12"/>
        <v>473184</v>
      </c>
      <c r="H59" s="29">
        <f t="shared" si="12"/>
        <v>208370</v>
      </c>
      <c r="I59" s="29">
        <f t="shared" si="12"/>
        <v>17840</v>
      </c>
      <c r="J59" s="29">
        <f t="shared" si="12"/>
        <v>246974</v>
      </c>
      <c r="K59" s="29">
        <f t="shared" si="12"/>
        <v>33542</v>
      </c>
      <c r="L59" s="29">
        <f t="shared" si="12"/>
        <v>150</v>
      </c>
      <c r="M59" s="29">
        <f t="shared" si="12"/>
        <v>25715</v>
      </c>
      <c r="N59" s="29">
        <f t="shared" si="12"/>
        <v>27031</v>
      </c>
      <c r="O59" s="29">
        <f t="shared" si="12"/>
        <v>18052</v>
      </c>
    </row>
    <row r="60" spans="1:15" ht="12.75" customHeight="1">
      <c r="A60" s="4" t="s">
        <v>110</v>
      </c>
      <c r="B60" s="5" t="s">
        <v>111</v>
      </c>
      <c r="C60" s="28">
        <v>26932</v>
      </c>
      <c r="D60" s="28">
        <v>20224</v>
      </c>
      <c r="E60" s="28">
        <v>1269</v>
      </c>
      <c r="F60" s="28">
        <f t="shared" ref="F60:F68" si="13">SUM(C60-D60-E60)</f>
        <v>5439</v>
      </c>
      <c r="G60" s="28">
        <v>86924</v>
      </c>
      <c r="H60" s="28">
        <v>52105</v>
      </c>
      <c r="I60" s="28">
        <v>10143</v>
      </c>
      <c r="J60" s="28">
        <f t="shared" ref="J60:J68" si="14">SUM(G60-H60-I60)</f>
        <v>24676</v>
      </c>
      <c r="K60" s="28">
        <v>1796</v>
      </c>
      <c r="L60" s="28">
        <v>0</v>
      </c>
      <c r="M60" s="28">
        <v>1791</v>
      </c>
      <c r="N60" s="28">
        <v>498</v>
      </c>
      <c r="O60" s="28">
        <v>498</v>
      </c>
    </row>
    <row r="61" spans="1:15" ht="12.75" customHeight="1">
      <c r="A61" s="4" t="s">
        <v>112</v>
      </c>
      <c r="B61" s="5" t="s">
        <v>113</v>
      </c>
      <c r="C61" s="28">
        <v>7786</v>
      </c>
      <c r="D61" s="28">
        <v>5394</v>
      </c>
      <c r="E61" s="28">
        <v>86</v>
      </c>
      <c r="F61" s="28">
        <f t="shared" si="13"/>
        <v>2306</v>
      </c>
      <c r="G61" s="28">
        <v>22886</v>
      </c>
      <c r="H61" s="28">
        <v>14369</v>
      </c>
      <c r="I61" s="28">
        <v>784</v>
      </c>
      <c r="J61" s="28">
        <f t="shared" si="14"/>
        <v>7733</v>
      </c>
      <c r="K61" s="28">
        <v>79</v>
      </c>
      <c r="L61" s="28">
        <v>0</v>
      </c>
      <c r="M61" s="28">
        <v>1965</v>
      </c>
      <c r="N61" s="28">
        <v>29</v>
      </c>
      <c r="O61" s="28">
        <v>29</v>
      </c>
    </row>
    <row r="62" spans="1:15" ht="12.75" customHeight="1">
      <c r="A62" s="4" t="s">
        <v>114</v>
      </c>
      <c r="B62" s="5" t="s">
        <v>115</v>
      </c>
      <c r="C62" s="28">
        <v>12739</v>
      </c>
      <c r="D62" s="28">
        <v>6489</v>
      </c>
      <c r="E62" s="28">
        <v>327</v>
      </c>
      <c r="F62" s="28">
        <f t="shared" si="13"/>
        <v>5923</v>
      </c>
      <c r="G62" s="28">
        <v>62340</v>
      </c>
      <c r="H62" s="28">
        <v>18749</v>
      </c>
      <c r="I62" s="28">
        <v>2927</v>
      </c>
      <c r="J62" s="28">
        <f t="shared" si="14"/>
        <v>40664</v>
      </c>
      <c r="K62" s="28">
        <v>2082</v>
      </c>
      <c r="L62" s="28">
        <v>46</v>
      </c>
      <c r="M62" s="28">
        <v>3571</v>
      </c>
      <c r="N62" s="28">
        <v>1116</v>
      </c>
      <c r="O62" s="28">
        <v>1116</v>
      </c>
    </row>
    <row r="63" spans="1:15" ht="12.75" customHeight="1">
      <c r="A63" s="4" t="s">
        <v>116</v>
      </c>
      <c r="B63" s="5" t="s">
        <v>117</v>
      </c>
      <c r="C63" s="28">
        <v>18064</v>
      </c>
      <c r="D63" s="28">
        <v>11950</v>
      </c>
      <c r="E63" s="28">
        <v>579</v>
      </c>
      <c r="F63" s="28">
        <f t="shared" si="13"/>
        <v>5535</v>
      </c>
      <c r="G63" s="28">
        <v>61969</v>
      </c>
      <c r="H63" s="28">
        <v>35594</v>
      </c>
      <c r="I63" s="28">
        <v>6136</v>
      </c>
      <c r="J63" s="28">
        <f t="shared" si="14"/>
        <v>20239</v>
      </c>
      <c r="K63" s="28">
        <v>800</v>
      </c>
      <c r="L63" s="28">
        <v>0</v>
      </c>
      <c r="M63" s="28">
        <v>1962</v>
      </c>
      <c r="N63" s="28">
        <v>280</v>
      </c>
      <c r="O63" s="28">
        <v>280</v>
      </c>
    </row>
    <row r="64" spans="1:15" ht="12.75" customHeight="1">
      <c r="A64" s="4" t="s">
        <v>118</v>
      </c>
      <c r="B64" s="5" t="s">
        <v>119</v>
      </c>
      <c r="C64" s="28">
        <v>17094</v>
      </c>
      <c r="D64" s="28">
        <v>8669</v>
      </c>
      <c r="E64" s="28">
        <v>594</v>
      </c>
      <c r="F64" s="28">
        <f t="shared" si="13"/>
        <v>7831</v>
      </c>
      <c r="G64" s="28">
        <v>68032</v>
      </c>
      <c r="H64" s="28">
        <v>26939</v>
      </c>
      <c r="I64" s="28">
        <v>5063</v>
      </c>
      <c r="J64" s="28">
        <f t="shared" si="14"/>
        <v>36030</v>
      </c>
      <c r="K64" s="28">
        <v>247</v>
      </c>
      <c r="L64" s="28">
        <v>8</v>
      </c>
      <c r="M64" s="28">
        <v>1326</v>
      </c>
      <c r="N64" s="28">
        <v>737</v>
      </c>
      <c r="O64" s="28">
        <v>737</v>
      </c>
    </row>
    <row r="65" spans="1:15" ht="12.75" customHeight="1">
      <c r="A65" s="4" t="s">
        <v>120</v>
      </c>
      <c r="B65" s="5" t="s">
        <v>121</v>
      </c>
      <c r="C65" s="28">
        <v>8020</v>
      </c>
      <c r="D65" s="28">
        <v>5701</v>
      </c>
      <c r="E65" s="28">
        <v>519</v>
      </c>
      <c r="F65" s="28">
        <f t="shared" si="13"/>
        <v>1800</v>
      </c>
      <c r="G65" s="28">
        <v>45999</v>
      </c>
      <c r="H65" s="28">
        <v>17470</v>
      </c>
      <c r="I65" s="28">
        <v>4077</v>
      </c>
      <c r="J65" s="28">
        <f t="shared" si="14"/>
        <v>24452</v>
      </c>
      <c r="K65" s="28">
        <v>2848</v>
      </c>
      <c r="L65" s="28">
        <v>0</v>
      </c>
      <c r="M65" s="28">
        <v>3253</v>
      </c>
      <c r="N65" s="28">
        <v>287</v>
      </c>
      <c r="O65" s="28">
        <v>287</v>
      </c>
    </row>
    <row r="66" spans="1:15" ht="12.75" customHeight="1">
      <c r="A66" s="4" t="s">
        <v>122</v>
      </c>
      <c r="B66" s="5" t="s">
        <v>123</v>
      </c>
      <c r="C66" s="28">
        <v>17240</v>
      </c>
      <c r="D66" s="28">
        <v>5658</v>
      </c>
      <c r="E66" s="28">
        <v>194</v>
      </c>
      <c r="F66" s="28">
        <f t="shared" si="13"/>
        <v>11388</v>
      </c>
      <c r="G66" s="28">
        <v>86706</v>
      </c>
      <c r="H66" s="28">
        <v>17839</v>
      </c>
      <c r="I66" s="28">
        <v>1430</v>
      </c>
      <c r="J66" s="28">
        <f t="shared" si="14"/>
        <v>67437</v>
      </c>
      <c r="K66" s="28">
        <v>8769</v>
      </c>
      <c r="L66" s="28">
        <v>106</v>
      </c>
      <c r="M66" s="28">
        <v>10970</v>
      </c>
      <c r="N66" s="28">
        <v>283</v>
      </c>
      <c r="O66" s="28">
        <v>283</v>
      </c>
    </row>
    <row r="67" spans="1:15" ht="12.75" customHeight="1">
      <c r="A67" s="4" t="s">
        <v>124</v>
      </c>
      <c r="B67" s="5" t="s">
        <v>125</v>
      </c>
      <c r="C67" s="28">
        <v>22011</v>
      </c>
      <c r="D67" s="28">
        <v>6532</v>
      </c>
      <c r="E67" s="28">
        <v>0</v>
      </c>
      <c r="F67" s="28">
        <f t="shared" si="13"/>
        <v>15479</v>
      </c>
      <c r="G67" s="28">
        <v>96036</v>
      </c>
      <c r="H67" s="28">
        <v>18785</v>
      </c>
      <c r="I67" s="28">
        <v>0</v>
      </c>
      <c r="J67" s="28">
        <f t="shared" si="14"/>
        <v>77251</v>
      </c>
      <c r="K67" s="28">
        <v>6832</v>
      </c>
      <c r="L67" s="28">
        <v>0</v>
      </c>
      <c r="M67" s="28">
        <v>14081</v>
      </c>
      <c r="N67" s="28">
        <v>395</v>
      </c>
      <c r="O67" s="28">
        <v>395</v>
      </c>
    </row>
    <row r="68" spans="1:15" ht="12.75" customHeight="1">
      <c r="A68" s="4" t="s">
        <v>126</v>
      </c>
      <c r="B68" s="5" t="s">
        <v>127</v>
      </c>
      <c r="C68" s="28">
        <v>19731</v>
      </c>
      <c r="D68" s="28">
        <v>7663</v>
      </c>
      <c r="E68" s="28">
        <v>114</v>
      </c>
      <c r="F68" s="28">
        <f t="shared" si="13"/>
        <v>11954</v>
      </c>
      <c r="G68" s="28">
        <v>45378</v>
      </c>
      <c r="H68" s="28">
        <v>18763</v>
      </c>
      <c r="I68" s="28">
        <v>1693</v>
      </c>
      <c r="J68" s="28">
        <f t="shared" si="14"/>
        <v>24922</v>
      </c>
      <c r="K68" s="28">
        <v>306</v>
      </c>
      <c r="L68" s="28">
        <v>59</v>
      </c>
      <c r="M68" s="28">
        <v>731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149617</v>
      </c>
      <c r="D69" s="29">
        <f t="shared" si="15"/>
        <v>78280</v>
      </c>
      <c r="E69" s="29">
        <f t="shared" si="15"/>
        <v>3682</v>
      </c>
      <c r="F69" s="29">
        <f t="shared" si="15"/>
        <v>67655</v>
      </c>
      <c r="G69" s="29">
        <f t="shared" si="15"/>
        <v>576270</v>
      </c>
      <c r="H69" s="29">
        <f t="shared" si="15"/>
        <v>220613</v>
      </c>
      <c r="I69" s="29">
        <f t="shared" si="15"/>
        <v>32253</v>
      </c>
      <c r="J69" s="29">
        <f t="shared" si="15"/>
        <v>323404</v>
      </c>
      <c r="K69" s="29">
        <f t="shared" si="15"/>
        <v>23759</v>
      </c>
      <c r="L69" s="29">
        <f t="shared" si="15"/>
        <v>219</v>
      </c>
      <c r="M69" s="29">
        <f t="shared" si="15"/>
        <v>39650</v>
      </c>
      <c r="N69" s="29">
        <f t="shared" si="15"/>
        <v>3625</v>
      </c>
      <c r="O69" s="29">
        <f t="shared" si="15"/>
        <v>3625</v>
      </c>
    </row>
    <row r="70" spans="1:15" ht="12.75" customHeight="1">
      <c r="A70" s="4" t="s">
        <v>129</v>
      </c>
      <c r="B70" s="5" t="s">
        <v>130</v>
      </c>
      <c r="C70" s="28">
        <v>9468</v>
      </c>
      <c r="D70" s="28">
        <v>7140</v>
      </c>
      <c r="E70" s="28">
        <v>447</v>
      </c>
      <c r="F70" s="28">
        <f t="shared" ref="F70:F79" si="16">SUM(C70-D70-E70)</f>
        <v>1881</v>
      </c>
      <c r="G70" s="28">
        <v>34547</v>
      </c>
      <c r="H70" s="28">
        <v>19660</v>
      </c>
      <c r="I70" s="28">
        <v>4464</v>
      </c>
      <c r="J70" s="28">
        <f t="shared" ref="J70:J79" si="17">SUM(G70-H70-I70)</f>
        <v>10423</v>
      </c>
      <c r="K70" s="28">
        <v>1386</v>
      </c>
      <c r="L70" s="28">
        <v>4</v>
      </c>
      <c r="M70" s="28">
        <v>2146</v>
      </c>
      <c r="N70" s="28">
        <v>105</v>
      </c>
      <c r="O70" s="28">
        <v>105</v>
      </c>
    </row>
    <row r="71" spans="1:15" ht="12.75" customHeight="1">
      <c r="A71" s="4" t="s">
        <v>131</v>
      </c>
      <c r="B71" s="5" t="s">
        <v>132</v>
      </c>
      <c r="C71" s="28">
        <v>35281</v>
      </c>
      <c r="D71" s="28">
        <v>24220</v>
      </c>
      <c r="E71" s="28">
        <v>904</v>
      </c>
      <c r="F71" s="28">
        <f t="shared" si="16"/>
        <v>10157</v>
      </c>
      <c r="G71" s="28">
        <v>89781</v>
      </c>
      <c r="H71" s="28">
        <v>45494</v>
      </c>
      <c r="I71" s="28">
        <v>5906</v>
      </c>
      <c r="J71" s="28">
        <f t="shared" si="17"/>
        <v>38381</v>
      </c>
      <c r="K71" s="28">
        <v>6347</v>
      </c>
      <c r="L71" s="28">
        <v>0</v>
      </c>
      <c r="M71" s="28">
        <v>2654</v>
      </c>
      <c r="N71" s="28">
        <v>8676</v>
      </c>
      <c r="O71" s="28">
        <v>8676</v>
      </c>
    </row>
    <row r="72" spans="1:15" ht="12.75" customHeight="1">
      <c r="A72" s="4" t="s">
        <v>133</v>
      </c>
      <c r="B72" s="5" t="s">
        <v>134</v>
      </c>
      <c r="C72" s="28">
        <v>6313</v>
      </c>
      <c r="D72" s="28">
        <v>4406</v>
      </c>
      <c r="E72" s="28">
        <v>0</v>
      </c>
      <c r="F72" s="28">
        <f t="shared" si="16"/>
        <v>1907</v>
      </c>
      <c r="G72" s="28">
        <v>22009</v>
      </c>
      <c r="H72" s="28">
        <v>12436</v>
      </c>
      <c r="I72" s="28">
        <v>0</v>
      </c>
      <c r="J72" s="28">
        <f t="shared" si="17"/>
        <v>9573</v>
      </c>
      <c r="K72" s="28">
        <v>2387</v>
      </c>
      <c r="L72" s="28">
        <v>122</v>
      </c>
      <c r="M72" s="28">
        <v>3377</v>
      </c>
      <c r="N72" s="28">
        <v>123</v>
      </c>
      <c r="O72" s="28">
        <v>123</v>
      </c>
    </row>
    <row r="73" spans="1:15" ht="12.75" customHeight="1">
      <c r="A73" s="4" t="s">
        <v>135</v>
      </c>
      <c r="B73" s="5" t="s">
        <v>136</v>
      </c>
      <c r="C73" s="28">
        <v>14915</v>
      </c>
      <c r="D73" s="28">
        <v>11169</v>
      </c>
      <c r="E73" s="28">
        <v>50</v>
      </c>
      <c r="F73" s="28">
        <f t="shared" si="16"/>
        <v>3696</v>
      </c>
      <c r="G73" s="28">
        <v>46778</v>
      </c>
      <c r="H73" s="28">
        <v>27174</v>
      </c>
      <c r="I73" s="28">
        <v>228</v>
      </c>
      <c r="J73" s="28">
        <f t="shared" si="17"/>
        <v>19376</v>
      </c>
      <c r="K73" s="28">
        <v>2691</v>
      </c>
      <c r="L73" s="28">
        <v>36</v>
      </c>
      <c r="M73" s="28">
        <v>1358</v>
      </c>
      <c r="N73" s="28">
        <v>13774</v>
      </c>
      <c r="O73" s="28">
        <v>13774</v>
      </c>
    </row>
    <row r="74" spans="1:15" ht="12.75" customHeight="1">
      <c r="A74" s="4" t="s">
        <v>137</v>
      </c>
      <c r="B74" s="5" t="s">
        <v>138</v>
      </c>
      <c r="C74" s="28">
        <v>13613</v>
      </c>
      <c r="D74" s="28">
        <v>10318</v>
      </c>
      <c r="E74" s="28">
        <v>283</v>
      </c>
      <c r="F74" s="28">
        <f t="shared" si="16"/>
        <v>3012</v>
      </c>
      <c r="G74" s="28">
        <v>33136</v>
      </c>
      <c r="H74" s="28">
        <v>19966</v>
      </c>
      <c r="I74" s="28">
        <v>1596</v>
      </c>
      <c r="J74" s="28">
        <f t="shared" si="17"/>
        <v>11574</v>
      </c>
      <c r="K74" s="28">
        <v>2221</v>
      </c>
      <c r="L74" s="28">
        <v>0</v>
      </c>
      <c r="M74" s="28">
        <v>859</v>
      </c>
      <c r="N74" s="28">
        <v>963</v>
      </c>
      <c r="O74" s="28">
        <v>963</v>
      </c>
    </row>
    <row r="75" spans="1:15" ht="12.75" customHeight="1">
      <c r="A75" s="4" t="s">
        <v>139</v>
      </c>
      <c r="B75" s="5" t="s">
        <v>140</v>
      </c>
      <c r="C75" s="28">
        <v>6360</v>
      </c>
      <c r="D75" s="28">
        <v>5887</v>
      </c>
      <c r="E75" s="28">
        <v>88</v>
      </c>
      <c r="F75" s="28">
        <f t="shared" si="16"/>
        <v>385</v>
      </c>
      <c r="G75" s="28">
        <v>13557</v>
      </c>
      <c r="H75" s="28">
        <v>10841</v>
      </c>
      <c r="I75" s="28">
        <v>928</v>
      </c>
      <c r="J75" s="28">
        <f t="shared" si="17"/>
        <v>1788</v>
      </c>
      <c r="K75" s="28">
        <v>323</v>
      </c>
      <c r="L75" s="28">
        <v>0</v>
      </c>
      <c r="M75" s="28">
        <v>59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13477</v>
      </c>
      <c r="D76" s="28">
        <v>9592</v>
      </c>
      <c r="E76" s="28">
        <v>109</v>
      </c>
      <c r="F76" s="28">
        <f t="shared" si="16"/>
        <v>3776</v>
      </c>
      <c r="G76" s="28">
        <v>39763</v>
      </c>
      <c r="H76" s="28">
        <v>23195</v>
      </c>
      <c r="I76" s="28">
        <v>721</v>
      </c>
      <c r="J76" s="28">
        <f t="shared" si="17"/>
        <v>15847</v>
      </c>
      <c r="K76" s="28">
        <v>1341</v>
      </c>
      <c r="L76" s="28">
        <v>325</v>
      </c>
      <c r="M76" s="28">
        <v>1431</v>
      </c>
      <c r="N76" s="28">
        <v>572</v>
      </c>
      <c r="O76" s="28">
        <v>572</v>
      </c>
    </row>
    <row r="77" spans="1:15" ht="12.75" customHeight="1">
      <c r="A77" s="4" t="s">
        <v>143</v>
      </c>
      <c r="B77" s="5" t="s">
        <v>144</v>
      </c>
      <c r="C77" s="28">
        <v>10713</v>
      </c>
      <c r="D77" s="28">
        <v>6317</v>
      </c>
      <c r="E77" s="28">
        <v>123</v>
      </c>
      <c r="F77" s="28">
        <f t="shared" si="16"/>
        <v>4273</v>
      </c>
      <c r="G77" s="28">
        <v>28066</v>
      </c>
      <c r="H77" s="28">
        <v>13883</v>
      </c>
      <c r="I77" s="28">
        <v>519</v>
      </c>
      <c r="J77" s="28">
        <f t="shared" si="17"/>
        <v>13664</v>
      </c>
      <c r="K77" s="28">
        <v>2821</v>
      </c>
      <c r="L77" s="28">
        <v>0</v>
      </c>
      <c r="M77" s="28">
        <v>1967</v>
      </c>
      <c r="N77" s="28">
        <v>340</v>
      </c>
      <c r="O77" s="28">
        <v>340</v>
      </c>
    </row>
    <row r="78" spans="1:15" ht="12.75" customHeight="1">
      <c r="A78" s="4" t="s">
        <v>145</v>
      </c>
      <c r="B78" s="5" t="s">
        <v>146</v>
      </c>
      <c r="C78" s="28">
        <v>8391</v>
      </c>
      <c r="D78" s="28">
        <v>5679</v>
      </c>
      <c r="E78" s="28">
        <v>0</v>
      </c>
      <c r="F78" s="28">
        <f t="shared" si="16"/>
        <v>2712</v>
      </c>
      <c r="G78" s="28">
        <v>18776</v>
      </c>
      <c r="H78" s="28">
        <v>11676</v>
      </c>
      <c r="I78" s="28">
        <v>0</v>
      </c>
      <c r="J78" s="28">
        <f t="shared" si="17"/>
        <v>7100</v>
      </c>
      <c r="K78" s="28">
        <v>723</v>
      </c>
      <c r="L78" s="28">
        <v>0</v>
      </c>
      <c r="M78" s="28">
        <v>16</v>
      </c>
      <c r="N78" s="28">
        <v>339</v>
      </c>
      <c r="O78" s="28">
        <v>339</v>
      </c>
    </row>
    <row r="79" spans="1:15" ht="12.75" customHeight="1">
      <c r="A79" s="4" t="s">
        <v>147</v>
      </c>
      <c r="B79" s="5" t="s">
        <v>148</v>
      </c>
      <c r="C79" s="28">
        <v>8007</v>
      </c>
      <c r="D79" s="28">
        <v>5883</v>
      </c>
      <c r="E79" s="28">
        <v>114</v>
      </c>
      <c r="F79" s="28">
        <f t="shared" si="16"/>
        <v>2010</v>
      </c>
      <c r="G79" s="28">
        <v>28984</v>
      </c>
      <c r="H79" s="28">
        <v>15718</v>
      </c>
      <c r="I79" s="28">
        <v>904</v>
      </c>
      <c r="J79" s="28">
        <f t="shared" si="17"/>
        <v>12362</v>
      </c>
      <c r="K79" s="28">
        <v>2741</v>
      </c>
      <c r="L79" s="28">
        <v>0</v>
      </c>
      <c r="M79" s="28">
        <v>2640</v>
      </c>
      <c r="N79" s="28">
        <v>214</v>
      </c>
      <c r="O79" s="28">
        <v>214</v>
      </c>
    </row>
    <row r="80" spans="1:15" ht="12.75" customHeight="1">
      <c r="A80" s="8"/>
      <c r="B80" s="9" t="s">
        <v>149</v>
      </c>
      <c r="C80" s="29">
        <f t="shared" ref="C80:O80" si="18">SUM(C70:C79)</f>
        <v>126538</v>
      </c>
      <c r="D80" s="29">
        <f t="shared" si="18"/>
        <v>90611</v>
      </c>
      <c r="E80" s="29">
        <f t="shared" si="18"/>
        <v>2118</v>
      </c>
      <c r="F80" s="29">
        <f t="shared" si="18"/>
        <v>33809</v>
      </c>
      <c r="G80" s="29">
        <f t="shared" si="18"/>
        <v>355397</v>
      </c>
      <c r="H80" s="29">
        <f t="shared" si="18"/>
        <v>200043</v>
      </c>
      <c r="I80" s="29">
        <f t="shared" si="18"/>
        <v>15266</v>
      </c>
      <c r="J80" s="29">
        <f t="shared" si="18"/>
        <v>140088</v>
      </c>
      <c r="K80" s="29">
        <f t="shared" si="18"/>
        <v>22981</v>
      </c>
      <c r="L80" s="29">
        <f t="shared" si="18"/>
        <v>487</v>
      </c>
      <c r="M80" s="29">
        <f t="shared" si="18"/>
        <v>16507</v>
      </c>
      <c r="N80" s="29">
        <f t="shared" si="18"/>
        <v>25106</v>
      </c>
      <c r="O80" s="29">
        <f t="shared" si="18"/>
        <v>25106</v>
      </c>
    </row>
    <row r="81" spans="1:15" ht="12.75" customHeight="1">
      <c r="A81" s="4" t="s">
        <v>150</v>
      </c>
      <c r="B81" s="5" t="s">
        <v>151</v>
      </c>
      <c r="C81" s="28">
        <v>13734</v>
      </c>
      <c r="D81" s="28">
        <v>8751</v>
      </c>
      <c r="E81" s="28">
        <v>177</v>
      </c>
      <c r="F81" s="28">
        <f>SUM(C81-D81-E81)</f>
        <v>4806</v>
      </c>
      <c r="G81" s="28">
        <v>58243</v>
      </c>
      <c r="H81" s="28">
        <v>29884</v>
      </c>
      <c r="I81" s="28">
        <v>2650</v>
      </c>
      <c r="J81" s="28">
        <f>SUM(G81-H81-I81)</f>
        <v>25709</v>
      </c>
      <c r="K81" s="28">
        <v>1275</v>
      </c>
      <c r="L81" s="28">
        <v>368</v>
      </c>
      <c r="M81" s="28">
        <v>2410</v>
      </c>
      <c r="N81" s="28">
        <v>735</v>
      </c>
      <c r="O81" s="28">
        <v>735</v>
      </c>
    </row>
    <row r="82" spans="1:15" ht="12.75" customHeight="1">
      <c r="A82" s="4" t="s">
        <v>152</v>
      </c>
      <c r="B82" s="5" t="s">
        <v>153</v>
      </c>
      <c r="C82" s="28">
        <v>5227</v>
      </c>
      <c r="D82" s="28">
        <v>3742</v>
      </c>
      <c r="E82" s="28">
        <v>49</v>
      </c>
      <c r="F82" s="28">
        <f>SUM(C82-D82-E82)</f>
        <v>1436</v>
      </c>
      <c r="G82" s="28">
        <v>28861</v>
      </c>
      <c r="H82" s="28">
        <v>12847</v>
      </c>
      <c r="I82" s="28">
        <v>581</v>
      </c>
      <c r="J82" s="28">
        <f>SUM(G82-H82-I82)</f>
        <v>15433</v>
      </c>
      <c r="K82" s="28">
        <v>549</v>
      </c>
      <c r="L82" s="28">
        <v>4</v>
      </c>
      <c r="M82" s="28">
        <v>2162</v>
      </c>
      <c r="N82" s="28">
        <v>174</v>
      </c>
      <c r="O82" s="28">
        <v>174</v>
      </c>
    </row>
    <row r="83" spans="1:15" ht="12.75" customHeight="1">
      <c r="A83" s="4" t="s">
        <v>154</v>
      </c>
      <c r="B83" s="5" t="s">
        <v>155</v>
      </c>
      <c r="C83" s="28">
        <v>1684</v>
      </c>
      <c r="D83" s="28">
        <v>1639</v>
      </c>
      <c r="E83" s="28">
        <v>45</v>
      </c>
      <c r="F83" s="28">
        <f>SUM(C83-D83-E83)</f>
        <v>0</v>
      </c>
      <c r="G83" s="28">
        <v>6935</v>
      </c>
      <c r="H83" s="28">
        <v>5678</v>
      </c>
      <c r="I83" s="28">
        <v>646</v>
      </c>
      <c r="J83" s="28">
        <f>SUM(G83-H83-I83)</f>
        <v>611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5570</v>
      </c>
      <c r="D84" s="28">
        <v>4989</v>
      </c>
      <c r="E84" s="28">
        <v>62</v>
      </c>
      <c r="F84" s="28">
        <f>SUM(C84-D84-E84)</f>
        <v>519</v>
      </c>
      <c r="G84" s="28">
        <v>28101</v>
      </c>
      <c r="H84" s="28">
        <v>17469</v>
      </c>
      <c r="I84" s="28">
        <v>631</v>
      </c>
      <c r="J84" s="28">
        <f>SUM(G84-H84-I84)</f>
        <v>10001</v>
      </c>
      <c r="K84" s="28">
        <v>857</v>
      </c>
      <c r="L84" s="28">
        <v>0</v>
      </c>
      <c r="M84" s="28">
        <v>1620</v>
      </c>
      <c r="N84" s="28">
        <v>146</v>
      </c>
      <c r="O84" s="28">
        <v>146</v>
      </c>
    </row>
    <row r="85" spans="1:15" ht="12.75" customHeight="1">
      <c r="A85" s="4" t="s">
        <v>158</v>
      </c>
      <c r="B85" s="5" t="s">
        <v>159</v>
      </c>
      <c r="C85" s="28">
        <v>8402</v>
      </c>
      <c r="D85" s="28">
        <v>6897</v>
      </c>
      <c r="E85" s="28">
        <v>185</v>
      </c>
      <c r="F85" s="28">
        <f>SUM(C85-D85-E85)</f>
        <v>1320</v>
      </c>
      <c r="G85" s="28">
        <v>29800</v>
      </c>
      <c r="H85" s="28">
        <v>19151</v>
      </c>
      <c r="I85" s="28">
        <v>1472</v>
      </c>
      <c r="J85" s="28">
        <f>SUM(G85-H85-I85)</f>
        <v>9177</v>
      </c>
      <c r="K85" s="28">
        <v>1349</v>
      </c>
      <c r="L85" s="28">
        <v>131</v>
      </c>
      <c r="M85" s="28">
        <v>1318</v>
      </c>
      <c r="N85" s="28">
        <v>9192</v>
      </c>
      <c r="O85" s="28">
        <v>9192</v>
      </c>
    </row>
    <row r="86" spans="1:15" ht="12.75" customHeight="1">
      <c r="A86" s="8"/>
      <c r="B86" s="9" t="s">
        <v>160</v>
      </c>
      <c r="C86" s="29">
        <f t="shared" ref="C86:O86" si="19">SUM(C81:C85)</f>
        <v>34617</v>
      </c>
      <c r="D86" s="29">
        <f t="shared" si="19"/>
        <v>26018</v>
      </c>
      <c r="E86" s="29">
        <f t="shared" si="19"/>
        <v>518</v>
      </c>
      <c r="F86" s="29">
        <f t="shared" si="19"/>
        <v>8081</v>
      </c>
      <c r="G86" s="29">
        <f t="shared" si="19"/>
        <v>151940</v>
      </c>
      <c r="H86" s="29">
        <f t="shared" si="19"/>
        <v>85029</v>
      </c>
      <c r="I86" s="29">
        <f t="shared" si="19"/>
        <v>5980</v>
      </c>
      <c r="J86" s="29">
        <f t="shared" si="19"/>
        <v>60931</v>
      </c>
      <c r="K86" s="29">
        <f t="shared" si="19"/>
        <v>4031</v>
      </c>
      <c r="L86" s="29">
        <f t="shared" si="19"/>
        <v>503</v>
      </c>
      <c r="M86" s="29">
        <f t="shared" si="19"/>
        <v>7510</v>
      </c>
      <c r="N86" s="29">
        <f t="shared" si="19"/>
        <v>10247</v>
      </c>
      <c r="O86" s="29">
        <f t="shared" si="19"/>
        <v>10247</v>
      </c>
    </row>
    <row r="87" spans="1:15" ht="12.75" customHeight="1">
      <c r="A87" s="4" t="s">
        <v>161</v>
      </c>
      <c r="B87" s="5" t="s">
        <v>162</v>
      </c>
      <c r="C87" s="28">
        <v>14791</v>
      </c>
      <c r="D87" s="28">
        <v>11211</v>
      </c>
      <c r="E87" s="28">
        <v>0</v>
      </c>
      <c r="F87" s="28">
        <f>SUM(C87-D87-E87)</f>
        <v>3580</v>
      </c>
      <c r="G87" s="28">
        <v>70385</v>
      </c>
      <c r="H87" s="28">
        <v>35420</v>
      </c>
      <c r="I87" s="28">
        <v>0</v>
      </c>
      <c r="J87" s="28">
        <f>SUM(G87-H87-I87)</f>
        <v>34965</v>
      </c>
      <c r="K87" s="28">
        <v>1437</v>
      </c>
      <c r="L87" s="28">
        <v>22</v>
      </c>
      <c r="M87" s="28">
        <v>3131</v>
      </c>
      <c r="N87" s="28">
        <v>521</v>
      </c>
      <c r="O87" s="28">
        <v>521</v>
      </c>
    </row>
    <row r="88" spans="1:15" ht="12.75" customHeight="1">
      <c r="A88" s="4" t="s">
        <v>163</v>
      </c>
      <c r="B88" s="5" t="s">
        <v>164</v>
      </c>
      <c r="C88" s="28">
        <v>11538</v>
      </c>
      <c r="D88" s="28">
        <v>5667</v>
      </c>
      <c r="E88" s="28">
        <v>292</v>
      </c>
      <c r="F88" s="28">
        <f>SUM(C88-D88-E88)</f>
        <v>5579</v>
      </c>
      <c r="G88" s="28">
        <v>34988</v>
      </c>
      <c r="H88" s="28">
        <v>14419</v>
      </c>
      <c r="I88" s="28">
        <v>2935</v>
      </c>
      <c r="J88" s="28">
        <f>SUM(G88-H88-I88)</f>
        <v>17634</v>
      </c>
      <c r="K88" s="28">
        <v>653</v>
      </c>
      <c r="L88" s="28">
        <v>0</v>
      </c>
      <c r="M88" s="28">
        <v>1192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26329</v>
      </c>
      <c r="D89" s="29">
        <f t="shared" si="20"/>
        <v>16878</v>
      </c>
      <c r="E89" s="29">
        <f t="shared" si="20"/>
        <v>292</v>
      </c>
      <c r="F89" s="29">
        <f t="shared" si="20"/>
        <v>9159</v>
      </c>
      <c r="G89" s="29">
        <f t="shared" si="20"/>
        <v>105373</v>
      </c>
      <c r="H89" s="29">
        <f t="shared" si="20"/>
        <v>49839</v>
      </c>
      <c r="I89" s="29">
        <f t="shared" si="20"/>
        <v>2935</v>
      </c>
      <c r="J89" s="29">
        <f t="shared" si="20"/>
        <v>52599</v>
      </c>
      <c r="K89" s="29">
        <f t="shared" si="20"/>
        <v>2090</v>
      </c>
      <c r="L89" s="29">
        <f t="shared" si="20"/>
        <v>22</v>
      </c>
      <c r="M89" s="29">
        <f t="shared" si="20"/>
        <v>4323</v>
      </c>
      <c r="N89" s="29">
        <f t="shared" si="20"/>
        <v>521</v>
      </c>
      <c r="O89" s="29">
        <f t="shared" si="20"/>
        <v>521</v>
      </c>
    </row>
    <row r="90" spans="1:15" ht="12.75" customHeight="1">
      <c r="A90" s="4" t="s">
        <v>166</v>
      </c>
      <c r="B90" s="5" t="s">
        <v>167</v>
      </c>
      <c r="C90" s="28">
        <v>17328</v>
      </c>
      <c r="D90" s="28">
        <v>8110</v>
      </c>
      <c r="E90" s="28">
        <v>565</v>
      </c>
      <c r="F90" s="28">
        <f>SUM(C90-D90-E90)</f>
        <v>8653</v>
      </c>
      <c r="G90" s="28">
        <v>74542</v>
      </c>
      <c r="H90" s="28">
        <v>27063</v>
      </c>
      <c r="I90" s="28">
        <v>5048</v>
      </c>
      <c r="J90" s="28">
        <f>SUM(G90-H90-I90)</f>
        <v>42431</v>
      </c>
      <c r="K90" s="28">
        <v>867</v>
      </c>
      <c r="L90" s="28">
        <v>0</v>
      </c>
      <c r="M90" s="28">
        <v>3317</v>
      </c>
      <c r="N90" s="28">
        <v>111</v>
      </c>
      <c r="O90" s="28">
        <v>111</v>
      </c>
    </row>
    <row r="91" spans="1:15" ht="12.75" customHeight="1">
      <c r="A91" s="4" t="s">
        <v>168</v>
      </c>
      <c r="B91" s="5" t="s">
        <v>169</v>
      </c>
      <c r="C91" s="28">
        <v>15673</v>
      </c>
      <c r="D91" s="28">
        <v>11083</v>
      </c>
      <c r="E91" s="28">
        <v>0</v>
      </c>
      <c r="F91" s="28">
        <f>SUM(C91-D91-E91)</f>
        <v>4590</v>
      </c>
      <c r="G91" s="28">
        <v>68267</v>
      </c>
      <c r="H91" s="28">
        <v>29762</v>
      </c>
      <c r="I91" s="28">
        <v>0</v>
      </c>
      <c r="J91" s="28">
        <f>SUM(G91-H91-I91)</f>
        <v>38505</v>
      </c>
      <c r="K91" s="28">
        <v>463</v>
      </c>
      <c r="L91" s="28">
        <v>47</v>
      </c>
      <c r="M91" s="28">
        <v>5749</v>
      </c>
      <c r="N91" s="28">
        <v>67</v>
      </c>
      <c r="O91" s="28">
        <v>67</v>
      </c>
    </row>
    <row r="92" spans="1:15" ht="12.75" customHeight="1">
      <c r="A92" s="4" t="s">
        <v>170</v>
      </c>
      <c r="B92" s="5" t="s">
        <v>171</v>
      </c>
      <c r="C92" s="28">
        <v>2878</v>
      </c>
      <c r="D92" s="28">
        <v>2233</v>
      </c>
      <c r="E92" s="28">
        <v>272</v>
      </c>
      <c r="F92" s="28">
        <f>SUM(C92-D92-E92)</f>
        <v>373</v>
      </c>
      <c r="G92" s="28">
        <v>11243</v>
      </c>
      <c r="H92" s="28">
        <v>6332</v>
      </c>
      <c r="I92" s="28">
        <v>2868</v>
      </c>
      <c r="J92" s="28">
        <f>SUM(G92-H92-I92)</f>
        <v>2043</v>
      </c>
      <c r="K92" s="28">
        <v>293</v>
      </c>
      <c r="L92" s="28">
        <v>0</v>
      </c>
      <c r="M92" s="28">
        <v>258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167691</v>
      </c>
      <c r="D93" s="28">
        <v>108999</v>
      </c>
      <c r="E93" s="28">
        <v>6087</v>
      </c>
      <c r="F93" s="28">
        <f>SUM(C93-D93-E93)</f>
        <v>52605</v>
      </c>
      <c r="G93" s="28">
        <v>496043</v>
      </c>
      <c r="H93" s="28">
        <v>192561</v>
      </c>
      <c r="I93" s="28">
        <v>22059</v>
      </c>
      <c r="J93" s="28">
        <f>SUM(G93-H93-I93)</f>
        <v>281423</v>
      </c>
      <c r="K93" s="28">
        <v>58260</v>
      </c>
      <c r="L93" s="28">
        <v>31</v>
      </c>
      <c r="M93" s="28">
        <v>22949</v>
      </c>
      <c r="N93" s="28">
        <v>7296</v>
      </c>
      <c r="O93" s="28">
        <v>7296</v>
      </c>
    </row>
    <row r="94" spans="1:15" ht="12.75" customHeight="1">
      <c r="A94" s="4" t="s">
        <v>174</v>
      </c>
      <c r="B94" s="5" t="s">
        <v>175</v>
      </c>
      <c r="C94" s="28">
        <v>10491</v>
      </c>
      <c r="D94" s="28">
        <v>3095</v>
      </c>
      <c r="E94" s="28">
        <v>156</v>
      </c>
      <c r="F94" s="28">
        <f>SUM(C94-D94-E94)</f>
        <v>7240</v>
      </c>
      <c r="G94" s="28">
        <v>32593</v>
      </c>
      <c r="H94" s="28">
        <v>10592</v>
      </c>
      <c r="I94" s="28">
        <v>1696</v>
      </c>
      <c r="J94" s="28">
        <f>SUM(G94-H94-I94)</f>
        <v>20305</v>
      </c>
      <c r="K94" s="28">
        <v>953</v>
      </c>
      <c r="L94" s="28">
        <v>225</v>
      </c>
      <c r="M94" s="28">
        <v>2786</v>
      </c>
      <c r="N94" s="28">
        <v>109</v>
      </c>
      <c r="O94" s="28">
        <v>109</v>
      </c>
    </row>
    <row r="95" spans="1:15" ht="12.75" customHeight="1">
      <c r="A95" s="8"/>
      <c r="B95" s="9" t="s">
        <v>176</v>
      </c>
      <c r="C95" s="29">
        <f t="shared" ref="C95:O95" si="21">SUM(C90:C94)</f>
        <v>214061</v>
      </c>
      <c r="D95" s="29">
        <f t="shared" si="21"/>
        <v>133520</v>
      </c>
      <c r="E95" s="29">
        <f t="shared" si="21"/>
        <v>7080</v>
      </c>
      <c r="F95" s="29">
        <f t="shared" si="21"/>
        <v>73461</v>
      </c>
      <c r="G95" s="29">
        <f t="shared" si="21"/>
        <v>682688</v>
      </c>
      <c r="H95" s="29">
        <f t="shared" si="21"/>
        <v>266310</v>
      </c>
      <c r="I95" s="29">
        <f t="shared" si="21"/>
        <v>31671</v>
      </c>
      <c r="J95" s="29">
        <f t="shared" si="21"/>
        <v>384707</v>
      </c>
      <c r="K95" s="29">
        <f t="shared" si="21"/>
        <v>60836</v>
      </c>
      <c r="L95" s="29">
        <f t="shared" si="21"/>
        <v>303</v>
      </c>
      <c r="M95" s="29">
        <f t="shared" si="21"/>
        <v>35059</v>
      </c>
      <c r="N95" s="29">
        <f t="shared" si="21"/>
        <v>7612</v>
      </c>
      <c r="O95" s="29">
        <f t="shared" si="21"/>
        <v>7612</v>
      </c>
    </row>
    <row r="96" spans="1:15" ht="12.75" customHeight="1">
      <c r="A96" s="4" t="s">
        <v>177</v>
      </c>
      <c r="B96" s="5" t="s">
        <v>178</v>
      </c>
      <c r="C96" s="28">
        <v>2898</v>
      </c>
      <c r="D96" s="28">
        <v>2195</v>
      </c>
      <c r="E96" s="28">
        <v>50</v>
      </c>
      <c r="F96" s="28">
        <f>SUM(C96-D96-E96)</f>
        <v>653</v>
      </c>
      <c r="G96" s="28">
        <v>15982</v>
      </c>
      <c r="H96" s="28">
        <v>8725</v>
      </c>
      <c r="I96" s="28">
        <v>644</v>
      </c>
      <c r="J96" s="28">
        <f>SUM(G96-H96-I96)</f>
        <v>6613</v>
      </c>
      <c r="K96" s="28">
        <v>14</v>
      </c>
      <c r="L96" s="28">
        <v>0</v>
      </c>
      <c r="M96" s="28">
        <v>2180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948</v>
      </c>
      <c r="D97" s="28">
        <v>868</v>
      </c>
      <c r="E97" s="28">
        <v>0</v>
      </c>
      <c r="F97" s="28">
        <f>SUM(C97-D97-E97)</f>
        <v>80</v>
      </c>
      <c r="G97" s="28">
        <v>3869</v>
      </c>
      <c r="H97" s="28">
        <v>3192</v>
      </c>
      <c r="I97" s="28">
        <v>0</v>
      </c>
      <c r="J97" s="28">
        <f>SUM(G97-H97-I97)</f>
        <v>677</v>
      </c>
      <c r="K97" s="28">
        <v>15</v>
      </c>
      <c r="L97" s="28">
        <v>0</v>
      </c>
      <c r="M97" s="28">
        <v>168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3846</v>
      </c>
      <c r="D98" s="29">
        <f t="shared" si="22"/>
        <v>3063</v>
      </c>
      <c r="E98" s="29">
        <f t="shared" si="22"/>
        <v>50</v>
      </c>
      <c r="F98" s="29">
        <f t="shared" si="22"/>
        <v>733</v>
      </c>
      <c r="G98" s="29">
        <f t="shared" si="22"/>
        <v>19851</v>
      </c>
      <c r="H98" s="29">
        <f t="shared" si="22"/>
        <v>11917</v>
      </c>
      <c r="I98" s="29">
        <f t="shared" si="22"/>
        <v>644</v>
      </c>
      <c r="J98" s="29">
        <f t="shared" si="22"/>
        <v>7290</v>
      </c>
      <c r="K98" s="29">
        <f t="shared" si="22"/>
        <v>29</v>
      </c>
      <c r="L98" s="29">
        <f t="shared" si="22"/>
        <v>0</v>
      </c>
      <c r="M98" s="29">
        <f t="shared" si="22"/>
        <v>2348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7629</v>
      </c>
      <c r="D99" s="28">
        <v>6380</v>
      </c>
      <c r="E99" s="28">
        <v>107</v>
      </c>
      <c r="F99" s="28">
        <f>SUM(C99-D99-E99)</f>
        <v>1142</v>
      </c>
      <c r="G99" s="28">
        <v>36924</v>
      </c>
      <c r="H99" s="28">
        <v>21108</v>
      </c>
      <c r="I99" s="28">
        <v>1457</v>
      </c>
      <c r="J99" s="28">
        <f>SUM(G99-H99-I99)</f>
        <v>14359</v>
      </c>
      <c r="K99" s="28">
        <v>135</v>
      </c>
      <c r="L99" s="28">
        <v>0</v>
      </c>
      <c r="M99" s="28">
        <v>2646</v>
      </c>
      <c r="N99" s="28">
        <v>66</v>
      </c>
      <c r="O99" s="28">
        <v>66</v>
      </c>
    </row>
    <row r="100" spans="1:15" ht="12.75" customHeight="1">
      <c r="A100" s="4" t="s">
        <v>184</v>
      </c>
      <c r="B100" s="5" t="s">
        <v>185</v>
      </c>
      <c r="C100" s="28">
        <v>6754</v>
      </c>
      <c r="D100" s="28">
        <v>3782</v>
      </c>
      <c r="E100" s="28">
        <v>213</v>
      </c>
      <c r="F100" s="28">
        <f>SUM(C100-D100-E100)</f>
        <v>2759</v>
      </c>
      <c r="G100" s="28">
        <v>28077</v>
      </c>
      <c r="H100" s="28">
        <v>11237</v>
      </c>
      <c r="I100" s="28">
        <v>1359</v>
      </c>
      <c r="J100" s="28">
        <f>SUM(G100-H100-I100)</f>
        <v>15481</v>
      </c>
      <c r="K100" s="28">
        <v>1711</v>
      </c>
      <c r="L100" s="28">
        <v>0</v>
      </c>
      <c r="M100" s="28">
        <v>842</v>
      </c>
      <c r="N100" s="28">
        <v>92</v>
      </c>
      <c r="O100" s="28">
        <v>92</v>
      </c>
    </row>
    <row r="101" spans="1:15" ht="12.75" customHeight="1">
      <c r="A101" s="4" t="s">
        <v>186</v>
      </c>
      <c r="B101" s="5" t="s">
        <v>187</v>
      </c>
      <c r="C101" s="28">
        <v>3790</v>
      </c>
      <c r="D101" s="28">
        <v>3147</v>
      </c>
      <c r="E101" s="28">
        <v>0</v>
      </c>
      <c r="F101" s="28">
        <f>SUM(C101-D101-E101)</f>
        <v>643</v>
      </c>
      <c r="G101" s="28">
        <v>13926</v>
      </c>
      <c r="H101" s="28">
        <v>9182</v>
      </c>
      <c r="I101" s="28">
        <v>0</v>
      </c>
      <c r="J101" s="28">
        <f>SUM(G101-H101-I101)</f>
        <v>4744</v>
      </c>
      <c r="K101" s="28">
        <v>60</v>
      </c>
      <c r="L101" s="28">
        <v>0</v>
      </c>
      <c r="M101" s="28">
        <v>1016</v>
      </c>
      <c r="N101" s="28">
        <v>70</v>
      </c>
      <c r="O101" s="28">
        <v>70</v>
      </c>
    </row>
    <row r="102" spans="1:15" ht="12.75" customHeight="1">
      <c r="A102" s="4" t="s">
        <v>188</v>
      </c>
      <c r="B102" s="5" t="s">
        <v>189</v>
      </c>
      <c r="C102" s="28">
        <v>6274</v>
      </c>
      <c r="D102" s="28">
        <v>5403</v>
      </c>
      <c r="E102" s="28">
        <v>205</v>
      </c>
      <c r="F102" s="28">
        <f>SUM(C102-D102-E102)</f>
        <v>666</v>
      </c>
      <c r="G102" s="28">
        <v>24839</v>
      </c>
      <c r="H102" s="28">
        <v>15085</v>
      </c>
      <c r="I102" s="28">
        <v>2601</v>
      </c>
      <c r="J102" s="28">
        <f>SUM(G102-H102-I102)</f>
        <v>7153</v>
      </c>
      <c r="K102" s="28">
        <v>1202</v>
      </c>
      <c r="L102" s="28">
        <v>0</v>
      </c>
      <c r="M102" s="28">
        <v>1333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24447</v>
      </c>
      <c r="D103" s="29">
        <f t="shared" si="23"/>
        <v>18712</v>
      </c>
      <c r="E103" s="29">
        <f t="shared" si="23"/>
        <v>525</v>
      </c>
      <c r="F103" s="29">
        <f t="shared" si="23"/>
        <v>5210</v>
      </c>
      <c r="G103" s="29">
        <f t="shared" si="23"/>
        <v>103766</v>
      </c>
      <c r="H103" s="29">
        <f t="shared" si="23"/>
        <v>56612</v>
      </c>
      <c r="I103" s="29">
        <f t="shared" si="23"/>
        <v>5417</v>
      </c>
      <c r="J103" s="29">
        <f t="shared" si="23"/>
        <v>41737</v>
      </c>
      <c r="K103" s="29">
        <f t="shared" si="23"/>
        <v>3108</v>
      </c>
      <c r="L103" s="29">
        <f t="shared" si="23"/>
        <v>0</v>
      </c>
      <c r="M103" s="29">
        <f t="shared" si="23"/>
        <v>5837</v>
      </c>
      <c r="N103" s="29">
        <f t="shared" si="23"/>
        <v>235</v>
      </c>
      <c r="O103" s="29">
        <f t="shared" si="23"/>
        <v>235</v>
      </c>
    </row>
    <row r="104" spans="1:15" ht="12.75" customHeight="1">
      <c r="A104" s="4" t="s">
        <v>191</v>
      </c>
      <c r="B104" s="5" t="s">
        <v>192</v>
      </c>
      <c r="C104" s="28">
        <v>4592</v>
      </c>
      <c r="D104" s="28">
        <v>3866</v>
      </c>
      <c r="E104" s="28">
        <v>102</v>
      </c>
      <c r="F104" s="28">
        <f>SUM(C104-D104-E104)</f>
        <v>624</v>
      </c>
      <c r="G104" s="28">
        <v>21681</v>
      </c>
      <c r="H104" s="28">
        <v>13527</v>
      </c>
      <c r="I104" s="28">
        <v>1210</v>
      </c>
      <c r="J104" s="28">
        <f>SUM(G104-H104-I104)</f>
        <v>6944</v>
      </c>
      <c r="K104" s="28">
        <v>334</v>
      </c>
      <c r="L104" s="28">
        <v>0</v>
      </c>
      <c r="M104" s="28">
        <v>247</v>
      </c>
      <c r="N104" s="28">
        <v>107</v>
      </c>
      <c r="O104" s="28">
        <v>107</v>
      </c>
    </row>
    <row r="105" spans="1:15" ht="12.75" customHeight="1">
      <c r="A105" s="4" t="s">
        <v>193</v>
      </c>
      <c r="B105" s="5" t="s">
        <v>194</v>
      </c>
      <c r="C105" s="28">
        <v>3817</v>
      </c>
      <c r="D105" s="28">
        <v>2248</v>
      </c>
      <c r="E105" s="28">
        <v>0</v>
      </c>
      <c r="F105" s="28">
        <f>SUM(C105-D105-E105)</f>
        <v>1569</v>
      </c>
      <c r="G105" s="28">
        <v>16163</v>
      </c>
      <c r="H105" s="28">
        <v>7899</v>
      </c>
      <c r="I105" s="28">
        <v>0</v>
      </c>
      <c r="J105" s="28">
        <f>SUM(G105-H105-I105)</f>
        <v>8264</v>
      </c>
      <c r="K105" s="28">
        <v>131</v>
      </c>
      <c r="L105" s="28">
        <v>0</v>
      </c>
      <c r="M105" s="28">
        <v>286</v>
      </c>
      <c r="N105" s="28">
        <v>156</v>
      </c>
      <c r="O105" s="28">
        <v>156</v>
      </c>
    </row>
    <row r="106" spans="1:15" ht="12.75" customHeight="1">
      <c r="A106" s="4" t="s">
        <v>195</v>
      </c>
      <c r="B106" s="5" t="s">
        <v>196</v>
      </c>
      <c r="C106" s="28">
        <v>17904</v>
      </c>
      <c r="D106" s="28">
        <v>11810</v>
      </c>
      <c r="E106" s="28">
        <v>370</v>
      </c>
      <c r="F106" s="28">
        <f>SUM(C106-D106-E106)</f>
        <v>5724</v>
      </c>
      <c r="G106" s="28">
        <v>79725</v>
      </c>
      <c r="H106" s="28">
        <v>35774</v>
      </c>
      <c r="I106" s="28">
        <v>3078</v>
      </c>
      <c r="J106" s="28">
        <f>SUM(G106-H106-I106)</f>
        <v>40873</v>
      </c>
      <c r="K106" s="28">
        <v>345</v>
      </c>
      <c r="L106" s="28">
        <v>0</v>
      </c>
      <c r="M106" s="28">
        <v>9643</v>
      </c>
      <c r="N106" s="28">
        <v>230</v>
      </c>
      <c r="O106" s="28">
        <v>230</v>
      </c>
    </row>
    <row r="107" spans="1:15" ht="12.75" customHeight="1">
      <c r="A107" s="4" t="s">
        <v>197</v>
      </c>
      <c r="B107" s="5" t="s">
        <v>198</v>
      </c>
      <c r="C107" s="28">
        <v>56381</v>
      </c>
      <c r="D107" s="28">
        <v>38940</v>
      </c>
      <c r="E107" s="28">
        <v>1400</v>
      </c>
      <c r="F107" s="28">
        <f>SUM(C107-D107-E107)</f>
        <v>16041</v>
      </c>
      <c r="G107" s="28">
        <v>178914</v>
      </c>
      <c r="H107" s="28">
        <v>78454</v>
      </c>
      <c r="I107" s="28">
        <v>4004</v>
      </c>
      <c r="J107" s="28">
        <f>SUM(G107-H107-I107)</f>
        <v>96456</v>
      </c>
      <c r="K107" s="28">
        <v>6979</v>
      </c>
      <c r="L107" s="28">
        <v>0</v>
      </c>
      <c r="M107" s="28">
        <v>1355</v>
      </c>
      <c r="N107" s="28">
        <v>3773</v>
      </c>
      <c r="O107" s="28">
        <v>3773</v>
      </c>
    </row>
    <row r="108" spans="1:15" ht="12.75" customHeight="1">
      <c r="A108" s="4" t="s">
        <v>199</v>
      </c>
      <c r="B108" s="5" t="s">
        <v>200</v>
      </c>
      <c r="C108" s="28">
        <v>19693</v>
      </c>
      <c r="D108" s="28">
        <v>10559</v>
      </c>
      <c r="E108" s="28">
        <v>351</v>
      </c>
      <c r="F108" s="28">
        <f>SUM(C108-D108-E108)</f>
        <v>8783</v>
      </c>
      <c r="G108" s="28">
        <v>131845</v>
      </c>
      <c r="H108" s="28">
        <v>36752</v>
      </c>
      <c r="I108" s="28">
        <v>3427</v>
      </c>
      <c r="J108" s="28">
        <f>SUM(G108-H108-I108)</f>
        <v>91666</v>
      </c>
      <c r="K108" s="28">
        <v>1148</v>
      </c>
      <c r="L108" s="28">
        <v>0</v>
      </c>
      <c r="M108" s="28">
        <v>2291</v>
      </c>
      <c r="N108" s="28">
        <v>1574</v>
      </c>
      <c r="O108" s="28">
        <v>1574</v>
      </c>
    </row>
    <row r="109" spans="1:15" ht="12.75" customHeight="1">
      <c r="A109" s="8"/>
      <c r="B109" s="9" t="s">
        <v>201</v>
      </c>
      <c r="C109" s="29">
        <f t="shared" ref="C109:O109" si="24">SUM(C104:C108)</f>
        <v>102387</v>
      </c>
      <c r="D109" s="29">
        <f t="shared" si="24"/>
        <v>67423</v>
      </c>
      <c r="E109" s="29">
        <f t="shared" si="24"/>
        <v>2223</v>
      </c>
      <c r="F109" s="29">
        <f t="shared" si="24"/>
        <v>32741</v>
      </c>
      <c r="G109" s="29">
        <f t="shared" si="24"/>
        <v>428328</v>
      </c>
      <c r="H109" s="29">
        <f t="shared" si="24"/>
        <v>172406</v>
      </c>
      <c r="I109" s="29">
        <f t="shared" si="24"/>
        <v>11719</v>
      </c>
      <c r="J109" s="29">
        <f t="shared" si="24"/>
        <v>244203</v>
      </c>
      <c r="K109" s="29">
        <f t="shared" si="24"/>
        <v>8937</v>
      </c>
      <c r="L109" s="29">
        <f t="shared" si="24"/>
        <v>0</v>
      </c>
      <c r="M109" s="29">
        <f t="shared" si="24"/>
        <v>13822</v>
      </c>
      <c r="N109" s="29">
        <f t="shared" si="24"/>
        <v>5840</v>
      </c>
      <c r="O109" s="29">
        <f t="shared" si="24"/>
        <v>5840</v>
      </c>
    </row>
    <row r="110" spans="1:15" ht="12.75" customHeight="1">
      <c r="A110" s="4" t="s">
        <v>202</v>
      </c>
      <c r="B110" s="5" t="s">
        <v>203</v>
      </c>
      <c r="C110" s="28">
        <v>27341</v>
      </c>
      <c r="D110" s="28">
        <v>22711</v>
      </c>
      <c r="E110" s="28">
        <v>137</v>
      </c>
      <c r="F110" s="28">
        <f t="shared" ref="F110:F115" si="25">SUM(C110-D110-E110)</f>
        <v>4493</v>
      </c>
      <c r="G110" s="28">
        <v>129955</v>
      </c>
      <c r="H110" s="28">
        <v>79170</v>
      </c>
      <c r="I110" s="28">
        <v>1516</v>
      </c>
      <c r="J110" s="28">
        <f t="shared" ref="J110:J115" si="26">SUM(G110-H110-I110)</f>
        <v>49269</v>
      </c>
      <c r="K110" s="28">
        <v>2413</v>
      </c>
      <c r="L110" s="28">
        <v>0</v>
      </c>
      <c r="M110" s="28">
        <v>9469</v>
      </c>
      <c r="N110" s="28">
        <v>426</v>
      </c>
      <c r="O110" s="28">
        <v>426</v>
      </c>
    </row>
    <row r="111" spans="1:15" ht="12.75" customHeight="1">
      <c r="A111" s="4" t="s">
        <v>204</v>
      </c>
      <c r="B111" s="5" t="s">
        <v>205</v>
      </c>
      <c r="C111" s="28">
        <v>3580</v>
      </c>
      <c r="D111" s="28">
        <v>3392</v>
      </c>
      <c r="E111" s="28">
        <v>31</v>
      </c>
      <c r="F111" s="28">
        <f t="shared" si="25"/>
        <v>157</v>
      </c>
      <c r="G111" s="28">
        <v>12195</v>
      </c>
      <c r="H111" s="28">
        <v>11015</v>
      </c>
      <c r="I111" s="28">
        <v>445</v>
      </c>
      <c r="J111" s="28">
        <f t="shared" si="26"/>
        <v>735</v>
      </c>
      <c r="K111" s="28">
        <v>5</v>
      </c>
      <c r="L111" s="28">
        <v>0</v>
      </c>
      <c r="M111" s="28">
        <v>307</v>
      </c>
      <c r="N111" s="28">
        <v>79</v>
      </c>
      <c r="O111" s="28">
        <v>79</v>
      </c>
    </row>
    <row r="112" spans="1:15" ht="12.75" customHeight="1">
      <c r="A112" s="4" t="s">
        <v>206</v>
      </c>
      <c r="B112" s="5" t="s">
        <v>207</v>
      </c>
      <c r="C112" s="28">
        <v>8770</v>
      </c>
      <c r="D112" s="28">
        <v>6454</v>
      </c>
      <c r="E112" s="28">
        <v>0</v>
      </c>
      <c r="F112" s="28">
        <f t="shared" si="25"/>
        <v>2316</v>
      </c>
      <c r="G112" s="28">
        <v>32988</v>
      </c>
      <c r="H112" s="28">
        <v>21246</v>
      </c>
      <c r="I112" s="28">
        <v>0</v>
      </c>
      <c r="J112" s="28">
        <f t="shared" si="26"/>
        <v>11742</v>
      </c>
      <c r="K112" s="28">
        <v>13164</v>
      </c>
      <c r="L112" s="28">
        <v>0</v>
      </c>
      <c r="M112" s="28">
        <v>2592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8320</v>
      </c>
      <c r="D113" s="28">
        <v>5380</v>
      </c>
      <c r="E113" s="28">
        <v>73</v>
      </c>
      <c r="F113" s="28">
        <f t="shared" si="25"/>
        <v>2867</v>
      </c>
      <c r="G113" s="28">
        <v>36188</v>
      </c>
      <c r="H113" s="28">
        <v>17555</v>
      </c>
      <c r="I113" s="28">
        <v>635</v>
      </c>
      <c r="J113" s="28">
        <f t="shared" si="26"/>
        <v>17998</v>
      </c>
      <c r="K113" s="28">
        <v>1277</v>
      </c>
      <c r="L113" s="28">
        <v>0</v>
      </c>
      <c r="M113" s="28">
        <v>5149</v>
      </c>
      <c r="N113" s="28">
        <v>70</v>
      </c>
      <c r="O113" s="28">
        <v>70</v>
      </c>
    </row>
    <row r="114" spans="1:15" ht="12.75" customHeight="1">
      <c r="A114" s="4" t="s">
        <v>210</v>
      </c>
      <c r="B114" s="5" t="s">
        <v>211</v>
      </c>
      <c r="C114" s="28">
        <v>19694</v>
      </c>
      <c r="D114" s="28">
        <v>13975</v>
      </c>
      <c r="E114" s="28">
        <v>0</v>
      </c>
      <c r="F114" s="28">
        <f t="shared" si="25"/>
        <v>5719</v>
      </c>
      <c r="G114" s="28">
        <v>61969</v>
      </c>
      <c r="H114" s="28">
        <v>35868</v>
      </c>
      <c r="I114" s="28">
        <v>0</v>
      </c>
      <c r="J114" s="28">
        <f t="shared" si="26"/>
        <v>26101</v>
      </c>
      <c r="K114" s="28">
        <v>3970</v>
      </c>
      <c r="L114" s="28">
        <v>0</v>
      </c>
      <c r="M114" s="28">
        <v>7025</v>
      </c>
      <c r="N114" s="28">
        <v>542</v>
      </c>
      <c r="O114" s="28">
        <v>542</v>
      </c>
    </row>
    <row r="115" spans="1:15" ht="12.75" customHeight="1">
      <c r="A115" s="4" t="s">
        <v>212</v>
      </c>
      <c r="B115" s="5" t="s">
        <v>213</v>
      </c>
      <c r="C115" s="28">
        <v>13206</v>
      </c>
      <c r="D115" s="28">
        <v>11349</v>
      </c>
      <c r="E115" s="28">
        <v>0</v>
      </c>
      <c r="F115" s="28">
        <f t="shared" si="25"/>
        <v>1857</v>
      </c>
      <c r="G115" s="28">
        <v>49382</v>
      </c>
      <c r="H115" s="28">
        <v>37022</v>
      </c>
      <c r="I115" s="28">
        <v>0</v>
      </c>
      <c r="J115" s="28">
        <f t="shared" si="26"/>
        <v>12360</v>
      </c>
      <c r="K115" s="28">
        <v>3018</v>
      </c>
      <c r="L115" s="28">
        <v>0</v>
      </c>
      <c r="M115" s="28">
        <v>4015</v>
      </c>
      <c r="N115" s="28">
        <v>433</v>
      </c>
      <c r="O115" s="28">
        <v>433</v>
      </c>
    </row>
    <row r="116" spans="1:15" ht="12.75" customHeight="1">
      <c r="A116" s="8"/>
      <c r="B116" s="9" t="s">
        <v>214</v>
      </c>
      <c r="C116" s="29">
        <f t="shared" ref="C116:O116" si="27">SUM(C110:C115)</f>
        <v>80911</v>
      </c>
      <c r="D116" s="29">
        <f t="shared" si="27"/>
        <v>63261</v>
      </c>
      <c r="E116" s="29">
        <f t="shared" si="27"/>
        <v>241</v>
      </c>
      <c r="F116" s="29">
        <f t="shared" si="27"/>
        <v>17409</v>
      </c>
      <c r="G116" s="29">
        <f t="shared" si="27"/>
        <v>322677</v>
      </c>
      <c r="H116" s="29">
        <f t="shared" si="27"/>
        <v>201876</v>
      </c>
      <c r="I116" s="29">
        <f t="shared" si="27"/>
        <v>2596</v>
      </c>
      <c r="J116" s="29">
        <f t="shared" si="27"/>
        <v>118205</v>
      </c>
      <c r="K116" s="29">
        <f t="shared" si="27"/>
        <v>23847</v>
      </c>
      <c r="L116" s="29">
        <f t="shared" si="27"/>
        <v>0</v>
      </c>
      <c r="M116" s="29">
        <f t="shared" si="27"/>
        <v>28557</v>
      </c>
      <c r="N116" s="29">
        <f t="shared" si="27"/>
        <v>1550</v>
      </c>
      <c r="O116" s="29">
        <f t="shared" si="27"/>
        <v>1550</v>
      </c>
    </row>
    <row r="117" spans="1:15" ht="12.75" customHeight="1">
      <c r="A117" s="4" t="s">
        <v>215</v>
      </c>
      <c r="B117" s="5" t="s">
        <v>216</v>
      </c>
      <c r="C117" s="28">
        <v>3067</v>
      </c>
      <c r="D117" s="28">
        <v>2170</v>
      </c>
      <c r="E117" s="28">
        <v>0</v>
      </c>
      <c r="F117" s="28">
        <f>SUM(C117-D117-E117)</f>
        <v>897</v>
      </c>
      <c r="G117" s="28">
        <v>14124</v>
      </c>
      <c r="H117" s="28">
        <v>8575</v>
      </c>
      <c r="I117" s="28">
        <v>0</v>
      </c>
      <c r="J117" s="28">
        <f>SUM(G117-H117-I117)</f>
        <v>5549</v>
      </c>
      <c r="K117" s="28">
        <v>0</v>
      </c>
      <c r="L117" s="28">
        <v>0</v>
      </c>
      <c r="M117" s="28">
        <v>2823</v>
      </c>
      <c r="N117" s="28">
        <v>147</v>
      </c>
      <c r="O117" s="28">
        <v>147</v>
      </c>
    </row>
    <row r="118" spans="1:15" ht="12.75" customHeight="1">
      <c r="A118" s="4" t="s">
        <v>217</v>
      </c>
      <c r="B118" s="5" t="s">
        <v>218</v>
      </c>
      <c r="C118" s="28">
        <v>7461</v>
      </c>
      <c r="D118" s="28">
        <v>6041</v>
      </c>
      <c r="E118" s="28">
        <v>89</v>
      </c>
      <c r="F118" s="28">
        <f>SUM(C118-D118-E118)</f>
        <v>1331</v>
      </c>
      <c r="G118" s="28">
        <v>29778</v>
      </c>
      <c r="H118" s="28">
        <v>18869</v>
      </c>
      <c r="I118" s="28">
        <v>947</v>
      </c>
      <c r="J118" s="28">
        <f>SUM(G118-H118-I118)</f>
        <v>9962</v>
      </c>
      <c r="K118" s="28">
        <v>105</v>
      </c>
      <c r="L118" s="28">
        <v>0</v>
      </c>
      <c r="M118" s="28">
        <v>1732</v>
      </c>
      <c r="N118" s="28">
        <v>210</v>
      </c>
      <c r="O118" s="28">
        <v>210</v>
      </c>
    </row>
    <row r="119" spans="1:15" ht="12.75" customHeight="1">
      <c r="A119" s="8"/>
      <c r="B119" s="9" t="s">
        <v>219</v>
      </c>
      <c r="C119" s="29">
        <f t="shared" ref="C119:O119" si="28">SUM(C117:C118)</f>
        <v>10528</v>
      </c>
      <c r="D119" s="29">
        <f t="shared" si="28"/>
        <v>8211</v>
      </c>
      <c r="E119" s="29">
        <f t="shared" si="28"/>
        <v>89</v>
      </c>
      <c r="F119" s="29">
        <f t="shared" si="28"/>
        <v>2228</v>
      </c>
      <c r="G119" s="29">
        <f t="shared" si="28"/>
        <v>43902</v>
      </c>
      <c r="H119" s="29">
        <f t="shared" si="28"/>
        <v>27444</v>
      </c>
      <c r="I119" s="29">
        <f t="shared" si="28"/>
        <v>947</v>
      </c>
      <c r="J119" s="29">
        <f t="shared" si="28"/>
        <v>15511</v>
      </c>
      <c r="K119" s="29">
        <f t="shared" si="28"/>
        <v>105</v>
      </c>
      <c r="L119" s="29">
        <f t="shared" si="28"/>
        <v>0</v>
      </c>
      <c r="M119" s="29">
        <f t="shared" si="28"/>
        <v>4555</v>
      </c>
      <c r="N119" s="29">
        <f t="shared" si="28"/>
        <v>357</v>
      </c>
      <c r="O119" s="29">
        <f t="shared" si="28"/>
        <v>357</v>
      </c>
    </row>
    <row r="120" spans="1:15" ht="12.75" customHeight="1">
      <c r="A120" s="4" t="s">
        <v>220</v>
      </c>
      <c r="B120" s="5" t="s">
        <v>221</v>
      </c>
      <c r="C120" s="28">
        <v>8170</v>
      </c>
      <c r="D120" s="28">
        <v>7295</v>
      </c>
      <c r="E120" s="28">
        <v>81</v>
      </c>
      <c r="F120" s="28">
        <f>SUM(C120-D120-E120)</f>
        <v>794</v>
      </c>
      <c r="G120" s="28">
        <v>28904</v>
      </c>
      <c r="H120" s="28">
        <v>22030</v>
      </c>
      <c r="I120" s="28">
        <v>1161</v>
      </c>
      <c r="J120" s="28">
        <f>SUM(G120-H120-I120)</f>
        <v>5713</v>
      </c>
      <c r="K120" s="28">
        <v>1770</v>
      </c>
      <c r="L120" s="28">
        <v>0</v>
      </c>
      <c r="M120" s="28">
        <v>970</v>
      </c>
      <c r="N120" s="28">
        <v>1537</v>
      </c>
      <c r="O120" s="28">
        <v>1537</v>
      </c>
    </row>
    <row r="121" spans="1:15" ht="12.75" customHeight="1">
      <c r="A121" s="4" t="s">
        <v>222</v>
      </c>
      <c r="B121" s="5" t="s">
        <v>223</v>
      </c>
      <c r="C121" s="28">
        <v>12824</v>
      </c>
      <c r="D121" s="28">
        <v>11764</v>
      </c>
      <c r="E121" s="28">
        <v>207</v>
      </c>
      <c r="F121" s="28">
        <f>SUM(C121-D121-E121)</f>
        <v>853</v>
      </c>
      <c r="G121" s="28">
        <v>50977</v>
      </c>
      <c r="H121" s="28">
        <v>36343</v>
      </c>
      <c r="I121" s="28">
        <v>2004</v>
      </c>
      <c r="J121" s="28">
        <f>SUM(G121-H121-I121)</f>
        <v>12630</v>
      </c>
      <c r="K121" s="28">
        <v>316</v>
      </c>
      <c r="L121" s="28">
        <v>0</v>
      </c>
      <c r="M121" s="28">
        <v>2007</v>
      </c>
      <c r="N121" s="28">
        <v>154</v>
      </c>
      <c r="O121" s="28">
        <v>154</v>
      </c>
    </row>
    <row r="122" spans="1:15" ht="12.75" customHeight="1">
      <c r="A122" s="4" t="s">
        <v>224</v>
      </c>
      <c r="B122" s="5" t="s">
        <v>225</v>
      </c>
      <c r="C122" s="28">
        <v>2354</v>
      </c>
      <c r="D122" s="28">
        <v>2026</v>
      </c>
      <c r="E122" s="28">
        <v>0</v>
      </c>
      <c r="F122" s="28">
        <f>SUM(C122-D122-E122)</f>
        <v>328</v>
      </c>
      <c r="G122" s="28">
        <v>8514</v>
      </c>
      <c r="H122" s="28">
        <v>5610</v>
      </c>
      <c r="I122" s="28">
        <v>0</v>
      </c>
      <c r="J122" s="28">
        <f>SUM(G122-H122-I122)</f>
        <v>2904</v>
      </c>
      <c r="K122" s="28">
        <v>115</v>
      </c>
      <c r="L122" s="28">
        <v>0</v>
      </c>
      <c r="M122" s="28">
        <v>2237</v>
      </c>
      <c r="N122" s="28">
        <v>75</v>
      </c>
      <c r="O122" s="28">
        <v>75</v>
      </c>
    </row>
    <row r="123" spans="1:15" ht="12.75" customHeight="1">
      <c r="A123" s="4" t="s">
        <v>226</v>
      </c>
      <c r="B123" s="5" t="s">
        <v>227</v>
      </c>
      <c r="C123" s="28">
        <v>12507</v>
      </c>
      <c r="D123" s="28">
        <v>10428</v>
      </c>
      <c r="E123" s="28">
        <v>118</v>
      </c>
      <c r="F123" s="28">
        <f>SUM(C123-D123-E123)</f>
        <v>1961</v>
      </c>
      <c r="G123" s="28">
        <v>43124</v>
      </c>
      <c r="H123" s="28">
        <v>27744</v>
      </c>
      <c r="I123" s="28">
        <v>1040</v>
      </c>
      <c r="J123" s="28">
        <f>SUM(G123-H123-I123)</f>
        <v>14340</v>
      </c>
      <c r="K123" s="28">
        <v>986</v>
      </c>
      <c r="L123" s="28">
        <v>0</v>
      </c>
      <c r="M123" s="28">
        <v>1680</v>
      </c>
      <c r="N123" s="28">
        <v>636</v>
      </c>
      <c r="O123" s="28">
        <v>636</v>
      </c>
    </row>
    <row r="124" spans="1:15" ht="12.75" customHeight="1">
      <c r="A124" s="4" t="s">
        <v>228</v>
      </c>
      <c r="B124" s="5" t="s">
        <v>229</v>
      </c>
      <c r="C124" s="28">
        <v>4068</v>
      </c>
      <c r="D124" s="28">
        <v>3651</v>
      </c>
      <c r="E124" s="28">
        <v>98</v>
      </c>
      <c r="F124" s="28">
        <f>SUM(C124-D124-E124)</f>
        <v>319</v>
      </c>
      <c r="G124" s="28">
        <v>12899</v>
      </c>
      <c r="H124" s="28">
        <v>9699</v>
      </c>
      <c r="I124" s="28">
        <v>903</v>
      </c>
      <c r="J124" s="28">
        <f>SUM(G124-H124-I124)</f>
        <v>2297</v>
      </c>
      <c r="K124" s="28">
        <v>259</v>
      </c>
      <c r="L124" s="28">
        <v>0</v>
      </c>
      <c r="M124" s="28">
        <v>52</v>
      </c>
      <c r="N124" s="28">
        <v>327</v>
      </c>
      <c r="O124" s="28">
        <v>327</v>
      </c>
    </row>
    <row r="125" spans="1:15" ht="12.75" customHeight="1">
      <c r="A125" s="8"/>
      <c r="B125" s="9" t="s">
        <v>230</v>
      </c>
      <c r="C125" s="29">
        <f t="shared" ref="C125:O125" si="29">SUM(C120:C124)</f>
        <v>39923</v>
      </c>
      <c r="D125" s="29">
        <f t="shared" si="29"/>
        <v>35164</v>
      </c>
      <c r="E125" s="29">
        <f t="shared" si="29"/>
        <v>504</v>
      </c>
      <c r="F125" s="29">
        <f t="shared" si="29"/>
        <v>4255</v>
      </c>
      <c r="G125" s="29">
        <f t="shared" si="29"/>
        <v>144418</v>
      </c>
      <c r="H125" s="29">
        <f t="shared" si="29"/>
        <v>101426</v>
      </c>
      <c r="I125" s="29">
        <f t="shared" si="29"/>
        <v>5108</v>
      </c>
      <c r="J125" s="29">
        <f t="shared" si="29"/>
        <v>37884</v>
      </c>
      <c r="K125" s="29">
        <f t="shared" si="29"/>
        <v>3446</v>
      </c>
      <c r="L125" s="29">
        <f t="shared" si="29"/>
        <v>0</v>
      </c>
      <c r="M125" s="29">
        <f t="shared" si="29"/>
        <v>6946</v>
      </c>
      <c r="N125" s="29">
        <f t="shared" si="29"/>
        <v>2729</v>
      </c>
      <c r="O125" s="29">
        <f t="shared" si="29"/>
        <v>2729</v>
      </c>
    </row>
    <row r="126" spans="1:15" ht="12.75" customHeight="1">
      <c r="A126" s="4" t="s">
        <v>231</v>
      </c>
      <c r="B126" s="5" t="s">
        <v>232</v>
      </c>
      <c r="C126" s="28">
        <v>8047</v>
      </c>
      <c r="D126" s="28">
        <v>5910</v>
      </c>
      <c r="E126" s="28">
        <v>0</v>
      </c>
      <c r="F126" s="28">
        <f t="shared" ref="F126:F134" si="30">SUM(C126-D126-E126)</f>
        <v>2137</v>
      </c>
      <c r="G126" s="28">
        <v>25293</v>
      </c>
      <c r="H126" s="28">
        <v>14389</v>
      </c>
      <c r="I126" s="28">
        <v>0</v>
      </c>
      <c r="J126" s="28">
        <f t="shared" ref="J126:J134" si="31">SUM(G126-H126-I126)</f>
        <v>10904</v>
      </c>
      <c r="K126" s="28">
        <v>233</v>
      </c>
      <c r="L126" s="28">
        <v>0</v>
      </c>
      <c r="M126" s="28">
        <v>1731</v>
      </c>
      <c r="N126" s="28">
        <v>175</v>
      </c>
      <c r="O126" s="28">
        <v>175</v>
      </c>
    </row>
    <row r="127" spans="1:15" ht="12.75" customHeight="1">
      <c r="A127" s="4" t="s">
        <v>233</v>
      </c>
      <c r="B127" s="5" t="s">
        <v>234</v>
      </c>
      <c r="C127" s="28">
        <v>4066</v>
      </c>
      <c r="D127" s="28">
        <v>3385</v>
      </c>
      <c r="E127" s="28">
        <v>0</v>
      </c>
      <c r="F127" s="28">
        <f t="shared" si="30"/>
        <v>681</v>
      </c>
      <c r="G127" s="28">
        <v>14764</v>
      </c>
      <c r="H127" s="28">
        <v>11520</v>
      </c>
      <c r="I127" s="28">
        <v>0</v>
      </c>
      <c r="J127" s="28">
        <f t="shared" si="31"/>
        <v>3244</v>
      </c>
      <c r="K127" s="28">
        <v>76</v>
      </c>
      <c r="L127" s="28">
        <v>0</v>
      </c>
      <c r="M127" s="28">
        <v>348</v>
      </c>
      <c r="N127" s="28">
        <v>78</v>
      </c>
      <c r="O127" s="28">
        <v>78</v>
      </c>
    </row>
    <row r="128" spans="1:15" ht="12.75" customHeight="1">
      <c r="A128" s="4" t="s">
        <v>235</v>
      </c>
      <c r="B128" s="5" t="s">
        <v>236</v>
      </c>
      <c r="C128" s="28">
        <v>26981</v>
      </c>
      <c r="D128" s="28">
        <v>21120</v>
      </c>
      <c r="E128" s="28">
        <v>435</v>
      </c>
      <c r="F128" s="28">
        <f t="shared" si="30"/>
        <v>5426</v>
      </c>
      <c r="G128" s="28">
        <v>70238</v>
      </c>
      <c r="H128" s="28">
        <v>47100</v>
      </c>
      <c r="I128" s="28">
        <v>2272</v>
      </c>
      <c r="J128" s="28">
        <f t="shared" si="31"/>
        <v>20866</v>
      </c>
      <c r="K128" s="28">
        <v>2099</v>
      </c>
      <c r="L128" s="28">
        <v>0</v>
      </c>
      <c r="M128" s="28">
        <v>3216</v>
      </c>
      <c r="N128" s="28">
        <v>721</v>
      </c>
      <c r="O128" s="28">
        <v>721</v>
      </c>
    </row>
    <row r="129" spans="1:15" ht="12.75" customHeight="1">
      <c r="A129" s="4" t="s">
        <v>237</v>
      </c>
      <c r="B129" s="5" t="s">
        <v>238</v>
      </c>
      <c r="C129" s="28">
        <v>2689</v>
      </c>
      <c r="D129" s="28">
        <v>2123</v>
      </c>
      <c r="E129" s="28">
        <v>105</v>
      </c>
      <c r="F129" s="28">
        <f t="shared" si="30"/>
        <v>461</v>
      </c>
      <c r="G129" s="28">
        <v>11688</v>
      </c>
      <c r="H129" s="28">
        <v>5411</v>
      </c>
      <c r="I129" s="28">
        <v>1274</v>
      </c>
      <c r="J129" s="28">
        <f t="shared" si="31"/>
        <v>5003</v>
      </c>
      <c r="K129" s="28">
        <v>172</v>
      </c>
      <c r="L129" s="28">
        <v>0</v>
      </c>
      <c r="M129" s="28">
        <v>976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16662</v>
      </c>
      <c r="D130" s="28">
        <v>13915</v>
      </c>
      <c r="E130" s="28">
        <v>777</v>
      </c>
      <c r="F130" s="28">
        <f t="shared" si="30"/>
        <v>1970</v>
      </c>
      <c r="G130" s="28">
        <v>45323</v>
      </c>
      <c r="H130" s="28">
        <v>24590</v>
      </c>
      <c r="I130" s="28">
        <v>4034</v>
      </c>
      <c r="J130" s="28">
        <f t="shared" si="31"/>
        <v>16699</v>
      </c>
      <c r="K130" s="28">
        <v>1296</v>
      </c>
      <c r="L130" s="28">
        <v>0</v>
      </c>
      <c r="M130" s="28">
        <v>569</v>
      </c>
      <c r="N130" s="28">
        <v>2003</v>
      </c>
      <c r="O130" s="28">
        <v>2003</v>
      </c>
    </row>
    <row r="131" spans="1:15" ht="12.75" customHeight="1">
      <c r="A131" s="4" t="s">
        <v>241</v>
      </c>
      <c r="B131" s="5" t="s">
        <v>242</v>
      </c>
      <c r="C131" s="28">
        <v>30227</v>
      </c>
      <c r="D131" s="28">
        <v>26521</v>
      </c>
      <c r="E131" s="28">
        <v>172</v>
      </c>
      <c r="F131" s="28">
        <f t="shared" si="30"/>
        <v>3534</v>
      </c>
      <c r="G131" s="28">
        <v>89417</v>
      </c>
      <c r="H131" s="28">
        <v>44327</v>
      </c>
      <c r="I131" s="28">
        <v>1261</v>
      </c>
      <c r="J131" s="28">
        <f t="shared" si="31"/>
        <v>43829</v>
      </c>
      <c r="K131" s="28">
        <v>1918</v>
      </c>
      <c r="L131" s="28">
        <v>0</v>
      </c>
      <c r="M131" s="28">
        <v>1105</v>
      </c>
      <c r="N131" s="28">
        <v>587</v>
      </c>
      <c r="O131" s="28">
        <v>587</v>
      </c>
    </row>
    <row r="132" spans="1:15" ht="12.75" customHeight="1">
      <c r="A132" s="4" t="s">
        <v>243</v>
      </c>
      <c r="B132" s="5" t="s">
        <v>244</v>
      </c>
      <c r="C132" s="28">
        <v>15094</v>
      </c>
      <c r="D132" s="28">
        <v>12720</v>
      </c>
      <c r="E132" s="28">
        <v>0</v>
      </c>
      <c r="F132" s="28">
        <f t="shared" si="30"/>
        <v>2374</v>
      </c>
      <c r="G132" s="28">
        <v>46983</v>
      </c>
      <c r="H132" s="28">
        <v>28102</v>
      </c>
      <c r="I132" s="28">
        <v>0</v>
      </c>
      <c r="J132" s="28">
        <f t="shared" si="31"/>
        <v>18881</v>
      </c>
      <c r="K132" s="28">
        <v>2104</v>
      </c>
      <c r="L132" s="28">
        <v>0</v>
      </c>
      <c r="M132" s="28">
        <v>3680</v>
      </c>
      <c r="N132" s="28">
        <v>289</v>
      </c>
      <c r="O132" s="28">
        <v>289</v>
      </c>
    </row>
    <row r="133" spans="1:15" ht="12.75" customHeight="1">
      <c r="A133" s="4" t="s">
        <v>245</v>
      </c>
      <c r="B133" s="5" t="s">
        <v>246</v>
      </c>
      <c r="C133" s="28">
        <v>13282</v>
      </c>
      <c r="D133" s="28">
        <v>11697</v>
      </c>
      <c r="E133" s="28">
        <v>0</v>
      </c>
      <c r="F133" s="28">
        <f t="shared" si="30"/>
        <v>1585</v>
      </c>
      <c r="G133" s="28">
        <v>33787</v>
      </c>
      <c r="H133" s="28">
        <v>26025</v>
      </c>
      <c r="I133" s="28">
        <v>0</v>
      </c>
      <c r="J133" s="28">
        <f t="shared" si="31"/>
        <v>7762</v>
      </c>
      <c r="K133" s="28">
        <v>6940</v>
      </c>
      <c r="L133" s="28">
        <v>0</v>
      </c>
      <c r="M133" s="28">
        <v>2349</v>
      </c>
      <c r="N133" s="28">
        <v>421</v>
      </c>
      <c r="O133" s="28">
        <v>421</v>
      </c>
    </row>
    <row r="134" spans="1:15" ht="12.75" customHeight="1">
      <c r="A134" s="4" t="s">
        <v>247</v>
      </c>
      <c r="B134" s="5" t="s">
        <v>248</v>
      </c>
      <c r="C134" s="28">
        <v>7683</v>
      </c>
      <c r="D134" s="28">
        <v>6172</v>
      </c>
      <c r="E134" s="28">
        <v>0</v>
      </c>
      <c r="F134" s="28">
        <f t="shared" si="30"/>
        <v>1511</v>
      </c>
      <c r="G134" s="28">
        <v>19559</v>
      </c>
      <c r="H134" s="28">
        <v>13948</v>
      </c>
      <c r="I134" s="28">
        <v>0</v>
      </c>
      <c r="J134" s="28">
        <f t="shared" si="31"/>
        <v>5611</v>
      </c>
      <c r="K134" s="28">
        <v>123</v>
      </c>
      <c r="L134" s="28">
        <v>0</v>
      </c>
      <c r="M134" s="28">
        <v>2030</v>
      </c>
      <c r="N134" s="28">
        <v>27</v>
      </c>
      <c r="O134" s="28">
        <v>27</v>
      </c>
    </row>
    <row r="135" spans="1:15" ht="12.75" customHeight="1">
      <c r="A135" s="10"/>
      <c r="B135" s="9" t="s">
        <v>249</v>
      </c>
      <c r="C135" s="29">
        <f t="shared" ref="C135:O135" si="32">SUM(C126:C134)</f>
        <v>124731</v>
      </c>
      <c r="D135" s="29">
        <f t="shared" si="32"/>
        <v>103563</v>
      </c>
      <c r="E135" s="29">
        <f t="shared" si="32"/>
        <v>1489</v>
      </c>
      <c r="F135" s="29">
        <f t="shared" si="32"/>
        <v>19679</v>
      </c>
      <c r="G135" s="29">
        <f t="shared" si="32"/>
        <v>357052</v>
      </c>
      <c r="H135" s="29">
        <f t="shared" si="32"/>
        <v>215412</v>
      </c>
      <c r="I135" s="29">
        <f t="shared" si="32"/>
        <v>8841</v>
      </c>
      <c r="J135" s="29">
        <f t="shared" si="32"/>
        <v>132799</v>
      </c>
      <c r="K135" s="29">
        <f t="shared" si="32"/>
        <v>14961</v>
      </c>
      <c r="L135" s="29">
        <f t="shared" si="32"/>
        <v>0</v>
      </c>
      <c r="M135" s="29">
        <f t="shared" si="32"/>
        <v>16004</v>
      </c>
      <c r="N135" s="29">
        <f t="shared" si="32"/>
        <v>4301</v>
      </c>
      <c r="O135" s="29">
        <f t="shared" si="32"/>
        <v>4301</v>
      </c>
    </row>
    <row r="136" spans="1:15" ht="12.75" customHeight="1">
      <c r="A136" s="4" t="s">
        <v>250</v>
      </c>
      <c r="B136" s="5" t="s">
        <v>251</v>
      </c>
      <c r="C136" s="28">
        <v>19091</v>
      </c>
      <c r="D136" s="28">
        <v>17573</v>
      </c>
      <c r="E136" s="28">
        <v>0</v>
      </c>
      <c r="F136" s="28">
        <f t="shared" ref="F136:F143" si="33">SUM(C136-D136-E136)</f>
        <v>1518</v>
      </c>
      <c r="G136" s="28">
        <v>48313</v>
      </c>
      <c r="H136" s="28">
        <v>36523</v>
      </c>
      <c r="I136" s="28">
        <v>0</v>
      </c>
      <c r="J136" s="28">
        <f t="shared" ref="J136:J143" si="34">SUM(G136-H136-I136)</f>
        <v>11790</v>
      </c>
      <c r="K136" s="28">
        <v>7930</v>
      </c>
      <c r="L136" s="28">
        <v>2173</v>
      </c>
      <c r="M136" s="28">
        <v>1298</v>
      </c>
      <c r="N136" s="28">
        <v>6940</v>
      </c>
      <c r="O136" s="28">
        <v>6940</v>
      </c>
    </row>
    <row r="137" spans="1:15" ht="12.75" customHeight="1">
      <c r="A137" s="4" t="s">
        <v>252</v>
      </c>
      <c r="B137" s="5" t="s">
        <v>253</v>
      </c>
      <c r="C137" s="28">
        <v>2743</v>
      </c>
      <c r="D137" s="28">
        <v>2741</v>
      </c>
      <c r="E137" s="28">
        <v>0</v>
      </c>
      <c r="F137" s="28">
        <f t="shared" si="33"/>
        <v>2</v>
      </c>
      <c r="G137" s="28">
        <v>6335</v>
      </c>
      <c r="H137" s="28">
        <v>6270</v>
      </c>
      <c r="I137" s="28">
        <v>0</v>
      </c>
      <c r="J137" s="28">
        <f t="shared" si="34"/>
        <v>65</v>
      </c>
      <c r="K137" s="28">
        <v>191</v>
      </c>
      <c r="L137" s="28">
        <v>0</v>
      </c>
      <c r="M137" s="28">
        <v>0</v>
      </c>
      <c r="N137" s="28">
        <v>498</v>
      </c>
      <c r="O137" s="28">
        <v>498</v>
      </c>
    </row>
    <row r="138" spans="1:15" ht="12.75" customHeight="1">
      <c r="A138" s="4" t="s">
        <v>254</v>
      </c>
      <c r="B138" s="5" t="s">
        <v>255</v>
      </c>
      <c r="C138" s="28">
        <v>1744</v>
      </c>
      <c r="D138" s="28">
        <v>1731</v>
      </c>
      <c r="E138" s="28">
        <v>0</v>
      </c>
      <c r="F138" s="28">
        <f t="shared" si="33"/>
        <v>13</v>
      </c>
      <c r="G138" s="28">
        <v>6270</v>
      </c>
      <c r="H138" s="28">
        <v>5536</v>
      </c>
      <c r="I138" s="28">
        <v>0</v>
      </c>
      <c r="J138" s="28">
        <f t="shared" si="34"/>
        <v>734</v>
      </c>
      <c r="K138" s="28">
        <v>992</v>
      </c>
      <c r="L138" s="28">
        <v>0</v>
      </c>
      <c r="M138" s="28">
        <v>355</v>
      </c>
      <c r="N138" s="28">
        <v>1160</v>
      </c>
      <c r="O138" s="28">
        <v>1160</v>
      </c>
    </row>
    <row r="139" spans="1:15" ht="12.75" customHeight="1">
      <c r="A139" s="4" t="s">
        <v>256</v>
      </c>
      <c r="B139" s="5" t="s">
        <v>257</v>
      </c>
      <c r="C139" s="28">
        <v>4414</v>
      </c>
      <c r="D139" s="28">
        <v>4085</v>
      </c>
      <c r="E139" s="28">
        <v>0</v>
      </c>
      <c r="F139" s="28">
        <f t="shared" si="33"/>
        <v>329</v>
      </c>
      <c r="G139" s="28">
        <v>14180</v>
      </c>
      <c r="H139" s="28">
        <v>11936</v>
      </c>
      <c r="I139" s="28">
        <v>0</v>
      </c>
      <c r="J139" s="28">
        <f t="shared" si="34"/>
        <v>2244</v>
      </c>
      <c r="K139" s="28">
        <v>4688</v>
      </c>
      <c r="L139" s="28">
        <v>62</v>
      </c>
      <c r="M139" s="28">
        <v>1525</v>
      </c>
      <c r="N139" s="28">
        <v>850</v>
      </c>
      <c r="O139" s="28">
        <v>850</v>
      </c>
    </row>
    <row r="140" spans="1:15" ht="12.75" customHeight="1">
      <c r="A140" s="4" t="s">
        <v>258</v>
      </c>
      <c r="B140" s="5" t="s">
        <v>259</v>
      </c>
      <c r="C140" s="28">
        <v>887</v>
      </c>
      <c r="D140" s="28">
        <v>886</v>
      </c>
      <c r="E140" s="28">
        <v>0</v>
      </c>
      <c r="F140" s="28">
        <f t="shared" si="33"/>
        <v>1</v>
      </c>
      <c r="G140" s="28">
        <v>2101</v>
      </c>
      <c r="H140" s="28">
        <v>2055</v>
      </c>
      <c r="I140" s="28">
        <v>0</v>
      </c>
      <c r="J140" s="28">
        <f t="shared" si="34"/>
        <v>46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4646</v>
      </c>
      <c r="D141" s="28">
        <v>4482</v>
      </c>
      <c r="E141" s="28">
        <v>0</v>
      </c>
      <c r="F141" s="28">
        <f t="shared" si="33"/>
        <v>164</v>
      </c>
      <c r="G141" s="28">
        <v>10352</v>
      </c>
      <c r="H141" s="28">
        <v>9434</v>
      </c>
      <c r="I141" s="28">
        <v>0</v>
      </c>
      <c r="J141" s="28">
        <f t="shared" si="34"/>
        <v>918</v>
      </c>
      <c r="K141" s="28">
        <v>89</v>
      </c>
      <c r="L141" s="28">
        <v>0</v>
      </c>
      <c r="M141" s="28">
        <v>8</v>
      </c>
      <c r="N141" s="28">
        <v>519</v>
      </c>
      <c r="O141" s="28">
        <v>519</v>
      </c>
    </row>
    <row r="142" spans="1:15" ht="12.75" customHeight="1">
      <c r="A142" s="4" t="s">
        <v>262</v>
      </c>
      <c r="B142" s="5" t="s">
        <v>263</v>
      </c>
      <c r="C142" s="28">
        <v>4453</v>
      </c>
      <c r="D142" s="28">
        <v>3289</v>
      </c>
      <c r="E142" s="28">
        <v>0</v>
      </c>
      <c r="F142" s="28">
        <f t="shared" si="33"/>
        <v>1164</v>
      </c>
      <c r="G142" s="28">
        <v>14684</v>
      </c>
      <c r="H142" s="28">
        <v>11492</v>
      </c>
      <c r="I142" s="28">
        <v>0</v>
      </c>
      <c r="J142" s="28">
        <f t="shared" si="34"/>
        <v>3192</v>
      </c>
      <c r="K142" s="28">
        <v>3105</v>
      </c>
      <c r="L142" s="28">
        <v>0</v>
      </c>
      <c r="M142" s="28">
        <v>1331</v>
      </c>
      <c r="N142" s="28">
        <v>1817</v>
      </c>
      <c r="O142" s="28">
        <v>1817</v>
      </c>
    </row>
    <row r="143" spans="1:15" ht="12.75" customHeight="1">
      <c r="A143" s="4" t="s">
        <v>264</v>
      </c>
      <c r="B143" s="5" t="s">
        <v>265</v>
      </c>
      <c r="C143" s="28">
        <v>11154</v>
      </c>
      <c r="D143" s="28">
        <v>9314</v>
      </c>
      <c r="E143" s="28">
        <v>0</v>
      </c>
      <c r="F143" s="28">
        <f t="shared" si="33"/>
        <v>1840</v>
      </c>
      <c r="G143" s="28">
        <v>38931</v>
      </c>
      <c r="H143" s="28">
        <v>18093</v>
      </c>
      <c r="I143" s="28">
        <v>0</v>
      </c>
      <c r="J143" s="28">
        <f t="shared" si="34"/>
        <v>20838</v>
      </c>
      <c r="K143" s="28">
        <v>19980</v>
      </c>
      <c r="L143" s="28">
        <v>270</v>
      </c>
      <c r="M143" s="28">
        <v>2528</v>
      </c>
      <c r="N143" s="28">
        <v>2520</v>
      </c>
      <c r="O143" s="28">
        <v>2520</v>
      </c>
    </row>
    <row r="144" spans="1:15" ht="12.75" customHeight="1">
      <c r="A144" s="10"/>
      <c r="B144" s="9" t="s">
        <v>266</v>
      </c>
      <c r="C144" s="30">
        <f t="shared" ref="C144:O144" si="35">SUM(C136:C143)</f>
        <v>49132</v>
      </c>
      <c r="D144" s="30">
        <f t="shared" si="35"/>
        <v>44101</v>
      </c>
      <c r="E144" s="30">
        <f t="shared" si="35"/>
        <v>0</v>
      </c>
      <c r="F144" s="30">
        <f t="shared" si="35"/>
        <v>5031</v>
      </c>
      <c r="G144" s="30">
        <f t="shared" si="35"/>
        <v>141166</v>
      </c>
      <c r="H144" s="30">
        <f t="shared" si="35"/>
        <v>101339</v>
      </c>
      <c r="I144" s="30">
        <f t="shared" si="35"/>
        <v>0</v>
      </c>
      <c r="J144" s="30">
        <f t="shared" si="35"/>
        <v>39827</v>
      </c>
      <c r="K144" s="30">
        <f t="shared" si="35"/>
        <v>36975</v>
      </c>
      <c r="L144" s="30">
        <f t="shared" si="35"/>
        <v>2505</v>
      </c>
      <c r="M144" s="30">
        <f t="shared" si="35"/>
        <v>7045</v>
      </c>
      <c r="N144" s="30">
        <f t="shared" si="35"/>
        <v>14304</v>
      </c>
      <c r="O144" s="30">
        <f t="shared" si="35"/>
        <v>14304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1701573</v>
      </c>
      <c r="D145" s="31">
        <f t="shared" si="36"/>
        <v>1227361</v>
      </c>
      <c r="E145" s="31">
        <f t="shared" si="36"/>
        <v>35697</v>
      </c>
      <c r="F145" s="31">
        <f t="shared" si="36"/>
        <v>438515</v>
      </c>
      <c r="G145" s="31">
        <f t="shared" si="36"/>
        <v>5578114</v>
      </c>
      <c r="H145" s="31">
        <f t="shared" si="36"/>
        <v>2860665</v>
      </c>
      <c r="I145" s="31">
        <f t="shared" si="36"/>
        <v>216580</v>
      </c>
      <c r="J145" s="31">
        <f t="shared" si="36"/>
        <v>2500869</v>
      </c>
      <c r="K145" s="31">
        <f t="shared" si="36"/>
        <v>369319</v>
      </c>
      <c r="L145" s="31">
        <f t="shared" si="36"/>
        <v>4257</v>
      </c>
      <c r="M145" s="31">
        <f t="shared" si="36"/>
        <v>295289</v>
      </c>
      <c r="N145" s="31">
        <f t="shared" si="36"/>
        <v>246780</v>
      </c>
      <c r="O145" s="31">
        <f t="shared" si="36"/>
        <v>127751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2017-06-07T11:37:04Z</dcterms:modified>
</cp:coreProperties>
</file>