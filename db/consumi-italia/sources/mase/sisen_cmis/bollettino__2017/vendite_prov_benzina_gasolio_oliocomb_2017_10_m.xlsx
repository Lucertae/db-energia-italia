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J15"/>
  <c r="F16"/>
  <c r="F23" s="1"/>
  <c r="J16"/>
  <c r="J23" s="1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F30" s="1"/>
  <c r="J27"/>
  <c r="F28"/>
  <c r="J28"/>
  <c r="F29"/>
  <c r="J29"/>
  <c r="C30"/>
  <c r="D30"/>
  <c r="E30"/>
  <c r="G30"/>
  <c r="H30"/>
  <c r="I30"/>
  <c r="J30"/>
  <c r="K30"/>
  <c r="L30"/>
  <c r="M30"/>
  <c r="N30"/>
  <c r="O30"/>
  <c r="F31"/>
  <c r="J31"/>
  <c r="J43" s="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F46" s="1"/>
  <c r="J44"/>
  <c r="J46" s="1"/>
  <c r="F45"/>
  <c r="J45"/>
  <c r="C46"/>
  <c r="D46"/>
  <c r="E46"/>
  <c r="G46"/>
  <c r="H46"/>
  <c r="I46"/>
  <c r="K46"/>
  <c r="L46"/>
  <c r="M46"/>
  <c r="N46"/>
  <c r="O46"/>
  <c r="F47"/>
  <c r="J47"/>
  <c r="F48"/>
  <c r="J48"/>
  <c r="F49"/>
  <c r="J49"/>
  <c r="F50"/>
  <c r="J50"/>
  <c r="C51"/>
  <c r="D51"/>
  <c r="E51"/>
  <c r="F51"/>
  <c r="G51"/>
  <c r="H51"/>
  <c r="I51"/>
  <c r="J51"/>
  <c r="K51"/>
  <c r="L51"/>
  <c r="M51"/>
  <c r="N51"/>
  <c r="O51"/>
  <c r="F52"/>
  <c r="J52"/>
  <c r="F53"/>
  <c r="F59" s="1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F80" s="1"/>
  <c r="J70"/>
  <c r="J80" s="1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F89" s="1"/>
  <c r="J87"/>
  <c r="J89" s="1"/>
  <c r="F88"/>
  <c r="J88"/>
  <c r="C89"/>
  <c r="D89"/>
  <c r="E89"/>
  <c r="G89"/>
  <c r="H89"/>
  <c r="I89"/>
  <c r="K89"/>
  <c r="L89"/>
  <c r="M89"/>
  <c r="N89"/>
  <c r="O89"/>
  <c r="F90"/>
  <c r="F95" s="1"/>
  <c r="J90"/>
  <c r="F9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F98" s="1"/>
  <c r="J96"/>
  <c r="J98" s="1"/>
  <c r="F97"/>
  <c r="J97"/>
  <c r="C98"/>
  <c r="D98"/>
  <c r="E98"/>
  <c r="G98"/>
  <c r="H98"/>
  <c r="I98"/>
  <c r="K98"/>
  <c r="L98"/>
  <c r="M98"/>
  <c r="N98"/>
  <c r="O98"/>
  <c r="F99"/>
  <c r="J99"/>
  <c r="F100"/>
  <c r="J100"/>
  <c r="F101"/>
  <c r="J101"/>
  <c r="F102"/>
  <c r="J102"/>
  <c r="C103"/>
  <c r="D103"/>
  <c r="E103"/>
  <c r="F103"/>
  <c r="G103"/>
  <c r="H103"/>
  <c r="I103"/>
  <c r="J103"/>
  <c r="K103"/>
  <c r="L103"/>
  <c r="M103"/>
  <c r="N103"/>
  <c r="O103"/>
  <c r="F104"/>
  <c r="J104"/>
  <c r="F105"/>
  <c r="F109" s="1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J110"/>
  <c r="F111"/>
  <c r="J111"/>
  <c r="F112"/>
  <c r="J112"/>
  <c r="F113"/>
  <c r="J113"/>
  <c r="F114"/>
  <c r="J114"/>
  <c r="F115"/>
  <c r="J115"/>
  <c r="C116"/>
  <c r="D116"/>
  <c r="E116"/>
  <c r="F116"/>
  <c r="G116"/>
  <c r="H116"/>
  <c r="I116"/>
  <c r="J116"/>
  <c r="K116"/>
  <c r="L116"/>
  <c r="M116"/>
  <c r="N116"/>
  <c r="O116"/>
  <c r="F117"/>
  <c r="J117"/>
  <c r="F118"/>
  <c r="F119" s="1"/>
  <c r="J118"/>
  <c r="C119"/>
  <c r="D119"/>
  <c r="E119"/>
  <c r="G119"/>
  <c r="H119"/>
  <c r="I119"/>
  <c r="J119"/>
  <c r="K119"/>
  <c r="L119"/>
  <c r="M119"/>
  <c r="N119"/>
  <c r="O119"/>
  <c r="F120"/>
  <c r="J120"/>
  <c r="F121"/>
  <c r="J121"/>
  <c r="F122"/>
  <c r="J122"/>
  <c r="F123"/>
  <c r="J123"/>
  <c r="F124"/>
  <c r="J124"/>
  <c r="C125"/>
  <c r="D125"/>
  <c r="E125"/>
  <c r="F125"/>
  <c r="G125"/>
  <c r="H125"/>
  <c r="I125"/>
  <c r="J125"/>
  <c r="K125"/>
  <c r="L125"/>
  <c r="M125"/>
  <c r="N125"/>
  <c r="O125"/>
  <c r="F126"/>
  <c r="J126"/>
  <c r="F127"/>
  <c r="F135" s="1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D146" s="1"/>
  <c r="E135"/>
  <c r="G135"/>
  <c r="H135"/>
  <c r="H146" s="1"/>
  <c r="I135"/>
  <c r="K135"/>
  <c r="L135"/>
  <c r="L146" s="1"/>
  <c r="M135"/>
  <c r="N135"/>
  <c r="O135"/>
  <c r="F136"/>
  <c r="J136"/>
  <c r="F137"/>
  <c r="J137"/>
  <c r="F138"/>
  <c r="J138"/>
  <c r="F139"/>
  <c r="J139"/>
  <c r="F140"/>
  <c r="J140"/>
  <c r="F141"/>
  <c r="J141"/>
  <c r="F142"/>
  <c r="J142"/>
  <c r="F143"/>
  <c r="J143"/>
  <c r="C145"/>
  <c r="C146" s="1"/>
  <c r="D145"/>
  <c r="E145"/>
  <c r="F145"/>
  <c r="G145"/>
  <c r="G146" s="1"/>
  <c r="H145"/>
  <c r="I145"/>
  <c r="J145"/>
  <c r="K145"/>
  <c r="K146" s="1"/>
  <c r="L145"/>
  <c r="M145"/>
  <c r="N145"/>
  <c r="N146" s="1"/>
  <c r="O145"/>
  <c r="O146" s="1"/>
  <c r="E146"/>
  <c r="I146"/>
  <c r="M146"/>
  <c r="F15" i="2"/>
  <c r="J15"/>
  <c r="J23" s="1"/>
  <c r="F16"/>
  <c r="F23" s="1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J26"/>
  <c r="J30" s="1"/>
  <c r="F27"/>
  <c r="F30" s="1"/>
  <c r="J27"/>
  <c r="F28"/>
  <c r="J28"/>
  <c r="F29"/>
  <c r="J29"/>
  <c r="C30"/>
  <c r="D30"/>
  <c r="E30"/>
  <c r="G30"/>
  <c r="H30"/>
  <c r="I30"/>
  <c r="K30"/>
  <c r="L30"/>
  <c r="M30"/>
  <c r="N30"/>
  <c r="O30"/>
  <c r="F31"/>
  <c r="F43" s="1"/>
  <c r="J31"/>
  <c r="J43" s="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K43"/>
  <c r="L43"/>
  <c r="M43"/>
  <c r="N43"/>
  <c r="O43"/>
  <c r="F44"/>
  <c r="J44"/>
  <c r="F45"/>
  <c r="J45"/>
  <c r="C46"/>
  <c r="D46"/>
  <c r="E46"/>
  <c r="F46"/>
  <c r="G46"/>
  <c r="H46"/>
  <c r="I46"/>
  <c r="J46"/>
  <c r="K46"/>
  <c r="L46"/>
  <c r="M46"/>
  <c r="N46"/>
  <c r="O46"/>
  <c r="F47"/>
  <c r="J47"/>
  <c r="F48"/>
  <c r="F51" s="1"/>
  <c r="J48"/>
  <c r="F49"/>
  <c r="J49"/>
  <c r="F50"/>
  <c r="J50"/>
  <c r="C51"/>
  <c r="D51"/>
  <c r="E51"/>
  <c r="G51"/>
  <c r="H51"/>
  <c r="I51"/>
  <c r="J51"/>
  <c r="K51"/>
  <c r="L51"/>
  <c r="M51"/>
  <c r="N51"/>
  <c r="O51"/>
  <c r="F52"/>
  <c r="J52"/>
  <c r="F53"/>
  <c r="J53"/>
  <c r="F54"/>
  <c r="J54"/>
  <c r="F55"/>
  <c r="J55"/>
  <c r="F56"/>
  <c r="J56"/>
  <c r="F57"/>
  <c r="J57"/>
  <c r="F58"/>
  <c r="J58"/>
  <c r="C59"/>
  <c r="D59"/>
  <c r="E59"/>
  <c r="F59"/>
  <c r="G59"/>
  <c r="H59"/>
  <c r="I59"/>
  <c r="J59"/>
  <c r="K59"/>
  <c r="L59"/>
  <c r="M59"/>
  <c r="N59"/>
  <c r="O59"/>
  <c r="F60"/>
  <c r="J60"/>
  <c r="F61"/>
  <c r="F69" s="1"/>
  <c r="J61"/>
  <c r="J69" s="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K69"/>
  <c r="L69"/>
  <c r="M69"/>
  <c r="N69"/>
  <c r="O69"/>
  <c r="F70"/>
  <c r="J70"/>
  <c r="F7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F80"/>
  <c r="G80"/>
  <c r="H80"/>
  <c r="I80"/>
  <c r="J80"/>
  <c r="K80"/>
  <c r="L80"/>
  <c r="M80"/>
  <c r="N80"/>
  <c r="O80"/>
  <c r="F81"/>
  <c r="J81"/>
  <c r="F82"/>
  <c r="F86" s="1"/>
  <c r="J82"/>
  <c r="J86" s="1"/>
  <c r="F83"/>
  <c r="J83"/>
  <c r="F84"/>
  <c r="J84"/>
  <c r="F85"/>
  <c r="J85"/>
  <c r="C86"/>
  <c r="D86"/>
  <c r="E86"/>
  <c r="G86"/>
  <c r="H86"/>
  <c r="I86"/>
  <c r="K86"/>
  <c r="L86"/>
  <c r="M86"/>
  <c r="N86"/>
  <c r="O86"/>
  <c r="F87"/>
  <c r="J87"/>
  <c r="F88"/>
  <c r="J88"/>
  <c r="C89"/>
  <c r="D89"/>
  <c r="E89"/>
  <c r="F89"/>
  <c r="G89"/>
  <c r="H89"/>
  <c r="I89"/>
  <c r="J89"/>
  <c r="K89"/>
  <c r="L89"/>
  <c r="M89"/>
  <c r="N89"/>
  <c r="O89"/>
  <c r="F90"/>
  <c r="J90"/>
  <c r="F91"/>
  <c r="F95" s="1"/>
  <c r="J91"/>
  <c r="J95" s="1"/>
  <c r="F92"/>
  <c r="J92"/>
  <c r="F93"/>
  <c r="J93"/>
  <c r="F94"/>
  <c r="J94"/>
  <c r="C95"/>
  <c r="D95"/>
  <c r="E95"/>
  <c r="G95"/>
  <c r="H95"/>
  <c r="I95"/>
  <c r="K95"/>
  <c r="L95"/>
  <c r="M95"/>
  <c r="N95"/>
  <c r="O95"/>
  <c r="F96"/>
  <c r="J96"/>
  <c r="F97"/>
  <c r="J97"/>
  <c r="C98"/>
  <c r="D98"/>
  <c r="E98"/>
  <c r="F98"/>
  <c r="G98"/>
  <c r="H98"/>
  <c r="I98"/>
  <c r="J98"/>
  <c r="K98"/>
  <c r="L98"/>
  <c r="M98"/>
  <c r="N98"/>
  <c r="O98"/>
  <c r="F99"/>
  <c r="J99"/>
  <c r="F100"/>
  <c r="F103" s="1"/>
  <c r="J100"/>
  <c r="F101"/>
  <c r="J101"/>
  <c r="F102"/>
  <c r="J102"/>
  <c r="C103"/>
  <c r="D103"/>
  <c r="E103"/>
  <c r="G103"/>
  <c r="H103"/>
  <c r="I103"/>
  <c r="J103"/>
  <c r="K103"/>
  <c r="L103"/>
  <c r="M103"/>
  <c r="N103"/>
  <c r="O103"/>
  <c r="F104"/>
  <c r="J104"/>
  <c r="F105"/>
  <c r="J105"/>
  <c r="F106"/>
  <c r="J106"/>
  <c r="F107"/>
  <c r="J107"/>
  <c r="F108"/>
  <c r="J108"/>
  <c r="C109"/>
  <c r="D109"/>
  <c r="E109"/>
  <c r="F109"/>
  <c r="G109"/>
  <c r="H109"/>
  <c r="I109"/>
  <c r="J109"/>
  <c r="K109"/>
  <c r="L109"/>
  <c r="M109"/>
  <c r="N109"/>
  <c r="O109"/>
  <c r="F110"/>
  <c r="J110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J116"/>
  <c r="K116"/>
  <c r="L116"/>
  <c r="M116"/>
  <c r="N116"/>
  <c r="O116"/>
  <c r="F117"/>
  <c r="J117"/>
  <c r="J119" s="1"/>
  <c r="F118"/>
  <c r="F119" s="1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F122"/>
  <c r="J122"/>
  <c r="F123"/>
  <c r="J123"/>
  <c r="F124"/>
  <c r="J124"/>
  <c r="C125"/>
  <c r="D125"/>
  <c r="E125"/>
  <c r="G125"/>
  <c r="H125"/>
  <c r="I125"/>
  <c r="J125"/>
  <c r="K125"/>
  <c r="L125"/>
  <c r="M125"/>
  <c r="N125"/>
  <c r="O125"/>
  <c r="F126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C146" s="1"/>
  <c r="D135"/>
  <c r="E135"/>
  <c r="F135"/>
  <c r="G135"/>
  <c r="G146" s="1"/>
  <c r="H135"/>
  <c r="I135"/>
  <c r="J135"/>
  <c r="K135"/>
  <c r="K146" s="1"/>
  <c r="L135"/>
  <c r="M135"/>
  <c r="N135"/>
  <c r="O135"/>
  <c r="O146" s="1"/>
  <c r="F136"/>
  <c r="J136"/>
  <c r="F137"/>
  <c r="F145" s="1"/>
  <c r="J137"/>
  <c r="F138"/>
  <c r="J138"/>
  <c r="F139"/>
  <c r="J139"/>
  <c r="F140"/>
  <c r="J140"/>
  <c r="F141"/>
  <c r="J141"/>
  <c r="F142"/>
  <c r="J142"/>
  <c r="F143"/>
  <c r="J143"/>
  <c r="C145"/>
  <c r="D145"/>
  <c r="E145"/>
  <c r="E146" s="1"/>
  <c r="G145"/>
  <c r="H145"/>
  <c r="I145"/>
  <c r="I146" s="1"/>
  <c r="J145"/>
  <c r="K145"/>
  <c r="L145"/>
  <c r="M145"/>
  <c r="M146" s="1"/>
  <c r="N145"/>
  <c r="N146" s="1"/>
  <c r="O145"/>
  <c r="D146"/>
  <c r="H146"/>
  <c r="L146"/>
  <c r="J146" l="1"/>
  <c r="F146"/>
  <c r="J146" i="1"/>
  <c r="F146"/>
</calcChain>
</file>

<file path=xl/sharedStrings.xml><?xml version="1.0" encoding="utf-8"?>
<sst xmlns="http://schemas.openxmlformats.org/spreadsheetml/2006/main" count="548" uniqueCount="273">
  <si>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</si>
  <si>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</si>
  <si>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</si>
  <si>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</si>
  <si>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</si>
  <si>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</si>
  <si>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</si>
  <si>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ottobre 2017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</si>
  <si>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</si>
  <si>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</si>
  <si>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</si>
  <si>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</si>
  <si>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</si>
  <si>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</si>
  <si>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</si>
  <si>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</si>
  <si>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</si>
  <si>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</si>
  <si>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</si>
  <si>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</si>
  <si>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</si>
  <si>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</si>
  <si>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</si>
  <si>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</si>
  <si>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</si>
  <si>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</si>
  <si>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</si>
  <si>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</si>
  <si>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</si>
  <si>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</si>
  <si>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</si>
  <si>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</si>
  <si>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</si>
  <si>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</si>
  <si>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</si>
  <si>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</si>
  <si>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</si>
  <si>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</si>
  <si>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</si>
  <si>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</si>
  <si>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</si>
  <si>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</si>
  <si>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</si>
  <si>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</si>
  <si>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</si>
  <si>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</si>
  <si>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</si>
  <si>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</si>
  <si>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</si>
  <si>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</si>
  <si>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</si>
  <si>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</si>
  <si>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</si>
  <si>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</si>
  <si>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</si>
  <si>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</si>
  <si>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</si>
  <si>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</si>
  <si>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</si>
  <si>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</si>
  <si>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</si>
  <si>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</si>
  <si>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</si>
  <si>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</si>
  <si>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</si>
  <si>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</si>
  <si>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</si>
  <si>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</si>
  <si>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</si>
  <si>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</si>
  <si>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</si>
  <si>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</si>
  <si>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</si>
  <si>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</si>
  <si>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</si>
  <si>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</si>
  <si>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</si>
  <si>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</si>
  <si>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</si>
  <si>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</si>
  <si>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</si>
  <si>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</si>
  <si>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</si>
  <si>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</si>
  <si>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</si>
  <si>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</si>
  <si>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</si>
  <si>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</si>
  <si>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</si>
  <si>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</si>
  <si>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</si>
  <si>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</si>
  <si>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</si>
  <si>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</si>
  <si>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</si>
  <si>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</si>
  <si>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</si>
  <si>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</si>
  <si>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</si>
  <si>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</si>
  <si>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</si>
  <si>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</si>
  <si>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</si>
  <si>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</si>
  <si>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</si>
  <si>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</si>
  <si>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</si>
  <si>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</si>
  <si>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</si>
  <si>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</si>
  <si>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</si>
  <si>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</si>
  <si>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</si>
  <si>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</si>
  <si>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</si>
  <si>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</si>
  <si>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</si>
  <si>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</si>
  <si>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</si>
  <si>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</si>
  <si>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</si>
  <si>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</si>
  <si>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</si>
  <si>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</si>
  <si>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</si>
  <si>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</si>
  <si>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</si>
  <si>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</si>
  <si>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</si>
  <si>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</si>
  <si>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</si>
  <si>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</si>
  <si>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</si>
  <si>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</si>
  <si>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</si>
  <si>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</si>
  <si>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</si>
  <si>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</si>
  <si>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</si>
  <si>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</si>
  <si>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</si>
  <si>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</si>
  <si>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</si>
  <si>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</si>
  <si>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</si>
  <si>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</si>
  <si>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</si>
  <si>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</si>
  <si>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</si>
  <si>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</si>
  <si>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</si>
  <si>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</si>
  <si>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</si>
  <si>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</si>
  <si>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</si>
  <si>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</si>
  <si>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</si>
  <si>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</si>
  <si>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</si>
  <si>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</si>
  <si>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</si>
  <si>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</si>
  <si>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</si>
  <si>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</si>
  <si>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</si>
  <si>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</si>
  <si>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</si>
  <si>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</si>
  <si>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</si>
  <si>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</si>
  <si>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</si>
  <si>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</si>
  <si>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</si>
  <si>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</si>
  <si>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</si>
  <si>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</si>
  <si>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</si>
  <si>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</si>
  <si>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</si>
  <si>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</si>
  <si>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</si>
  <si>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</si>
  <si>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</si>
  <si>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</si>
  <si>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</si>
  <si>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</si>
  <si>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</si>
  <si>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</si>
  <si>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</si>
  <si>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</si>
  <si>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</si>
  <si>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</si>
  <si>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</si>
  <si>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</si>
  <si>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</si>
  <si>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</si>
  <si>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</si>
  <si>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</si>
  <si>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</si>
  <si>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</si>
  <si>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</si>
  <si>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</si>
  <si>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</si>
  <si>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</si>
  <si>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</si>
  <si>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</si>
  <si>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</si>
  <si>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</si>
  <si>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</si>
  <si>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</si>
  <si>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</si>
  <si>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</si>
  <si>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</si>
  <si>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</si>
  <si>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</si>
  <si>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</si>
  <si>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</si>
  <si>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</si>
  <si>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</si>
  <si>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</si>
  <si>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</si>
  <si>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</si>
  <si>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</si>
  <si>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</si>
  <si>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</si>
  <si>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</si>
  <si>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</si>
  <si>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</si>
  <si>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</si>
  <si>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</si>
  <si>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</si>
  <si>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</si>
  <si>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</si>
  <si>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</si>
  <si>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</si>
  <si>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</si>
  <si>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</si>
  <si>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</si>
  <si>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</si>
  <si>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</si>
  <si>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</si>
  <si>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</si>
  <si>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</si>
  <si>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</si>
  <si>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</si>
  <si>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</si>
  <si>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</si>
  <si>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</si>
  <si>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</si>
  <si>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</si>
  <si>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</si>
  <si>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</si>
  <si>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</si>
  <si>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</si>
  <si>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</si>
  <si>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</si>
  <si>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</si>
  <si>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</si>
  <si>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</si>
  <si>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</si>
  <si>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</si>
  <si>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</si>
  <si>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</si>
  <si>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</si>
  <si>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</si>
  <si>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</si>
  <si>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</si>
  <si>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</si>
  <si>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</si>
  <si>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</si>
  <si>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</si>
  <si>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</si>
  <si>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gennaio-ottobre 2017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</si>
</sst>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17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thin">
        <color indexed="14"/>
      </top>
      <bottom/>
      <diagonal/>
    </border>
    <border>
      <left style="thin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/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hair">
        <color indexed="15"/>
      </right>
      <top style="thin">
        <color indexed="14"/>
      </top>
      <bottom style="thin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hair">
        <color indexed="15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/>
      <diagonal/>
    </border>
    <border>
      <left style="hair">
        <color indexed="15"/>
      </left>
      <right style="hair">
        <color indexed="15"/>
      </right>
      <top/>
      <bottom style="thin">
        <color indexed="14"/>
      </bottom>
      <diagonal/>
    </border>
    <border>
      <left style="hair">
        <color indexed="15"/>
      </left>
      <right style="thin">
        <color indexed="15"/>
      </right>
      <top/>
      <bottom style="thin">
        <color indexed="14"/>
      </bottom>
      <diagonal/>
    </border>
    <border>
      <left style="double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 style="hair">
        <color indexed="15"/>
      </right>
      <top/>
      <bottom style="thin">
        <color indexed="15"/>
      </bottom>
      <diagonal/>
    </border>
    <border>
      <left style="hair">
        <color indexed="15"/>
      </left>
      <right style="hair">
        <color indexed="15"/>
      </right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/>
      <right/>
      <top/>
      <bottom style="double">
        <color indexed="15"/>
      </bottom>
      <diagonal/>
    </border>
  </borders>
  <cellStyleXfs count="1">
    <xf numFmtId="0" fontId="0" fillId="0" borderId="0" applyFill="0" applyProtection="0"/>
  </cellStyleXfs>
  <cellXfs count="59">
    <xf numFmtId="0" fontId="0" fillId="0" borderId="0" xfId="0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 vertical="center"/>
    </xf>
    <xf numFmtId="0" fontId="7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vertical="center"/>
    </xf>
    <xf numFmtId="0" fontId="2" fillId="2" borderId="8" xfId="0" applyFont="1" applyFill="1" applyBorder="1" applyAlignment="1" applyProtection="1">
      <alignment horizont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</xf>
    <xf numFmtId="0" fontId="9" fillId="2" borderId="13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/>
    </xf>
    <xf numFmtId="0" fontId="10" fillId="0" borderId="15" xfId="0" applyFont="1" applyFill="1" applyBorder="1" applyProtection="1"/>
    <xf numFmtId="3" fontId="1" fillId="0" borderId="15" xfId="0" applyNumberFormat="1" applyFont="1" applyFill="1" applyBorder="1" applyProtection="1"/>
    <xf numFmtId="0" fontId="11" fillId="3" borderId="15" xfId="0" applyFont="1" applyFill="1" applyBorder="1" applyAlignment="1" applyProtection="1">
      <alignment horizontal="center"/>
    </xf>
    <xf numFmtId="0" fontId="12" fillId="3" borderId="15" xfId="0" applyFont="1" applyFill="1" applyBorder="1" applyProtection="1"/>
    <xf numFmtId="3" fontId="13" fillId="3" borderId="15" xfId="0" applyNumberFormat="1" applyFont="1" applyFill="1" applyBorder="1" applyProtection="1"/>
    <xf numFmtId="0" fontId="12" fillId="3" borderId="15" xfId="0" applyFont="1" applyFill="1" applyBorder="1" applyAlignment="1" applyProtection="1">
      <alignment horizontal="center"/>
    </xf>
    <xf numFmtId="0" fontId="0" fillId="0" borderId="16" xfId="0" applyFill="1" applyBorder="1" applyProtection="1"/>
    <xf numFmtId="3" fontId="14" fillId="3" borderId="15" xfId="0" applyNumberFormat="1" applyFont="1" applyFill="1" applyBorder="1" applyProtection="1"/>
    <xf numFmtId="0" fontId="15" fillId="0" borderId="15" xfId="0" applyFont="1" applyFill="1" applyBorder="1" applyAlignment="1" applyProtection="1">
      <alignment horizontal="center"/>
    </xf>
    <xf numFmtId="0" fontId="15" fillId="0" borderId="15" xfId="0" applyFont="1" applyFill="1" applyBorder="1" applyProtection="1"/>
    <xf numFmtId="3" fontId="15" fillId="0" borderId="15" xfId="0" applyNumberFormat="1" applyFont="1" applyFill="1" applyBorder="1" applyProtection="1"/>
    <xf numFmtId="0" fontId="8" fillId="2" borderId="8" xfId="0" applyFont="1" applyFill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2" fillId="2" borderId="3" xfId="0" applyFont="1" applyFill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/>
    </xf>
    <xf numFmtId="0" fontId="8" fillId="2" borderId="3" xfId="0" applyFont="1" applyFill="1" applyBorder="1" applyAlignment="1" applyProtection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</xf>
    <xf numFmtId="0" fontId="8" fillId="2" borderId="6" xfId="0" applyFont="1" applyFill="1" applyBorder="1" applyAlignment="1" applyProtection="1">
      <alignment horizontal="center" vertical="center"/>
    </xf>
    <xf numFmtId="0" fontId="8" fillId="2" borderId="7" xfId="0" applyFont="1" applyFill="1" applyBorder="1" applyAlignment="1" applyProtection="1">
      <alignment horizontal="center" vertical="center"/>
    </xf>
    <xf numFmtId="0" fontId="8" fillId="2" borderId="2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6"/>
  <sheetViews>
    <sheetView showGridLines="0" zoomScale="110" workbookViewId="0">
      <selection activeCell="C146" sqref="C146:O146"/>
    </sheetView>
  </sheetViews>
  <sheetFormatPr defaultRowHeight="12.75" customHeight="1"/>
  <cols>
    <col min="1" max="1" width="6" style="1" customWidth="1"/>
    <col min="2" max="2" width="30" style="2" customWidth="1"/>
    <col min="3" max="3" width="11.44140625" style="2" customWidth="1"/>
    <col min="4" max="4" width="10.6640625" style="2" customWidth="1"/>
    <col min="5" max="5" width="11.88671875" style="2" customWidth="1"/>
    <col min="6" max="6" width="11.6640625" style="2" customWidth="1"/>
    <col min="7" max="8" width="10.109375" style="2" customWidth="1"/>
    <col min="9" max="9" width="12.33203125" style="2" customWidth="1"/>
    <col min="10" max="10" width="11" style="2" customWidth="1"/>
    <col min="11" max="11" width="15" style="2" customWidth="1"/>
    <col min="12" max="12" width="15.10937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7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42" t="s">
        <v>8</v>
      </c>
      <c r="B11" s="42"/>
      <c r="C11" s="43" t="s">
        <v>9</v>
      </c>
      <c r="D11" s="43"/>
      <c r="E11" s="43"/>
      <c r="F11" s="43"/>
      <c r="G11" s="43" t="s">
        <v>10</v>
      </c>
      <c r="H11" s="43"/>
      <c r="I11" s="43"/>
      <c r="J11" s="43"/>
      <c r="K11" s="44" t="s">
        <v>11</v>
      </c>
      <c r="L11" s="44"/>
      <c r="M11" s="44"/>
      <c r="N11" s="43" t="s">
        <v>12</v>
      </c>
      <c r="O11" s="43"/>
    </row>
    <row r="12" spans="1:15" ht="12.75" customHeight="1">
      <c r="A12" s="45" t="s">
        <v>13</v>
      </c>
      <c r="B12" s="46" t="s">
        <v>14</v>
      </c>
      <c r="C12" s="47" t="s">
        <v>15</v>
      </c>
      <c r="D12" s="48" t="s">
        <v>16</v>
      </c>
      <c r="E12" s="48"/>
      <c r="F12" s="47" t="s">
        <v>17</v>
      </c>
      <c r="G12" s="43" t="s">
        <v>15</v>
      </c>
      <c r="H12" s="49" t="s">
        <v>18</v>
      </c>
      <c r="I12" s="43" t="s">
        <v>19</v>
      </c>
      <c r="J12" s="43" t="s">
        <v>20</v>
      </c>
      <c r="K12" s="49" t="s">
        <v>21</v>
      </c>
      <c r="L12" s="49" t="s">
        <v>22</v>
      </c>
      <c r="M12" s="49" t="s">
        <v>23</v>
      </c>
      <c r="N12" s="50" t="s">
        <v>15</v>
      </c>
      <c r="O12" s="11" t="s">
        <v>24</v>
      </c>
    </row>
    <row r="13" spans="1:15" ht="12.75" customHeight="1">
      <c r="A13" s="45"/>
      <c r="B13" s="46"/>
      <c r="C13" s="47"/>
      <c r="D13" s="12" t="s">
        <v>25</v>
      </c>
      <c r="E13" s="13" t="s">
        <v>19</v>
      </c>
      <c r="F13" s="47"/>
      <c r="G13" s="43"/>
      <c r="H13" s="49"/>
      <c r="I13" s="43"/>
      <c r="J13" s="43"/>
      <c r="K13" s="49"/>
      <c r="L13" s="49"/>
      <c r="M13" s="49"/>
      <c r="N13" s="50"/>
      <c r="O13" s="14" t="s">
        <v>26</v>
      </c>
    </row>
    <row r="14" spans="1:15" s="19" customFormat="1" ht="10.5" customHeight="1">
      <c r="A14" s="15">
        <v>1</v>
      </c>
      <c r="B14" s="16">
        <v>2</v>
      </c>
      <c r="C14" s="17">
        <v>3</v>
      </c>
      <c r="D14" s="18">
        <v>4</v>
      </c>
      <c r="E14" s="17">
        <v>5</v>
      </c>
      <c r="F14" s="17">
        <v>6</v>
      </c>
      <c r="G14" s="17">
        <v>7</v>
      </c>
      <c r="H14" s="17">
        <v>8</v>
      </c>
      <c r="I14" s="17">
        <v>9</v>
      </c>
      <c r="J14" s="17">
        <v>10</v>
      </c>
      <c r="K14" s="17">
        <v>11</v>
      </c>
      <c r="L14" s="17">
        <v>12</v>
      </c>
      <c r="M14" s="17">
        <v>13</v>
      </c>
      <c r="N14" s="17">
        <v>14</v>
      </c>
      <c r="O14" s="16">
        <v>15</v>
      </c>
    </row>
    <row r="15" spans="1:15" ht="12.75" customHeight="1">
      <c r="A15" s="20" t="s">
        <v>27</v>
      </c>
      <c r="B15" s="21" t="s">
        <v>28</v>
      </c>
      <c r="C15" s="22">
        <v>5009</v>
      </c>
      <c r="D15" s="22">
        <v>3496</v>
      </c>
      <c r="E15" s="22">
        <v>453</v>
      </c>
      <c r="F15" s="22">
        <f t="shared" ref="F15:F22" si="0">SUM(C15-D15-E15)</f>
        <v>1060</v>
      </c>
      <c r="G15" s="22">
        <v>24359</v>
      </c>
      <c r="H15" s="22">
        <v>10451</v>
      </c>
      <c r="I15" s="22">
        <v>2561</v>
      </c>
      <c r="J15" s="22">
        <f t="shared" ref="J15:J22" si="1">SUM(G15-H15-I15)</f>
        <v>11347</v>
      </c>
      <c r="K15" s="22">
        <v>1328</v>
      </c>
      <c r="L15" s="22">
        <v>0</v>
      </c>
      <c r="M15" s="22">
        <v>3591</v>
      </c>
      <c r="N15" s="22">
        <v>830</v>
      </c>
      <c r="O15" s="22">
        <v>830</v>
      </c>
    </row>
    <row r="16" spans="1:15" ht="12.75" customHeight="1">
      <c r="A16" s="20" t="s">
        <v>29</v>
      </c>
      <c r="B16" s="21" t="s">
        <v>30</v>
      </c>
      <c r="C16" s="22">
        <v>2765</v>
      </c>
      <c r="D16" s="22">
        <v>1439</v>
      </c>
      <c r="E16" s="22">
        <v>72</v>
      </c>
      <c r="F16" s="22">
        <f t="shared" si="0"/>
        <v>1254</v>
      </c>
      <c r="G16" s="22">
        <v>22902</v>
      </c>
      <c r="H16" s="22">
        <v>4009</v>
      </c>
      <c r="I16" s="22">
        <v>517</v>
      </c>
      <c r="J16" s="22">
        <f t="shared" si="1"/>
        <v>18376</v>
      </c>
      <c r="K16" s="22">
        <v>956</v>
      </c>
      <c r="L16" s="22">
        <v>0</v>
      </c>
      <c r="M16" s="22">
        <v>2542</v>
      </c>
      <c r="N16" s="22">
        <v>77</v>
      </c>
      <c r="O16" s="22">
        <v>77</v>
      </c>
    </row>
    <row r="17" spans="1:15" ht="12.75" customHeight="1">
      <c r="A17" s="20" t="s">
        <v>31</v>
      </c>
      <c r="B17" s="21" t="s">
        <v>32</v>
      </c>
      <c r="C17" s="22">
        <v>1805</v>
      </c>
      <c r="D17" s="22">
        <v>1534</v>
      </c>
      <c r="E17" s="22">
        <v>0</v>
      </c>
      <c r="F17" s="22">
        <f t="shared" si="0"/>
        <v>271</v>
      </c>
      <c r="G17" s="22">
        <v>3968</v>
      </c>
      <c r="H17" s="22">
        <v>2902</v>
      </c>
      <c r="I17" s="22">
        <v>0</v>
      </c>
      <c r="J17" s="22">
        <f t="shared" si="1"/>
        <v>1066</v>
      </c>
      <c r="K17" s="22">
        <v>303</v>
      </c>
      <c r="L17" s="22">
        <v>0</v>
      </c>
      <c r="M17" s="22">
        <v>235</v>
      </c>
      <c r="N17" s="22">
        <v>149</v>
      </c>
      <c r="O17" s="22">
        <v>149</v>
      </c>
    </row>
    <row r="18" spans="1:15" ht="12.75" customHeight="1">
      <c r="A18" s="20" t="s">
        <v>33</v>
      </c>
      <c r="B18" s="21" t="s">
        <v>34</v>
      </c>
      <c r="C18" s="22">
        <v>6138</v>
      </c>
      <c r="D18" s="22">
        <v>4043</v>
      </c>
      <c r="E18" s="22">
        <v>72</v>
      </c>
      <c r="F18" s="22">
        <f t="shared" si="0"/>
        <v>2023</v>
      </c>
      <c r="G18" s="22">
        <v>16811</v>
      </c>
      <c r="H18" s="22">
        <v>11068</v>
      </c>
      <c r="I18" s="22">
        <v>348</v>
      </c>
      <c r="J18" s="22">
        <f t="shared" si="1"/>
        <v>5395</v>
      </c>
      <c r="K18" s="22">
        <v>1054</v>
      </c>
      <c r="L18" s="22">
        <v>0</v>
      </c>
      <c r="M18" s="22">
        <v>2408</v>
      </c>
      <c r="N18" s="22">
        <v>186</v>
      </c>
      <c r="O18" s="22">
        <v>186</v>
      </c>
    </row>
    <row r="19" spans="1:15" ht="12.75" customHeight="1">
      <c r="A19" s="20" t="s">
        <v>35</v>
      </c>
      <c r="B19" s="21" t="s">
        <v>36</v>
      </c>
      <c r="C19" s="22">
        <v>3527</v>
      </c>
      <c r="D19" s="22">
        <v>3294</v>
      </c>
      <c r="E19" s="22">
        <v>143</v>
      </c>
      <c r="F19" s="22">
        <f t="shared" si="0"/>
        <v>90</v>
      </c>
      <c r="G19" s="22">
        <v>10266</v>
      </c>
      <c r="H19" s="22">
        <v>8286</v>
      </c>
      <c r="I19" s="22">
        <v>652</v>
      </c>
      <c r="J19" s="22">
        <f t="shared" si="1"/>
        <v>1328</v>
      </c>
      <c r="K19" s="22">
        <v>57</v>
      </c>
      <c r="L19" s="22">
        <v>0</v>
      </c>
      <c r="M19" s="22">
        <v>87</v>
      </c>
      <c r="N19" s="22">
        <v>279</v>
      </c>
      <c r="O19" s="22">
        <v>279</v>
      </c>
    </row>
    <row r="20" spans="1:15" ht="12.75" customHeight="1">
      <c r="A20" s="20" t="s">
        <v>37</v>
      </c>
      <c r="B20" s="21" t="s">
        <v>38</v>
      </c>
      <c r="C20" s="22">
        <v>20611</v>
      </c>
      <c r="D20" s="22">
        <v>18518</v>
      </c>
      <c r="E20" s="22">
        <v>480</v>
      </c>
      <c r="F20" s="22">
        <f t="shared" si="0"/>
        <v>1613</v>
      </c>
      <c r="G20" s="22">
        <v>55198</v>
      </c>
      <c r="H20" s="22">
        <v>39726</v>
      </c>
      <c r="I20" s="22">
        <v>2610</v>
      </c>
      <c r="J20" s="22">
        <f t="shared" si="1"/>
        <v>12862</v>
      </c>
      <c r="K20" s="22">
        <v>1491</v>
      </c>
      <c r="L20" s="22">
        <v>8</v>
      </c>
      <c r="M20" s="22">
        <v>4655</v>
      </c>
      <c r="N20" s="22">
        <v>405</v>
      </c>
      <c r="O20" s="22">
        <v>405</v>
      </c>
    </row>
    <row r="21" spans="1:15" ht="12.75" customHeight="1">
      <c r="A21" s="20" t="s">
        <v>39</v>
      </c>
      <c r="B21" s="21" t="s">
        <v>40</v>
      </c>
      <c r="C21" s="22">
        <v>1646</v>
      </c>
      <c r="D21" s="22">
        <v>1570</v>
      </c>
      <c r="E21" s="22">
        <v>0</v>
      </c>
      <c r="F21" s="22">
        <f t="shared" si="0"/>
        <v>76</v>
      </c>
      <c r="G21" s="22">
        <v>3164</v>
      </c>
      <c r="H21" s="22">
        <v>2840</v>
      </c>
      <c r="I21" s="22">
        <v>0</v>
      </c>
      <c r="J21" s="22">
        <f t="shared" si="1"/>
        <v>324</v>
      </c>
      <c r="K21" s="22">
        <v>0</v>
      </c>
      <c r="L21" s="22">
        <v>0</v>
      </c>
      <c r="M21" s="22">
        <v>0</v>
      </c>
      <c r="N21" s="22">
        <v>15</v>
      </c>
      <c r="O21" s="22">
        <v>15</v>
      </c>
    </row>
    <row r="22" spans="1:15" ht="12.75" customHeight="1">
      <c r="A22" s="20" t="s">
        <v>41</v>
      </c>
      <c r="B22" s="21" t="s">
        <v>42</v>
      </c>
      <c r="C22" s="22">
        <v>1610</v>
      </c>
      <c r="D22" s="22">
        <v>1343</v>
      </c>
      <c r="E22" s="22">
        <v>122</v>
      </c>
      <c r="F22" s="22">
        <f t="shared" si="0"/>
        <v>145</v>
      </c>
      <c r="G22" s="22">
        <v>4815</v>
      </c>
      <c r="H22" s="22">
        <v>3033</v>
      </c>
      <c r="I22" s="22">
        <v>615</v>
      </c>
      <c r="J22" s="22">
        <f t="shared" si="1"/>
        <v>1167</v>
      </c>
      <c r="K22" s="22">
        <v>404</v>
      </c>
      <c r="L22" s="22">
        <v>0</v>
      </c>
      <c r="M22" s="22">
        <v>2073</v>
      </c>
      <c r="N22" s="22">
        <v>15</v>
      </c>
      <c r="O22" s="22">
        <v>15</v>
      </c>
    </row>
    <row r="23" spans="1:15" ht="12.75" customHeight="1">
      <c r="A23" s="23"/>
      <c r="B23" s="24" t="s">
        <v>43</v>
      </c>
      <c r="C23" s="25">
        <f t="shared" ref="C23:O23" si="2">SUM(C15:C22)</f>
        <v>43111</v>
      </c>
      <c r="D23" s="25">
        <f t="shared" si="2"/>
        <v>35237</v>
      </c>
      <c r="E23" s="25">
        <f t="shared" si="2"/>
        <v>1342</v>
      </c>
      <c r="F23" s="25">
        <f t="shared" si="2"/>
        <v>6532</v>
      </c>
      <c r="G23" s="25">
        <f t="shared" si="2"/>
        <v>141483</v>
      </c>
      <c r="H23" s="25">
        <f t="shared" si="2"/>
        <v>82315</v>
      </c>
      <c r="I23" s="25">
        <f t="shared" si="2"/>
        <v>7303</v>
      </c>
      <c r="J23" s="25">
        <f t="shared" si="2"/>
        <v>51865</v>
      </c>
      <c r="K23" s="25">
        <f t="shared" si="2"/>
        <v>5593</v>
      </c>
      <c r="L23" s="25">
        <f t="shared" si="2"/>
        <v>8</v>
      </c>
      <c r="M23" s="25">
        <f t="shared" si="2"/>
        <v>15591</v>
      </c>
      <c r="N23" s="25">
        <f t="shared" si="2"/>
        <v>1956</v>
      </c>
      <c r="O23" s="25">
        <f t="shared" si="2"/>
        <v>1956</v>
      </c>
    </row>
    <row r="24" spans="1:15" ht="14.25" customHeight="1">
      <c r="A24" s="20" t="s">
        <v>44</v>
      </c>
      <c r="B24" s="21" t="s">
        <v>45</v>
      </c>
      <c r="C24" s="22">
        <v>1724</v>
      </c>
      <c r="D24" s="22">
        <v>1217</v>
      </c>
      <c r="E24" s="22">
        <v>110</v>
      </c>
      <c r="F24" s="22">
        <f>SUM(C24-D24-E24)</f>
        <v>397</v>
      </c>
      <c r="G24" s="22">
        <v>4334</v>
      </c>
      <c r="H24" s="22">
        <v>2230</v>
      </c>
      <c r="I24" s="22">
        <v>398</v>
      </c>
      <c r="J24" s="22">
        <f>SUM(G24-H24-I24)</f>
        <v>1706</v>
      </c>
      <c r="K24" s="22">
        <v>1146</v>
      </c>
      <c r="L24" s="22">
        <v>0</v>
      </c>
      <c r="M24" s="22">
        <v>635</v>
      </c>
      <c r="N24" s="22">
        <v>23</v>
      </c>
      <c r="O24" s="22">
        <v>23</v>
      </c>
    </row>
    <row r="25" spans="1:15" ht="14.25" customHeight="1">
      <c r="A25" s="26"/>
      <c r="B25" s="24" t="s">
        <v>46</v>
      </c>
      <c r="C25" s="25">
        <f t="shared" ref="C25:O25" si="3">SUM(C24)</f>
        <v>1724</v>
      </c>
      <c r="D25" s="25">
        <f t="shared" si="3"/>
        <v>1217</v>
      </c>
      <c r="E25" s="25">
        <f t="shared" si="3"/>
        <v>110</v>
      </c>
      <c r="F25" s="25">
        <f t="shared" si="3"/>
        <v>397</v>
      </c>
      <c r="G25" s="25">
        <f t="shared" si="3"/>
        <v>4334</v>
      </c>
      <c r="H25" s="25">
        <f t="shared" si="3"/>
        <v>2230</v>
      </c>
      <c r="I25" s="25">
        <f t="shared" si="3"/>
        <v>398</v>
      </c>
      <c r="J25" s="25">
        <f t="shared" si="3"/>
        <v>1706</v>
      </c>
      <c r="K25" s="25">
        <f t="shared" si="3"/>
        <v>1146</v>
      </c>
      <c r="L25" s="25">
        <f t="shared" si="3"/>
        <v>0</v>
      </c>
      <c r="M25" s="25">
        <f t="shared" si="3"/>
        <v>635</v>
      </c>
      <c r="N25" s="25">
        <f t="shared" si="3"/>
        <v>23</v>
      </c>
      <c r="O25" s="25">
        <f t="shared" si="3"/>
        <v>23</v>
      </c>
    </row>
    <row r="26" spans="1:15" ht="12.75" customHeight="1">
      <c r="A26" s="20" t="s">
        <v>47</v>
      </c>
      <c r="B26" s="21" t="s">
        <v>48</v>
      </c>
      <c r="C26" s="22">
        <v>9632</v>
      </c>
      <c r="D26" s="22">
        <v>6785</v>
      </c>
      <c r="E26" s="22">
        <v>436</v>
      </c>
      <c r="F26" s="22">
        <f>SUM(C26-D26-E26)</f>
        <v>2411</v>
      </c>
      <c r="G26" s="22">
        <v>26781</v>
      </c>
      <c r="H26" s="22">
        <v>11296</v>
      </c>
      <c r="I26" s="22">
        <v>1505</v>
      </c>
      <c r="J26" s="22">
        <f>SUM(G26-H26-I26)</f>
        <v>13980</v>
      </c>
      <c r="K26" s="22">
        <v>1541</v>
      </c>
      <c r="L26" s="22">
        <v>0</v>
      </c>
      <c r="M26" s="22">
        <v>906</v>
      </c>
      <c r="N26" s="22">
        <v>308</v>
      </c>
      <c r="O26" s="22">
        <v>308</v>
      </c>
    </row>
    <row r="27" spans="1:15" ht="12.75" customHeight="1">
      <c r="A27" s="20" t="s">
        <v>49</v>
      </c>
      <c r="B27" s="21" t="s">
        <v>50</v>
      </c>
      <c r="C27" s="22">
        <v>2579</v>
      </c>
      <c r="D27" s="22">
        <v>2225</v>
      </c>
      <c r="E27" s="22">
        <v>73</v>
      </c>
      <c r="F27" s="22">
        <f>SUM(C27-D27-E27)</f>
        <v>281</v>
      </c>
      <c r="G27" s="22">
        <v>5362</v>
      </c>
      <c r="H27" s="22">
        <v>3435</v>
      </c>
      <c r="I27" s="22">
        <v>254</v>
      </c>
      <c r="J27" s="22">
        <f>SUM(G27-H27-I27)</f>
        <v>1673</v>
      </c>
      <c r="K27" s="22">
        <v>527</v>
      </c>
      <c r="L27" s="22">
        <v>0</v>
      </c>
      <c r="M27" s="22">
        <v>242</v>
      </c>
      <c r="N27" s="22">
        <v>27</v>
      </c>
      <c r="O27" s="22">
        <v>27</v>
      </c>
    </row>
    <row r="28" spans="1:15" ht="12.75" customHeight="1">
      <c r="A28" s="20" t="s">
        <v>51</v>
      </c>
      <c r="B28" s="21" t="s">
        <v>52</v>
      </c>
      <c r="C28" s="22">
        <v>2630</v>
      </c>
      <c r="D28" s="22">
        <v>1696</v>
      </c>
      <c r="E28" s="22">
        <v>201</v>
      </c>
      <c r="F28" s="22">
        <f>SUM(C28-D28-E28)</f>
        <v>733</v>
      </c>
      <c r="G28" s="22">
        <v>7237</v>
      </c>
      <c r="H28" s="22">
        <v>3815</v>
      </c>
      <c r="I28" s="22">
        <v>1007</v>
      </c>
      <c r="J28" s="22">
        <f>SUM(G28-H28-I28)</f>
        <v>2415</v>
      </c>
      <c r="K28" s="22">
        <v>100</v>
      </c>
      <c r="L28" s="22">
        <v>0</v>
      </c>
      <c r="M28" s="22">
        <v>58</v>
      </c>
      <c r="N28" s="22">
        <v>16</v>
      </c>
      <c r="O28" s="22">
        <v>16</v>
      </c>
    </row>
    <row r="29" spans="1:15" ht="12.75" customHeight="1">
      <c r="A29" s="20" t="s">
        <v>53</v>
      </c>
      <c r="B29" s="21" t="s">
        <v>54</v>
      </c>
      <c r="C29" s="22">
        <v>2957</v>
      </c>
      <c r="D29" s="22">
        <v>2569</v>
      </c>
      <c r="E29" s="22">
        <v>326</v>
      </c>
      <c r="F29" s="22">
        <f>SUM(C29-D29-E29)</f>
        <v>62</v>
      </c>
      <c r="G29" s="22">
        <v>6695</v>
      </c>
      <c r="H29" s="22">
        <v>5322</v>
      </c>
      <c r="I29" s="22">
        <v>1222</v>
      </c>
      <c r="J29" s="22">
        <f>SUM(G29-H29-I29)</f>
        <v>151</v>
      </c>
      <c r="K29" s="22">
        <v>13</v>
      </c>
      <c r="L29" s="22">
        <v>0</v>
      </c>
      <c r="M29" s="22">
        <v>0</v>
      </c>
      <c r="N29" s="22">
        <v>0</v>
      </c>
      <c r="O29" s="22">
        <v>0</v>
      </c>
    </row>
    <row r="30" spans="1:15" ht="12.75" customHeight="1">
      <c r="A30" s="23"/>
      <c r="B30" s="24" t="s">
        <v>55</v>
      </c>
      <c r="C30" s="25">
        <f t="shared" ref="C30:O30" si="4">SUM(C26:C29)</f>
        <v>17798</v>
      </c>
      <c r="D30" s="25">
        <f t="shared" si="4"/>
        <v>13275</v>
      </c>
      <c r="E30" s="25">
        <f t="shared" si="4"/>
        <v>1036</v>
      </c>
      <c r="F30" s="25">
        <f t="shared" si="4"/>
        <v>3487</v>
      </c>
      <c r="G30" s="25">
        <f t="shared" si="4"/>
        <v>46075</v>
      </c>
      <c r="H30" s="25">
        <f t="shared" si="4"/>
        <v>23868</v>
      </c>
      <c r="I30" s="25">
        <f t="shared" si="4"/>
        <v>3988</v>
      </c>
      <c r="J30" s="25">
        <f t="shared" si="4"/>
        <v>18219</v>
      </c>
      <c r="K30" s="25">
        <f t="shared" si="4"/>
        <v>2181</v>
      </c>
      <c r="L30" s="25">
        <f t="shared" si="4"/>
        <v>0</v>
      </c>
      <c r="M30" s="25">
        <f t="shared" si="4"/>
        <v>1206</v>
      </c>
      <c r="N30" s="25">
        <f t="shared" si="4"/>
        <v>351</v>
      </c>
      <c r="O30" s="25">
        <f t="shared" si="4"/>
        <v>351</v>
      </c>
    </row>
    <row r="31" spans="1:15" ht="12.75" customHeight="1">
      <c r="A31" s="20" t="s">
        <v>56</v>
      </c>
      <c r="B31" s="21" t="s">
        <v>57</v>
      </c>
      <c r="C31" s="22">
        <v>10335</v>
      </c>
      <c r="D31" s="22">
        <v>8641</v>
      </c>
      <c r="E31" s="22">
        <v>175</v>
      </c>
      <c r="F31" s="22">
        <f t="shared" ref="F31:F42" si="5">SUM(C31-D31-E31)</f>
        <v>1519</v>
      </c>
      <c r="G31" s="22">
        <v>30881</v>
      </c>
      <c r="H31" s="22">
        <v>17723</v>
      </c>
      <c r="I31" s="22">
        <v>878</v>
      </c>
      <c r="J31" s="22">
        <f t="shared" ref="J31:J42" si="6">SUM(G31-H31-I31)</f>
        <v>12280</v>
      </c>
      <c r="K31" s="22">
        <v>719</v>
      </c>
      <c r="L31" s="22">
        <v>0</v>
      </c>
      <c r="M31" s="22">
        <v>641</v>
      </c>
      <c r="N31" s="22">
        <v>88</v>
      </c>
      <c r="O31" s="22">
        <v>88</v>
      </c>
    </row>
    <row r="32" spans="1:15" ht="12.75" customHeight="1">
      <c r="A32" s="20" t="s">
        <v>58</v>
      </c>
      <c r="B32" s="21" t="s">
        <v>59</v>
      </c>
      <c r="C32" s="22">
        <v>16275</v>
      </c>
      <c r="D32" s="22">
        <v>14952</v>
      </c>
      <c r="E32" s="22">
        <v>456</v>
      </c>
      <c r="F32" s="22">
        <f t="shared" si="5"/>
        <v>867</v>
      </c>
      <c r="G32" s="22">
        <v>59181</v>
      </c>
      <c r="H32" s="22">
        <v>36541</v>
      </c>
      <c r="I32" s="22">
        <v>2587</v>
      </c>
      <c r="J32" s="22">
        <f t="shared" si="6"/>
        <v>20053</v>
      </c>
      <c r="K32" s="22">
        <v>2076</v>
      </c>
      <c r="L32" s="22">
        <v>0</v>
      </c>
      <c r="M32" s="22">
        <v>10022</v>
      </c>
      <c r="N32" s="22">
        <v>492</v>
      </c>
      <c r="O32" s="22">
        <v>492</v>
      </c>
    </row>
    <row r="33" spans="1:256" ht="12.75" customHeight="1">
      <c r="A33" s="20" t="s">
        <v>60</v>
      </c>
      <c r="B33" s="21" t="s">
        <v>61</v>
      </c>
      <c r="C33" s="22">
        <v>7730</v>
      </c>
      <c r="D33" s="22">
        <v>5952</v>
      </c>
      <c r="E33" s="22">
        <v>158</v>
      </c>
      <c r="F33" s="22">
        <f t="shared" si="5"/>
        <v>1620</v>
      </c>
      <c r="G33" s="22">
        <v>26921</v>
      </c>
      <c r="H33" s="22">
        <v>7981</v>
      </c>
      <c r="I33" s="22">
        <v>460</v>
      </c>
      <c r="J33" s="22">
        <f t="shared" si="6"/>
        <v>18480</v>
      </c>
      <c r="K33" s="22">
        <v>2674</v>
      </c>
      <c r="L33" s="22">
        <v>0</v>
      </c>
      <c r="M33" s="22">
        <v>2093</v>
      </c>
      <c r="N33" s="22">
        <v>203</v>
      </c>
      <c r="O33" s="22">
        <v>203</v>
      </c>
    </row>
    <row r="34" spans="1:256" ht="12.75" customHeight="1">
      <c r="A34" s="20" t="s">
        <v>62</v>
      </c>
      <c r="B34" s="21" t="s">
        <v>63</v>
      </c>
      <c r="C34" s="22">
        <v>8394</v>
      </c>
      <c r="D34" s="22">
        <v>2449</v>
      </c>
      <c r="E34" s="22">
        <v>36</v>
      </c>
      <c r="F34" s="22">
        <f t="shared" si="5"/>
        <v>5909</v>
      </c>
      <c r="G34" s="22">
        <v>29074</v>
      </c>
      <c r="H34" s="22">
        <v>6498</v>
      </c>
      <c r="I34" s="22">
        <v>155</v>
      </c>
      <c r="J34" s="22">
        <f t="shared" si="6"/>
        <v>22421</v>
      </c>
      <c r="K34" s="22">
        <v>359</v>
      </c>
      <c r="L34" s="22">
        <v>0</v>
      </c>
      <c r="M34" s="22">
        <v>3549</v>
      </c>
      <c r="N34" s="22">
        <v>69</v>
      </c>
      <c r="O34" s="22">
        <v>69</v>
      </c>
    </row>
    <row r="35" spans="1:256" ht="12.75" customHeight="1">
      <c r="A35" s="20" t="s">
        <v>64</v>
      </c>
      <c r="B35" s="21" t="s">
        <v>65</v>
      </c>
      <c r="C35" s="22">
        <v>3614</v>
      </c>
      <c r="D35" s="22">
        <v>3526</v>
      </c>
      <c r="E35" s="22">
        <v>0</v>
      </c>
      <c r="F35" s="22">
        <f t="shared" si="5"/>
        <v>88</v>
      </c>
      <c r="G35" s="22">
        <v>6617</v>
      </c>
      <c r="H35" s="22">
        <v>5956</v>
      </c>
      <c r="I35" s="22">
        <v>0</v>
      </c>
      <c r="J35" s="22">
        <f t="shared" si="6"/>
        <v>661</v>
      </c>
      <c r="K35" s="22">
        <v>223</v>
      </c>
      <c r="L35" s="22">
        <v>0</v>
      </c>
      <c r="M35" s="22">
        <v>0</v>
      </c>
      <c r="N35" s="22">
        <v>368</v>
      </c>
      <c r="O35" s="22">
        <v>368</v>
      </c>
    </row>
    <row r="36" spans="1:256" ht="12.75" customHeight="1">
      <c r="A36" s="20" t="s">
        <v>66</v>
      </c>
      <c r="B36" s="21" t="s">
        <v>67</v>
      </c>
      <c r="C36" s="22">
        <v>2117</v>
      </c>
      <c r="D36" s="22">
        <v>1615</v>
      </c>
      <c r="E36" s="22">
        <v>157</v>
      </c>
      <c r="F36" s="22">
        <f t="shared" si="5"/>
        <v>345</v>
      </c>
      <c r="G36" s="22">
        <v>6101</v>
      </c>
      <c r="H36" s="22">
        <v>4161</v>
      </c>
      <c r="I36" s="22">
        <v>972</v>
      </c>
      <c r="J36" s="22">
        <f t="shared" si="6"/>
        <v>968</v>
      </c>
      <c r="K36" s="22">
        <v>135</v>
      </c>
      <c r="L36" s="22">
        <v>0</v>
      </c>
      <c r="M36" s="22">
        <v>591</v>
      </c>
      <c r="N36" s="22">
        <v>0</v>
      </c>
      <c r="O36" s="22">
        <v>0</v>
      </c>
    </row>
    <row r="37" spans="1:256" ht="12.75" customHeight="1">
      <c r="A37" s="20" t="s">
        <v>68</v>
      </c>
      <c r="B37" s="21" t="s">
        <v>69</v>
      </c>
      <c r="C37" s="22">
        <v>3387</v>
      </c>
      <c r="D37" s="22">
        <v>2897</v>
      </c>
      <c r="E37" s="22">
        <v>0</v>
      </c>
      <c r="F37" s="22">
        <f t="shared" si="5"/>
        <v>490</v>
      </c>
      <c r="G37" s="22">
        <v>12354</v>
      </c>
      <c r="H37" s="22">
        <v>8231</v>
      </c>
      <c r="I37" s="22">
        <v>0</v>
      </c>
      <c r="J37" s="22">
        <f t="shared" si="6"/>
        <v>4123</v>
      </c>
      <c r="K37" s="22">
        <v>121</v>
      </c>
      <c r="L37" s="22">
        <v>0</v>
      </c>
      <c r="M37" s="22">
        <v>1104</v>
      </c>
      <c r="N37" s="22">
        <v>245</v>
      </c>
      <c r="O37" s="22">
        <v>245</v>
      </c>
    </row>
    <row r="38" spans="1:256" ht="12.75" customHeight="1">
      <c r="A38" s="20" t="s">
        <v>70</v>
      </c>
      <c r="B38" s="21" t="s">
        <v>71</v>
      </c>
      <c r="C38" s="22">
        <v>51962</v>
      </c>
      <c r="D38" s="22">
        <v>38024</v>
      </c>
      <c r="E38" s="22">
        <v>1365</v>
      </c>
      <c r="F38" s="22">
        <f t="shared" si="5"/>
        <v>12573</v>
      </c>
      <c r="G38" s="22">
        <v>120483</v>
      </c>
      <c r="H38" s="22">
        <v>67332</v>
      </c>
      <c r="I38" s="22">
        <v>6041</v>
      </c>
      <c r="J38" s="22">
        <f t="shared" si="6"/>
        <v>47110</v>
      </c>
      <c r="K38" s="22">
        <v>6039</v>
      </c>
      <c r="L38" s="22">
        <v>0</v>
      </c>
      <c r="M38" s="22">
        <v>5465</v>
      </c>
      <c r="N38" s="22">
        <v>47061</v>
      </c>
      <c r="O38" s="22">
        <v>4079</v>
      </c>
    </row>
    <row r="39" spans="1:256" ht="12.75" customHeight="1">
      <c r="A39" s="20" t="s">
        <v>72</v>
      </c>
      <c r="B39" s="21" t="s">
        <v>73</v>
      </c>
      <c r="C39" s="22">
        <v>7853</v>
      </c>
      <c r="D39" s="22">
        <v>7372</v>
      </c>
      <c r="E39" s="22">
        <v>214</v>
      </c>
      <c r="F39" s="22">
        <f t="shared" si="5"/>
        <v>267</v>
      </c>
      <c r="G39" s="22">
        <v>14431</v>
      </c>
      <c r="H39" s="22">
        <v>11844</v>
      </c>
      <c r="I39" s="22">
        <v>1183</v>
      </c>
      <c r="J39" s="22">
        <f t="shared" si="6"/>
        <v>1404</v>
      </c>
      <c r="K39" s="22">
        <v>696</v>
      </c>
      <c r="L39" s="22">
        <v>0</v>
      </c>
      <c r="M39" s="22">
        <v>4</v>
      </c>
      <c r="N39" s="22">
        <v>0</v>
      </c>
      <c r="O39" s="22">
        <v>0</v>
      </c>
    </row>
    <row r="40" spans="1:256" ht="12.75" customHeight="1">
      <c r="A40" s="20" t="s">
        <v>74</v>
      </c>
      <c r="B40" s="21" t="s">
        <v>75</v>
      </c>
      <c r="C40" s="22">
        <v>5104</v>
      </c>
      <c r="D40" s="22">
        <v>4487</v>
      </c>
      <c r="E40" s="22">
        <v>191</v>
      </c>
      <c r="F40" s="22">
        <f t="shared" si="5"/>
        <v>426</v>
      </c>
      <c r="G40" s="22">
        <v>14966</v>
      </c>
      <c r="H40" s="22">
        <v>9392</v>
      </c>
      <c r="I40" s="22">
        <v>890</v>
      </c>
      <c r="J40" s="22">
        <f t="shared" si="6"/>
        <v>4684</v>
      </c>
      <c r="K40" s="22">
        <v>444</v>
      </c>
      <c r="L40" s="22">
        <v>0</v>
      </c>
      <c r="M40" s="22">
        <v>7373</v>
      </c>
      <c r="N40" s="22">
        <v>59</v>
      </c>
      <c r="O40" s="22">
        <v>59</v>
      </c>
    </row>
    <row r="41" spans="1:256" ht="12.75" customHeight="1">
      <c r="A41" s="20" t="s">
        <v>76</v>
      </c>
      <c r="B41" s="21" t="s">
        <v>77</v>
      </c>
      <c r="C41" s="22">
        <v>1819</v>
      </c>
      <c r="D41" s="22">
        <v>1420</v>
      </c>
      <c r="E41" s="22">
        <v>0</v>
      </c>
      <c r="F41" s="22">
        <f t="shared" si="5"/>
        <v>399</v>
      </c>
      <c r="G41" s="22">
        <v>6584</v>
      </c>
      <c r="H41" s="22">
        <v>4039</v>
      </c>
      <c r="I41" s="22">
        <v>0</v>
      </c>
      <c r="J41" s="22">
        <f t="shared" si="6"/>
        <v>2545</v>
      </c>
      <c r="K41" s="22">
        <v>745</v>
      </c>
      <c r="L41" s="22">
        <v>0</v>
      </c>
      <c r="M41" s="22">
        <v>91</v>
      </c>
      <c r="N41" s="22">
        <v>203</v>
      </c>
      <c r="O41" s="22">
        <v>203</v>
      </c>
    </row>
    <row r="42" spans="1:256" ht="12.75" customHeight="1">
      <c r="A42" s="20" t="s">
        <v>78</v>
      </c>
      <c r="B42" s="21" t="s">
        <v>79</v>
      </c>
      <c r="C42" s="22">
        <v>11955</v>
      </c>
      <c r="D42" s="22">
        <v>9159</v>
      </c>
      <c r="E42" s="22">
        <v>258</v>
      </c>
      <c r="F42" s="22">
        <f t="shared" si="5"/>
        <v>2538</v>
      </c>
      <c r="G42" s="22">
        <v>19973</v>
      </c>
      <c r="H42" s="22">
        <v>14598</v>
      </c>
      <c r="I42" s="22">
        <v>674</v>
      </c>
      <c r="J42" s="22">
        <f t="shared" si="6"/>
        <v>4701</v>
      </c>
      <c r="K42" s="22">
        <v>846</v>
      </c>
      <c r="L42" s="22">
        <v>0</v>
      </c>
      <c r="M42" s="22">
        <v>30</v>
      </c>
      <c r="N42" s="22">
        <v>74</v>
      </c>
      <c r="O42" s="22">
        <v>74</v>
      </c>
    </row>
    <row r="43" spans="1:256" ht="12.75" customHeight="1">
      <c r="A43" s="23"/>
      <c r="B43" s="24" t="s">
        <v>80</v>
      </c>
      <c r="C43" s="25">
        <f t="shared" ref="C43:O43" si="7">SUM(C31:C42)</f>
        <v>130545</v>
      </c>
      <c r="D43" s="25">
        <f t="shared" si="7"/>
        <v>100494</v>
      </c>
      <c r="E43" s="25">
        <f t="shared" si="7"/>
        <v>3010</v>
      </c>
      <c r="F43" s="25">
        <f t="shared" si="7"/>
        <v>27041</v>
      </c>
      <c r="G43" s="25">
        <f t="shared" si="7"/>
        <v>347566</v>
      </c>
      <c r="H43" s="25">
        <f t="shared" si="7"/>
        <v>194296</v>
      </c>
      <c r="I43" s="25">
        <f t="shared" si="7"/>
        <v>13840</v>
      </c>
      <c r="J43" s="25">
        <f t="shared" si="7"/>
        <v>139430</v>
      </c>
      <c r="K43" s="25">
        <f t="shared" si="7"/>
        <v>15077</v>
      </c>
      <c r="L43" s="25">
        <f t="shared" si="7"/>
        <v>0</v>
      </c>
      <c r="M43" s="25">
        <f t="shared" si="7"/>
        <v>30963</v>
      </c>
      <c r="N43" s="25">
        <f t="shared" si="7"/>
        <v>48862</v>
      </c>
      <c r="O43" s="25">
        <f t="shared" si="7"/>
        <v>5880</v>
      </c>
    </row>
    <row r="44" spans="1:256" ht="12.75" customHeight="1">
      <c r="A44" s="20" t="s">
        <v>81</v>
      </c>
      <c r="B44" s="21" t="s">
        <v>82</v>
      </c>
      <c r="C44" s="22">
        <v>4396</v>
      </c>
      <c r="D44" s="22">
        <v>3759</v>
      </c>
      <c r="E44" s="22">
        <v>91</v>
      </c>
      <c r="F44" s="22">
        <f>SUM(C44-D44-E44)</f>
        <v>546</v>
      </c>
      <c r="G44" s="22">
        <v>17590</v>
      </c>
      <c r="H44" s="22">
        <v>9372</v>
      </c>
      <c r="I44" s="22">
        <v>354</v>
      </c>
      <c r="J44" s="22">
        <f>SUM(G44-H44-I44)</f>
        <v>7864</v>
      </c>
      <c r="K44" s="22">
        <v>1351</v>
      </c>
      <c r="L44" s="22">
        <v>1241</v>
      </c>
      <c r="M44" s="22">
        <v>629</v>
      </c>
      <c r="N44" s="22">
        <v>173</v>
      </c>
      <c r="O44" s="22">
        <v>173</v>
      </c>
    </row>
    <row r="45" spans="1:256" ht="12.75" customHeight="1">
      <c r="A45" s="20" t="s">
        <v>83</v>
      </c>
      <c r="B45" s="21" t="s">
        <v>84</v>
      </c>
      <c r="C45" s="22">
        <v>5322</v>
      </c>
      <c r="D45" s="22">
        <v>4163</v>
      </c>
      <c r="E45" s="22">
        <v>136</v>
      </c>
      <c r="F45" s="22">
        <f>SUM(C45-D45-E45)</f>
        <v>1023</v>
      </c>
      <c r="G45" s="22">
        <v>27364</v>
      </c>
      <c r="H45" s="22">
        <v>9966</v>
      </c>
      <c r="I45" s="22">
        <v>610</v>
      </c>
      <c r="J45" s="22">
        <f>SUM(G45-H45-I45)</f>
        <v>16788</v>
      </c>
      <c r="K45" s="22">
        <v>8010</v>
      </c>
      <c r="L45" s="22">
        <v>0</v>
      </c>
      <c r="M45" s="22">
        <v>3294</v>
      </c>
      <c r="N45" s="22">
        <v>0</v>
      </c>
      <c r="O45" s="22">
        <v>0</v>
      </c>
      <c r="GM45" s="27"/>
      <c r="GN45" s="27"/>
      <c r="GO45" s="27"/>
      <c r="GP45" s="27"/>
      <c r="GQ45" s="27"/>
      <c r="GR45" s="27"/>
      <c r="GS45" s="27"/>
      <c r="GT45" s="27"/>
      <c r="GU45" s="27"/>
      <c r="GV45" s="27"/>
      <c r="GW45" s="27"/>
      <c r="GX45" s="27"/>
      <c r="GY45" s="27"/>
      <c r="GZ45" s="27"/>
      <c r="HA45" s="27"/>
      <c r="HB45" s="27"/>
      <c r="HC45" s="27"/>
      <c r="HD45" s="27"/>
      <c r="HE45" s="27"/>
      <c r="HF45" s="27"/>
      <c r="HG45" s="27"/>
      <c r="HH45" s="27"/>
      <c r="HI45" s="27"/>
      <c r="HJ45" s="27"/>
      <c r="HK45" s="27"/>
      <c r="HL45" s="27"/>
      <c r="HM45" s="27"/>
      <c r="HN45" s="27"/>
      <c r="HO45" s="27"/>
      <c r="HP45" s="27"/>
      <c r="HQ45" s="27"/>
      <c r="HR45" s="27"/>
      <c r="HS45" s="27"/>
      <c r="HT45" s="27"/>
      <c r="HU45" s="27"/>
      <c r="HV45" s="27"/>
      <c r="HW45" s="27"/>
      <c r="HX45" s="27"/>
      <c r="HY45" s="27"/>
      <c r="HZ45" s="27"/>
      <c r="IA45" s="27"/>
      <c r="IB45" s="27"/>
      <c r="IC45" s="27"/>
      <c r="ID45" s="27"/>
      <c r="IE45" s="27"/>
      <c r="IF45" s="27"/>
      <c r="IG45" s="27"/>
      <c r="IH45" s="27"/>
      <c r="II45" s="27"/>
      <c r="IJ45" s="27"/>
      <c r="IK45" s="27"/>
      <c r="IL45" s="27"/>
      <c r="IM45" s="27"/>
      <c r="IN45" s="27"/>
      <c r="IO45" s="27"/>
      <c r="IP45" s="27"/>
      <c r="IQ45" s="27"/>
      <c r="IR45" s="27"/>
      <c r="IS45" s="27"/>
      <c r="IT45" s="27"/>
      <c r="IU45" s="27"/>
      <c r="IV45" s="27"/>
    </row>
    <row r="46" spans="1:256" ht="12.75" customHeight="1">
      <c r="A46" s="23"/>
      <c r="B46" s="24" t="s">
        <v>85</v>
      </c>
      <c r="C46" s="25">
        <f t="shared" ref="C46:O46" si="8">SUM(C44:C45)</f>
        <v>9718</v>
      </c>
      <c r="D46" s="25">
        <f t="shared" si="8"/>
        <v>7922</v>
      </c>
      <c r="E46" s="25">
        <f t="shared" si="8"/>
        <v>227</v>
      </c>
      <c r="F46" s="25">
        <f t="shared" si="8"/>
        <v>1569</v>
      </c>
      <c r="G46" s="25">
        <f t="shared" si="8"/>
        <v>44954</v>
      </c>
      <c r="H46" s="25">
        <f t="shared" si="8"/>
        <v>19338</v>
      </c>
      <c r="I46" s="25">
        <f t="shared" si="8"/>
        <v>964</v>
      </c>
      <c r="J46" s="25">
        <f t="shared" si="8"/>
        <v>24652</v>
      </c>
      <c r="K46" s="25">
        <f t="shared" si="8"/>
        <v>9361</v>
      </c>
      <c r="L46" s="25">
        <f t="shared" si="8"/>
        <v>1241</v>
      </c>
      <c r="M46" s="25">
        <f t="shared" si="8"/>
        <v>3923</v>
      </c>
      <c r="N46" s="25">
        <f t="shared" si="8"/>
        <v>173</v>
      </c>
      <c r="O46" s="25">
        <f t="shared" si="8"/>
        <v>173</v>
      </c>
    </row>
    <row r="47" spans="1:256" ht="12.75" customHeight="1">
      <c r="A47" s="20" t="s">
        <v>86</v>
      </c>
      <c r="B47" s="21" t="s">
        <v>87</v>
      </c>
      <c r="C47" s="22">
        <v>1146</v>
      </c>
      <c r="D47" s="22">
        <v>926</v>
      </c>
      <c r="E47" s="22">
        <v>0</v>
      </c>
      <c r="F47" s="22">
        <f>SUM(C47-D47-E47)</f>
        <v>220</v>
      </c>
      <c r="G47" s="22">
        <v>1213</v>
      </c>
      <c r="H47" s="22">
        <v>908</v>
      </c>
      <c r="I47" s="22">
        <v>0</v>
      </c>
      <c r="J47" s="22">
        <f>SUM(G47-H47-I47)</f>
        <v>305</v>
      </c>
      <c r="K47" s="22">
        <v>0</v>
      </c>
      <c r="L47" s="22">
        <v>0</v>
      </c>
      <c r="M47" s="22">
        <v>25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3174</v>
      </c>
      <c r="D48" s="22">
        <v>2472</v>
      </c>
      <c r="E48" s="22">
        <v>19</v>
      </c>
      <c r="F48" s="22">
        <f>SUM(C48-D48-E48)</f>
        <v>683</v>
      </c>
      <c r="G48" s="22">
        <v>6272</v>
      </c>
      <c r="H48" s="22">
        <v>4661</v>
      </c>
      <c r="I48" s="22">
        <v>73</v>
      </c>
      <c r="J48" s="22">
        <f>SUM(G48-H48-I48)</f>
        <v>1538</v>
      </c>
      <c r="K48" s="22">
        <v>31</v>
      </c>
      <c r="L48" s="22">
        <v>0</v>
      </c>
      <c r="M48" s="22">
        <v>210</v>
      </c>
      <c r="N48" s="22">
        <v>56</v>
      </c>
      <c r="O48" s="22">
        <v>56</v>
      </c>
    </row>
    <row r="49" spans="1:15" ht="12.75" customHeight="1">
      <c r="A49" s="20" t="s">
        <v>90</v>
      </c>
      <c r="B49" s="21" t="s">
        <v>91</v>
      </c>
      <c r="C49" s="22">
        <v>1055</v>
      </c>
      <c r="D49" s="22">
        <v>962</v>
      </c>
      <c r="E49" s="22">
        <v>53</v>
      </c>
      <c r="F49" s="22">
        <f>SUM(C49-D49-E49)</f>
        <v>40</v>
      </c>
      <c r="G49" s="22">
        <v>2578</v>
      </c>
      <c r="H49" s="22">
        <v>1120</v>
      </c>
      <c r="I49" s="22">
        <v>175</v>
      </c>
      <c r="J49" s="22">
        <f>SUM(G49-H49-I49)</f>
        <v>1283</v>
      </c>
      <c r="K49" s="22">
        <v>166</v>
      </c>
      <c r="L49" s="22">
        <v>728</v>
      </c>
      <c r="M49" s="22">
        <v>0</v>
      </c>
      <c r="N49" s="22">
        <v>0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9739</v>
      </c>
      <c r="D50" s="22">
        <v>9388</v>
      </c>
      <c r="E50" s="22">
        <v>90</v>
      </c>
      <c r="F50" s="22">
        <f>SUM(C50-D50-E50)</f>
        <v>261</v>
      </c>
      <c r="G50" s="22">
        <v>23366</v>
      </c>
      <c r="H50" s="22">
        <v>16559</v>
      </c>
      <c r="I50" s="22">
        <v>453</v>
      </c>
      <c r="J50" s="22">
        <f>SUM(G50-H50-I50)</f>
        <v>6354</v>
      </c>
      <c r="K50" s="22">
        <v>2852</v>
      </c>
      <c r="L50" s="22">
        <v>0</v>
      </c>
      <c r="M50" s="22">
        <v>1902</v>
      </c>
      <c r="N50" s="22">
        <v>425</v>
      </c>
      <c r="O50" s="22">
        <v>425</v>
      </c>
    </row>
    <row r="51" spans="1:15" ht="12.75" customHeight="1">
      <c r="A51" s="23"/>
      <c r="B51" s="24" t="s">
        <v>94</v>
      </c>
      <c r="C51" s="25">
        <f t="shared" ref="C51:O51" si="9">SUM(C47:C50)</f>
        <v>15114</v>
      </c>
      <c r="D51" s="25">
        <f t="shared" si="9"/>
        <v>13748</v>
      </c>
      <c r="E51" s="25">
        <f t="shared" si="9"/>
        <v>162</v>
      </c>
      <c r="F51" s="25">
        <f t="shared" si="9"/>
        <v>1204</v>
      </c>
      <c r="G51" s="25">
        <f t="shared" si="9"/>
        <v>33429</v>
      </c>
      <c r="H51" s="25">
        <f t="shared" si="9"/>
        <v>23248</v>
      </c>
      <c r="I51" s="25">
        <f t="shared" si="9"/>
        <v>701</v>
      </c>
      <c r="J51" s="25">
        <f t="shared" si="9"/>
        <v>9480</v>
      </c>
      <c r="K51" s="25">
        <f t="shared" si="9"/>
        <v>3049</v>
      </c>
      <c r="L51" s="25">
        <f t="shared" si="9"/>
        <v>728</v>
      </c>
      <c r="M51" s="25">
        <f t="shared" si="9"/>
        <v>2137</v>
      </c>
      <c r="N51" s="25">
        <f t="shared" si="9"/>
        <v>481</v>
      </c>
      <c r="O51" s="25">
        <f t="shared" si="9"/>
        <v>481</v>
      </c>
    </row>
    <row r="52" spans="1:15" ht="12.75" customHeight="1">
      <c r="A52" s="20" t="s">
        <v>95</v>
      </c>
      <c r="B52" s="21" t="s">
        <v>96</v>
      </c>
      <c r="C52" s="22">
        <v>1532</v>
      </c>
      <c r="D52" s="22">
        <v>1190</v>
      </c>
      <c r="E52" s="22">
        <v>4</v>
      </c>
      <c r="F52" s="22">
        <f t="shared" ref="F52:F58" si="10">SUM(C52-D52-E52)</f>
        <v>338</v>
      </c>
      <c r="G52" s="22">
        <v>5469</v>
      </c>
      <c r="H52" s="22">
        <v>2873</v>
      </c>
      <c r="I52" s="22">
        <v>8</v>
      </c>
      <c r="J52" s="22">
        <f t="shared" ref="J52:J58" si="11">SUM(G52-H52-I52)</f>
        <v>2588</v>
      </c>
      <c r="K52" s="22">
        <v>1832</v>
      </c>
      <c r="L52" s="22">
        <v>0</v>
      </c>
      <c r="M52" s="22">
        <v>53</v>
      </c>
      <c r="N52" s="22">
        <v>29</v>
      </c>
      <c r="O52" s="22">
        <v>29</v>
      </c>
    </row>
    <row r="53" spans="1:15" ht="12.75" customHeight="1">
      <c r="A53" s="20" t="s">
        <v>97</v>
      </c>
      <c r="B53" s="21" t="s">
        <v>98</v>
      </c>
      <c r="C53" s="22">
        <v>8765</v>
      </c>
      <c r="D53" s="22">
        <v>6168</v>
      </c>
      <c r="E53" s="22">
        <v>151</v>
      </c>
      <c r="F53" s="22">
        <f t="shared" si="10"/>
        <v>2446</v>
      </c>
      <c r="G53" s="22">
        <v>29556</v>
      </c>
      <c r="H53" s="22">
        <v>17247</v>
      </c>
      <c r="I53" s="22">
        <v>1026</v>
      </c>
      <c r="J53" s="22">
        <f t="shared" si="11"/>
        <v>11283</v>
      </c>
      <c r="K53" s="22">
        <v>855</v>
      </c>
      <c r="L53" s="22">
        <v>0</v>
      </c>
      <c r="M53" s="22">
        <v>2633</v>
      </c>
      <c r="N53" s="22">
        <v>360</v>
      </c>
      <c r="O53" s="22">
        <v>360</v>
      </c>
    </row>
    <row r="54" spans="1:15" ht="12.75" customHeight="1">
      <c r="A54" s="20" t="s">
        <v>99</v>
      </c>
      <c r="B54" s="21" t="s">
        <v>100</v>
      </c>
      <c r="C54" s="22">
        <v>1460</v>
      </c>
      <c r="D54" s="22">
        <v>805</v>
      </c>
      <c r="E54" s="22">
        <v>44</v>
      </c>
      <c r="F54" s="22">
        <f t="shared" si="10"/>
        <v>611</v>
      </c>
      <c r="G54" s="22">
        <v>5726</v>
      </c>
      <c r="H54" s="22">
        <v>2905</v>
      </c>
      <c r="I54" s="22">
        <v>336</v>
      </c>
      <c r="J54" s="22">
        <f t="shared" si="11"/>
        <v>2485</v>
      </c>
      <c r="K54" s="22">
        <v>91</v>
      </c>
      <c r="L54" s="22">
        <v>0</v>
      </c>
      <c r="M54" s="22">
        <v>1406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6787</v>
      </c>
      <c r="D55" s="22">
        <v>4396</v>
      </c>
      <c r="E55" s="22">
        <v>108</v>
      </c>
      <c r="F55" s="22">
        <f t="shared" si="10"/>
        <v>2283</v>
      </c>
      <c r="G55" s="22">
        <v>25437</v>
      </c>
      <c r="H55" s="22">
        <v>11711</v>
      </c>
      <c r="I55" s="22">
        <v>490</v>
      </c>
      <c r="J55" s="22">
        <f t="shared" si="11"/>
        <v>13236</v>
      </c>
      <c r="K55" s="22">
        <v>1848</v>
      </c>
      <c r="L55" s="22">
        <v>0</v>
      </c>
      <c r="M55" s="22">
        <v>1761</v>
      </c>
      <c r="N55" s="22">
        <v>1806</v>
      </c>
      <c r="O55" s="22">
        <v>1805</v>
      </c>
    </row>
    <row r="56" spans="1:15" ht="12.75" customHeight="1">
      <c r="A56" s="20" t="s">
        <v>103</v>
      </c>
      <c r="B56" s="21" t="s">
        <v>104</v>
      </c>
      <c r="C56" s="22">
        <v>7824</v>
      </c>
      <c r="D56" s="22">
        <v>3955</v>
      </c>
      <c r="E56" s="22">
        <v>363</v>
      </c>
      <c r="F56" s="22">
        <f t="shared" si="10"/>
        <v>3506</v>
      </c>
      <c r="G56" s="22">
        <v>29336</v>
      </c>
      <c r="H56" s="22">
        <v>10144</v>
      </c>
      <c r="I56" s="22">
        <v>2051</v>
      </c>
      <c r="J56" s="22">
        <f t="shared" si="11"/>
        <v>17141</v>
      </c>
      <c r="K56" s="22">
        <v>2032</v>
      </c>
      <c r="L56" s="22">
        <v>6</v>
      </c>
      <c r="M56" s="22">
        <v>4535</v>
      </c>
      <c r="N56" s="22">
        <v>9617</v>
      </c>
      <c r="O56" s="22">
        <v>52</v>
      </c>
    </row>
    <row r="57" spans="1:15" ht="12.75" customHeight="1">
      <c r="A57" s="20" t="s">
        <v>105</v>
      </c>
      <c r="B57" s="21" t="s">
        <v>106</v>
      </c>
      <c r="C57" s="22">
        <v>8412</v>
      </c>
      <c r="D57" s="22">
        <v>4913</v>
      </c>
      <c r="E57" s="22">
        <v>400</v>
      </c>
      <c r="F57" s="22">
        <f t="shared" si="10"/>
        <v>3099</v>
      </c>
      <c r="G57" s="22">
        <v>35046</v>
      </c>
      <c r="H57" s="22">
        <v>15960</v>
      </c>
      <c r="I57" s="22">
        <v>1877</v>
      </c>
      <c r="J57" s="22">
        <f t="shared" si="11"/>
        <v>17209</v>
      </c>
      <c r="K57" s="22">
        <v>676</v>
      </c>
      <c r="L57" s="22">
        <v>0</v>
      </c>
      <c r="M57" s="22">
        <v>3019</v>
      </c>
      <c r="N57" s="22">
        <v>25</v>
      </c>
      <c r="O57" s="22">
        <v>25</v>
      </c>
    </row>
    <row r="58" spans="1:15" ht="12.75" customHeight="1">
      <c r="A58" s="20" t="s">
        <v>107</v>
      </c>
      <c r="B58" s="21" t="s">
        <v>108</v>
      </c>
      <c r="C58" s="22">
        <v>9674</v>
      </c>
      <c r="D58" s="22">
        <v>5152</v>
      </c>
      <c r="E58" s="22">
        <v>116</v>
      </c>
      <c r="F58" s="22">
        <f t="shared" si="10"/>
        <v>4406</v>
      </c>
      <c r="G58" s="22">
        <v>33216</v>
      </c>
      <c r="H58" s="22">
        <v>13452</v>
      </c>
      <c r="I58" s="22">
        <v>659</v>
      </c>
      <c r="J58" s="22">
        <f t="shared" si="11"/>
        <v>19105</v>
      </c>
      <c r="K58" s="22">
        <v>1371</v>
      </c>
      <c r="L58" s="22">
        <v>21</v>
      </c>
      <c r="M58" s="22">
        <v>1921</v>
      </c>
      <c r="N58" s="22">
        <v>3056</v>
      </c>
      <c r="O58" s="22">
        <v>3056</v>
      </c>
    </row>
    <row r="59" spans="1:15" ht="12.75" customHeight="1">
      <c r="A59" s="23"/>
      <c r="B59" s="24" t="s">
        <v>109</v>
      </c>
      <c r="C59" s="25">
        <f t="shared" ref="C59:O59" si="12">SUM(C52:C58)</f>
        <v>44454</v>
      </c>
      <c r="D59" s="25">
        <f t="shared" si="12"/>
        <v>26579</v>
      </c>
      <c r="E59" s="25">
        <f t="shared" si="12"/>
        <v>1186</v>
      </c>
      <c r="F59" s="25">
        <f t="shared" si="12"/>
        <v>16689</v>
      </c>
      <c r="G59" s="25">
        <f t="shared" si="12"/>
        <v>163786</v>
      </c>
      <c r="H59" s="25">
        <f t="shared" si="12"/>
        <v>74292</v>
      </c>
      <c r="I59" s="25">
        <f t="shared" si="12"/>
        <v>6447</v>
      </c>
      <c r="J59" s="25">
        <f t="shared" si="12"/>
        <v>83047</v>
      </c>
      <c r="K59" s="25">
        <f t="shared" si="12"/>
        <v>8705</v>
      </c>
      <c r="L59" s="25">
        <f t="shared" si="12"/>
        <v>27</v>
      </c>
      <c r="M59" s="25">
        <f t="shared" si="12"/>
        <v>15328</v>
      </c>
      <c r="N59" s="25">
        <f t="shared" si="12"/>
        <v>14893</v>
      </c>
      <c r="O59" s="25">
        <f t="shared" si="12"/>
        <v>5327</v>
      </c>
    </row>
    <row r="60" spans="1:15" ht="12.75" customHeight="1">
      <c r="A60" s="20" t="s">
        <v>110</v>
      </c>
      <c r="B60" s="21" t="s">
        <v>111</v>
      </c>
      <c r="C60" s="22">
        <v>9492</v>
      </c>
      <c r="D60" s="22">
        <v>6801</v>
      </c>
      <c r="E60" s="22">
        <v>560</v>
      </c>
      <c r="F60" s="22">
        <f t="shared" ref="F60:F68" si="13">SUM(C60-D60-E60)</f>
        <v>2131</v>
      </c>
      <c r="G60" s="22">
        <v>32183</v>
      </c>
      <c r="H60" s="22">
        <v>17856</v>
      </c>
      <c r="I60" s="22">
        <v>3711</v>
      </c>
      <c r="J60" s="22">
        <f t="shared" ref="J60:J68" si="14">SUM(G60-H60-I60)</f>
        <v>10616</v>
      </c>
      <c r="K60" s="22">
        <v>364</v>
      </c>
      <c r="L60" s="22">
        <v>0</v>
      </c>
      <c r="M60" s="22">
        <v>2548</v>
      </c>
      <c r="N60" s="22">
        <v>266</v>
      </c>
      <c r="O60" s="22">
        <v>266</v>
      </c>
    </row>
    <row r="61" spans="1:15" ht="12.75" customHeight="1">
      <c r="A61" s="20" t="s">
        <v>112</v>
      </c>
      <c r="B61" s="21" t="s">
        <v>113</v>
      </c>
      <c r="C61" s="22">
        <v>2740</v>
      </c>
      <c r="D61" s="22">
        <v>1868</v>
      </c>
      <c r="E61" s="22">
        <v>74</v>
      </c>
      <c r="F61" s="22">
        <f t="shared" si="13"/>
        <v>798</v>
      </c>
      <c r="G61" s="22">
        <v>8408</v>
      </c>
      <c r="H61" s="22">
        <v>5299</v>
      </c>
      <c r="I61" s="22">
        <v>315</v>
      </c>
      <c r="J61" s="22">
        <f t="shared" si="14"/>
        <v>2794</v>
      </c>
      <c r="K61" s="22">
        <v>14</v>
      </c>
      <c r="L61" s="22">
        <v>0</v>
      </c>
      <c r="M61" s="22">
        <v>2775</v>
      </c>
      <c r="N61" s="22">
        <v>0</v>
      </c>
      <c r="O61" s="22">
        <v>0</v>
      </c>
    </row>
    <row r="62" spans="1:15" ht="12.75" customHeight="1">
      <c r="A62" s="20" t="s">
        <v>114</v>
      </c>
      <c r="B62" s="21" t="s">
        <v>115</v>
      </c>
      <c r="C62" s="22">
        <v>4904</v>
      </c>
      <c r="D62" s="22">
        <v>2364</v>
      </c>
      <c r="E62" s="22">
        <v>146</v>
      </c>
      <c r="F62" s="22">
        <f t="shared" si="13"/>
        <v>2394</v>
      </c>
      <c r="G62" s="22">
        <v>23346</v>
      </c>
      <c r="H62" s="22">
        <v>6746</v>
      </c>
      <c r="I62" s="22">
        <v>1101</v>
      </c>
      <c r="J62" s="22">
        <f t="shared" si="14"/>
        <v>15499</v>
      </c>
      <c r="K62" s="22">
        <v>261</v>
      </c>
      <c r="L62" s="22">
        <v>56</v>
      </c>
      <c r="M62" s="22">
        <v>2192</v>
      </c>
      <c r="N62" s="22">
        <v>593</v>
      </c>
      <c r="O62" s="22">
        <v>593</v>
      </c>
    </row>
    <row r="63" spans="1:15" ht="12.75" customHeight="1">
      <c r="A63" s="20" t="s">
        <v>116</v>
      </c>
      <c r="B63" s="21" t="s">
        <v>117</v>
      </c>
      <c r="C63" s="22">
        <v>6667</v>
      </c>
      <c r="D63" s="22">
        <v>3905</v>
      </c>
      <c r="E63" s="22">
        <v>289</v>
      </c>
      <c r="F63" s="22">
        <f t="shared" si="13"/>
        <v>2473</v>
      </c>
      <c r="G63" s="22">
        <v>22631</v>
      </c>
      <c r="H63" s="22">
        <v>12288</v>
      </c>
      <c r="I63" s="22">
        <v>2164</v>
      </c>
      <c r="J63" s="22">
        <f t="shared" si="14"/>
        <v>8179</v>
      </c>
      <c r="K63" s="22">
        <v>152</v>
      </c>
      <c r="L63" s="22">
        <v>0</v>
      </c>
      <c r="M63" s="22">
        <v>2437</v>
      </c>
      <c r="N63" s="22">
        <v>80</v>
      </c>
      <c r="O63" s="22">
        <v>80</v>
      </c>
    </row>
    <row r="64" spans="1:15" ht="12.75" customHeight="1">
      <c r="A64" s="20" t="s">
        <v>118</v>
      </c>
      <c r="B64" s="21" t="s">
        <v>119</v>
      </c>
      <c r="C64" s="22">
        <v>6236</v>
      </c>
      <c r="D64" s="22">
        <v>3074</v>
      </c>
      <c r="E64" s="22">
        <v>327</v>
      </c>
      <c r="F64" s="22">
        <f t="shared" si="13"/>
        <v>2835</v>
      </c>
      <c r="G64" s="22">
        <v>23621</v>
      </c>
      <c r="H64" s="22">
        <v>9686</v>
      </c>
      <c r="I64" s="22">
        <v>1821</v>
      </c>
      <c r="J64" s="22">
        <f t="shared" si="14"/>
        <v>12114</v>
      </c>
      <c r="K64" s="22">
        <v>134</v>
      </c>
      <c r="L64" s="22">
        <v>0</v>
      </c>
      <c r="M64" s="22">
        <v>1415</v>
      </c>
      <c r="N64" s="22">
        <v>86</v>
      </c>
      <c r="O64" s="22">
        <v>86</v>
      </c>
    </row>
    <row r="65" spans="1:15" ht="12.75" customHeight="1">
      <c r="A65" s="20" t="s">
        <v>120</v>
      </c>
      <c r="B65" s="21" t="s">
        <v>121</v>
      </c>
      <c r="C65" s="22">
        <v>2952</v>
      </c>
      <c r="D65" s="22">
        <v>2056</v>
      </c>
      <c r="E65" s="22">
        <v>217</v>
      </c>
      <c r="F65" s="22">
        <f t="shared" si="13"/>
        <v>679</v>
      </c>
      <c r="G65" s="22">
        <v>16781</v>
      </c>
      <c r="H65" s="22">
        <v>6413</v>
      </c>
      <c r="I65" s="22">
        <v>1654</v>
      </c>
      <c r="J65" s="22">
        <f t="shared" si="14"/>
        <v>8714</v>
      </c>
      <c r="K65" s="22">
        <v>385</v>
      </c>
      <c r="L65" s="22">
        <v>0</v>
      </c>
      <c r="M65" s="22">
        <v>2740</v>
      </c>
      <c r="N65" s="22">
        <v>235</v>
      </c>
      <c r="O65" s="22">
        <v>235</v>
      </c>
    </row>
    <row r="66" spans="1:15" ht="12.75" customHeight="1">
      <c r="A66" s="20" t="s">
        <v>122</v>
      </c>
      <c r="B66" s="21" t="s">
        <v>123</v>
      </c>
      <c r="C66" s="22">
        <v>5428</v>
      </c>
      <c r="D66" s="22">
        <v>2049</v>
      </c>
      <c r="E66" s="22">
        <v>75</v>
      </c>
      <c r="F66" s="22">
        <f t="shared" si="13"/>
        <v>3304</v>
      </c>
      <c r="G66" s="22">
        <v>29257</v>
      </c>
      <c r="H66" s="22">
        <v>6410</v>
      </c>
      <c r="I66" s="22">
        <v>594</v>
      </c>
      <c r="J66" s="22">
        <f t="shared" si="14"/>
        <v>22253</v>
      </c>
      <c r="K66" s="22">
        <v>3819</v>
      </c>
      <c r="L66" s="22">
        <v>0</v>
      </c>
      <c r="M66" s="22">
        <v>7111</v>
      </c>
      <c r="N66" s="22">
        <v>34</v>
      </c>
      <c r="O66" s="22">
        <v>34</v>
      </c>
    </row>
    <row r="67" spans="1:15" ht="12.75" customHeight="1">
      <c r="A67" s="20" t="s">
        <v>124</v>
      </c>
      <c r="B67" s="21" t="s">
        <v>125</v>
      </c>
      <c r="C67" s="22">
        <v>9845</v>
      </c>
      <c r="D67" s="22">
        <v>2225</v>
      </c>
      <c r="E67" s="22">
        <v>0</v>
      </c>
      <c r="F67" s="22">
        <f t="shared" si="13"/>
        <v>7620</v>
      </c>
      <c r="G67" s="22">
        <v>37942</v>
      </c>
      <c r="H67" s="22">
        <v>6606</v>
      </c>
      <c r="I67" s="22">
        <v>0</v>
      </c>
      <c r="J67" s="22">
        <f t="shared" si="14"/>
        <v>31336</v>
      </c>
      <c r="K67" s="22">
        <v>3860</v>
      </c>
      <c r="L67" s="22">
        <v>0</v>
      </c>
      <c r="M67" s="22">
        <v>10974</v>
      </c>
      <c r="N67" s="22">
        <v>127</v>
      </c>
      <c r="O67" s="22">
        <v>127</v>
      </c>
    </row>
    <row r="68" spans="1:15" ht="12.75" customHeight="1">
      <c r="A68" s="20" t="s">
        <v>126</v>
      </c>
      <c r="B68" s="21" t="s">
        <v>127</v>
      </c>
      <c r="C68" s="22">
        <v>5843</v>
      </c>
      <c r="D68" s="22">
        <v>2674</v>
      </c>
      <c r="E68" s="22">
        <v>68</v>
      </c>
      <c r="F68" s="22">
        <f t="shared" si="13"/>
        <v>3101</v>
      </c>
      <c r="G68" s="22">
        <v>15606</v>
      </c>
      <c r="H68" s="22">
        <v>6891</v>
      </c>
      <c r="I68" s="22">
        <v>623</v>
      </c>
      <c r="J68" s="22">
        <f t="shared" si="14"/>
        <v>8092</v>
      </c>
      <c r="K68" s="22">
        <v>79</v>
      </c>
      <c r="L68" s="22">
        <v>61</v>
      </c>
      <c r="M68" s="22">
        <v>680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54107</v>
      </c>
      <c r="D69" s="25">
        <f t="shared" si="15"/>
        <v>27016</v>
      </c>
      <c r="E69" s="25">
        <f t="shared" si="15"/>
        <v>1756</v>
      </c>
      <c r="F69" s="25">
        <f t="shared" si="15"/>
        <v>25335</v>
      </c>
      <c r="G69" s="25">
        <f t="shared" si="15"/>
        <v>209775</v>
      </c>
      <c r="H69" s="25">
        <f t="shared" si="15"/>
        <v>78195</v>
      </c>
      <c r="I69" s="25">
        <f t="shared" si="15"/>
        <v>11983</v>
      </c>
      <c r="J69" s="25">
        <f t="shared" si="15"/>
        <v>119597</v>
      </c>
      <c r="K69" s="25">
        <f t="shared" si="15"/>
        <v>9068</v>
      </c>
      <c r="L69" s="25">
        <f t="shared" si="15"/>
        <v>117</v>
      </c>
      <c r="M69" s="25">
        <f t="shared" si="15"/>
        <v>32872</v>
      </c>
      <c r="N69" s="25">
        <f t="shared" si="15"/>
        <v>1421</v>
      </c>
      <c r="O69" s="25">
        <f t="shared" si="15"/>
        <v>1421</v>
      </c>
    </row>
    <row r="70" spans="1:15" ht="12.75" customHeight="1">
      <c r="A70" s="20" t="s">
        <v>129</v>
      </c>
      <c r="B70" s="21" t="s">
        <v>130</v>
      </c>
      <c r="C70" s="22">
        <v>3040</v>
      </c>
      <c r="D70" s="22">
        <v>2037</v>
      </c>
      <c r="E70" s="22">
        <v>205</v>
      </c>
      <c r="F70" s="22">
        <f t="shared" ref="F70:F79" si="16">SUM(C70-D70-E70)</f>
        <v>798</v>
      </c>
      <c r="G70" s="22">
        <v>11676</v>
      </c>
      <c r="H70" s="22">
        <v>5947</v>
      </c>
      <c r="I70" s="22">
        <v>1593</v>
      </c>
      <c r="J70" s="22">
        <f t="shared" ref="J70:J79" si="17">SUM(G70-H70-I70)</f>
        <v>4136</v>
      </c>
      <c r="K70" s="22">
        <v>350</v>
      </c>
      <c r="L70" s="22">
        <v>0</v>
      </c>
      <c r="M70" s="22">
        <v>1194</v>
      </c>
      <c r="N70" s="22">
        <v>6</v>
      </c>
      <c r="O70" s="22">
        <v>6</v>
      </c>
    </row>
    <row r="71" spans="1:15" ht="12.75" customHeight="1">
      <c r="A71" s="20" t="s">
        <v>131</v>
      </c>
      <c r="B71" s="21" t="s">
        <v>132</v>
      </c>
      <c r="C71" s="22">
        <v>12387</v>
      </c>
      <c r="D71" s="22">
        <v>7796</v>
      </c>
      <c r="E71" s="22">
        <v>404</v>
      </c>
      <c r="F71" s="22">
        <f t="shared" si="16"/>
        <v>4187</v>
      </c>
      <c r="G71" s="22">
        <v>31123</v>
      </c>
      <c r="H71" s="22">
        <v>14072</v>
      </c>
      <c r="I71" s="22">
        <v>2102</v>
      </c>
      <c r="J71" s="22">
        <f t="shared" si="17"/>
        <v>14949</v>
      </c>
      <c r="K71" s="22">
        <v>1111</v>
      </c>
      <c r="L71" s="22">
        <v>0</v>
      </c>
      <c r="M71" s="22">
        <v>1234</v>
      </c>
      <c r="N71" s="22">
        <v>2635</v>
      </c>
      <c r="O71" s="22">
        <v>2635</v>
      </c>
    </row>
    <row r="72" spans="1:15" ht="12.75" customHeight="1">
      <c r="A72" s="20" t="s">
        <v>133</v>
      </c>
      <c r="B72" s="21" t="s">
        <v>134</v>
      </c>
      <c r="C72" s="22">
        <v>2195</v>
      </c>
      <c r="D72" s="22">
        <v>1373</v>
      </c>
      <c r="E72" s="22">
        <v>0</v>
      </c>
      <c r="F72" s="22">
        <f t="shared" si="16"/>
        <v>822</v>
      </c>
      <c r="G72" s="22">
        <v>7166</v>
      </c>
      <c r="H72" s="22">
        <v>3564</v>
      </c>
      <c r="I72" s="22">
        <v>0</v>
      </c>
      <c r="J72" s="22">
        <f t="shared" si="17"/>
        <v>3602</v>
      </c>
      <c r="K72" s="22">
        <v>411</v>
      </c>
      <c r="L72" s="22">
        <v>77</v>
      </c>
      <c r="M72" s="22">
        <v>2450</v>
      </c>
      <c r="N72" s="22">
        <v>24</v>
      </c>
      <c r="O72" s="22">
        <v>24</v>
      </c>
    </row>
    <row r="73" spans="1:15" ht="12.75" customHeight="1">
      <c r="A73" s="20" t="s">
        <v>135</v>
      </c>
      <c r="B73" s="21" t="s">
        <v>136</v>
      </c>
      <c r="C73" s="22">
        <v>4864</v>
      </c>
      <c r="D73" s="22">
        <v>3727</v>
      </c>
      <c r="E73" s="22">
        <v>36</v>
      </c>
      <c r="F73" s="22">
        <f t="shared" si="16"/>
        <v>1101</v>
      </c>
      <c r="G73" s="22">
        <v>14821</v>
      </c>
      <c r="H73" s="22">
        <v>9072</v>
      </c>
      <c r="I73" s="22">
        <v>115</v>
      </c>
      <c r="J73" s="22">
        <f t="shared" si="17"/>
        <v>5634</v>
      </c>
      <c r="K73" s="22">
        <v>607</v>
      </c>
      <c r="L73" s="22">
        <v>0</v>
      </c>
      <c r="M73" s="22">
        <v>660</v>
      </c>
      <c r="N73" s="22">
        <v>6808</v>
      </c>
      <c r="O73" s="22">
        <v>6808</v>
      </c>
    </row>
    <row r="74" spans="1:15" ht="12.75" customHeight="1">
      <c r="A74" s="20" t="s">
        <v>137</v>
      </c>
      <c r="B74" s="21" t="s">
        <v>138</v>
      </c>
      <c r="C74" s="22">
        <v>4970</v>
      </c>
      <c r="D74" s="22">
        <v>3488</v>
      </c>
      <c r="E74" s="22">
        <v>146</v>
      </c>
      <c r="F74" s="22">
        <f t="shared" si="16"/>
        <v>1336</v>
      </c>
      <c r="G74" s="22">
        <v>11575</v>
      </c>
      <c r="H74" s="22">
        <v>6363</v>
      </c>
      <c r="I74" s="22">
        <v>675</v>
      </c>
      <c r="J74" s="22">
        <f t="shared" si="17"/>
        <v>4537</v>
      </c>
      <c r="K74" s="22">
        <v>597</v>
      </c>
      <c r="L74" s="22">
        <v>0</v>
      </c>
      <c r="M74" s="22">
        <v>158</v>
      </c>
      <c r="N74" s="22">
        <v>378</v>
      </c>
      <c r="O74" s="22">
        <v>378</v>
      </c>
    </row>
    <row r="75" spans="1:15" ht="12.75" customHeight="1">
      <c r="A75" s="20" t="s">
        <v>139</v>
      </c>
      <c r="B75" s="21" t="s">
        <v>140</v>
      </c>
      <c r="C75" s="22">
        <v>1941</v>
      </c>
      <c r="D75" s="22">
        <v>1731</v>
      </c>
      <c r="E75" s="22">
        <v>40</v>
      </c>
      <c r="F75" s="22">
        <f t="shared" si="16"/>
        <v>170</v>
      </c>
      <c r="G75" s="22">
        <v>4200</v>
      </c>
      <c r="H75" s="22">
        <v>3305</v>
      </c>
      <c r="I75" s="22">
        <v>267</v>
      </c>
      <c r="J75" s="22">
        <f t="shared" si="17"/>
        <v>628</v>
      </c>
      <c r="K75" s="22">
        <v>48</v>
      </c>
      <c r="L75" s="22">
        <v>6</v>
      </c>
      <c r="M75" s="22">
        <v>13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4673</v>
      </c>
      <c r="D76" s="22">
        <v>3204</v>
      </c>
      <c r="E76" s="22">
        <v>66</v>
      </c>
      <c r="F76" s="22">
        <f t="shared" si="16"/>
        <v>1403</v>
      </c>
      <c r="G76" s="22">
        <v>13334</v>
      </c>
      <c r="H76" s="22">
        <v>8032</v>
      </c>
      <c r="I76" s="22">
        <v>263</v>
      </c>
      <c r="J76" s="22">
        <f t="shared" si="17"/>
        <v>5039</v>
      </c>
      <c r="K76" s="22">
        <v>155</v>
      </c>
      <c r="L76" s="22">
        <v>22</v>
      </c>
      <c r="M76" s="22">
        <v>577</v>
      </c>
      <c r="N76" s="22">
        <v>28</v>
      </c>
      <c r="O76" s="22">
        <v>28</v>
      </c>
    </row>
    <row r="77" spans="1:15" ht="12.75" customHeight="1">
      <c r="A77" s="20" t="s">
        <v>143</v>
      </c>
      <c r="B77" s="21" t="s">
        <v>144</v>
      </c>
      <c r="C77" s="22">
        <v>4065</v>
      </c>
      <c r="D77" s="22">
        <v>2276</v>
      </c>
      <c r="E77" s="22">
        <v>46</v>
      </c>
      <c r="F77" s="22">
        <f t="shared" si="16"/>
        <v>1743</v>
      </c>
      <c r="G77" s="22">
        <v>9128</v>
      </c>
      <c r="H77" s="22">
        <v>4629</v>
      </c>
      <c r="I77" s="22">
        <v>216</v>
      </c>
      <c r="J77" s="22">
        <f t="shared" si="17"/>
        <v>4283</v>
      </c>
      <c r="K77" s="22">
        <v>589</v>
      </c>
      <c r="L77" s="22">
        <v>0</v>
      </c>
      <c r="M77" s="22">
        <v>534</v>
      </c>
      <c r="N77" s="22">
        <v>48</v>
      </c>
      <c r="O77" s="22">
        <v>48</v>
      </c>
    </row>
    <row r="78" spans="1:15" ht="12.75" customHeight="1">
      <c r="A78" s="20" t="s">
        <v>145</v>
      </c>
      <c r="B78" s="21" t="s">
        <v>146</v>
      </c>
      <c r="C78" s="22">
        <v>2785</v>
      </c>
      <c r="D78" s="22">
        <v>1813</v>
      </c>
      <c r="E78" s="22">
        <v>0</v>
      </c>
      <c r="F78" s="22">
        <f t="shared" si="16"/>
        <v>972</v>
      </c>
      <c r="G78" s="22">
        <v>6593</v>
      </c>
      <c r="H78" s="22">
        <v>3816</v>
      </c>
      <c r="I78" s="22">
        <v>0</v>
      </c>
      <c r="J78" s="22">
        <f t="shared" si="17"/>
        <v>2777</v>
      </c>
      <c r="K78" s="22">
        <v>197</v>
      </c>
      <c r="L78" s="22">
        <v>0</v>
      </c>
      <c r="M78" s="22">
        <v>16</v>
      </c>
      <c r="N78" s="22">
        <v>154</v>
      </c>
      <c r="O78" s="22">
        <v>154</v>
      </c>
    </row>
    <row r="79" spans="1:15" ht="12.75" customHeight="1">
      <c r="A79" s="20" t="s">
        <v>147</v>
      </c>
      <c r="B79" s="21" t="s">
        <v>148</v>
      </c>
      <c r="C79" s="22">
        <v>2745</v>
      </c>
      <c r="D79" s="22">
        <v>1994</v>
      </c>
      <c r="E79" s="22">
        <v>58</v>
      </c>
      <c r="F79" s="22">
        <f t="shared" si="16"/>
        <v>693</v>
      </c>
      <c r="G79" s="22">
        <v>10326</v>
      </c>
      <c r="H79" s="22">
        <v>5225</v>
      </c>
      <c r="I79" s="22">
        <v>372</v>
      </c>
      <c r="J79" s="22">
        <f t="shared" si="17"/>
        <v>4729</v>
      </c>
      <c r="K79" s="22">
        <v>682</v>
      </c>
      <c r="L79" s="22">
        <v>27</v>
      </c>
      <c r="M79" s="22">
        <v>1742</v>
      </c>
      <c r="N79" s="22">
        <v>80</v>
      </c>
      <c r="O79" s="22">
        <v>80</v>
      </c>
    </row>
    <row r="80" spans="1:15" ht="12.75" customHeight="1">
      <c r="A80" s="23"/>
      <c r="B80" s="24" t="s">
        <v>149</v>
      </c>
      <c r="C80" s="25">
        <f t="shared" ref="C80:O80" si="18">SUM(C70:C79)</f>
        <v>43665</v>
      </c>
      <c r="D80" s="25">
        <f t="shared" si="18"/>
        <v>29439</v>
      </c>
      <c r="E80" s="25">
        <f t="shared" si="18"/>
        <v>1001</v>
      </c>
      <c r="F80" s="25">
        <f t="shared" si="18"/>
        <v>13225</v>
      </c>
      <c r="G80" s="25">
        <f t="shared" si="18"/>
        <v>119942</v>
      </c>
      <c r="H80" s="25">
        <f t="shared" si="18"/>
        <v>64025</v>
      </c>
      <c r="I80" s="25">
        <f t="shared" si="18"/>
        <v>5603</v>
      </c>
      <c r="J80" s="25">
        <f t="shared" si="18"/>
        <v>50314</v>
      </c>
      <c r="K80" s="25">
        <f t="shared" si="18"/>
        <v>4747</v>
      </c>
      <c r="L80" s="25">
        <f t="shared" si="18"/>
        <v>132</v>
      </c>
      <c r="M80" s="25">
        <f t="shared" si="18"/>
        <v>8578</v>
      </c>
      <c r="N80" s="25">
        <f t="shared" si="18"/>
        <v>10161</v>
      </c>
      <c r="O80" s="25">
        <f t="shared" si="18"/>
        <v>10161</v>
      </c>
    </row>
    <row r="81" spans="1:15" ht="12.75" customHeight="1">
      <c r="A81" s="20" t="s">
        <v>150</v>
      </c>
      <c r="B81" s="21" t="s">
        <v>151</v>
      </c>
      <c r="C81" s="22">
        <v>4962</v>
      </c>
      <c r="D81" s="22">
        <v>3066</v>
      </c>
      <c r="E81" s="22">
        <v>124</v>
      </c>
      <c r="F81" s="22">
        <f>SUM(C81-D81-E81)</f>
        <v>1772</v>
      </c>
      <c r="G81" s="22">
        <v>21711</v>
      </c>
      <c r="H81" s="22">
        <v>10677</v>
      </c>
      <c r="I81" s="22">
        <v>1034</v>
      </c>
      <c r="J81" s="22">
        <f>SUM(G81-H81-I81)</f>
        <v>10000</v>
      </c>
      <c r="K81" s="22">
        <v>306</v>
      </c>
      <c r="L81" s="22">
        <v>150</v>
      </c>
      <c r="M81" s="22">
        <v>2519</v>
      </c>
      <c r="N81" s="22">
        <v>317</v>
      </c>
      <c r="O81" s="22">
        <v>317</v>
      </c>
    </row>
    <row r="82" spans="1:15" ht="12.75" customHeight="1">
      <c r="A82" s="20" t="s">
        <v>152</v>
      </c>
      <c r="B82" s="21" t="s">
        <v>153</v>
      </c>
      <c r="C82" s="22">
        <v>1727</v>
      </c>
      <c r="D82" s="22">
        <v>1276</v>
      </c>
      <c r="E82" s="22">
        <v>27</v>
      </c>
      <c r="F82" s="22">
        <f>SUM(C82-D82-E82)</f>
        <v>424</v>
      </c>
      <c r="G82" s="22">
        <v>8695</v>
      </c>
      <c r="H82" s="22">
        <v>4257</v>
      </c>
      <c r="I82" s="22">
        <v>225</v>
      </c>
      <c r="J82" s="22">
        <f>SUM(G82-H82-I82)</f>
        <v>4213</v>
      </c>
      <c r="K82" s="22">
        <v>89</v>
      </c>
      <c r="L82" s="22">
        <v>0</v>
      </c>
      <c r="M82" s="22">
        <v>1302</v>
      </c>
      <c r="N82" s="22">
        <v>85</v>
      </c>
      <c r="O82" s="22">
        <v>85</v>
      </c>
    </row>
    <row r="83" spans="1:15" ht="12.75" customHeight="1">
      <c r="A83" s="20" t="s">
        <v>154</v>
      </c>
      <c r="B83" s="21" t="s">
        <v>155</v>
      </c>
      <c r="C83" s="22">
        <v>841</v>
      </c>
      <c r="D83" s="22">
        <v>740</v>
      </c>
      <c r="E83" s="22">
        <v>41</v>
      </c>
      <c r="F83" s="22">
        <f>SUM(C83-D83-E83)</f>
        <v>60</v>
      </c>
      <c r="G83" s="22">
        <v>4875</v>
      </c>
      <c r="H83" s="22">
        <v>2727</v>
      </c>
      <c r="I83" s="22">
        <v>428</v>
      </c>
      <c r="J83" s="22">
        <f>SUM(G83-H83-I83)</f>
        <v>1720</v>
      </c>
      <c r="K83" s="22">
        <v>14</v>
      </c>
      <c r="L83" s="22">
        <v>0</v>
      </c>
      <c r="M83" s="22">
        <v>399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1955</v>
      </c>
      <c r="D84" s="22">
        <v>1738</v>
      </c>
      <c r="E84" s="22">
        <v>0</v>
      </c>
      <c r="F84" s="22">
        <f>SUM(C84-D84-E84)</f>
        <v>217</v>
      </c>
      <c r="G84" s="22">
        <v>10231</v>
      </c>
      <c r="H84" s="22">
        <v>6376</v>
      </c>
      <c r="I84" s="22">
        <v>0</v>
      </c>
      <c r="J84" s="22">
        <f>SUM(G84-H84-I84)</f>
        <v>3855</v>
      </c>
      <c r="K84" s="22">
        <v>188</v>
      </c>
      <c r="L84" s="22">
        <v>0</v>
      </c>
      <c r="M84" s="22">
        <v>2014</v>
      </c>
      <c r="N84" s="22">
        <v>176</v>
      </c>
      <c r="O84" s="22">
        <v>176</v>
      </c>
    </row>
    <row r="85" spans="1:15" ht="12.75" customHeight="1">
      <c r="A85" s="20" t="s">
        <v>158</v>
      </c>
      <c r="B85" s="21" t="s">
        <v>159</v>
      </c>
      <c r="C85" s="22">
        <v>3087</v>
      </c>
      <c r="D85" s="22">
        <v>2315</v>
      </c>
      <c r="E85" s="22">
        <v>92</v>
      </c>
      <c r="F85" s="22">
        <f>SUM(C85-D85-E85)</f>
        <v>680</v>
      </c>
      <c r="G85" s="22">
        <v>10820</v>
      </c>
      <c r="H85" s="22">
        <v>6540</v>
      </c>
      <c r="I85" s="22">
        <v>441</v>
      </c>
      <c r="J85" s="22">
        <f>SUM(G85-H85-I85)</f>
        <v>3839</v>
      </c>
      <c r="K85" s="22">
        <v>260</v>
      </c>
      <c r="L85" s="22">
        <v>43</v>
      </c>
      <c r="M85" s="22">
        <v>1625</v>
      </c>
      <c r="N85" s="22">
        <v>1313</v>
      </c>
      <c r="O85" s="22">
        <v>1313</v>
      </c>
    </row>
    <row r="86" spans="1:15" ht="12.75" customHeight="1">
      <c r="A86" s="23"/>
      <c r="B86" s="24" t="s">
        <v>160</v>
      </c>
      <c r="C86" s="25">
        <f t="shared" ref="C86:O86" si="19">SUM(C81:C85)</f>
        <v>12572</v>
      </c>
      <c r="D86" s="25">
        <f t="shared" si="19"/>
        <v>9135</v>
      </c>
      <c r="E86" s="25">
        <f t="shared" si="19"/>
        <v>284</v>
      </c>
      <c r="F86" s="25">
        <f t="shared" si="19"/>
        <v>3153</v>
      </c>
      <c r="G86" s="25">
        <f t="shared" si="19"/>
        <v>56332</v>
      </c>
      <c r="H86" s="25">
        <f t="shared" si="19"/>
        <v>30577</v>
      </c>
      <c r="I86" s="25">
        <f t="shared" si="19"/>
        <v>2128</v>
      </c>
      <c r="J86" s="25">
        <f t="shared" si="19"/>
        <v>23627</v>
      </c>
      <c r="K86" s="25">
        <f t="shared" si="19"/>
        <v>857</v>
      </c>
      <c r="L86" s="25">
        <f t="shared" si="19"/>
        <v>193</v>
      </c>
      <c r="M86" s="25">
        <f t="shared" si="19"/>
        <v>7859</v>
      </c>
      <c r="N86" s="25">
        <f t="shared" si="19"/>
        <v>1891</v>
      </c>
      <c r="O86" s="25">
        <f t="shared" si="19"/>
        <v>1891</v>
      </c>
    </row>
    <row r="87" spans="1:15" ht="12.75" customHeight="1">
      <c r="A87" s="20" t="s">
        <v>161</v>
      </c>
      <c r="B87" s="21" t="s">
        <v>162</v>
      </c>
      <c r="C87" s="22">
        <v>5612</v>
      </c>
      <c r="D87" s="22">
        <v>3982</v>
      </c>
      <c r="E87" s="22">
        <v>0</v>
      </c>
      <c r="F87" s="22">
        <f>SUM(C87-D87-E87)</f>
        <v>1630</v>
      </c>
      <c r="G87" s="22">
        <v>25688</v>
      </c>
      <c r="H87" s="22">
        <v>12621</v>
      </c>
      <c r="I87" s="22">
        <v>0</v>
      </c>
      <c r="J87" s="22">
        <f>SUM(G87-H87-I87)</f>
        <v>13067</v>
      </c>
      <c r="K87" s="22">
        <v>297</v>
      </c>
      <c r="L87" s="22">
        <v>0</v>
      </c>
      <c r="M87" s="22">
        <v>3779</v>
      </c>
      <c r="N87" s="22">
        <v>187</v>
      </c>
      <c r="O87" s="22">
        <v>187</v>
      </c>
    </row>
    <row r="88" spans="1:15" ht="12.75" customHeight="1">
      <c r="A88" s="20" t="s">
        <v>163</v>
      </c>
      <c r="B88" s="21" t="s">
        <v>164</v>
      </c>
      <c r="C88" s="22">
        <v>4017</v>
      </c>
      <c r="D88" s="22">
        <v>2015</v>
      </c>
      <c r="E88" s="22">
        <v>152</v>
      </c>
      <c r="F88" s="22">
        <f>SUM(C88-D88-E88)</f>
        <v>1850</v>
      </c>
      <c r="G88" s="22">
        <v>11802</v>
      </c>
      <c r="H88" s="22">
        <v>4983</v>
      </c>
      <c r="I88" s="22">
        <v>1081</v>
      </c>
      <c r="J88" s="22">
        <f>SUM(G88-H88-I88)</f>
        <v>5738</v>
      </c>
      <c r="K88" s="22">
        <v>157</v>
      </c>
      <c r="L88" s="22">
        <v>0</v>
      </c>
      <c r="M88" s="22">
        <v>824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9629</v>
      </c>
      <c r="D89" s="25">
        <f t="shared" si="20"/>
        <v>5997</v>
      </c>
      <c r="E89" s="25">
        <f t="shared" si="20"/>
        <v>152</v>
      </c>
      <c r="F89" s="25">
        <f t="shared" si="20"/>
        <v>3480</v>
      </c>
      <c r="G89" s="25">
        <f t="shared" si="20"/>
        <v>37490</v>
      </c>
      <c r="H89" s="25">
        <f t="shared" si="20"/>
        <v>17604</v>
      </c>
      <c r="I89" s="25">
        <f t="shared" si="20"/>
        <v>1081</v>
      </c>
      <c r="J89" s="25">
        <f t="shared" si="20"/>
        <v>18805</v>
      </c>
      <c r="K89" s="25">
        <f t="shared" si="20"/>
        <v>454</v>
      </c>
      <c r="L89" s="25">
        <f t="shared" si="20"/>
        <v>0</v>
      </c>
      <c r="M89" s="25">
        <f t="shared" si="20"/>
        <v>4603</v>
      </c>
      <c r="N89" s="25">
        <f t="shared" si="20"/>
        <v>187</v>
      </c>
      <c r="O89" s="25">
        <f t="shared" si="20"/>
        <v>187</v>
      </c>
    </row>
    <row r="90" spans="1:15" ht="12.75" customHeight="1">
      <c r="A90" s="20" t="s">
        <v>166</v>
      </c>
      <c r="B90" s="21" t="s">
        <v>167</v>
      </c>
      <c r="C90" s="22">
        <v>5708</v>
      </c>
      <c r="D90" s="22">
        <v>2705</v>
      </c>
      <c r="E90" s="22">
        <v>281</v>
      </c>
      <c r="F90" s="22">
        <f>SUM(C90-D90-E90)</f>
        <v>2722</v>
      </c>
      <c r="G90" s="22">
        <v>26849</v>
      </c>
      <c r="H90" s="22">
        <v>9522</v>
      </c>
      <c r="I90" s="22">
        <v>1969</v>
      </c>
      <c r="J90" s="22">
        <f>SUM(G90-H90-I90)</f>
        <v>15358</v>
      </c>
      <c r="K90" s="22">
        <v>160</v>
      </c>
      <c r="L90" s="22">
        <v>0</v>
      </c>
      <c r="M90" s="22">
        <v>3301</v>
      </c>
      <c r="N90" s="22">
        <v>85</v>
      </c>
      <c r="O90" s="22">
        <v>85</v>
      </c>
    </row>
    <row r="91" spans="1:15" ht="12.75" customHeight="1">
      <c r="A91" s="20" t="s">
        <v>168</v>
      </c>
      <c r="B91" s="21" t="s">
        <v>169</v>
      </c>
      <c r="C91" s="22">
        <v>5134</v>
      </c>
      <c r="D91" s="22">
        <v>3738</v>
      </c>
      <c r="E91" s="22">
        <v>0</v>
      </c>
      <c r="F91" s="22">
        <f>SUM(C91-D91-E91)</f>
        <v>1396</v>
      </c>
      <c r="G91" s="22">
        <v>24127</v>
      </c>
      <c r="H91" s="22">
        <v>9840</v>
      </c>
      <c r="I91" s="22">
        <v>0</v>
      </c>
      <c r="J91" s="22">
        <f>SUM(G91-H91-I91)</f>
        <v>14287</v>
      </c>
      <c r="K91" s="22">
        <v>122</v>
      </c>
      <c r="L91" s="22">
        <v>58</v>
      </c>
      <c r="M91" s="22">
        <v>3485</v>
      </c>
      <c r="N91" s="22">
        <v>39</v>
      </c>
      <c r="O91" s="22">
        <v>39</v>
      </c>
    </row>
    <row r="92" spans="1:15" ht="12.75" customHeight="1">
      <c r="A92" s="20" t="s">
        <v>170</v>
      </c>
      <c r="B92" s="21" t="s">
        <v>171</v>
      </c>
      <c r="C92" s="22">
        <v>1317</v>
      </c>
      <c r="D92" s="22">
        <v>857</v>
      </c>
      <c r="E92" s="22">
        <v>133</v>
      </c>
      <c r="F92" s="22">
        <f>SUM(C92-D92-E92)</f>
        <v>327</v>
      </c>
      <c r="G92" s="22">
        <v>4182</v>
      </c>
      <c r="H92" s="22">
        <v>2116</v>
      </c>
      <c r="I92" s="22">
        <v>1064</v>
      </c>
      <c r="J92" s="22">
        <f>SUM(G92-H92-I92)</f>
        <v>1002</v>
      </c>
      <c r="K92" s="22">
        <v>63</v>
      </c>
      <c r="L92" s="22">
        <v>0</v>
      </c>
      <c r="M92" s="22">
        <v>210</v>
      </c>
      <c r="N92" s="22">
        <v>0</v>
      </c>
      <c r="O92" s="22">
        <v>0</v>
      </c>
    </row>
    <row r="93" spans="1:15" ht="12.75" customHeight="1">
      <c r="A93" s="20" t="s">
        <v>172</v>
      </c>
      <c r="B93" s="21" t="s">
        <v>173</v>
      </c>
      <c r="C93" s="22">
        <v>54857</v>
      </c>
      <c r="D93" s="22">
        <v>35885</v>
      </c>
      <c r="E93" s="22">
        <v>2229</v>
      </c>
      <c r="F93" s="22">
        <f>SUM(C93-D93-E93)</f>
        <v>16743</v>
      </c>
      <c r="G93" s="22">
        <v>178698</v>
      </c>
      <c r="H93" s="22">
        <v>63901</v>
      </c>
      <c r="I93" s="22">
        <v>7997</v>
      </c>
      <c r="J93" s="22">
        <f>SUM(G93-H93-I93)</f>
        <v>106800</v>
      </c>
      <c r="K93" s="22">
        <v>15473</v>
      </c>
      <c r="L93" s="22">
        <v>139</v>
      </c>
      <c r="M93" s="22">
        <v>13891</v>
      </c>
      <c r="N93" s="22">
        <v>1680</v>
      </c>
      <c r="O93" s="22">
        <v>1680</v>
      </c>
    </row>
    <row r="94" spans="1:15" ht="12.75" customHeight="1">
      <c r="A94" s="20" t="s">
        <v>174</v>
      </c>
      <c r="B94" s="21" t="s">
        <v>175</v>
      </c>
      <c r="C94" s="22">
        <v>3892</v>
      </c>
      <c r="D94" s="22">
        <v>1206</v>
      </c>
      <c r="E94" s="22">
        <v>83</v>
      </c>
      <c r="F94" s="22">
        <f>SUM(C94-D94-E94)</f>
        <v>2603</v>
      </c>
      <c r="G94" s="22">
        <v>11530</v>
      </c>
      <c r="H94" s="22">
        <v>3871</v>
      </c>
      <c r="I94" s="22">
        <v>745</v>
      </c>
      <c r="J94" s="22">
        <f>SUM(G94-H94-I94)</f>
        <v>6914</v>
      </c>
      <c r="K94" s="22">
        <v>161</v>
      </c>
      <c r="L94" s="22">
        <v>71</v>
      </c>
      <c r="M94" s="22">
        <v>2671</v>
      </c>
      <c r="N94" s="22">
        <v>56</v>
      </c>
      <c r="O94" s="22">
        <v>56</v>
      </c>
    </row>
    <row r="95" spans="1:15" ht="12.75" customHeight="1">
      <c r="A95" s="23"/>
      <c r="B95" s="24" t="s">
        <v>176</v>
      </c>
      <c r="C95" s="25">
        <f t="shared" ref="C95:O95" si="21">SUM(C90:C94)</f>
        <v>70908</v>
      </c>
      <c r="D95" s="25">
        <f t="shared" si="21"/>
        <v>44391</v>
      </c>
      <c r="E95" s="25">
        <f t="shared" si="21"/>
        <v>2726</v>
      </c>
      <c r="F95" s="25">
        <f t="shared" si="21"/>
        <v>23791</v>
      </c>
      <c r="G95" s="25">
        <f t="shared" si="21"/>
        <v>245386</v>
      </c>
      <c r="H95" s="25">
        <f t="shared" si="21"/>
        <v>89250</v>
      </c>
      <c r="I95" s="25">
        <f t="shared" si="21"/>
        <v>11775</v>
      </c>
      <c r="J95" s="25">
        <f t="shared" si="21"/>
        <v>144361</v>
      </c>
      <c r="K95" s="25">
        <f t="shared" si="21"/>
        <v>15979</v>
      </c>
      <c r="L95" s="25">
        <f t="shared" si="21"/>
        <v>268</v>
      </c>
      <c r="M95" s="25">
        <f t="shared" si="21"/>
        <v>23558</v>
      </c>
      <c r="N95" s="25">
        <f t="shared" si="21"/>
        <v>1860</v>
      </c>
      <c r="O95" s="25">
        <f t="shared" si="21"/>
        <v>1860</v>
      </c>
    </row>
    <row r="96" spans="1:15" ht="12.75" customHeight="1">
      <c r="A96" s="20" t="s">
        <v>177</v>
      </c>
      <c r="B96" s="21" t="s">
        <v>178</v>
      </c>
      <c r="C96" s="22">
        <v>1013</v>
      </c>
      <c r="D96" s="22">
        <v>753</v>
      </c>
      <c r="E96" s="22">
        <v>26</v>
      </c>
      <c r="F96" s="22">
        <f>SUM(C96-D96-E96)</f>
        <v>234</v>
      </c>
      <c r="G96" s="22">
        <v>5708</v>
      </c>
      <c r="H96" s="22">
        <v>2830</v>
      </c>
      <c r="I96" s="22">
        <v>242</v>
      </c>
      <c r="J96" s="22">
        <f>SUM(G96-H96-I96)</f>
        <v>2636</v>
      </c>
      <c r="K96" s="22">
        <v>0</v>
      </c>
      <c r="L96" s="22">
        <v>0</v>
      </c>
      <c r="M96" s="22">
        <v>3032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335</v>
      </c>
      <c r="D97" s="22">
        <v>324</v>
      </c>
      <c r="E97" s="22">
        <v>0</v>
      </c>
      <c r="F97" s="22">
        <f>SUM(C97-D97-E97)</f>
        <v>11</v>
      </c>
      <c r="G97" s="22">
        <v>1533</v>
      </c>
      <c r="H97" s="22">
        <v>1338</v>
      </c>
      <c r="I97" s="22">
        <v>0</v>
      </c>
      <c r="J97" s="22">
        <f>SUM(G97-H97-I97)</f>
        <v>195</v>
      </c>
      <c r="K97" s="22">
        <v>0</v>
      </c>
      <c r="L97" s="22">
        <v>0</v>
      </c>
      <c r="M97" s="22">
        <v>172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1348</v>
      </c>
      <c r="D98" s="25">
        <f t="shared" si="22"/>
        <v>1077</v>
      </c>
      <c r="E98" s="25">
        <f t="shared" si="22"/>
        <v>26</v>
      </c>
      <c r="F98" s="25">
        <f t="shared" si="22"/>
        <v>245</v>
      </c>
      <c r="G98" s="25">
        <f t="shared" si="22"/>
        <v>7241</v>
      </c>
      <c r="H98" s="25">
        <f t="shared" si="22"/>
        <v>4168</v>
      </c>
      <c r="I98" s="25">
        <f t="shared" si="22"/>
        <v>242</v>
      </c>
      <c r="J98" s="25">
        <f t="shared" si="22"/>
        <v>2831</v>
      </c>
      <c r="K98" s="25">
        <f t="shared" si="22"/>
        <v>0</v>
      </c>
      <c r="L98" s="25">
        <f t="shared" si="22"/>
        <v>0</v>
      </c>
      <c r="M98" s="25">
        <f t="shared" si="22"/>
        <v>3204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2764</v>
      </c>
      <c r="D99" s="22">
        <v>2234</v>
      </c>
      <c r="E99" s="22">
        <v>103</v>
      </c>
      <c r="F99" s="22">
        <f>SUM(C99-D99-E99)</f>
        <v>427</v>
      </c>
      <c r="G99" s="22">
        <v>13728</v>
      </c>
      <c r="H99" s="22">
        <v>7355</v>
      </c>
      <c r="I99" s="22">
        <v>788</v>
      </c>
      <c r="J99" s="22">
        <f>SUM(G99-H99-I99)</f>
        <v>5585</v>
      </c>
      <c r="K99" s="22">
        <v>29</v>
      </c>
      <c r="L99" s="22">
        <v>0</v>
      </c>
      <c r="M99" s="22">
        <v>1994</v>
      </c>
      <c r="N99" s="22">
        <v>41</v>
      </c>
      <c r="O99" s="22">
        <v>41</v>
      </c>
    </row>
    <row r="100" spans="1:15" ht="12.75" customHeight="1">
      <c r="A100" s="20" t="s">
        <v>184</v>
      </c>
      <c r="B100" s="21" t="s">
        <v>185</v>
      </c>
      <c r="C100" s="22">
        <v>2254</v>
      </c>
      <c r="D100" s="22">
        <v>1238</v>
      </c>
      <c r="E100" s="22">
        <v>102</v>
      </c>
      <c r="F100" s="22">
        <f>SUM(C100-D100-E100)</f>
        <v>914</v>
      </c>
      <c r="G100" s="22">
        <v>9800</v>
      </c>
      <c r="H100" s="22">
        <v>3804</v>
      </c>
      <c r="I100" s="22">
        <v>433</v>
      </c>
      <c r="J100" s="22">
        <f>SUM(G100-H100-I100)</f>
        <v>5563</v>
      </c>
      <c r="K100" s="22">
        <v>265</v>
      </c>
      <c r="L100" s="22">
        <v>0</v>
      </c>
      <c r="M100" s="22">
        <v>1141</v>
      </c>
      <c r="N100" s="22">
        <v>0</v>
      </c>
      <c r="O100" s="22">
        <v>0</v>
      </c>
    </row>
    <row r="101" spans="1:15" ht="12.75" customHeight="1">
      <c r="A101" s="20" t="s">
        <v>186</v>
      </c>
      <c r="B101" s="21" t="s">
        <v>187</v>
      </c>
      <c r="C101" s="22">
        <v>1415</v>
      </c>
      <c r="D101" s="22">
        <v>1110</v>
      </c>
      <c r="E101" s="22">
        <v>0</v>
      </c>
      <c r="F101" s="22">
        <f>SUM(C101-D101-E101)</f>
        <v>305</v>
      </c>
      <c r="G101" s="22">
        <v>4849</v>
      </c>
      <c r="H101" s="22">
        <v>3244</v>
      </c>
      <c r="I101" s="22">
        <v>0</v>
      </c>
      <c r="J101" s="22">
        <f>SUM(G101-H101-I101)</f>
        <v>1605</v>
      </c>
      <c r="K101" s="22">
        <v>8</v>
      </c>
      <c r="L101" s="22">
        <v>0</v>
      </c>
      <c r="M101" s="22">
        <v>647</v>
      </c>
      <c r="N101" s="22">
        <v>59</v>
      </c>
      <c r="O101" s="22">
        <v>59</v>
      </c>
    </row>
    <row r="102" spans="1:15" ht="12.75" customHeight="1">
      <c r="A102" s="20" t="s">
        <v>188</v>
      </c>
      <c r="B102" s="21" t="s">
        <v>189</v>
      </c>
      <c r="C102" s="22">
        <v>2432</v>
      </c>
      <c r="D102" s="22">
        <v>1856</v>
      </c>
      <c r="E102" s="22">
        <v>104</v>
      </c>
      <c r="F102" s="22">
        <f>SUM(C102-D102-E102)</f>
        <v>472</v>
      </c>
      <c r="G102" s="22">
        <v>8998</v>
      </c>
      <c r="H102" s="22">
        <v>5166</v>
      </c>
      <c r="I102" s="22">
        <v>935</v>
      </c>
      <c r="J102" s="22">
        <f>SUM(G102-H102-I102)</f>
        <v>2897</v>
      </c>
      <c r="K102" s="22">
        <v>155</v>
      </c>
      <c r="L102" s="22">
        <v>0</v>
      </c>
      <c r="M102" s="22">
        <v>928</v>
      </c>
      <c r="N102" s="22">
        <v>0</v>
      </c>
      <c r="O102" s="22">
        <v>0</v>
      </c>
    </row>
    <row r="103" spans="1:15" ht="12.75" customHeight="1">
      <c r="A103" s="23"/>
      <c r="B103" s="24" t="s">
        <v>190</v>
      </c>
      <c r="C103" s="25">
        <f t="shared" ref="C103:O103" si="23">SUM(C99:C102)</f>
        <v>8865</v>
      </c>
      <c r="D103" s="25">
        <f t="shared" si="23"/>
        <v>6438</v>
      </c>
      <c r="E103" s="25">
        <f t="shared" si="23"/>
        <v>309</v>
      </c>
      <c r="F103" s="25">
        <f t="shared" si="23"/>
        <v>2118</v>
      </c>
      <c r="G103" s="25">
        <f t="shared" si="23"/>
        <v>37375</v>
      </c>
      <c r="H103" s="25">
        <f t="shared" si="23"/>
        <v>19569</v>
      </c>
      <c r="I103" s="25">
        <f t="shared" si="23"/>
        <v>2156</v>
      </c>
      <c r="J103" s="25">
        <f t="shared" si="23"/>
        <v>15650</v>
      </c>
      <c r="K103" s="25">
        <f t="shared" si="23"/>
        <v>457</v>
      </c>
      <c r="L103" s="25">
        <f t="shared" si="23"/>
        <v>0</v>
      </c>
      <c r="M103" s="25">
        <f t="shared" si="23"/>
        <v>4710</v>
      </c>
      <c r="N103" s="25">
        <f t="shared" si="23"/>
        <v>100</v>
      </c>
      <c r="O103" s="25">
        <f t="shared" si="23"/>
        <v>100</v>
      </c>
    </row>
    <row r="104" spans="1:15" ht="12.75" customHeight="1">
      <c r="A104" s="20" t="s">
        <v>191</v>
      </c>
      <c r="B104" s="21" t="s">
        <v>192</v>
      </c>
      <c r="C104" s="22">
        <v>1669</v>
      </c>
      <c r="D104" s="22">
        <v>1387</v>
      </c>
      <c r="E104" s="22">
        <v>56</v>
      </c>
      <c r="F104" s="22">
        <f>SUM(C104-D104-E104)</f>
        <v>226</v>
      </c>
      <c r="G104" s="22">
        <v>7908</v>
      </c>
      <c r="H104" s="22">
        <v>4855</v>
      </c>
      <c r="I104" s="22">
        <v>562</v>
      </c>
      <c r="J104" s="22">
        <f>SUM(G104-H104-I104)</f>
        <v>2491</v>
      </c>
      <c r="K104" s="22">
        <v>118</v>
      </c>
      <c r="L104" s="22">
        <v>0</v>
      </c>
      <c r="M104" s="22">
        <v>458</v>
      </c>
      <c r="N104" s="22">
        <v>16</v>
      </c>
      <c r="O104" s="22">
        <v>16</v>
      </c>
    </row>
    <row r="105" spans="1:15" ht="12.75" customHeight="1">
      <c r="A105" s="20" t="s">
        <v>193</v>
      </c>
      <c r="B105" s="21" t="s">
        <v>194</v>
      </c>
      <c r="C105" s="22">
        <v>1350</v>
      </c>
      <c r="D105" s="22">
        <v>809</v>
      </c>
      <c r="E105" s="22">
        <v>0</v>
      </c>
      <c r="F105" s="22">
        <f>SUM(C105-D105-E105)</f>
        <v>541</v>
      </c>
      <c r="G105" s="22">
        <v>5400</v>
      </c>
      <c r="H105" s="22">
        <v>3121</v>
      </c>
      <c r="I105" s="22">
        <v>0</v>
      </c>
      <c r="J105" s="22">
        <f>SUM(G105-H105-I105)</f>
        <v>2279</v>
      </c>
      <c r="K105" s="22">
        <v>15</v>
      </c>
      <c r="L105" s="22">
        <v>0</v>
      </c>
      <c r="M105" s="22">
        <v>1088</v>
      </c>
      <c r="N105" s="22">
        <v>42</v>
      </c>
      <c r="O105" s="22">
        <v>42</v>
      </c>
    </row>
    <row r="106" spans="1:15" ht="12.75" customHeight="1">
      <c r="A106" s="20" t="s">
        <v>195</v>
      </c>
      <c r="B106" s="21" t="s">
        <v>196</v>
      </c>
      <c r="C106" s="22">
        <v>5221</v>
      </c>
      <c r="D106" s="22">
        <v>3196</v>
      </c>
      <c r="E106" s="22">
        <v>173</v>
      </c>
      <c r="F106" s="22">
        <f>SUM(C106-D106-E106)</f>
        <v>1852</v>
      </c>
      <c r="G106" s="22">
        <v>24182</v>
      </c>
      <c r="H106" s="22">
        <v>9923</v>
      </c>
      <c r="I106" s="22">
        <v>1181</v>
      </c>
      <c r="J106" s="22">
        <f>SUM(G106-H106-I106)</f>
        <v>13078</v>
      </c>
      <c r="K106" s="22">
        <v>88</v>
      </c>
      <c r="L106" s="22">
        <v>0</v>
      </c>
      <c r="M106" s="22">
        <v>9057</v>
      </c>
      <c r="N106" s="22">
        <v>87</v>
      </c>
      <c r="O106" s="22">
        <v>87</v>
      </c>
    </row>
    <row r="107" spans="1:15" ht="12.75" customHeight="1">
      <c r="A107" s="20" t="s">
        <v>197</v>
      </c>
      <c r="B107" s="21" t="s">
        <v>198</v>
      </c>
      <c r="C107" s="22">
        <v>21673</v>
      </c>
      <c r="D107" s="22">
        <v>15446</v>
      </c>
      <c r="E107" s="22">
        <v>486</v>
      </c>
      <c r="F107" s="22">
        <f>SUM(C107-D107-E107)</f>
        <v>5741</v>
      </c>
      <c r="G107" s="22">
        <v>58059</v>
      </c>
      <c r="H107" s="22">
        <v>30267</v>
      </c>
      <c r="I107" s="22">
        <v>1384</v>
      </c>
      <c r="J107" s="22">
        <f>SUM(G107-H107-I107)</f>
        <v>26408</v>
      </c>
      <c r="K107" s="22">
        <v>665</v>
      </c>
      <c r="L107" s="22">
        <v>0</v>
      </c>
      <c r="M107" s="22">
        <v>1404</v>
      </c>
      <c r="N107" s="22">
        <v>1854</v>
      </c>
      <c r="O107" s="22">
        <v>1854</v>
      </c>
    </row>
    <row r="108" spans="1:15" ht="12.75" customHeight="1">
      <c r="A108" s="20" t="s">
        <v>199</v>
      </c>
      <c r="B108" s="21" t="s">
        <v>200</v>
      </c>
      <c r="C108" s="22">
        <v>7022</v>
      </c>
      <c r="D108" s="22">
        <v>3746</v>
      </c>
      <c r="E108" s="22">
        <v>178</v>
      </c>
      <c r="F108" s="22">
        <f>SUM(C108-D108-E108)</f>
        <v>3098</v>
      </c>
      <c r="G108" s="22">
        <v>32978</v>
      </c>
      <c r="H108" s="22">
        <v>11432</v>
      </c>
      <c r="I108" s="22">
        <v>1404</v>
      </c>
      <c r="J108" s="22">
        <f>SUM(G108-H108-I108)</f>
        <v>20142</v>
      </c>
      <c r="K108" s="22">
        <v>183</v>
      </c>
      <c r="L108" s="22">
        <v>0</v>
      </c>
      <c r="M108" s="22">
        <v>1855</v>
      </c>
      <c r="N108" s="22">
        <v>366</v>
      </c>
      <c r="O108" s="22">
        <v>366</v>
      </c>
    </row>
    <row r="109" spans="1:15" ht="12.75" customHeight="1">
      <c r="A109" s="23"/>
      <c r="B109" s="24" t="s">
        <v>201</v>
      </c>
      <c r="C109" s="25">
        <f t="shared" ref="C109:O109" si="24">SUM(C104:C108)</f>
        <v>36935</v>
      </c>
      <c r="D109" s="25">
        <f t="shared" si="24"/>
        <v>24584</v>
      </c>
      <c r="E109" s="25">
        <f t="shared" si="24"/>
        <v>893</v>
      </c>
      <c r="F109" s="25">
        <f t="shared" si="24"/>
        <v>11458</v>
      </c>
      <c r="G109" s="25">
        <f t="shared" si="24"/>
        <v>128527</v>
      </c>
      <c r="H109" s="25">
        <f t="shared" si="24"/>
        <v>59598</v>
      </c>
      <c r="I109" s="25">
        <f t="shared" si="24"/>
        <v>4531</v>
      </c>
      <c r="J109" s="25">
        <f t="shared" si="24"/>
        <v>64398</v>
      </c>
      <c r="K109" s="25">
        <f t="shared" si="24"/>
        <v>1069</v>
      </c>
      <c r="L109" s="25">
        <f t="shared" si="24"/>
        <v>0</v>
      </c>
      <c r="M109" s="25">
        <f t="shared" si="24"/>
        <v>13862</v>
      </c>
      <c r="N109" s="25">
        <f t="shared" si="24"/>
        <v>2365</v>
      </c>
      <c r="O109" s="25">
        <f t="shared" si="24"/>
        <v>2365</v>
      </c>
    </row>
    <row r="110" spans="1:15" ht="12.75" customHeight="1">
      <c r="A110" s="20" t="s">
        <v>202</v>
      </c>
      <c r="B110" s="21" t="s">
        <v>203</v>
      </c>
      <c r="C110" s="22">
        <v>10511</v>
      </c>
      <c r="D110" s="22">
        <v>7634</v>
      </c>
      <c r="E110" s="22">
        <v>43</v>
      </c>
      <c r="F110" s="22">
        <f t="shared" ref="F110:F115" si="25">SUM(C110-D110-E110)</f>
        <v>2834</v>
      </c>
      <c r="G110" s="22">
        <v>45416</v>
      </c>
      <c r="H110" s="22">
        <v>27359</v>
      </c>
      <c r="I110" s="22">
        <v>629</v>
      </c>
      <c r="J110" s="22">
        <f t="shared" ref="J110:J115" si="26">SUM(G110-H110-I110)</f>
        <v>17428</v>
      </c>
      <c r="K110" s="22">
        <v>1478</v>
      </c>
      <c r="L110" s="22">
        <v>0</v>
      </c>
      <c r="M110" s="22">
        <v>10072</v>
      </c>
      <c r="N110" s="22">
        <v>216</v>
      </c>
      <c r="O110" s="22">
        <v>216</v>
      </c>
    </row>
    <row r="111" spans="1:15" ht="12.75" customHeight="1">
      <c r="A111" s="20" t="s">
        <v>204</v>
      </c>
      <c r="B111" s="21" t="s">
        <v>205</v>
      </c>
      <c r="C111" s="22">
        <v>1799</v>
      </c>
      <c r="D111" s="22">
        <v>1661</v>
      </c>
      <c r="E111" s="22">
        <v>18</v>
      </c>
      <c r="F111" s="22">
        <f t="shared" si="25"/>
        <v>120</v>
      </c>
      <c r="G111" s="22">
        <v>6281</v>
      </c>
      <c r="H111" s="22">
        <v>4987</v>
      </c>
      <c r="I111" s="22">
        <v>185</v>
      </c>
      <c r="J111" s="22">
        <f t="shared" si="26"/>
        <v>1109</v>
      </c>
      <c r="K111" s="22">
        <v>9</v>
      </c>
      <c r="L111" s="22">
        <v>0</v>
      </c>
      <c r="M111" s="22">
        <v>1114</v>
      </c>
      <c r="N111" s="22">
        <v>0</v>
      </c>
      <c r="O111" s="22">
        <v>0</v>
      </c>
    </row>
    <row r="112" spans="1:15" ht="12.75" customHeight="1">
      <c r="A112" s="20" t="s">
        <v>206</v>
      </c>
      <c r="B112" s="21" t="s">
        <v>207</v>
      </c>
      <c r="C112" s="22">
        <v>3741</v>
      </c>
      <c r="D112" s="22">
        <v>2369</v>
      </c>
      <c r="E112" s="22">
        <v>0</v>
      </c>
      <c r="F112" s="22">
        <f t="shared" si="25"/>
        <v>1372</v>
      </c>
      <c r="G112" s="22">
        <v>12912</v>
      </c>
      <c r="H112" s="22">
        <v>7315</v>
      </c>
      <c r="I112" s="22">
        <v>0</v>
      </c>
      <c r="J112" s="22">
        <f t="shared" si="26"/>
        <v>5597</v>
      </c>
      <c r="K112" s="22">
        <v>2749</v>
      </c>
      <c r="L112" s="22">
        <v>0</v>
      </c>
      <c r="M112" s="22">
        <v>1977</v>
      </c>
      <c r="N112" s="22">
        <v>39</v>
      </c>
      <c r="O112" s="22">
        <v>39</v>
      </c>
    </row>
    <row r="113" spans="1:15" ht="12.75" customHeight="1">
      <c r="A113" s="20" t="s">
        <v>208</v>
      </c>
      <c r="B113" s="21" t="s">
        <v>209</v>
      </c>
      <c r="C113" s="22">
        <v>2924</v>
      </c>
      <c r="D113" s="22">
        <v>1907</v>
      </c>
      <c r="E113" s="22">
        <v>36</v>
      </c>
      <c r="F113" s="22">
        <f t="shared" si="25"/>
        <v>981</v>
      </c>
      <c r="G113" s="22">
        <v>13254</v>
      </c>
      <c r="H113" s="22">
        <v>6327</v>
      </c>
      <c r="I113" s="22">
        <v>280</v>
      </c>
      <c r="J113" s="22">
        <f t="shared" si="26"/>
        <v>6647</v>
      </c>
      <c r="K113" s="22">
        <v>294</v>
      </c>
      <c r="L113" s="22">
        <v>0</v>
      </c>
      <c r="M113" s="22">
        <v>7961</v>
      </c>
      <c r="N113" s="22">
        <v>113</v>
      </c>
      <c r="O113" s="22">
        <v>113</v>
      </c>
    </row>
    <row r="114" spans="1:15" ht="12.75" customHeight="1">
      <c r="A114" s="20" t="s">
        <v>210</v>
      </c>
      <c r="B114" s="21" t="s">
        <v>211</v>
      </c>
      <c r="C114" s="22">
        <v>7301</v>
      </c>
      <c r="D114" s="22">
        <v>5187</v>
      </c>
      <c r="E114" s="22">
        <v>0</v>
      </c>
      <c r="F114" s="22">
        <f t="shared" si="25"/>
        <v>2114</v>
      </c>
      <c r="G114" s="22">
        <v>21884</v>
      </c>
      <c r="H114" s="22">
        <v>12752</v>
      </c>
      <c r="I114" s="22">
        <v>0</v>
      </c>
      <c r="J114" s="22">
        <f t="shared" si="26"/>
        <v>9132</v>
      </c>
      <c r="K114" s="22">
        <v>1513</v>
      </c>
      <c r="L114" s="22">
        <v>0</v>
      </c>
      <c r="M114" s="22">
        <v>3486</v>
      </c>
      <c r="N114" s="22">
        <v>214</v>
      </c>
      <c r="O114" s="22">
        <v>214</v>
      </c>
    </row>
    <row r="115" spans="1:15" ht="12.75" customHeight="1">
      <c r="A115" s="20" t="s">
        <v>212</v>
      </c>
      <c r="B115" s="21" t="s">
        <v>213</v>
      </c>
      <c r="C115" s="22">
        <v>4795</v>
      </c>
      <c r="D115" s="22">
        <v>4078</v>
      </c>
      <c r="E115" s="22">
        <v>0</v>
      </c>
      <c r="F115" s="22">
        <f t="shared" si="25"/>
        <v>717</v>
      </c>
      <c r="G115" s="22">
        <v>16904</v>
      </c>
      <c r="H115" s="22">
        <v>12200</v>
      </c>
      <c r="I115" s="22">
        <v>0</v>
      </c>
      <c r="J115" s="22">
        <f t="shared" si="26"/>
        <v>4704</v>
      </c>
      <c r="K115" s="22">
        <v>290</v>
      </c>
      <c r="L115" s="22">
        <v>0</v>
      </c>
      <c r="M115" s="22">
        <v>3445</v>
      </c>
      <c r="N115" s="22">
        <v>546</v>
      </c>
      <c r="O115" s="22">
        <v>546</v>
      </c>
    </row>
    <row r="116" spans="1:15" ht="12.75" customHeight="1">
      <c r="A116" s="23"/>
      <c r="B116" s="24" t="s">
        <v>214</v>
      </c>
      <c r="C116" s="25">
        <f t="shared" ref="C116:O116" si="27">SUM(C110:C115)</f>
        <v>31071</v>
      </c>
      <c r="D116" s="25">
        <f t="shared" si="27"/>
        <v>22836</v>
      </c>
      <c r="E116" s="25">
        <f t="shared" si="27"/>
        <v>97</v>
      </c>
      <c r="F116" s="25">
        <f t="shared" si="27"/>
        <v>8138</v>
      </c>
      <c r="G116" s="25">
        <f t="shared" si="27"/>
        <v>116651</v>
      </c>
      <c r="H116" s="25">
        <f t="shared" si="27"/>
        <v>70940</v>
      </c>
      <c r="I116" s="25">
        <f t="shared" si="27"/>
        <v>1094</v>
      </c>
      <c r="J116" s="25">
        <f t="shared" si="27"/>
        <v>44617</v>
      </c>
      <c r="K116" s="25">
        <f t="shared" si="27"/>
        <v>6333</v>
      </c>
      <c r="L116" s="25">
        <f t="shared" si="27"/>
        <v>0</v>
      </c>
      <c r="M116" s="25">
        <f t="shared" si="27"/>
        <v>28055</v>
      </c>
      <c r="N116" s="25">
        <f t="shared" si="27"/>
        <v>1128</v>
      </c>
      <c r="O116" s="25">
        <f t="shared" si="27"/>
        <v>1128</v>
      </c>
    </row>
    <row r="117" spans="1:15" ht="12.75" customHeight="1">
      <c r="A117" s="20" t="s">
        <v>215</v>
      </c>
      <c r="B117" s="21" t="s">
        <v>216</v>
      </c>
      <c r="C117" s="22">
        <v>1088</v>
      </c>
      <c r="D117" s="22">
        <v>770</v>
      </c>
      <c r="E117" s="22">
        <v>0</v>
      </c>
      <c r="F117" s="22">
        <f>SUM(C117-D117-E117)</f>
        <v>318</v>
      </c>
      <c r="G117" s="22">
        <v>5076</v>
      </c>
      <c r="H117" s="22">
        <v>3020</v>
      </c>
      <c r="I117" s="22">
        <v>0</v>
      </c>
      <c r="J117" s="22">
        <f>SUM(G117-H117-I117)</f>
        <v>2056</v>
      </c>
      <c r="K117" s="22">
        <v>0</v>
      </c>
      <c r="L117" s="22">
        <v>0</v>
      </c>
      <c r="M117" s="22">
        <v>3394</v>
      </c>
      <c r="N117" s="22">
        <v>108</v>
      </c>
      <c r="O117" s="22">
        <v>108</v>
      </c>
    </row>
    <row r="118" spans="1:15" ht="12.75" customHeight="1">
      <c r="A118" s="20" t="s">
        <v>217</v>
      </c>
      <c r="B118" s="21" t="s">
        <v>218</v>
      </c>
      <c r="C118" s="22">
        <v>2638</v>
      </c>
      <c r="D118" s="22">
        <v>2067</v>
      </c>
      <c r="E118" s="22">
        <v>37</v>
      </c>
      <c r="F118" s="22">
        <f>SUM(C118-D118-E118)</f>
        <v>534</v>
      </c>
      <c r="G118" s="22">
        <v>10911</v>
      </c>
      <c r="H118" s="22">
        <v>6503</v>
      </c>
      <c r="I118" s="22">
        <v>324</v>
      </c>
      <c r="J118" s="22">
        <f>SUM(G118-H118-I118)</f>
        <v>4084</v>
      </c>
      <c r="K118" s="22">
        <v>0</v>
      </c>
      <c r="L118" s="22">
        <v>0</v>
      </c>
      <c r="M118" s="22">
        <v>2909</v>
      </c>
      <c r="N118" s="22">
        <v>174</v>
      </c>
      <c r="O118" s="22">
        <v>174</v>
      </c>
    </row>
    <row r="119" spans="1:15" ht="12.75" customHeight="1">
      <c r="A119" s="23"/>
      <c r="B119" s="24" t="s">
        <v>219</v>
      </c>
      <c r="C119" s="25">
        <f t="shared" ref="C119:O119" si="28">SUM(C117:C118)</f>
        <v>3726</v>
      </c>
      <c r="D119" s="25">
        <f t="shared" si="28"/>
        <v>2837</v>
      </c>
      <c r="E119" s="25">
        <f t="shared" si="28"/>
        <v>37</v>
      </c>
      <c r="F119" s="25">
        <f t="shared" si="28"/>
        <v>852</v>
      </c>
      <c r="G119" s="25">
        <f t="shared" si="28"/>
        <v>15987</v>
      </c>
      <c r="H119" s="25">
        <f t="shared" si="28"/>
        <v>9523</v>
      </c>
      <c r="I119" s="25">
        <f t="shared" si="28"/>
        <v>324</v>
      </c>
      <c r="J119" s="25">
        <f t="shared" si="28"/>
        <v>6140</v>
      </c>
      <c r="K119" s="25">
        <f t="shared" si="28"/>
        <v>0</v>
      </c>
      <c r="L119" s="25">
        <f t="shared" si="28"/>
        <v>0</v>
      </c>
      <c r="M119" s="25">
        <f t="shared" si="28"/>
        <v>6303</v>
      </c>
      <c r="N119" s="25">
        <f t="shared" si="28"/>
        <v>282</v>
      </c>
      <c r="O119" s="25">
        <f t="shared" si="28"/>
        <v>282</v>
      </c>
    </row>
    <row r="120" spans="1:15" ht="12.75" customHeight="1">
      <c r="A120" s="20" t="s">
        <v>220</v>
      </c>
      <c r="B120" s="21" t="s">
        <v>221</v>
      </c>
      <c r="C120" s="22">
        <v>3080</v>
      </c>
      <c r="D120" s="22">
        <v>2680</v>
      </c>
      <c r="E120" s="22">
        <v>36</v>
      </c>
      <c r="F120" s="22">
        <f>SUM(C120-D120-E120)</f>
        <v>364</v>
      </c>
      <c r="G120" s="22">
        <v>10566</v>
      </c>
      <c r="H120" s="22">
        <v>8269</v>
      </c>
      <c r="I120" s="22">
        <v>326</v>
      </c>
      <c r="J120" s="22">
        <f>SUM(G120-H120-I120)</f>
        <v>1971</v>
      </c>
      <c r="K120" s="22">
        <v>394</v>
      </c>
      <c r="L120" s="22">
        <v>0</v>
      </c>
      <c r="M120" s="22">
        <v>708</v>
      </c>
      <c r="N120" s="22">
        <v>444</v>
      </c>
      <c r="O120" s="22">
        <v>444</v>
      </c>
    </row>
    <row r="121" spans="1:15" ht="12.75" customHeight="1">
      <c r="A121" s="20" t="s">
        <v>222</v>
      </c>
      <c r="B121" s="21" t="s">
        <v>223</v>
      </c>
      <c r="C121" s="22">
        <v>4830</v>
      </c>
      <c r="D121" s="22">
        <v>4391</v>
      </c>
      <c r="E121" s="22">
        <v>105</v>
      </c>
      <c r="F121" s="22">
        <f>SUM(C121-D121-E121)</f>
        <v>334</v>
      </c>
      <c r="G121" s="22">
        <v>19008</v>
      </c>
      <c r="H121" s="22">
        <v>13173</v>
      </c>
      <c r="I121" s="22">
        <v>776</v>
      </c>
      <c r="J121" s="22">
        <f>SUM(G121-H121-I121)</f>
        <v>5059</v>
      </c>
      <c r="K121" s="22">
        <v>65</v>
      </c>
      <c r="L121" s="22">
        <v>0</v>
      </c>
      <c r="M121" s="22">
        <v>1987</v>
      </c>
      <c r="N121" s="22">
        <v>23</v>
      </c>
      <c r="O121" s="22">
        <v>23</v>
      </c>
    </row>
    <row r="122" spans="1:15" ht="12.75" customHeight="1">
      <c r="A122" s="20" t="s">
        <v>224</v>
      </c>
      <c r="B122" s="21" t="s">
        <v>225</v>
      </c>
      <c r="C122" s="22">
        <v>820</v>
      </c>
      <c r="D122" s="22">
        <v>734</v>
      </c>
      <c r="E122" s="22">
        <v>0</v>
      </c>
      <c r="F122" s="22">
        <f>SUM(C122-D122-E122)</f>
        <v>86</v>
      </c>
      <c r="G122" s="22">
        <v>3045</v>
      </c>
      <c r="H122" s="22">
        <v>2045</v>
      </c>
      <c r="I122" s="22">
        <v>0</v>
      </c>
      <c r="J122" s="22">
        <f>SUM(G122-H122-I122)</f>
        <v>1000</v>
      </c>
      <c r="K122" s="22">
        <v>2</v>
      </c>
      <c r="L122" s="22">
        <v>0</v>
      </c>
      <c r="M122" s="22">
        <v>1533</v>
      </c>
      <c r="N122" s="22">
        <v>12</v>
      </c>
      <c r="O122" s="22">
        <v>12</v>
      </c>
    </row>
    <row r="123" spans="1:15" ht="12.75" customHeight="1">
      <c r="A123" s="20" t="s">
        <v>226</v>
      </c>
      <c r="B123" s="21" t="s">
        <v>227</v>
      </c>
      <c r="C123" s="22">
        <v>4489</v>
      </c>
      <c r="D123" s="22">
        <v>3795</v>
      </c>
      <c r="E123" s="22">
        <v>48</v>
      </c>
      <c r="F123" s="22">
        <f>SUM(C123-D123-E123)</f>
        <v>646</v>
      </c>
      <c r="G123" s="22">
        <v>16166</v>
      </c>
      <c r="H123" s="22">
        <v>9728</v>
      </c>
      <c r="I123" s="22">
        <v>347</v>
      </c>
      <c r="J123" s="22">
        <f>SUM(G123-H123-I123)</f>
        <v>6091</v>
      </c>
      <c r="K123" s="22">
        <v>119</v>
      </c>
      <c r="L123" s="22">
        <v>0</v>
      </c>
      <c r="M123" s="22">
        <v>1061</v>
      </c>
      <c r="N123" s="22">
        <v>53</v>
      </c>
      <c r="O123" s="22">
        <v>53</v>
      </c>
    </row>
    <row r="124" spans="1:15" ht="12.75" customHeight="1">
      <c r="A124" s="20" t="s">
        <v>228</v>
      </c>
      <c r="B124" s="21" t="s">
        <v>229</v>
      </c>
      <c r="C124" s="22">
        <v>1532</v>
      </c>
      <c r="D124" s="22">
        <v>1365</v>
      </c>
      <c r="E124" s="22">
        <v>40</v>
      </c>
      <c r="F124" s="22">
        <f>SUM(C124-D124-E124)</f>
        <v>127</v>
      </c>
      <c r="G124" s="22">
        <v>5009</v>
      </c>
      <c r="H124" s="22">
        <v>3578</v>
      </c>
      <c r="I124" s="22">
        <v>394</v>
      </c>
      <c r="J124" s="22">
        <f>SUM(G124-H124-I124)</f>
        <v>1037</v>
      </c>
      <c r="K124" s="22">
        <v>26</v>
      </c>
      <c r="L124" s="22">
        <v>0</v>
      </c>
      <c r="M124" s="22">
        <v>62</v>
      </c>
      <c r="N124" s="22">
        <v>55</v>
      </c>
      <c r="O124" s="22">
        <v>55</v>
      </c>
    </row>
    <row r="125" spans="1:15" ht="12.75" customHeight="1">
      <c r="A125" s="23"/>
      <c r="B125" s="24" t="s">
        <v>230</v>
      </c>
      <c r="C125" s="25">
        <f t="shared" ref="C125:O125" si="29">SUM(C120:C124)</f>
        <v>14751</v>
      </c>
      <c r="D125" s="25">
        <f t="shared" si="29"/>
        <v>12965</v>
      </c>
      <c r="E125" s="25">
        <f t="shared" si="29"/>
        <v>229</v>
      </c>
      <c r="F125" s="25">
        <f t="shared" si="29"/>
        <v>1557</v>
      </c>
      <c r="G125" s="25">
        <f t="shared" si="29"/>
        <v>53794</v>
      </c>
      <c r="H125" s="25">
        <f t="shared" si="29"/>
        <v>36793</v>
      </c>
      <c r="I125" s="25">
        <f t="shared" si="29"/>
        <v>1843</v>
      </c>
      <c r="J125" s="25">
        <f t="shared" si="29"/>
        <v>15158</v>
      </c>
      <c r="K125" s="25">
        <f t="shared" si="29"/>
        <v>606</v>
      </c>
      <c r="L125" s="25">
        <f t="shared" si="29"/>
        <v>0</v>
      </c>
      <c r="M125" s="25">
        <f t="shared" si="29"/>
        <v>5351</v>
      </c>
      <c r="N125" s="25">
        <f t="shared" si="29"/>
        <v>587</v>
      </c>
      <c r="O125" s="25">
        <f t="shared" si="29"/>
        <v>587</v>
      </c>
    </row>
    <row r="126" spans="1:15" ht="12.75" customHeight="1">
      <c r="A126" s="20" t="s">
        <v>231</v>
      </c>
      <c r="B126" s="21" t="s">
        <v>232</v>
      </c>
      <c r="C126" s="22">
        <v>3052</v>
      </c>
      <c r="D126" s="22">
        <v>2208</v>
      </c>
      <c r="E126" s="22">
        <v>0</v>
      </c>
      <c r="F126" s="22">
        <f t="shared" ref="F126:F134" si="30">SUM(C126-D126-E126)</f>
        <v>844</v>
      </c>
      <c r="G126" s="22">
        <v>9932</v>
      </c>
      <c r="H126" s="22">
        <v>5275</v>
      </c>
      <c r="I126" s="22">
        <v>0</v>
      </c>
      <c r="J126" s="22">
        <f t="shared" ref="J126:J134" si="31">SUM(G126-H126-I126)</f>
        <v>4657</v>
      </c>
      <c r="K126" s="22">
        <v>37</v>
      </c>
      <c r="L126" s="22">
        <v>0</v>
      </c>
      <c r="M126" s="22">
        <v>1018</v>
      </c>
      <c r="N126" s="22">
        <v>195</v>
      </c>
      <c r="O126" s="22">
        <v>195</v>
      </c>
    </row>
    <row r="127" spans="1:15" ht="12.75" customHeight="1">
      <c r="A127" s="20" t="s">
        <v>233</v>
      </c>
      <c r="B127" s="21" t="s">
        <v>234</v>
      </c>
      <c r="C127" s="22">
        <v>1556</v>
      </c>
      <c r="D127" s="22">
        <v>1171</v>
      </c>
      <c r="E127" s="22">
        <v>0</v>
      </c>
      <c r="F127" s="22">
        <f t="shared" si="30"/>
        <v>385</v>
      </c>
      <c r="G127" s="22">
        <v>5301</v>
      </c>
      <c r="H127" s="22">
        <v>3648</v>
      </c>
      <c r="I127" s="22">
        <v>0</v>
      </c>
      <c r="J127" s="22">
        <f t="shared" si="31"/>
        <v>1653</v>
      </c>
      <c r="K127" s="22">
        <v>46</v>
      </c>
      <c r="L127" s="22">
        <v>0</v>
      </c>
      <c r="M127" s="22">
        <v>600</v>
      </c>
      <c r="N127" s="22">
        <v>41</v>
      </c>
      <c r="O127" s="22">
        <v>41</v>
      </c>
    </row>
    <row r="128" spans="1:15" ht="12.75" customHeight="1">
      <c r="A128" s="20" t="s">
        <v>235</v>
      </c>
      <c r="B128" s="21" t="s">
        <v>236</v>
      </c>
      <c r="C128" s="22">
        <v>9599</v>
      </c>
      <c r="D128" s="22">
        <v>6261</v>
      </c>
      <c r="E128" s="22">
        <v>211</v>
      </c>
      <c r="F128" s="22">
        <f t="shared" si="30"/>
        <v>3127</v>
      </c>
      <c r="G128" s="22">
        <v>23409</v>
      </c>
      <c r="H128" s="22">
        <v>13586</v>
      </c>
      <c r="I128" s="22">
        <v>814</v>
      </c>
      <c r="J128" s="22">
        <f t="shared" si="31"/>
        <v>9009</v>
      </c>
      <c r="K128" s="22">
        <v>89</v>
      </c>
      <c r="L128" s="22">
        <v>0</v>
      </c>
      <c r="M128" s="22">
        <v>2030</v>
      </c>
      <c r="N128" s="22">
        <v>139</v>
      </c>
      <c r="O128" s="22">
        <v>139</v>
      </c>
    </row>
    <row r="129" spans="1:15" ht="12.75" customHeight="1">
      <c r="A129" s="20" t="s">
        <v>237</v>
      </c>
      <c r="B129" s="21" t="s">
        <v>238</v>
      </c>
      <c r="C129" s="22">
        <v>1280</v>
      </c>
      <c r="D129" s="22">
        <v>659</v>
      </c>
      <c r="E129" s="22">
        <v>57</v>
      </c>
      <c r="F129" s="22">
        <f t="shared" si="30"/>
        <v>564</v>
      </c>
      <c r="G129" s="22">
        <v>4754</v>
      </c>
      <c r="H129" s="22">
        <v>1704</v>
      </c>
      <c r="I129" s="22">
        <v>398</v>
      </c>
      <c r="J129" s="22">
        <f t="shared" si="31"/>
        <v>2652</v>
      </c>
      <c r="K129" s="22">
        <v>29</v>
      </c>
      <c r="L129" s="22">
        <v>0</v>
      </c>
      <c r="M129" s="22">
        <v>2272</v>
      </c>
      <c r="N129" s="22">
        <v>27</v>
      </c>
      <c r="O129" s="22">
        <v>27</v>
      </c>
    </row>
    <row r="130" spans="1:15" ht="12.75" customHeight="1">
      <c r="A130" s="20" t="s">
        <v>239</v>
      </c>
      <c r="B130" s="21" t="s">
        <v>240</v>
      </c>
      <c r="C130" s="22">
        <v>6252</v>
      </c>
      <c r="D130" s="22">
        <v>5145</v>
      </c>
      <c r="E130" s="22">
        <v>337</v>
      </c>
      <c r="F130" s="22">
        <f t="shared" si="30"/>
        <v>770</v>
      </c>
      <c r="G130" s="22">
        <v>17282</v>
      </c>
      <c r="H130" s="22">
        <v>8949</v>
      </c>
      <c r="I130" s="22">
        <v>1424</v>
      </c>
      <c r="J130" s="22">
        <f t="shared" si="31"/>
        <v>6909</v>
      </c>
      <c r="K130" s="22">
        <v>277</v>
      </c>
      <c r="L130" s="22">
        <v>0</v>
      </c>
      <c r="M130" s="22">
        <v>100</v>
      </c>
      <c r="N130" s="22">
        <v>593</v>
      </c>
      <c r="O130" s="22">
        <v>593</v>
      </c>
    </row>
    <row r="131" spans="1:15" ht="12.75" customHeight="1">
      <c r="A131" s="20" t="s">
        <v>241</v>
      </c>
      <c r="B131" s="21" t="s">
        <v>242</v>
      </c>
      <c r="C131" s="22">
        <v>10708</v>
      </c>
      <c r="D131" s="22">
        <v>9586</v>
      </c>
      <c r="E131" s="22">
        <v>88</v>
      </c>
      <c r="F131" s="22">
        <f t="shared" si="30"/>
        <v>1034</v>
      </c>
      <c r="G131" s="22">
        <v>26231</v>
      </c>
      <c r="H131" s="22">
        <v>16142</v>
      </c>
      <c r="I131" s="22">
        <v>456</v>
      </c>
      <c r="J131" s="22">
        <f t="shared" si="31"/>
        <v>9633</v>
      </c>
      <c r="K131" s="22">
        <v>54</v>
      </c>
      <c r="L131" s="22">
        <v>0</v>
      </c>
      <c r="M131" s="22">
        <v>1291</v>
      </c>
      <c r="N131" s="22">
        <v>482</v>
      </c>
      <c r="O131" s="22">
        <v>482</v>
      </c>
    </row>
    <row r="132" spans="1:15" ht="12.75" customHeight="1">
      <c r="A132" s="20" t="s">
        <v>243</v>
      </c>
      <c r="B132" s="21" t="s">
        <v>244</v>
      </c>
      <c r="C132" s="22">
        <v>7347</v>
      </c>
      <c r="D132" s="22">
        <v>5236</v>
      </c>
      <c r="E132" s="22">
        <v>0</v>
      </c>
      <c r="F132" s="22">
        <f t="shared" si="30"/>
        <v>2111</v>
      </c>
      <c r="G132" s="22">
        <v>23204</v>
      </c>
      <c r="H132" s="22">
        <v>10910</v>
      </c>
      <c r="I132" s="22">
        <v>0</v>
      </c>
      <c r="J132" s="22">
        <f t="shared" si="31"/>
        <v>12294</v>
      </c>
      <c r="K132" s="22">
        <v>725</v>
      </c>
      <c r="L132" s="22">
        <v>0</v>
      </c>
      <c r="M132" s="22">
        <v>2884</v>
      </c>
      <c r="N132" s="22">
        <v>24</v>
      </c>
      <c r="O132" s="22">
        <v>24</v>
      </c>
    </row>
    <row r="133" spans="1:15" ht="12.75" customHeight="1">
      <c r="A133" s="20" t="s">
        <v>245</v>
      </c>
      <c r="B133" s="21" t="s">
        <v>246</v>
      </c>
      <c r="C133" s="22">
        <v>4530</v>
      </c>
      <c r="D133" s="22">
        <v>3783</v>
      </c>
      <c r="E133" s="22">
        <v>26</v>
      </c>
      <c r="F133" s="22">
        <f t="shared" si="30"/>
        <v>721</v>
      </c>
      <c r="G133" s="22">
        <v>12572</v>
      </c>
      <c r="H133" s="22">
        <v>8950</v>
      </c>
      <c r="I133" s="22">
        <v>53</v>
      </c>
      <c r="J133" s="22">
        <f t="shared" si="31"/>
        <v>3569</v>
      </c>
      <c r="K133" s="22">
        <v>6319</v>
      </c>
      <c r="L133" s="22">
        <v>0</v>
      </c>
      <c r="M133" s="22">
        <v>927</v>
      </c>
      <c r="N133" s="22">
        <v>20</v>
      </c>
      <c r="O133" s="22">
        <v>20</v>
      </c>
    </row>
    <row r="134" spans="1:15" ht="12.75" customHeight="1">
      <c r="A134" s="20" t="s">
        <v>247</v>
      </c>
      <c r="B134" s="21" t="s">
        <v>248</v>
      </c>
      <c r="C134" s="22">
        <v>3164</v>
      </c>
      <c r="D134" s="22">
        <v>2336</v>
      </c>
      <c r="E134" s="22">
        <v>0</v>
      </c>
      <c r="F134" s="22">
        <f t="shared" si="30"/>
        <v>828</v>
      </c>
      <c r="G134" s="22">
        <v>8494</v>
      </c>
      <c r="H134" s="22">
        <v>4792</v>
      </c>
      <c r="I134" s="22">
        <v>0</v>
      </c>
      <c r="J134" s="22">
        <f t="shared" si="31"/>
        <v>3702</v>
      </c>
      <c r="K134" s="22">
        <v>34</v>
      </c>
      <c r="L134" s="22">
        <v>0</v>
      </c>
      <c r="M134" s="22">
        <v>1304</v>
      </c>
      <c r="N134" s="22">
        <v>0</v>
      </c>
      <c r="O134" s="22">
        <v>0</v>
      </c>
    </row>
    <row r="135" spans="1:15" ht="12.75" customHeight="1">
      <c r="A135" s="26"/>
      <c r="B135" s="24" t="s">
        <v>249</v>
      </c>
      <c r="C135" s="25">
        <f t="shared" ref="C135:O135" si="32">SUM(C126:C134)</f>
        <v>47488</v>
      </c>
      <c r="D135" s="25">
        <f t="shared" si="32"/>
        <v>36385</v>
      </c>
      <c r="E135" s="25">
        <f t="shared" si="32"/>
        <v>719</v>
      </c>
      <c r="F135" s="25">
        <f t="shared" si="32"/>
        <v>10384</v>
      </c>
      <c r="G135" s="25">
        <f t="shared" si="32"/>
        <v>131179</v>
      </c>
      <c r="H135" s="25">
        <f t="shared" si="32"/>
        <v>73956</v>
      </c>
      <c r="I135" s="25">
        <f t="shared" si="32"/>
        <v>3145</v>
      </c>
      <c r="J135" s="25">
        <f t="shared" si="32"/>
        <v>54078</v>
      </c>
      <c r="K135" s="25">
        <f t="shared" si="32"/>
        <v>7610</v>
      </c>
      <c r="L135" s="25">
        <f t="shared" si="32"/>
        <v>0</v>
      </c>
      <c r="M135" s="25">
        <f t="shared" si="32"/>
        <v>12426</v>
      </c>
      <c r="N135" s="25">
        <f t="shared" si="32"/>
        <v>1521</v>
      </c>
      <c r="O135" s="25">
        <f t="shared" si="32"/>
        <v>1521</v>
      </c>
    </row>
    <row r="136" spans="1:15" ht="12.75" customHeight="1">
      <c r="A136" s="20" t="s">
        <v>250</v>
      </c>
      <c r="B136" s="21" t="s">
        <v>251</v>
      </c>
      <c r="C136" s="22">
        <v>7068</v>
      </c>
      <c r="D136" s="22">
        <v>6454</v>
      </c>
      <c r="E136" s="22">
        <v>0</v>
      </c>
      <c r="F136" s="22">
        <f t="shared" ref="F136:F143" si="33">SUM(C136-D136-E136)</f>
        <v>614</v>
      </c>
      <c r="G136" s="22">
        <v>17039</v>
      </c>
      <c r="H136" s="22">
        <v>13230</v>
      </c>
      <c r="I136" s="22">
        <v>0</v>
      </c>
      <c r="J136" s="22">
        <f t="shared" ref="J136:J143" si="34">SUM(G136-H136-I136)</f>
        <v>3809</v>
      </c>
      <c r="K136" s="22">
        <v>753</v>
      </c>
      <c r="L136" s="22">
        <v>1469</v>
      </c>
      <c r="M136" s="22">
        <v>1283</v>
      </c>
      <c r="N136" s="22">
        <v>1991</v>
      </c>
      <c r="O136" s="22">
        <v>1991</v>
      </c>
    </row>
    <row r="137" spans="1:15" ht="12.75" customHeight="1">
      <c r="A137" s="20" t="s">
        <v>252</v>
      </c>
      <c r="B137" s="21" t="s">
        <v>253</v>
      </c>
      <c r="C137" s="22">
        <v>967</v>
      </c>
      <c r="D137" s="22">
        <v>966</v>
      </c>
      <c r="E137" s="22">
        <v>0</v>
      </c>
      <c r="F137" s="22">
        <f t="shared" si="33"/>
        <v>1</v>
      </c>
      <c r="G137" s="22">
        <v>2226</v>
      </c>
      <c r="H137" s="22">
        <v>2209</v>
      </c>
      <c r="I137" s="22">
        <v>0</v>
      </c>
      <c r="J137" s="22">
        <f t="shared" si="34"/>
        <v>17</v>
      </c>
      <c r="K137" s="22">
        <v>60</v>
      </c>
      <c r="L137" s="22">
        <v>0</v>
      </c>
      <c r="M137" s="22">
        <v>0</v>
      </c>
      <c r="N137" s="22">
        <v>177</v>
      </c>
      <c r="O137" s="22">
        <v>177</v>
      </c>
    </row>
    <row r="138" spans="1:15" ht="12.75" customHeight="1">
      <c r="A138" s="20" t="s">
        <v>254</v>
      </c>
      <c r="B138" s="21" t="s">
        <v>255</v>
      </c>
      <c r="C138" s="22">
        <v>648</v>
      </c>
      <c r="D138" s="22">
        <v>635</v>
      </c>
      <c r="E138" s="22">
        <v>0</v>
      </c>
      <c r="F138" s="22">
        <f t="shared" si="33"/>
        <v>13</v>
      </c>
      <c r="G138" s="22">
        <v>2228</v>
      </c>
      <c r="H138" s="22">
        <v>2067</v>
      </c>
      <c r="I138" s="22">
        <v>0</v>
      </c>
      <c r="J138" s="22">
        <f t="shared" si="34"/>
        <v>161</v>
      </c>
      <c r="K138" s="22">
        <v>93</v>
      </c>
      <c r="L138" s="22">
        <v>0</v>
      </c>
      <c r="M138" s="22">
        <v>805</v>
      </c>
      <c r="N138" s="22">
        <v>336</v>
      </c>
      <c r="O138" s="22">
        <v>336</v>
      </c>
    </row>
    <row r="139" spans="1:15" ht="12.75" customHeight="1">
      <c r="A139" s="20" t="s">
        <v>256</v>
      </c>
      <c r="B139" s="21" t="s">
        <v>257</v>
      </c>
      <c r="C139" s="22">
        <v>1745</v>
      </c>
      <c r="D139" s="22">
        <v>1579</v>
      </c>
      <c r="E139" s="22">
        <v>0</v>
      </c>
      <c r="F139" s="22">
        <f t="shared" si="33"/>
        <v>166</v>
      </c>
      <c r="G139" s="22">
        <v>4977</v>
      </c>
      <c r="H139" s="22">
        <v>4146</v>
      </c>
      <c r="I139" s="22">
        <v>0</v>
      </c>
      <c r="J139" s="22">
        <f t="shared" si="34"/>
        <v>831</v>
      </c>
      <c r="K139" s="22">
        <v>1000</v>
      </c>
      <c r="L139" s="22">
        <v>31</v>
      </c>
      <c r="M139" s="22">
        <v>1029</v>
      </c>
      <c r="N139" s="22">
        <v>157</v>
      </c>
      <c r="O139" s="22">
        <v>157</v>
      </c>
    </row>
    <row r="140" spans="1:15" ht="12.75" customHeight="1">
      <c r="A140" s="20" t="s">
        <v>258</v>
      </c>
      <c r="B140" s="21" t="s">
        <v>259</v>
      </c>
      <c r="C140" s="22">
        <v>344</v>
      </c>
      <c r="D140" s="22">
        <v>340</v>
      </c>
      <c r="E140" s="22">
        <v>0</v>
      </c>
      <c r="F140" s="22">
        <f t="shared" si="33"/>
        <v>4</v>
      </c>
      <c r="G140" s="22">
        <v>830</v>
      </c>
      <c r="H140" s="22">
        <v>822</v>
      </c>
      <c r="I140" s="22">
        <v>0</v>
      </c>
      <c r="J140" s="22">
        <f t="shared" si="34"/>
        <v>8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1992</v>
      </c>
      <c r="D141" s="22">
        <v>1925</v>
      </c>
      <c r="E141" s="22">
        <v>0</v>
      </c>
      <c r="F141" s="22">
        <f t="shared" si="33"/>
        <v>67</v>
      </c>
      <c r="G141" s="22">
        <v>4239</v>
      </c>
      <c r="H141" s="22">
        <v>3975</v>
      </c>
      <c r="I141" s="22">
        <v>0</v>
      </c>
      <c r="J141" s="22">
        <f t="shared" si="34"/>
        <v>264</v>
      </c>
      <c r="K141" s="22">
        <v>5</v>
      </c>
      <c r="L141" s="22">
        <v>0</v>
      </c>
      <c r="M141" s="22">
        <v>3</v>
      </c>
      <c r="N141" s="22">
        <v>232</v>
      </c>
      <c r="O141" s="22">
        <v>232</v>
      </c>
    </row>
    <row r="142" spans="1:15" ht="12.75" customHeight="1">
      <c r="A142" s="20" t="s">
        <v>262</v>
      </c>
      <c r="B142" s="21" t="s">
        <v>263</v>
      </c>
      <c r="C142" s="22">
        <v>1642</v>
      </c>
      <c r="D142" s="22">
        <v>1228</v>
      </c>
      <c r="E142" s="22">
        <v>0</v>
      </c>
      <c r="F142" s="22">
        <f t="shared" si="33"/>
        <v>414</v>
      </c>
      <c r="G142" s="22">
        <v>5364</v>
      </c>
      <c r="H142" s="22">
        <v>4135</v>
      </c>
      <c r="I142" s="22">
        <v>0</v>
      </c>
      <c r="J142" s="22">
        <f t="shared" si="34"/>
        <v>1229</v>
      </c>
      <c r="K142" s="22">
        <v>561</v>
      </c>
      <c r="L142" s="22">
        <v>0</v>
      </c>
      <c r="M142" s="22">
        <v>1585</v>
      </c>
      <c r="N142" s="22">
        <v>650</v>
      </c>
      <c r="O142" s="22">
        <v>650</v>
      </c>
    </row>
    <row r="143" spans="1:15" ht="12.75" customHeight="1">
      <c r="A143" s="20" t="s">
        <v>264</v>
      </c>
      <c r="B143" s="21" t="s">
        <v>265</v>
      </c>
      <c r="C143" s="22">
        <v>4433</v>
      </c>
      <c r="D143" s="22">
        <v>3646</v>
      </c>
      <c r="E143" s="22">
        <v>0</v>
      </c>
      <c r="F143" s="22">
        <f t="shared" si="33"/>
        <v>787</v>
      </c>
      <c r="G143" s="22">
        <v>14614</v>
      </c>
      <c r="H143" s="22">
        <v>6714</v>
      </c>
      <c r="I143" s="22">
        <v>0</v>
      </c>
      <c r="J143" s="22">
        <f t="shared" si="34"/>
        <v>7900</v>
      </c>
      <c r="K143" s="22">
        <v>3533</v>
      </c>
      <c r="L143" s="22">
        <v>62</v>
      </c>
      <c r="M143" s="22">
        <v>2110</v>
      </c>
      <c r="N143" s="22">
        <v>578</v>
      </c>
      <c r="O143" s="22">
        <v>578</v>
      </c>
    </row>
    <row r="144" spans="1:15" ht="14.7" customHeight="1">
      <c r="A144" s="20" t="s">
        <v>266</v>
      </c>
      <c r="B144" s="21" t="s">
        <v>267</v>
      </c>
      <c r="C144" s="22"/>
      <c r="D144" s="22"/>
      <c r="E144" s="22"/>
      <c r="F144" s="22">
        <v>0</v>
      </c>
      <c r="G144" s="22"/>
      <c r="H144" s="22"/>
      <c r="I144" s="22"/>
      <c r="J144" s="22">
        <v>0</v>
      </c>
      <c r="K144" s="22"/>
      <c r="L144" s="22"/>
      <c r="M144" s="22"/>
      <c r="N144" s="22"/>
      <c r="O144" s="22"/>
    </row>
    <row r="145" spans="1:15" ht="14.7" customHeight="1">
      <c r="A145" s="26"/>
      <c r="B145" s="24" t="s">
        <v>268</v>
      </c>
      <c r="C145" s="28">
        <f t="shared" ref="C145:O145" si="35">SUM(C136:C144)</f>
        <v>18839</v>
      </c>
      <c r="D145" s="28">
        <f t="shared" si="35"/>
        <v>16773</v>
      </c>
      <c r="E145" s="28">
        <f t="shared" si="35"/>
        <v>0</v>
      </c>
      <c r="F145" s="28">
        <f t="shared" si="35"/>
        <v>2066</v>
      </c>
      <c r="G145" s="28">
        <f t="shared" si="35"/>
        <v>51517</v>
      </c>
      <c r="H145" s="28">
        <f t="shared" si="35"/>
        <v>37298</v>
      </c>
      <c r="I145" s="28">
        <f t="shared" si="35"/>
        <v>0</v>
      </c>
      <c r="J145" s="28">
        <f t="shared" si="35"/>
        <v>14219</v>
      </c>
      <c r="K145" s="28">
        <f t="shared" si="35"/>
        <v>6005</v>
      </c>
      <c r="L145" s="28">
        <f t="shared" si="35"/>
        <v>1562</v>
      </c>
      <c r="M145" s="28">
        <f t="shared" si="35"/>
        <v>6815</v>
      </c>
      <c r="N145" s="28">
        <f t="shared" si="35"/>
        <v>4121</v>
      </c>
      <c r="O145" s="28">
        <f t="shared" si="35"/>
        <v>4121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616368</v>
      </c>
      <c r="D146" s="31">
        <f t="shared" si="36"/>
        <v>438345</v>
      </c>
      <c r="E146" s="31">
        <f t="shared" si="36"/>
        <v>15302</v>
      </c>
      <c r="F146" s="31">
        <f t="shared" si="36"/>
        <v>162721</v>
      </c>
      <c r="G146" s="31">
        <f t="shared" si="36"/>
        <v>1992823</v>
      </c>
      <c r="H146" s="31">
        <f t="shared" si="36"/>
        <v>1011083</v>
      </c>
      <c r="I146" s="31">
        <f t="shared" si="36"/>
        <v>79546</v>
      </c>
      <c r="J146" s="31">
        <f t="shared" si="36"/>
        <v>902194</v>
      </c>
      <c r="K146" s="31">
        <f t="shared" si="36"/>
        <v>98297</v>
      </c>
      <c r="L146" s="31">
        <f t="shared" si="36"/>
        <v>4276</v>
      </c>
      <c r="M146" s="31">
        <f t="shared" si="36"/>
        <v>227979</v>
      </c>
      <c r="N146" s="31">
        <f t="shared" si="36"/>
        <v>92363</v>
      </c>
      <c r="O146" s="31">
        <f t="shared" si="36"/>
        <v>39815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6"/>
  <sheetViews>
    <sheetView tabSelected="1" workbookViewId="0">
      <selection activeCell="C146" sqref="C146:O146"/>
    </sheetView>
  </sheetViews>
  <sheetFormatPr defaultRowHeight="12.75" customHeight="1"/>
  <cols>
    <col min="1" max="1" width="8.77734375" style="1" customWidth="1"/>
    <col min="2" max="2" width="26.44140625" style="2" customWidth="1"/>
    <col min="3" max="3" width="11.44140625" style="2" customWidth="1"/>
    <col min="4" max="4" width="10.6640625" style="2" customWidth="1"/>
    <col min="5" max="5" width="13" style="2" customWidth="1"/>
    <col min="6" max="6" width="11.6640625" style="2" customWidth="1"/>
    <col min="7" max="7" width="10.109375" style="2" customWidth="1"/>
    <col min="8" max="8" width="13.88671875" style="2" customWidth="1"/>
    <col min="9" max="9" width="12.33203125" style="2" customWidth="1"/>
    <col min="10" max="10" width="12.5546875" style="2" customWidth="1"/>
    <col min="11" max="11" width="18.33203125" style="2" customWidth="1"/>
    <col min="12" max="12" width="17.44140625" style="2" customWidth="1"/>
    <col min="13" max="13" width="16" style="2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8" t="s">
        <v>0</v>
      </c>
      <c r="B1" s="38"/>
      <c r="C1" s="38"/>
      <c r="D1" s="38"/>
      <c r="E1" s="39" t="s">
        <v>1</v>
      </c>
      <c r="F1" s="39"/>
      <c r="G1" s="39"/>
      <c r="H1" s="39"/>
      <c r="I1" s="39"/>
      <c r="J1" s="39"/>
      <c r="K1" s="39"/>
      <c r="L1" s="39"/>
      <c r="M1" s="3"/>
      <c r="N1" s="5"/>
      <c r="O1" s="5"/>
    </row>
    <row r="2" spans="1:15" ht="12" customHeight="1">
      <c r="A2" s="40" t="s">
        <v>271</v>
      </c>
      <c r="B2" s="40"/>
      <c r="C2" s="40"/>
      <c r="D2" s="40"/>
      <c r="E2" s="4"/>
      <c r="F2" s="6"/>
      <c r="G2" s="6"/>
      <c r="H2" s="6"/>
      <c r="I2" s="5"/>
      <c r="J2" s="5"/>
      <c r="K2" s="5"/>
      <c r="L2" s="5"/>
      <c r="M2" s="7"/>
      <c r="N2" s="5"/>
      <c r="O2" s="5"/>
    </row>
    <row r="3" spans="1:15" ht="10.5" customHeight="1">
      <c r="A3" s="40"/>
      <c r="B3" s="40"/>
      <c r="C3" s="40"/>
      <c r="D3" s="3"/>
      <c r="E3" s="38" t="s">
        <v>3</v>
      </c>
      <c r="F3" s="38"/>
      <c r="G3" s="38"/>
      <c r="H3" s="38"/>
      <c r="I3" s="38"/>
      <c r="J3" s="38"/>
      <c r="K3" s="38"/>
      <c r="L3" s="38"/>
      <c r="M3" s="5"/>
      <c r="N3" s="5"/>
      <c r="O3" s="5"/>
    </row>
    <row r="4" spans="1:15" ht="12.75" customHeight="1">
      <c r="A4" s="40"/>
      <c r="B4" s="40"/>
      <c r="C4" s="40"/>
      <c r="D4" s="3"/>
      <c r="E4" s="40" t="s">
        <v>4</v>
      </c>
      <c r="F4" s="40"/>
      <c r="G4" s="40"/>
      <c r="H4" s="40"/>
      <c r="I4" s="40"/>
      <c r="J4" s="40"/>
      <c r="K4" s="40"/>
      <c r="L4" s="40"/>
      <c r="M4" s="5"/>
      <c r="N4" s="5"/>
      <c r="O4" s="5"/>
    </row>
    <row r="5" spans="1:15" ht="15" customHeight="1">
      <c r="A5" s="6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32.25" customHeight="1">
      <c r="A6" s="41" t="s">
        <v>5</v>
      </c>
      <c r="B6" s="41"/>
      <c r="C6" s="41"/>
      <c r="D6" s="41"/>
      <c r="E6" s="8"/>
      <c r="F6" s="5"/>
      <c r="G6" s="5"/>
      <c r="H6" s="5"/>
      <c r="I6" s="40"/>
      <c r="J6" s="40"/>
      <c r="K6" s="40"/>
      <c r="L6" s="40"/>
      <c r="M6" s="40"/>
      <c r="N6" s="5"/>
      <c r="O6" s="5"/>
    </row>
    <row r="7" spans="1:15" ht="15" customHeight="1">
      <c r="A7" s="9"/>
      <c r="B7" s="9"/>
      <c r="C7" s="9"/>
      <c r="D7" s="9"/>
      <c r="E7" s="8"/>
      <c r="F7" s="5"/>
      <c r="G7" s="5"/>
      <c r="H7" s="5"/>
      <c r="I7" s="5"/>
      <c r="J7" s="5"/>
      <c r="K7" s="5"/>
      <c r="L7" s="40" t="s">
        <v>6</v>
      </c>
      <c r="M7" s="40"/>
      <c r="N7" s="40"/>
      <c r="O7" s="40"/>
    </row>
    <row r="8" spans="1:15" ht="15" customHeight="1">
      <c r="A8" s="9"/>
      <c r="B8" s="9"/>
      <c r="C8" s="9"/>
      <c r="D8" s="9"/>
      <c r="E8" s="8"/>
      <c r="F8" s="5"/>
      <c r="G8" s="5"/>
      <c r="H8" s="5"/>
      <c r="I8" s="5"/>
      <c r="J8" s="5"/>
      <c r="K8" s="5"/>
      <c r="L8" s="40" t="s">
        <v>272</v>
      </c>
      <c r="M8" s="40"/>
      <c r="N8" s="40"/>
      <c r="O8" s="40"/>
    </row>
    <row r="9" spans="1:15" ht="15" customHeight="1">
      <c r="A9" s="9"/>
      <c r="B9" s="9"/>
      <c r="C9" s="9"/>
      <c r="D9" s="9"/>
      <c r="E9" s="8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6.75" customHeight="1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s="10" customFormat="1" ht="17.25" customHeight="1">
      <c r="A11" s="51" t="s">
        <v>8</v>
      </c>
      <c r="B11" s="51"/>
      <c r="C11" s="52" t="s">
        <v>9</v>
      </c>
      <c r="D11" s="52"/>
      <c r="E11" s="52"/>
      <c r="F11" s="52"/>
      <c r="G11" s="52" t="s">
        <v>10</v>
      </c>
      <c r="H11" s="52"/>
      <c r="I11" s="52"/>
      <c r="J11" s="52"/>
      <c r="K11" s="53" t="s">
        <v>11</v>
      </c>
      <c r="L11" s="53"/>
      <c r="M11" s="53"/>
      <c r="N11" s="52" t="s">
        <v>12</v>
      </c>
      <c r="O11" s="52"/>
    </row>
    <row r="12" spans="1:15" ht="12.75" customHeight="1">
      <c r="A12" s="45" t="s">
        <v>13</v>
      </c>
      <c r="B12" s="54" t="s">
        <v>14</v>
      </c>
      <c r="C12" s="55" t="s">
        <v>15</v>
      </c>
      <c r="D12" s="56" t="s">
        <v>16</v>
      </c>
      <c r="E12" s="56"/>
      <c r="F12" s="55" t="s">
        <v>17</v>
      </c>
      <c r="G12" s="52" t="s">
        <v>15</v>
      </c>
      <c r="H12" s="57" t="s">
        <v>18</v>
      </c>
      <c r="I12" s="52" t="s">
        <v>19</v>
      </c>
      <c r="J12" s="52" t="s">
        <v>20</v>
      </c>
      <c r="K12" s="57" t="s">
        <v>21</v>
      </c>
      <c r="L12" s="57" t="s">
        <v>22</v>
      </c>
      <c r="M12" s="57" t="s">
        <v>23</v>
      </c>
      <c r="N12" s="58" t="s">
        <v>15</v>
      </c>
      <c r="O12" s="32" t="s">
        <v>24</v>
      </c>
    </row>
    <row r="13" spans="1:15" ht="12.75" customHeight="1">
      <c r="A13" s="45"/>
      <c r="B13" s="54"/>
      <c r="C13" s="55"/>
      <c r="D13" s="33" t="s">
        <v>25</v>
      </c>
      <c r="E13" s="14" t="s">
        <v>19</v>
      </c>
      <c r="F13" s="55"/>
      <c r="G13" s="52"/>
      <c r="H13" s="57"/>
      <c r="I13" s="52"/>
      <c r="J13" s="52"/>
      <c r="K13" s="57"/>
      <c r="L13" s="57"/>
      <c r="M13" s="57"/>
      <c r="N13" s="58"/>
      <c r="O13" s="14" t="s">
        <v>26</v>
      </c>
    </row>
    <row r="14" spans="1:15" s="19" customFormat="1" ht="10.5" customHeight="1">
      <c r="A14" s="34">
        <v>1</v>
      </c>
      <c r="B14" s="35">
        <v>2</v>
      </c>
      <c r="C14" s="36">
        <v>3</v>
      </c>
      <c r="D14" s="37">
        <v>4</v>
      </c>
      <c r="E14" s="36">
        <v>5</v>
      </c>
      <c r="F14" s="36">
        <v>6</v>
      </c>
      <c r="G14" s="36">
        <v>7</v>
      </c>
      <c r="H14" s="36">
        <v>8</v>
      </c>
      <c r="I14" s="36">
        <v>9</v>
      </c>
      <c r="J14" s="36">
        <v>10</v>
      </c>
      <c r="K14" s="36">
        <v>11</v>
      </c>
      <c r="L14" s="36">
        <v>12</v>
      </c>
      <c r="M14" s="36">
        <v>13</v>
      </c>
      <c r="N14" s="36">
        <v>14</v>
      </c>
      <c r="O14" s="35">
        <v>15</v>
      </c>
    </row>
    <row r="15" spans="1:15" ht="12.75" customHeight="1">
      <c r="A15" s="20" t="s">
        <v>27</v>
      </c>
      <c r="B15" s="21" t="s">
        <v>28</v>
      </c>
      <c r="C15" s="22">
        <v>48344</v>
      </c>
      <c r="D15" s="22">
        <v>34083</v>
      </c>
      <c r="E15" s="22">
        <v>5309</v>
      </c>
      <c r="F15" s="22">
        <f t="shared" ref="F15:F22" si="0">SUM(C15-D15-E15)</f>
        <v>8952</v>
      </c>
      <c r="G15" s="22">
        <v>231365</v>
      </c>
      <c r="H15" s="22">
        <v>94421</v>
      </c>
      <c r="I15" s="22">
        <v>27442</v>
      </c>
      <c r="J15" s="22">
        <f t="shared" ref="J15:J22" si="1">SUM(G15-H15-I15)</f>
        <v>109502</v>
      </c>
      <c r="K15" s="22">
        <v>10563</v>
      </c>
      <c r="L15" s="22">
        <v>0</v>
      </c>
      <c r="M15" s="22">
        <v>30430</v>
      </c>
      <c r="N15" s="22">
        <v>7743</v>
      </c>
      <c r="O15" s="22">
        <v>7017</v>
      </c>
    </row>
    <row r="16" spans="1:15" ht="12.75" customHeight="1">
      <c r="A16" s="20" t="s">
        <v>29</v>
      </c>
      <c r="B16" s="21" t="s">
        <v>30</v>
      </c>
      <c r="C16" s="22">
        <v>31463</v>
      </c>
      <c r="D16" s="22">
        <v>14046</v>
      </c>
      <c r="E16" s="22">
        <v>743</v>
      </c>
      <c r="F16" s="22">
        <f t="shared" si="0"/>
        <v>16674</v>
      </c>
      <c r="G16" s="22">
        <v>216259</v>
      </c>
      <c r="H16" s="22">
        <v>37052</v>
      </c>
      <c r="I16" s="22">
        <v>4779</v>
      </c>
      <c r="J16" s="22">
        <f t="shared" si="1"/>
        <v>174428</v>
      </c>
      <c r="K16" s="22">
        <v>4382</v>
      </c>
      <c r="L16" s="22">
        <v>0</v>
      </c>
      <c r="M16" s="22">
        <v>18329</v>
      </c>
      <c r="N16" s="22">
        <v>438</v>
      </c>
      <c r="O16" s="22">
        <v>438</v>
      </c>
    </row>
    <row r="17" spans="1:15" ht="12.75" customHeight="1">
      <c r="A17" s="20" t="s">
        <v>31</v>
      </c>
      <c r="B17" s="21" t="s">
        <v>32</v>
      </c>
      <c r="C17" s="22">
        <v>18671</v>
      </c>
      <c r="D17" s="22">
        <v>15049</v>
      </c>
      <c r="E17" s="22">
        <v>0</v>
      </c>
      <c r="F17" s="22">
        <f t="shared" si="0"/>
        <v>3622</v>
      </c>
      <c r="G17" s="22">
        <v>37935</v>
      </c>
      <c r="H17" s="22">
        <v>27125</v>
      </c>
      <c r="I17" s="22">
        <v>0</v>
      </c>
      <c r="J17" s="22">
        <f t="shared" si="1"/>
        <v>10810</v>
      </c>
      <c r="K17" s="22">
        <v>2054</v>
      </c>
      <c r="L17" s="22">
        <v>0</v>
      </c>
      <c r="M17" s="22">
        <v>1323</v>
      </c>
      <c r="N17" s="22">
        <v>1225</v>
      </c>
      <c r="O17" s="22">
        <v>1225</v>
      </c>
    </row>
    <row r="18" spans="1:15" ht="12.75" customHeight="1">
      <c r="A18" s="20" t="s">
        <v>33</v>
      </c>
      <c r="B18" s="21" t="s">
        <v>34</v>
      </c>
      <c r="C18" s="22">
        <v>59846</v>
      </c>
      <c r="D18" s="22">
        <v>39570</v>
      </c>
      <c r="E18" s="22">
        <v>920</v>
      </c>
      <c r="F18" s="22">
        <f t="shared" si="0"/>
        <v>19356</v>
      </c>
      <c r="G18" s="22">
        <v>153255</v>
      </c>
      <c r="H18" s="22">
        <v>102664</v>
      </c>
      <c r="I18" s="22">
        <v>3700</v>
      </c>
      <c r="J18" s="22">
        <f t="shared" si="1"/>
        <v>46891</v>
      </c>
      <c r="K18" s="22">
        <v>6546</v>
      </c>
      <c r="L18" s="22">
        <v>0</v>
      </c>
      <c r="M18" s="22">
        <v>15911</v>
      </c>
      <c r="N18" s="22">
        <v>1122</v>
      </c>
      <c r="O18" s="22">
        <v>1122</v>
      </c>
    </row>
    <row r="19" spans="1:15" ht="12.75" customHeight="1">
      <c r="A19" s="20" t="s">
        <v>35</v>
      </c>
      <c r="B19" s="21" t="s">
        <v>36</v>
      </c>
      <c r="C19" s="22">
        <v>35322</v>
      </c>
      <c r="D19" s="22">
        <v>33305</v>
      </c>
      <c r="E19" s="22">
        <v>1455</v>
      </c>
      <c r="F19" s="22">
        <f t="shared" si="0"/>
        <v>562</v>
      </c>
      <c r="G19" s="22">
        <v>98786</v>
      </c>
      <c r="H19" s="22">
        <v>79548</v>
      </c>
      <c r="I19" s="22">
        <v>6569</v>
      </c>
      <c r="J19" s="22">
        <f t="shared" si="1"/>
        <v>12669</v>
      </c>
      <c r="K19" s="22">
        <v>893</v>
      </c>
      <c r="L19" s="22">
        <v>0</v>
      </c>
      <c r="M19" s="22">
        <v>453</v>
      </c>
      <c r="N19" s="22">
        <v>941</v>
      </c>
      <c r="O19" s="22">
        <v>941</v>
      </c>
    </row>
    <row r="20" spans="1:15" ht="12.75" customHeight="1">
      <c r="A20" s="20" t="s">
        <v>37</v>
      </c>
      <c r="B20" s="21" t="s">
        <v>38</v>
      </c>
      <c r="C20" s="22">
        <v>201067</v>
      </c>
      <c r="D20" s="22">
        <v>179090</v>
      </c>
      <c r="E20" s="22">
        <v>5427</v>
      </c>
      <c r="F20" s="22">
        <f t="shared" si="0"/>
        <v>16550</v>
      </c>
      <c r="G20" s="22">
        <v>524271</v>
      </c>
      <c r="H20" s="22">
        <v>376947</v>
      </c>
      <c r="I20" s="22">
        <v>26863</v>
      </c>
      <c r="J20" s="22">
        <f t="shared" si="1"/>
        <v>120461</v>
      </c>
      <c r="K20" s="22">
        <v>15207</v>
      </c>
      <c r="L20" s="22">
        <v>8</v>
      </c>
      <c r="M20" s="22">
        <v>26749</v>
      </c>
      <c r="N20" s="22">
        <v>3965</v>
      </c>
      <c r="O20" s="22">
        <v>3965</v>
      </c>
    </row>
    <row r="21" spans="1:15" ht="12.75" customHeight="1">
      <c r="A21" s="20" t="s">
        <v>39</v>
      </c>
      <c r="B21" s="21" t="s">
        <v>40</v>
      </c>
      <c r="C21" s="22">
        <v>16635</v>
      </c>
      <c r="D21" s="22">
        <v>16297</v>
      </c>
      <c r="E21" s="22">
        <v>0</v>
      </c>
      <c r="F21" s="22">
        <f t="shared" si="0"/>
        <v>338</v>
      </c>
      <c r="G21" s="22">
        <v>30057</v>
      </c>
      <c r="H21" s="22">
        <v>27966</v>
      </c>
      <c r="I21" s="22">
        <v>0</v>
      </c>
      <c r="J21" s="22">
        <f t="shared" si="1"/>
        <v>2091</v>
      </c>
      <c r="K21" s="22">
        <v>124</v>
      </c>
      <c r="L21" s="22">
        <v>0</v>
      </c>
      <c r="M21" s="22">
        <v>0</v>
      </c>
      <c r="N21" s="22">
        <v>127</v>
      </c>
      <c r="O21" s="22">
        <v>127</v>
      </c>
    </row>
    <row r="22" spans="1:15" ht="12.75" customHeight="1">
      <c r="A22" s="20" t="s">
        <v>41</v>
      </c>
      <c r="B22" s="21" t="s">
        <v>42</v>
      </c>
      <c r="C22" s="22">
        <v>15737</v>
      </c>
      <c r="D22" s="22">
        <v>12659</v>
      </c>
      <c r="E22" s="22">
        <v>1633</v>
      </c>
      <c r="F22" s="22">
        <f t="shared" si="0"/>
        <v>1445</v>
      </c>
      <c r="G22" s="22">
        <v>44610</v>
      </c>
      <c r="H22" s="22">
        <v>27313</v>
      </c>
      <c r="I22" s="22">
        <v>6453</v>
      </c>
      <c r="J22" s="22">
        <f t="shared" si="1"/>
        <v>10844</v>
      </c>
      <c r="K22" s="22">
        <v>2606</v>
      </c>
      <c r="L22" s="22">
        <v>0</v>
      </c>
      <c r="M22" s="22">
        <v>9876</v>
      </c>
      <c r="N22" s="22">
        <v>765</v>
      </c>
      <c r="O22" s="22">
        <v>765</v>
      </c>
    </row>
    <row r="23" spans="1:15" ht="12.75" customHeight="1">
      <c r="A23" s="23"/>
      <c r="B23" s="24" t="s">
        <v>43</v>
      </c>
      <c r="C23" s="25">
        <f t="shared" ref="C23:O23" si="2">SUM(C15:C22)</f>
        <v>427085</v>
      </c>
      <c r="D23" s="25">
        <f t="shared" si="2"/>
        <v>344099</v>
      </c>
      <c r="E23" s="25">
        <f t="shared" si="2"/>
        <v>15487</v>
      </c>
      <c r="F23" s="25">
        <f t="shared" si="2"/>
        <v>67499</v>
      </c>
      <c r="G23" s="25">
        <f t="shared" si="2"/>
        <v>1336538</v>
      </c>
      <c r="H23" s="25">
        <f t="shared" si="2"/>
        <v>773036</v>
      </c>
      <c r="I23" s="25">
        <f t="shared" si="2"/>
        <v>75806</v>
      </c>
      <c r="J23" s="25">
        <f t="shared" si="2"/>
        <v>487696</v>
      </c>
      <c r="K23" s="25">
        <f t="shared" si="2"/>
        <v>42375</v>
      </c>
      <c r="L23" s="25">
        <f t="shared" si="2"/>
        <v>8</v>
      </c>
      <c r="M23" s="25">
        <f t="shared" si="2"/>
        <v>103071</v>
      </c>
      <c r="N23" s="25">
        <f t="shared" si="2"/>
        <v>16326</v>
      </c>
      <c r="O23" s="25">
        <f t="shared" si="2"/>
        <v>15600</v>
      </c>
    </row>
    <row r="24" spans="1:15" ht="14.25" customHeight="1">
      <c r="A24" s="20" t="s">
        <v>44</v>
      </c>
      <c r="B24" s="21" t="s">
        <v>45</v>
      </c>
      <c r="C24" s="22">
        <v>18357</v>
      </c>
      <c r="D24" s="22">
        <v>12825</v>
      </c>
      <c r="E24" s="22">
        <v>1309</v>
      </c>
      <c r="F24" s="22">
        <f>SUM(C24-D24-E24)</f>
        <v>4223</v>
      </c>
      <c r="G24" s="22">
        <v>44276</v>
      </c>
      <c r="H24" s="22">
        <v>22822</v>
      </c>
      <c r="I24" s="22">
        <v>4258</v>
      </c>
      <c r="J24" s="22">
        <f>SUM(G24-H24-I24)</f>
        <v>17196</v>
      </c>
      <c r="K24" s="22">
        <v>11189</v>
      </c>
      <c r="L24" s="22">
        <v>0</v>
      </c>
      <c r="M24" s="22">
        <v>3226</v>
      </c>
      <c r="N24" s="22">
        <v>453</v>
      </c>
      <c r="O24" s="22">
        <v>453</v>
      </c>
    </row>
    <row r="25" spans="1:15" ht="14.25" customHeight="1">
      <c r="A25" s="26"/>
      <c r="B25" s="24" t="s">
        <v>46</v>
      </c>
      <c r="C25" s="25">
        <f t="shared" ref="C25:O25" si="3">SUM(C24)</f>
        <v>18357</v>
      </c>
      <c r="D25" s="25">
        <f t="shared" si="3"/>
        <v>12825</v>
      </c>
      <c r="E25" s="25">
        <f t="shared" si="3"/>
        <v>1309</v>
      </c>
      <c r="F25" s="25">
        <f t="shared" si="3"/>
        <v>4223</v>
      </c>
      <c r="G25" s="25">
        <f t="shared" si="3"/>
        <v>44276</v>
      </c>
      <c r="H25" s="25">
        <f t="shared" si="3"/>
        <v>22822</v>
      </c>
      <c r="I25" s="25">
        <f t="shared" si="3"/>
        <v>4258</v>
      </c>
      <c r="J25" s="25">
        <f t="shared" si="3"/>
        <v>17196</v>
      </c>
      <c r="K25" s="25">
        <f t="shared" si="3"/>
        <v>11189</v>
      </c>
      <c r="L25" s="25">
        <f t="shared" si="3"/>
        <v>0</v>
      </c>
      <c r="M25" s="25">
        <f t="shared" si="3"/>
        <v>3226</v>
      </c>
      <c r="N25" s="25">
        <f t="shared" si="3"/>
        <v>453</v>
      </c>
      <c r="O25" s="25">
        <f t="shared" si="3"/>
        <v>453</v>
      </c>
    </row>
    <row r="26" spans="1:15" ht="12.75" customHeight="1">
      <c r="A26" s="20" t="s">
        <v>47</v>
      </c>
      <c r="B26" s="21" t="s">
        <v>48</v>
      </c>
      <c r="C26" s="22">
        <v>117621</v>
      </c>
      <c r="D26" s="22">
        <v>65742</v>
      </c>
      <c r="E26" s="22">
        <v>4905</v>
      </c>
      <c r="F26" s="22">
        <f>SUM(C26-D26-E26)</f>
        <v>46974</v>
      </c>
      <c r="G26" s="22">
        <v>297457</v>
      </c>
      <c r="H26" s="22">
        <v>111255</v>
      </c>
      <c r="I26" s="22">
        <v>15124</v>
      </c>
      <c r="J26" s="22">
        <f>SUM(G26-H26-I26)</f>
        <v>171078</v>
      </c>
      <c r="K26" s="22">
        <v>17774</v>
      </c>
      <c r="L26" s="22">
        <v>0</v>
      </c>
      <c r="M26" s="22">
        <v>9233</v>
      </c>
      <c r="N26" s="22">
        <v>5111</v>
      </c>
      <c r="O26" s="22">
        <v>5111</v>
      </c>
    </row>
    <row r="27" spans="1:15" ht="12.75" customHeight="1">
      <c r="A27" s="20" t="s">
        <v>49</v>
      </c>
      <c r="B27" s="21" t="s">
        <v>50</v>
      </c>
      <c r="C27" s="22">
        <v>26511</v>
      </c>
      <c r="D27" s="22">
        <v>22251</v>
      </c>
      <c r="E27" s="22">
        <v>1188</v>
      </c>
      <c r="F27" s="22">
        <f>SUM(C27-D27-E27)</f>
        <v>3072</v>
      </c>
      <c r="G27" s="22">
        <v>51266</v>
      </c>
      <c r="H27" s="22">
        <v>33752</v>
      </c>
      <c r="I27" s="22">
        <v>3609</v>
      </c>
      <c r="J27" s="22">
        <f>SUM(G27-H27-I27)</f>
        <v>13905</v>
      </c>
      <c r="K27" s="22">
        <v>3287</v>
      </c>
      <c r="L27" s="22">
        <v>0</v>
      </c>
      <c r="M27" s="22">
        <v>1585</v>
      </c>
      <c r="N27" s="22">
        <v>732</v>
      </c>
      <c r="O27" s="22">
        <v>732</v>
      </c>
    </row>
    <row r="28" spans="1:15" ht="12.75" customHeight="1">
      <c r="A28" s="20" t="s">
        <v>51</v>
      </c>
      <c r="B28" s="21" t="s">
        <v>52</v>
      </c>
      <c r="C28" s="22">
        <v>26880</v>
      </c>
      <c r="D28" s="22">
        <v>17254</v>
      </c>
      <c r="E28" s="22">
        <v>2304</v>
      </c>
      <c r="F28" s="22">
        <f>SUM(C28-D28-E28)</f>
        <v>7322</v>
      </c>
      <c r="G28" s="22">
        <v>72765</v>
      </c>
      <c r="H28" s="22">
        <v>37033</v>
      </c>
      <c r="I28" s="22">
        <v>10965</v>
      </c>
      <c r="J28" s="22">
        <f>SUM(G28-H28-I28)</f>
        <v>24767</v>
      </c>
      <c r="K28" s="22">
        <v>836</v>
      </c>
      <c r="L28" s="22">
        <v>0</v>
      </c>
      <c r="M28" s="22">
        <v>1180</v>
      </c>
      <c r="N28" s="22">
        <v>253</v>
      </c>
      <c r="O28" s="22">
        <v>253</v>
      </c>
    </row>
    <row r="29" spans="1:15" ht="12.75" customHeight="1">
      <c r="A29" s="20" t="s">
        <v>53</v>
      </c>
      <c r="B29" s="21" t="s">
        <v>54</v>
      </c>
      <c r="C29" s="22">
        <v>31650</v>
      </c>
      <c r="D29" s="22">
        <v>26956</v>
      </c>
      <c r="E29" s="22">
        <v>3689</v>
      </c>
      <c r="F29" s="22">
        <f>SUM(C29-D29-E29)</f>
        <v>1005</v>
      </c>
      <c r="G29" s="22">
        <v>68969</v>
      </c>
      <c r="H29" s="22">
        <v>53731</v>
      </c>
      <c r="I29" s="22">
        <v>12876</v>
      </c>
      <c r="J29" s="22">
        <f>SUM(G29-H29-I29)</f>
        <v>2362</v>
      </c>
      <c r="K29" s="22">
        <v>86</v>
      </c>
      <c r="L29" s="22">
        <v>0</v>
      </c>
      <c r="M29" s="22">
        <v>89</v>
      </c>
      <c r="N29" s="22">
        <v>89</v>
      </c>
      <c r="O29" s="22">
        <v>89</v>
      </c>
    </row>
    <row r="30" spans="1:15" ht="12.75" customHeight="1">
      <c r="A30" s="23"/>
      <c r="B30" s="24" t="s">
        <v>55</v>
      </c>
      <c r="C30" s="25">
        <f t="shared" ref="C30:O30" si="4">SUM(C26:C29)</f>
        <v>202662</v>
      </c>
      <c r="D30" s="25">
        <f t="shared" si="4"/>
        <v>132203</v>
      </c>
      <c r="E30" s="25">
        <f t="shared" si="4"/>
        <v>12086</v>
      </c>
      <c r="F30" s="25">
        <f t="shared" si="4"/>
        <v>58373</v>
      </c>
      <c r="G30" s="25">
        <f t="shared" si="4"/>
        <v>490457</v>
      </c>
      <c r="H30" s="25">
        <f t="shared" si="4"/>
        <v>235771</v>
      </c>
      <c r="I30" s="25">
        <f t="shared" si="4"/>
        <v>42574</v>
      </c>
      <c r="J30" s="25">
        <f t="shared" si="4"/>
        <v>212112</v>
      </c>
      <c r="K30" s="25">
        <f t="shared" si="4"/>
        <v>21983</v>
      </c>
      <c r="L30" s="25">
        <f t="shared" si="4"/>
        <v>0</v>
      </c>
      <c r="M30" s="25">
        <f t="shared" si="4"/>
        <v>12087</v>
      </c>
      <c r="N30" s="25">
        <f t="shared" si="4"/>
        <v>6185</v>
      </c>
      <c r="O30" s="25">
        <f t="shared" si="4"/>
        <v>6185</v>
      </c>
    </row>
    <row r="31" spans="1:15" ht="12.75" customHeight="1">
      <c r="A31" s="20" t="s">
        <v>56</v>
      </c>
      <c r="B31" s="21" t="s">
        <v>57</v>
      </c>
      <c r="C31" s="22">
        <v>100996</v>
      </c>
      <c r="D31" s="22">
        <v>82574</v>
      </c>
      <c r="E31" s="22">
        <v>2002</v>
      </c>
      <c r="F31" s="22">
        <f t="shared" ref="F31:F42" si="5">SUM(C31-D31-E31)</f>
        <v>16420</v>
      </c>
      <c r="G31" s="22">
        <v>293955</v>
      </c>
      <c r="H31" s="22">
        <v>165610</v>
      </c>
      <c r="I31" s="22">
        <v>8584</v>
      </c>
      <c r="J31" s="22">
        <f t="shared" ref="J31:J42" si="6">SUM(G31-H31-I31)</f>
        <v>119761</v>
      </c>
      <c r="K31" s="22">
        <v>5557</v>
      </c>
      <c r="L31" s="22">
        <v>0</v>
      </c>
      <c r="M31" s="22">
        <v>6309</v>
      </c>
      <c r="N31" s="22">
        <v>1025</v>
      </c>
      <c r="O31" s="22">
        <v>1025</v>
      </c>
    </row>
    <row r="32" spans="1:15" ht="12.75" customHeight="1">
      <c r="A32" s="20" t="s">
        <v>58</v>
      </c>
      <c r="B32" s="21" t="s">
        <v>59</v>
      </c>
      <c r="C32" s="22">
        <v>149144</v>
      </c>
      <c r="D32" s="22">
        <v>133661</v>
      </c>
      <c r="E32" s="22">
        <v>5072</v>
      </c>
      <c r="F32" s="22">
        <f t="shared" si="5"/>
        <v>10411</v>
      </c>
      <c r="G32" s="22">
        <v>529100</v>
      </c>
      <c r="H32" s="22">
        <v>314977</v>
      </c>
      <c r="I32" s="22">
        <v>25104</v>
      </c>
      <c r="J32" s="22">
        <f t="shared" si="6"/>
        <v>189019</v>
      </c>
      <c r="K32" s="22">
        <v>13718</v>
      </c>
      <c r="L32" s="22">
        <v>0</v>
      </c>
      <c r="M32" s="22">
        <v>87995</v>
      </c>
      <c r="N32" s="22">
        <v>3076</v>
      </c>
      <c r="O32" s="22">
        <v>3076</v>
      </c>
    </row>
    <row r="33" spans="1:256" ht="12.75" customHeight="1">
      <c r="A33" s="20" t="s">
        <v>60</v>
      </c>
      <c r="B33" s="21" t="s">
        <v>61</v>
      </c>
      <c r="C33" s="22">
        <v>73483</v>
      </c>
      <c r="D33" s="22">
        <v>56235</v>
      </c>
      <c r="E33" s="22">
        <v>1996</v>
      </c>
      <c r="F33" s="22">
        <f t="shared" si="5"/>
        <v>15252</v>
      </c>
      <c r="G33" s="22">
        <v>253876</v>
      </c>
      <c r="H33" s="22">
        <v>73453</v>
      </c>
      <c r="I33" s="22">
        <v>5085</v>
      </c>
      <c r="J33" s="22">
        <f t="shared" si="6"/>
        <v>175338</v>
      </c>
      <c r="K33" s="22">
        <v>16435</v>
      </c>
      <c r="L33" s="22">
        <v>205</v>
      </c>
      <c r="M33" s="22">
        <v>18917</v>
      </c>
      <c r="N33" s="22">
        <v>1726</v>
      </c>
      <c r="O33" s="22">
        <v>1726</v>
      </c>
    </row>
    <row r="34" spans="1:256" ht="12.75" customHeight="1">
      <c r="A34" s="20" t="s">
        <v>62</v>
      </c>
      <c r="B34" s="21" t="s">
        <v>63</v>
      </c>
      <c r="C34" s="22">
        <v>82579</v>
      </c>
      <c r="D34" s="22">
        <v>24143</v>
      </c>
      <c r="E34" s="22">
        <v>424</v>
      </c>
      <c r="F34" s="22">
        <f t="shared" si="5"/>
        <v>58012</v>
      </c>
      <c r="G34" s="22">
        <v>265259</v>
      </c>
      <c r="H34" s="22">
        <v>62433</v>
      </c>
      <c r="I34" s="22">
        <v>1825</v>
      </c>
      <c r="J34" s="22">
        <f t="shared" si="6"/>
        <v>201001</v>
      </c>
      <c r="K34" s="22">
        <v>2164</v>
      </c>
      <c r="L34" s="22">
        <v>127</v>
      </c>
      <c r="M34" s="22">
        <v>33543</v>
      </c>
      <c r="N34" s="22">
        <v>337</v>
      </c>
      <c r="O34" s="22">
        <v>337</v>
      </c>
    </row>
    <row r="35" spans="1:256" ht="12.75" customHeight="1">
      <c r="A35" s="20" t="s">
        <v>64</v>
      </c>
      <c r="B35" s="21" t="s">
        <v>65</v>
      </c>
      <c r="C35" s="22">
        <v>33813</v>
      </c>
      <c r="D35" s="22">
        <v>33140</v>
      </c>
      <c r="E35" s="22">
        <v>0</v>
      </c>
      <c r="F35" s="22">
        <f t="shared" si="5"/>
        <v>673</v>
      </c>
      <c r="G35" s="22">
        <v>60001</v>
      </c>
      <c r="H35" s="22">
        <v>54622</v>
      </c>
      <c r="I35" s="22">
        <v>0</v>
      </c>
      <c r="J35" s="22">
        <f t="shared" si="6"/>
        <v>5379</v>
      </c>
      <c r="K35" s="22">
        <v>1377</v>
      </c>
      <c r="L35" s="22">
        <v>0</v>
      </c>
      <c r="M35" s="22">
        <v>230</v>
      </c>
      <c r="N35" s="22">
        <v>2900</v>
      </c>
      <c r="O35" s="22">
        <v>2900</v>
      </c>
    </row>
    <row r="36" spans="1:256" ht="12.75" customHeight="1">
      <c r="A36" s="20" t="s">
        <v>66</v>
      </c>
      <c r="B36" s="21" t="s">
        <v>67</v>
      </c>
      <c r="C36" s="22">
        <v>19885</v>
      </c>
      <c r="D36" s="22">
        <v>15752</v>
      </c>
      <c r="E36" s="22">
        <v>1923</v>
      </c>
      <c r="F36" s="22">
        <f t="shared" si="5"/>
        <v>2210</v>
      </c>
      <c r="G36" s="22">
        <v>56584</v>
      </c>
      <c r="H36" s="22">
        <v>39640</v>
      </c>
      <c r="I36" s="22">
        <v>9111</v>
      </c>
      <c r="J36" s="22">
        <f t="shared" si="6"/>
        <v>7833</v>
      </c>
      <c r="K36" s="22">
        <v>338</v>
      </c>
      <c r="L36" s="22">
        <v>0</v>
      </c>
      <c r="M36" s="22">
        <v>4198</v>
      </c>
      <c r="N36" s="22">
        <v>9</v>
      </c>
      <c r="O36" s="22">
        <v>9</v>
      </c>
    </row>
    <row r="37" spans="1:256" ht="12.75" customHeight="1">
      <c r="A37" s="20" t="s">
        <v>68</v>
      </c>
      <c r="B37" s="21" t="s">
        <v>69</v>
      </c>
      <c r="C37" s="22">
        <v>31786</v>
      </c>
      <c r="D37" s="22">
        <v>27717</v>
      </c>
      <c r="E37" s="22">
        <v>294</v>
      </c>
      <c r="F37" s="22">
        <f t="shared" si="5"/>
        <v>3775</v>
      </c>
      <c r="G37" s="22">
        <v>113741</v>
      </c>
      <c r="H37" s="22">
        <v>75482</v>
      </c>
      <c r="I37" s="22">
        <v>1156</v>
      </c>
      <c r="J37" s="22">
        <f t="shared" si="6"/>
        <v>37103</v>
      </c>
      <c r="K37" s="22">
        <v>786</v>
      </c>
      <c r="L37" s="22">
        <v>0</v>
      </c>
      <c r="M37" s="22">
        <v>10992</v>
      </c>
      <c r="N37" s="22">
        <v>2518</v>
      </c>
      <c r="O37" s="22">
        <v>2518</v>
      </c>
    </row>
    <row r="38" spans="1:256" ht="12.75" customHeight="1">
      <c r="A38" s="20" t="s">
        <v>70</v>
      </c>
      <c r="B38" s="21" t="s">
        <v>71</v>
      </c>
      <c r="C38" s="22">
        <v>484806</v>
      </c>
      <c r="D38" s="22">
        <v>366103</v>
      </c>
      <c r="E38" s="22">
        <v>13915</v>
      </c>
      <c r="F38" s="22">
        <f t="shared" si="5"/>
        <v>104788</v>
      </c>
      <c r="G38" s="22">
        <v>1118995</v>
      </c>
      <c r="H38" s="22">
        <v>643087</v>
      </c>
      <c r="I38" s="22">
        <v>55209</v>
      </c>
      <c r="J38" s="22">
        <f t="shared" si="6"/>
        <v>420699</v>
      </c>
      <c r="K38" s="22">
        <v>46643</v>
      </c>
      <c r="L38" s="22">
        <v>0</v>
      </c>
      <c r="M38" s="22">
        <v>50681</v>
      </c>
      <c r="N38" s="22">
        <v>355525</v>
      </c>
      <c r="O38" s="22">
        <v>43273</v>
      </c>
    </row>
    <row r="39" spans="1:256" ht="12.75" customHeight="1">
      <c r="A39" s="20" t="s">
        <v>72</v>
      </c>
      <c r="B39" s="21" t="s">
        <v>73</v>
      </c>
      <c r="C39" s="22">
        <v>69728</v>
      </c>
      <c r="D39" s="22">
        <v>64445</v>
      </c>
      <c r="E39" s="22">
        <v>2151</v>
      </c>
      <c r="F39" s="22">
        <f t="shared" si="5"/>
        <v>3132</v>
      </c>
      <c r="G39" s="22">
        <v>127825</v>
      </c>
      <c r="H39" s="22">
        <v>104195</v>
      </c>
      <c r="I39" s="22">
        <v>11512</v>
      </c>
      <c r="J39" s="22">
        <f t="shared" si="6"/>
        <v>12118</v>
      </c>
      <c r="K39" s="22">
        <v>2542</v>
      </c>
      <c r="L39" s="22">
        <v>0</v>
      </c>
      <c r="M39" s="22">
        <v>159</v>
      </c>
      <c r="N39" s="22">
        <v>165</v>
      </c>
      <c r="O39" s="22">
        <v>165</v>
      </c>
    </row>
    <row r="40" spans="1:256" ht="12.75" customHeight="1">
      <c r="A40" s="20" t="s">
        <v>74</v>
      </c>
      <c r="B40" s="21" t="s">
        <v>75</v>
      </c>
      <c r="C40" s="22">
        <v>49373</v>
      </c>
      <c r="D40" s="22">
        <v>42720</v>
      </c>
      <c r="E40" s="22">
        <v>2259</v>
      </c>
      <c r="F40" s="22">
        <f t="shared" si="5"/>
        <v>4394</v>
      </c>
      <c r="G40" s="22">
        <v>138145</v>
      </c>
      <c r="H40" s="22">
        <v>87652</v>
      </c>
      <c r="I40" s="22">
        <v>9276</v>
      </c>
      <c r="J40" s="22">
        <f t="shared" si="6"/>
        <v>41217</v>
      </c>
      <c r="K40" s="22">
        <v>3084</v>
      </c>
      <c r="L40" s="22">
        <v>27</v>
      </c>
      <c r="M40" s="22">
        <v>39729</v>
      </c>
      <c r="N40" s="22">
        <v>690</v>
      </c>
      <c r="O40" s="22">
        <v>690</v>
      </c>
    </row>
    <row r="41" spans="1:256" ht="12.75" customHeight="1">
      <c r="A41" s="20" t="s">
        <v>76</v>
      </c>
      <c r="B41" s="21" t="s">
        <v>77</v>
      </c>
      <c r="C41" s="22">
        <v>17077</v>
      </c>
      <c r="D41" s="22">
        <v>14512</v>
      </c>
      <c r="E41" s="22">
        <v>0</v>
      </c>
      <c r="F41" s="22">
        <f t="shared" si="5"/>
        <v>2565</v>
      </c>
      <c r="G41" s="22">
        <v>58455</v>
      </c>
      <c r="H41" s="22">
        <v>38986</v>
      </c>
      <c r="I41" s="22">
        <v>0</v>
      </c>
      <c r="J41" s="22">
        <f t="shared" si="6"/>
        <v>19469</v>
      </c>
      <c r="K41" s="22">
        <v>5822</v>
      </c>
      <c r="L41" s="22">
        <v>0</v>
      </c>
      <c r="M41" s="22">
        <v>1207</v>
      </c>
      <c r="N41" s="22">
        <v>2764</v>
      </c>
      <c r="O41" s="22">
        <v>2764</v>
      </c>
    </row>
    <row r="42" spans="1:256" ht="12.75" customHeight="1">
      <c r="A42" s="20" t="s">
        <v>78</v>
      </c>
      <c r="B42" s="21" t="s">
        <v>79</v>
      </c>
      <c r="C42" s="22">
        <v>111746</v>
      </c>
      <c r="D42" s="22">
        <v>88347</v>
      </c>
      <c r="E42" s="22">
        <v>2634</v>
      </c>
      <c r="F42" s="22">
        <f t="shared" si="5"/>
        <v>20765</v>
      </c>
      <c r="G42" s="22">
        <v>188783</v>
      </c>
      <c r="H42" s="22">
        <v>140090</v>
      </c>
      <c r="I42" s="22">
        <v>6409</v>
      </c>
      <c r="J42" s="22">
        <f t="shared" si="6"/>
        <v>42284</v>
      </c>
      <c r="K42" s="22">
        <v>4865</v>
      </c>
      <c r="L42" s="22">
        <v>0</v>
      </c>
      <c r="M42" s="22">
        <v>476</v>
      </c>
      <c r="N42" s="22">
        <v>708</v>
      </c>
      <c r="O42" s="22">
        <v>708</v>
      </c>
    </row>
    <row r="43" spans="1:256" ht="12.75" customHeight="1">
      <c r="A43" s="23"/>
      <c r="B43" s="24" t="s">
        <v>80</v>
      </c>
      <c r="C43" s="25">
        <f t="shared" ref="C43:O43" si="7">SUM(C31:C42)</f>
        <v>1224416</v>
      </c>
      <c r="D43" s="25">
        <f t="shared" si="7"/>
        <v>949349</v>
      </c>
      <c r="E43" s="25">
        <f t="shared" si="7"/>
        <v>32670</v>
      </c>
      <c r="F43" s="25">
        <f t="shared" si="7"/>
        <v>242397</v>
      </c>
      <c r="G43" s="25">
        <f t="shared" si="7"/>
        <v>3204719</v>
      </c>
      <c r="H43" s="25">
        <f t="shared" si="7"/>
        <v>1800227</v>
      </c>
      <c r="I43" s="25">
        <f t="shared" si="7"/>
        <v>133271</v>
      </c>
      <c r="J43" s="25">
        <f t="shared" si="7"/>
        <v>1271221</v>
      </c>
      <c r="K43" s="25">
        <f t="shared" si="7"/>
        <v>103331</v>
      </c>
      <c r="L43" s="25">
        <f t="shared" si="7"/>
        <v>359</v>
      </c>
      <c r="M43" s="25">
        <f t="shared" si="7"/>
        <v>254436</v>
      </c>
      <c r="N43" s="25">
        <f t="shared" si="7"/>
        <v>371443</v>
      </c>
      <c r="O43" s="25">
        <f t="shared" si="7"/>
        <v>59191</v>
      </c>
    </row>
    <row r="44" spans="1:256" ht="12.75" customHeight="1">
      <c r="A44" s="20" t="s">
        <v>81</v>
      </c>
      <c r="B44" s="21" t="s">
        <v>82</v>
      </c>
      <c r="C44" s="22">
        <v>44309</v>
      </c>
      <c r="D44" s="22">
        <v>37466</v>
      </c>
      <c r="E44" s="22">
        <v>1487</v>
      </c>
      <c r="F44" s="22">
        <f>SUM(C44-D44-E44)</f>
        <v>5356</v>
      </c>
      <c r="G44" s="22">
        <v>158090</v>
      </c>
      <c r="H44" s="22">
        <v>90058</v>
      </c>
      <c r="I44" s="22">
        <v>4753</v>
      </c>
      <c r="J44" s="22">
        <f>SUM(G44-H44-I44)</f>
        <v>63279</v>
      </c>
      <c r="K44" s="22">
        <v>10299</v>
      </c>
      <c r="L44" s="22">
        <v>1953</v>
      </c>
      <c r="M44" s="22">
        <v>6487</v>
      </c>
      <c r="N44" s="22">
        <v>1858</v>
      </c>
      <c r="O44" s="22">
        <v>1858</v>
      </c>
    </row>
    <row r="45" spans="1:256" ht="12.75" customHeight="1">
      <c r="A45" s="20" t="s">
        <v>83</v>
      </c>
      <c r="B45" s="21" t="s">
        <v>84</v>
      </c>
      <c r="C45" s="22">
        <v>59770</v>
      </c>
      <c r="D45" s="22">
        <v>45323</v>
      </c>
      <c r="E45" s="22">
        <v>2256</v>
      </c>
      <c r="F45" s="22">
        <f>SUM(C45-D45-E45)</f>
        <v>12191</v>
      </c>
      <c r="G45" s="22">
        <v>250088</v>
      </c>
      <c r="H45" s="22">
        <v>103050</v>
      </c>
      <c r="I45" s="22">
        <v>7854</v>
      </c>
      <c r="J45" s="22">
        <f>SUM(G45-H45-I45)</f>
        <v>139184</v>
      </c>
      <c r="K45" s="22">
        <v>50801</v>
      </c>
      <c r="L45" s="22">
        <v>0</v>
      </c>
      <c r="M45" s="22">
        <v>30652</v>
      </c>
      <c r="N45" s="22">
        <v>138</v>
      </c>
      <c r="O45" s="22">
        <v>138</v>
      </c>
    </row>
    <row r="46" spans="1:256" ht="12.75" customHeight="1">
      <c r="A46" s="23"/>
      <c r="B46" s="24" t="s">
        <v>85</v>
      </c>
      <c r="C46" s="25">
        <f t="shared" ref="C46:O46" si="8">SUM(C44:C45)</f>
        <v>104079</v>
      </c>
      <c r="D46" s="25">
        <f t="shared" si="8"/>
        <v>82789</v>
      </c>
      <c r="E46" s="25">
        <f t="shared" si="8"/>
        <v>3743</v>
      </c>
      <c r="F46" s="25">
        <f t="shared" si="8"/>
        <v>17547</v>
      </c>
      <c r="G46" s="25">
        <f t="shared" si="8"/>
        <v>408178</v>
      </c>
      <c r="H46" s="25">
        <f t="shared" si="8"/>
        <v>193108</v>
      </c>
      <c r="I46" s="25">
        <f t="shared" si="8"/>
        <v>12607</v>
      </c>
      <c r="J46" s="25">
        <f t="shared" si="8"/>
        <v>202463</v>
      </c>
      <c r="K46" s="25">
        <f t="shared" si="8"/>
        <v>61100</v>
      </c>
      <c r="L46" s="25">
        <f t="shared" si="8"/>
        <v>1953</v>
      </c>
      <c r="M46" s="25">
        <f t="shared" si="8"/>
        <v>37139</v>
      </c>
      <c r="N46" s="25">
        <f t="shared" si="8"/>
        <v>1996</v>
      </c>
      <c r="O46" s="25">
        <f t="shared" si="8"/>
        <v>1996</v>
      </c>
      <c r="GM46" s="27"/>
      <c r="GN46" s="27"/>
      <c r="GO46" s="27"/>
      <c r="GP46" s="27"/>
      <c r="GQ46" s="27"/>
      <c r="GR46" s="27"/>
      <c r="GS46" s="27"/>
      <c r="GT46" s="27"/>
      <c r="GU46" s="27"/>
      <c r="GV46" s="27"/>
      <c r="GW46" s="27"/>
      <c r="GX46" s="27"/>
      <c r="GY46" s="27"/>
      <c r="GZ46" s="27"/>
      <c r="HA46" s="27"/>
      <c r="HB46" s="27"/>
      <c r="HC46" s="27"/>
      <c r="HD46" s="27"/>
      <c r="HE46" s="27"/>
      <c r="HF46" s="27"/>
      <c r="HG46" s="27"/>
      <c r="HH46" s="27"/>
      <c r="HI46" s="27"/>
      <c r="HJ46" s="27"/>
      <c r="HK46" s="27"/>
      <c r="HL46" s="27"/>
      <c r="HM46" s="27"/>
      <c r="HN46" s="27"/>
      <c r="HO46" s="27"/>
      <c r="HP46" s="27"/>
      <c r="HQ46" s="27"/>
      <c r="HR46" s="27"/>
      <c r="HS46" s="27"/>
      <c r="HT46" s="27"/>
      <c r="HU46" s="27"/>
      <c r="HV46" s="27"/>
      <c r="HW46" s="27"/>
      <c r="HX46" s="27"/>
      <c r="HY46" s="27"/>
      <c r="HZ46" s="27"/>
      <c r="IA46" s="27"/>
      <c r="IB46" s="27"/>
      <c r="IC46" s="27"/>
      <c r="ID46" s="27"/>
      <c r="IE46" s="27"/>
      <c r="IF46" s="27"/>
      <c r="IG46" s="27"/>
      <c r="IH46" s="27"/>
      <c r="II46" s="27"/>
      <c r="IJ46" s="27"/>
      <c r="IK46" s="27"/>
      <c r="IL46" s="27"/>
      <c r="IM46" s="27"/>
      <c r="IN46" s="27"/>
      <c r="IO46" s="27"/>
      <c r="IP46" s="27"/>
      <c r="IQ46" s="27"/>
      <c r="IR46" s="27"/>
      <c r="IS46" s="27"/>
      <c r="IT46" s="27"/>
      <c r="IU46" s="27"/>
      <c r="IV46" s="27"/>
    </row>
    <row r="47" spans="1:256" ht="13.5" customHeight="1">
      <c r="A47" s="20" t="s">
        <v>86</v>
      </c>
      <c r="B47" s="21" t="s">
        <v>87</v>
      </c>
      <c r="C47" s="22">
        <v>10352</v>
      </c>
      <c r="D47" s="22">
        <v>9034</v>
      </c>
      <c r="E47" s="22">
        <v>0</v>
      </c>
      <c r="F47" s="22">
        <f>SUM(C47-D47-E47)</f>
        <v>1318</v>
      </c>
      <c r="G47" s="22">
        <v>10740</v>
      </c>
      <c r="H47" s="22">
        <v>8286</v>
      </c>
      <c r="I47" s="22">
        <v>0</v>
      </c>
      <c r="J47" s="22">
        <f>SUM(G47-H47-I47)</f>
        <v>2454</v>
      </c>
      <c r="K47" s="22">
        <v>2</v>
      </c>
      <c r="L47" s="22">
        <v>0</v>
      </c>
      <c r="M47" s="22">
        <v>124</v>
      </c>
      <c r="N47" s="22">
        <v>0</v>
      </c>
      <c r="O47" s="22">
        <v>0</v>
      </c>
    </row>
    <row r="48" spans="1:256" ht="12.75" customHeight="1">
      <c r="A48" s="20" t="s">
        <v>88</v>
      </c>
      <c r="B48" s="21" t="s">
        <v>89</v>
      </c>
      <c r="C48" s="22">
        <v>29857</v>
      </c>
      <c r="D48" s="22">
        <v>23748</v>
      </c>
      <c r="E48" s="22">
        <v>203</v>
      </c>
      <c r="F48" s="22">
        <f>SUM(C48-D48-E48)</f>
        <v>5906</v>
      </c>
      <c r="G48" s="22">
        <v>55558</v>
      </c>
      <c r="H48" s="22">
        <v>42989</v>
      </c>
      <c r="I48" s="22">
        <v>694</v>
      </c>
      <c r="J48" s="22">
        <f>SUM(G48-H48-I48)</f>
        <v>11875</v>
      </c>
      <c r="K48" s="22">
        <v>81</v>
      </c>
      <c r="L48" s="22">
        <v>0</v>
      </c>
      <c r="M48" s="22">
        <v>1578</v>
      </c>
      <c r="N48" s="22">
        <v>337</v>
      </c>
      <c r="O48" s="22">
        <v>337</v>
      </c>
    </row>
    <row r="49" spans="1:15" ht="12.75" customHeight="1">
      <c r="A49" s="20" t="s">
        <v>90</v>
      </c>
      <c r="B49" s="21" t="s">
        <v>91</v>
      </c>
      <c r="C49" s="22">
        <v>10360</v>
      </c>
      <c r="D49" s="22">
        <v>9375</v>
      </c>
      <c r="E49" s="22">
        <v>654</v>
      </c>
      <c r="F49" s="22">
        <f>SUM(C49-D49-E49)</f>
        <v>331</v>
      </c>
      <c r="G49" s="22">
        <v>15465</v>
      </c>
      <c r="H49" s="22">
        <v>10538</v>
      </c>
      <c r="I49" s="22">
        <v>1733</v>
      </c>
      <c r="J49" s="22">
        <f>SUM(G49-H49-I49)</f>
        <v>3194</v>
      </c>
      <c r="K49" s="22">
        <v>3263</v>
      </c>
      <c r="L49" s="22">
        <v>728</v>
      </c>
      <c r="M49" s="22">
        <v>0</v>
      </c>
      <c r="N49" s="22">
        <v>83</v>
      </c>
      <c r="O49" s="22">
        <v>0</v>
      </c>
    </row>
    <row r="50" spans="1:15" ht="12.75" customHeight="1">
      <c r="A50" s="20" t="s">
        <v>92</v>
      </c>
      <c r="B50" s="21" t="s">
        <v>93</v>
      </c>
      <c r="C50" s="22">
        <v>95815</v>
      </c>
      <c r="D50" s="22">
        <v>92146</v>
      </c>
      <c r="E50" s="22">
        <v>1375</v>
      </c>
      <c r="F50" s="22">
        <f>SUM(C50-D50-E50)</f>
        <v>2294</v>
      </c>
      <c r="G50" s="22">
        <v>213108</v>
      </c>
      <c r="H50" s="22">
        <v>152462</v>
      </c>
      <c r="I50" s="22">
        <v>4951</v>
      </c>
      <c r="J50" s="22">
        <f>SUM(G50-H50-I50)</f>
        <v>55695</v>
      </c>
      <c r="K50" s="22">
        <v>21706</v>
      </c>
      <c r="L50" s="22">
        <v>0</v>
      </c>
      <c r="M50" s="22">
        <v>18143</v>
      </c>
      <c r="N50" s="22">
        <v>5425</v>
      </c>
      <c r="O50" s="22">
        <v>4920</v>
      </c>
    </row>
    <row r="51" spans="1:15" ht="12.75" customHeight="1">
      <c r="A51" s="23"/>
      <c r="B51" s="24" t="s">
        <v>94</v>
      </c>
      <c r="C51" s="25">
        <f t="shared" ref="C51:O51" si="9">SUM(C47:C50)</f>
        <v>146384</v>
      </c>
      <c r="D51" s="25">
        <f t="shared" si="9"/>
        <v>134303</v>
      </c>
      <c r="E51" s="25">
        <f t="shared" si="9"/>
        <v>2232</v>
      </c>
      <c r="F51" s="25">
        <f t="shared" si="9"/>
        <v>9849</v>
      </c>
      <c r="G51" s="25">
        <f t="shared" si="9"/>
        <v>294871</v>
      </c>
      <c r="H51" s="25">
        <f t="shared" si="9"/>
        <v>214275</v>
      </c>
      <c r="I51" s="25">
        <f t="shared" si="9"/>
        <v>7378</v>
      </c>
      <c r="J51" s="25">
        <f t="shared" si="9"/>
        <v>73218</v>
      </c>
      <c r="K51" s="25">
        <f t="shared" si="9"/>
        <v>25052</v>
      </c>
      <c r="L51" s="25">
        <f t="shared" si="9"/>
        <v>728</v>
      </c>
      <c r="M51" s="25">
        <f t="shared" si="9"/>
        <v>19845</v>
      </c>
      <c r="N51" s="25">
        <f t="shared" si="9"/>
        <v>5845</v>
      </c>
      <c r="O51" s="25">
        <f t="shared" si="9"/>
        <v>5257</v>
      </c>
    </row>
    <row r="52" spans="1:15" ht="12.75" customHeight="1">
      <c r="A52" s="20" t="s">
        <v>95</v>
      </c>
      <c r="B52" s="21" t="s">
        <v>96</v>
      </c>
      <c r="C52" s="22">
        <v>16767</v>
      </c>
      <c r="D52" s="22">
        <v>12555</v>
      </c>
      <c r="E52" s="22">
        <v>91</v>
      </c>
      <c r="F52" s="22">
        <f t="shared" ref="F52:F58" si="10">SUM(C52-D52-E52)</f>
        <v>4121</v>
      </c>
      <c r="G52" s="22">
        <v>53097</v>
      </c>
      <c r="H52" s="22">
        <v>29602</v>
      </c>
      <c r="I52" s="22">
        <v>287</v>
      </c>
      <c r="J52" s="22">
        <f t="shared" ref="J52:J58" si="11">SUM(G52-H52-I52)</f>
        <v>23208</v>
      </c>
      <c r="K52" s="22">
        <v>16629</v>
      </c>
      <c r="L52" s="22">
        <v>9</v>
      </c>
      <c r="M52" s="22">
        <v>613</v>
      </c>
      <c r="N52" s="22">
        <v>591</v>
      </c>
      <c r="O52" s="22">
        <v>591</v>
      </c>
    </row>
    <row r="53" spans="1:15" ht="12.75" customHeight="1">
      <c r="A53" s="20" t="s">
        <v>97</v>
      </c>
      <c r="B53" s="21" t="s">
        <v>98</v>
      </c>
      <c r="C53" s="22">
        <v>86830</v>
      </c>
      <c r="D53" s="22">
        <v>62072</v>
      </c>
      <c r="E53" s="22">
        <v>1688</v>
      </c>
      <c r="F53" s="22">
        <f t="shared" si="10"/>
        <v>23070</v>
      </c>
      <c r="G53" s="22">
        <v>275344</v>
      </c>
      <c r="H53" s="22">
        <v>165433</v>
      </c>
      <c r="I53" s="22">
        <v>9472</v>
      </c>
      <c r="J53" s="22">
        <f t="shared" si="11"/>
        <v>100439</v>
      </c>
      <c r="K53" s="22">
        <v>7846</v>
      </c>
      <c r="L53" s="22">
        <v>0</v>
      </c>
      <c r="M53" s="22">
        <v>15968</v>
      </c>
      <c r="N53" s="22">
        <v>3297</v>
      </c>
      <c r="O53" s="22">
        <v>3297</v>
      </c>
    </row>
    <row r="54" spans="1:15" ht="12.75" customHeight="1">
      <c r="A54" s="20" t="s">
        <v>99</v>
      </c>
      <c r="B54" s="21" t="s">
        <v>100</v>
      </c>
      <c r="C54" s="22">
        <v>15375</v>
      </c>
      <c r="D54" s="22">
        <v>8692</v>
      </c>
      <c r="E54" s="22">
        <v>507</v>
      </c>
      <c r="F54" s="22">
        <f t="shared" si="10"/>
        <v>6176</v>
      </c>
      <c r="G54" s="22">
        <v>52167</v>
      </c>
      <c r="H54" s="22">
        <v>28669</v>
      </c>
      <c r="I54" s="22">
        <v>3530</v>
      </c>
      <c r="J54" s="22">
        <f t="shared" si="11"/>
        <v>19968</v>
      </c>
      <c r="K54" s="22">
        <v>593</v>
      </c>
      <c r="L54" s="22">
        <v>0</v>
      </c>
      <c r="M54" s="22">
        <v>9046</v>
      </c>
      <c r="N54" s="22">
        <v>0</v>
      </c>
      <c r="O54" s="22">
        <v>0</v>
      </c>
    </row>
    <row r="55" spans="1:15" ht="12.75" customHeight="1">
      <c r="A55" s="20" t="s">
        <v>101</v>
      </c>
      <c r="B55" s="21" t="s">
        <v>102</v>
      </c>
      <c r="C55" s="22">
        <v>66538</v>
      </c>
      <c r="D55" s="22">
        <v>43389</v>
      </c>
      <c r="E55" s="22">
        <v>1316</v>
      </c>
      <c r="F55" s="22">
        <f t="shared" si="10"/>
        <v>21833</v>
      </c>
      <c r="G55" s="22">
        <v>237671</v>
      </c>
      <c r="H55" s="22">
        <v>110518</v>
      </c>
      <c r="I55" s="22">
        <v>4818</v>
      </c>
      <c r="J55" s="22">
        <f t="shared" si="11"/>
        <v>122335</v>
      </c>
      <c r="K55" s="22">
        <v>23913</v>
      </c>
      <c r="L55" s="22">
        <v>21</v>
      </c>
      <c r="M55" s="22">
        <v>17485</v>
      </c>
      <c r="N55" s="22">
        <v>15211</v>
      </c>
      <c r="O55" s="22">
        <v>15211</v>
      </c>
    </row>
    <row r="56" spans="1:15" ht="12.75" customHeight="1">
      <c r="A56" s="20" t="s">
        <v>103</v>
      </c>
      <c r="B56" s="21" t="s">
        <v>104</v>
      </c>
      <c r="C56" s="22">
        <v>89449</v>
      </c>
      <c r="D56" s="22">
        <v>41895</v>
      </c>
      <c r="E56" s="22">
        <v>4470</v>
      </c>
      <c r="F56" s="22">
        <f t="shared" si="10"/>
        <v>43084</v>
      </c>
      <c r="G56" s="22">
        <v>311283</v>
      </c>
      <c r="H56" s="22">
        <v>100704</v>
      </c>
      <c r="I56" s="22">
        <v>21345</v>
      </c>
      <c r="J56" s="22">
        <f t="shared" si="11"/>
        <v>189234</v>
      </c>
      <c r="K56" s="22">
        <v>15501</v>
      </c>
      <c r="L56" s="22">
        <v>169</v>
      </c>
      <c r="M56" s="22">
        <v>35413</v>
      </c>
      <c r="N56" s="22">
        <v>65485</v>
      </c>
      <c r="O56" s="22">
        <v>3750</v>
      </c>
    </row>
    <row r="57" spans="1:15" ht="12.75" customHeight="1">
      <c r="A57" s="20" t="s">
        <v>105</v>
      </c>
      <c r="B57" s="21" t="s">
        <v>106</v>
      </c>
      <c r="C57" s="22">
        <v>86423</v>
      </c>
      <c r="D57" s="22">
        <v>49663</v>
      </c>
      <c r="E57" s="22">
        <v>4496</v>
      </c>
      <c r="F57" s="22">
        <f t="shared" si="10"/>
        <v>32264</v>
      </c>
      <c r="G57" s="22">
        <v>327952</v>
      </c>
      <c r="H57" s="22">
        <v>148639</v>
      </c>
      <c r="I57" s="22">
        <v>18835</v>
      </c>
      <c r="J57" s="22">
        <f t="shared" si="11"/>
        <v>160478</v>
      </c>
      <c r="K57" s="22">
        <v>4209</v>
      </c>
      <c r="L57" s="22">
        <v>0</v>
      </c>
      <c r="M57" s="22">
        <v>34489</v>
      </c>
      <c r="N57" s="22">
        <v>304</v>
      </c>
      <c r="O57" s="22">
        <v>304</v>
      </c>
    </row>
    <row r="58" spans="1:15" ht="12.75" customHeight="1">
      <c r="A58" s="20" t="s">
        <v>107</v>
      </c>
      <c r="B58" s="21" t="s">
        <v>108</v>
      </c>
      <c r="C58" s="22">
        <v>90408</v>
      </c>
      <c r="D58" s="22">
        <v>50144</v>
      </c>
      <c r="E58" s="22">
        <v>1378</v>
      </c>
      <c r="F58" s="22">
        <f t="shared" si="10"/>
        <v>38886</v>
      </c>
      <c r="G58" s="22">
        <v>313108</v>
      </c>
      <c r="H58" s="22">
        <v>124151</v>
      </c>
      <c r="I58" s="22">
        <v>6436</v>
      </c>
      <c r="J58" s="22">
        <f t="shared" si="11"/>
        <v>182521</v>
      </c>
      <c r="K58" s="22">
        <v>10002</v>
      </c>
      <c r="L58" s="22">
        <v>216</v>
      </c>
      <c r="M58" s="22">
        <v>18928</v>
      </c>
      <c r="N58" s="22">
        <v>26190</v>
      </c>
      <c r="O58" s="22">
        <v>26190</v>
      </c>
    </row>
    <row r="59" spans="1:15" ht="12.75" customHeight="1">
      <c r="A59" s="23"/>
      <c r="B59" s="24" t="s">
        <v>109</v>
      </c>
      <c r="C59" s="25">
        <f t="shared" ref="C59:O59" si="12">SUM(C52:C58)</f>
        <v>451790</v>
      </c>
      <c r="D59" s="25">
        <f t="shared" si="12"/>
        <v>268410</v>
      </c>
      <c r="E59" s="25">
        <f t="shared" si="12"/>
        <v>13946</v>
      </c>
      <c r="F59" s="25">
        <f t="shared" si="12"/>
        <v>169434</v>
      </c>
      <c r="G59" s="25">
        <f t="shared" si="12"/>
        <v>1570622</v>
      </c>
      <c r="H59" s="25">
        <f t="shared" si="12"/>
        <v>707716</v>
      </c>
      <c r="I59" s="25">
        <f t="shared" si="12"/>
        <v>64723</v>
      </c>
      <c r="J59" s="25">
        <f t="shared" si="12"/>
        <v>798183</v>
      </c>
      <c r="K59" s="25">
        <f t="shared" si="12"/>
        <v>78693</v>
      </c>
      <c r="L59" s="25">
        <f t="shared" si="12"/>
        <v>415</v>
      </c>
      <c r="M59" s="25">
        <f t="shared" si="12"/>
        <v>131942</v>
      </c>
      <c r="N59" s="25">
        <f t="shared" si="12"/>
        <v>111078</v>
      </c>
      <c r="O59" s="25">
        <f t="shared" si="12"/>
        <v>49343</v>
      </c>
    </row>
    <row r="60" spans="1:15" ht="12.75" customHeight="1">
      <c r="A60" s="20" t="s">
        <v>110</v>
      </c>
      <c r="B60" s="21" t="s">
        <v>111</v>
      </c>
      <c r="C60" s="22">
        <v>95058</v>
      </c>
      <c r="D60" s="22">
        <v>66958</v>
      </c>
      <c r="E60" s="22">
        <v>7573</v>
      </c>
      <c r="F60" s="22">
        <f t="shared" ref="F60:F68" si="13">SUM(C60-D60-E60)</f>
        <v>20527</v>
      </c>
      <c r="G60" s="22">
        <v>299099</v>
      </c>
      <c r="H60" s="22">
        <v>169900</v>
      </c>
      <c r="I60" s="22">
        <v>38186</v>
      </c>
      <c r="J60" s="22">
        <f t="shared" ref="J60:J68" si="14">SUM(G60-H60-I60)</f>
        <v>91013</v>
      </c>
      <c r="K60" s="22">
        <v>2743</v>
      </c>
      <c r="L60" s="22">
        <v>0</v>
      </c>
      <c r="M60" s="22">
        <v>15831</v>
      </c>
      <c r="N60" s="22">
        <v>1988</v>
      </c>
      <c r="O60" s="22">
        <v>1988</v>
      </c>
    </row>
    <row r="61" spans="1:15" ht="12.75" customHeight="1">
      <c r="A61" s="20" t="s">
        <v>112</v>
      </c>
      <c r="B61" s="21" t="s">
        <v>113</v>
      </c>
      <c r="C61" s="22">
        <v>27992</v>
      </c>
      <c r="D61" s="22">
        <v>19324</v>
      </c>
      <c r="E61" s="22">
        <v>650</v>
      </c>
      <c r="F61" s="22">
        <f t="shared" si="13"/>
        <v>8018</v>
      </c>
      <c r="G61" s="22">
        <v>79206</v>
      </c>
      <c r="H61" s="22">
        <v>50063</v>
      </c>
      <c r="I61" s="22">
        <v>3214</v>
      </c>
      <c r="J61" s="22">
        <f t="shared" si="14"/>
        <v>25929</v>
      </c>
      <c r="K61" s="22">
        <v>123</v>
      </c>
      <c r="L61" s="22">
        <v>0</v>
      </c>
      <c r="M61" s="22">
        <v>13989</v>
      </c>
      <c r="N61" s="22">
        <v>61</v>
      </c>
      <c r="O61" s="22">
        <v>61</v>
      </c>
    </row>
    <row r="62" spans="1:15" ht="12.75" customHeight="1">
      <c r="A62" s="20" t="s">
        <v>114</v>
      </c>
      <c r="B62" s="21" t="s">
        <v>115</v>
      </c>
      <c r="C62" s="22">
        <v>47499</v>
      </c>
      <c r="D62" s="22">
        <v>23393</v>
      </c>
      <c r="E62" s="22">
        <v>2260</v>
      </c>
      <c r="F62" s="22">
        <f t="shared" si="13"/>
        <v>21846</v>
      </c>
      <c r="G62" s="22">
        <v>217150</v>
      </c>
      <c r="H62" s="22">
        <v>64202</v>
      </c>
      <c r="I62" s="22">
        <v>11880</v>
      </c>
      <c r="J62" s="22">
        <f t="shared" si="14"/>
        <v>141068</v>
      </c>
      <c r="K62" s="22">
        <v>3134</v>
      </c>
      <c r="L62" s="22">
        <v>210</v>
      </c>
      <c r="M62" s="22">
        <v>18217</v>
      </c>
      <c r="N62" s="22">
        <v>3096</v>
      </c>
      <c r="O62" s="22">
        <v>3096</v>
      </c>
    </row>
    <row r="63" spans="1:15" ht="12.75" customHeight="1">
      <c r="A63" s="20" t="s">
        <v>116</v>
      </c>
      <c r="B63" s="21" t="s">
        <v>117</v>
      </c>
      <c r="C63" s="22">
        <v>65030</v>
      </c>
      <c r="D63" s="22">
        <v>38876</v>
      </c>
      <c r="E63" s="22">
        <v>3578</v>
      </c>
      <c r="F63" s="22">
        <f t="shared" si="13"/>
        <v>22576</v>
      </c>
      <c r="G63" s="22">
        <v>215618</v>
      </c>
      <c r="H63" s="22">
        <v>116258</v>
      </c>
      <c r="I63" s="22">
        <v>22322</v>
      </c>
      <c r="J63" s="22">
        <f t="shared" si="14"/>
        <v>77038</v>
      </c>
      <c r="K63" s="22">
        <v>1301</v>
      </c>
      <c r="L63" s="22">
        <v>0</v>
      </c>
      <c r="M63" s="22">
        <v>18098</v>
      </c>
      <c r="N63" s="22">
        <v>874</v>
      </c>
      <c r="O63" s="22">
        <v>874</v>
      </c>
    </row>
    <row r="64" spans="1:15" ht="12.75" customHeight="1">
      <c r="A64" s="20" t="s">
        <v>118</v>
      </c>
      <c r="B64" s="21" t="s">
        <v>119</v>
      </c>
      <c r="C64" s="22">
        <v>61506</v>
      </c>
      <c r="D64" s="22">
        <v>29982</v>
      </c>
      <c r="E64" s="22">
        <v>4362</v>
      </c>
      <c r="F64" s="22">
        <f t="shared" si="13"/>
        <v>27162</v>
      </c>
      <c r="G64" s="22">
        <v>228367</v>
      </c>
      <c r="H64" s="22">
        <v>90474</v>
      </c>
      <c r="I64" s="22">
        <v>19281</v>
      </c>
      <c r="J64" s="22">
        <f t="shared" si="14"/>
        <v>118612</v>
      </c>
      <c r="K64" s="22">
        <v>666</v>
      </c>
      <c r="L64" s="22">
        <v>22</v>
      </c>
      <c r="M64" s="22">
        <v>10146</v>
      </c>
      <c r="N64" s="22">
        <v>1306</v>
      </c>
      <c r="O64" s="22">
        <v>1306</v>
      </c>
    </row>
    <row r="65" spans="1:15" ht="12.75" customHeight="1">
      <c r="A65" s="20" t="s">
        <v>120</v>
      </c>
      <c r="B65" s="21" t="s">
        <v>121</v>
      </c>
      <c r="C65" s="22">
        <v>29281</v>
      </c>
      <c r="D65" s="22">
        <v>19683</v>
      </c>
      <c r="E65" s="22">
        <v>2981</v>
      </c>
      <c r="F65" s="22">
        <f t="shared" si="13"/>
        <v>6617</v>
      </c>
      <c r="G65" s="22">
        <v>156671</v>
      </c>
      <c r="H65" s="22">
        <v>58413</v>
      </c>
      <c r="I65" s="22">
        <v>16435</v>
      </c>
      <c r="J65" s="22">
        <f t="shared" si="14"/>
        <v>81823</v>
      </c>
      <c r="K65" s="22">
        <v>6893</v>
      </c>
      <c r="L65" s="22">
        <v>0</v>
      </c>
      <c r="M65" s="22">
        <v>24538</v>
      </c>
      <c r="N65" s="22">
        <v>5146</v>
      </c>
      <c r="O65" s="22">
        <v>5146</v>
      </c>
    </row>
    <row r="66" spans="1:15" ht="12.75" customHeight="1">
      <c r="A66" s="20" t="s">
        <v>122</v>
      </c>
      <c r="B66" s="21" t="s">
        <v>123</v>
      </c>
      <c r="C66" s="22">
        <v>59136</v>
      </c>
      <c r="D66" s="22">
        <v>21350</v>
      </c>
      <c r="E66" s="22">
        <v>1288</v>
      </c>
      <c r="F66" s="22">
        <f t="shared" si="13"/>
        <v>36498</v>
      </c>
      <c r="G66" s="22">
        <v>289036</v>
      </c>
      <c r="H66" s="22">
        <v>62477</v>
      </c>
      <c r="I66" s="22">
        <v>6027</v>
      </c>
      <c r="J66" s="22">
        <f t="shared" si="14"/>
        <v>220532</v>
      </c>
      <c r="K66" s="22">
        <v>23335</v>
      </c>
      <c r="L66" s="22">
        <v>195</v>
      </c>
      <c r="M66" s="22">
        <v>63232</v>
      </c>
      <c r="N66" s="22">
        <v>379</v>
      </c>
      <c r="O66" s="22">
        <v>379</v>
      </c>
    </row>
    <row r="67" spans="1:15" ht="12.75" customHeight="1">
      <c r="A67" s="20" t="s">
        <v>124</v>
      </c>
      <c r="B67" s="21" t="s">
        <v>125</v>
      </c>
      <c r="C67" s="22">
        <v>81143</v>
      </c>
      <c r="D67" s="22">
        <v>21774</v>
      </c>
      <c r="E67" s="22">
        <v>0</v>
      </c>
      <c r="F67" s="22">
        <f t="shared" si="13"/>
        <v>59369</v>
      </c>
      <c r="G67" s="22">
        <v>338096</v>
      </c>
      <c r="H67" s="22">
        <v>61145</v>
      </c>
      <c r="I67" s="22">
        <v>0</v>
      </c>
      <c r="J67" s="22">
        <f t="shared" si="14"/>
        <v>276951</v>
      </c>
      <c r="K67" s="22">
        <v>17190</v>
      </c>
      <c r="L67" s="22">
        <v>0</v>
      </c>
      <c r="M67" s="22">
        <v>88468</v>
      </c>
      <c r="N67" s="22">
        <v>1024</v>
      </c>
      <c r="O67" s="22">
        <v>1024</v>
      </c>
    </row>
    <row r="68" spans="1:15" ht="12.75" customHeight="1">
      <c r="A68" s="20" t="s">
        <v>126</v>
      </c>
      <c r="B68" s="21" t="s">
        <v>127</v>
      </c>
      <c r="C68" s="22">
        <v>64782</v>
      </c>
      <c r="D68" s="22">
        <v>29411</v>
      </c>
      <c r="E68" s="22">
        <v>1060</v>
      </c>
      <c r="F68" s="22">
        <f t="shared" si="13"/>
        <v>34311</v>
      </c>
      <c r="G68" s="22">
        <v>150669</v>
      </c>
      <c r="H68" s="22">
        <v>68329</v>
      </c>
      <c r="I68" s="22">
        <v>6896</v>
      </c>
      <c r="J68" s="22">
        <f t="shared" si="14"/>
        <v>75444</v>
      </c>
      <c r="K68" s="22">
        <v>481</v>
      </c>
      <c r="L68" s="22">
        <v>311</v>
      </c>
      <c r="M68" s="22">
        <v>5175</v>
      </c>
      <c r="N68" s="22">
        <v>0</v>
      </c>
      <c r="O68" s="22">
        <v>0</v>
      </c>
    </row>
    <row r="69" spans="1:15" ht="12.75" customHeight="1">
      <c r="A69" s="23"/>
      <c r="B69" s="24" t="s">
        <v>128</v>
      </c>
      <c r="C69" s="25">
        <f t="shared" ref="C69:O69" si="15">SUM(C60:C68)</f>
        <v>531427</v>
      </c>
      <c r="D69" s="25">
        <f t="shared" si="15"/>
        <v>270751</v>
      </c>
      <c r="E69" s="25">
        <f t="shared" si="15"/>
        <v>23752</v>
      </c>
      <c r="F69" s="25">
        <f t="shared" si="15"/>
        <v>236924</v>
      </c>
      <c r="G69" s="25">
        <f t="shared" si="15"/>
        <v>1973912</v>
      </c>
      <c r="H69" s="25">
        <f t="shared" si="15"/>
        <v>741261</v>
      </c>
      <c r="I69" s="25">
        <f t="shared" si="15"/>
        <v>124241</v>
      </c>
      <c r="J69" s="25">
        <f t="shared" si="15"/>
        <v>1108410</v>
      </c>
      <c r="K69" s="25">
        <f t="shared" si="15"/>
        <v>55866</v>
      </c>
      <c r="L69" s="25">
        <f t="shared" si="15"/>
        <v>738</v>
      </c>
      <c r="M69" s="25">
        <f t="shared" si="15"/>
        <v>257694</v>
      </c>
      <c r="N69" s="25">
        <f t="shared" si="15"/>
        <v>13874</v>
      </c>
      <c r="O69" s="25">
        <f t="shared" si="15"/>
        <v>13874</v>
      </c>
    </row>
    <row r="70" spans="1:15" ht="12.75" customHeight="1">
      <c r="A70" s="20" t="s">
        <v>129</v>
      </c>
      <c r="B70" s="21" t="s">
        <v>130</v>
      </c>
      <c r="C70" s="22">
        <v>31557</v>
      </c>
      <c r="D70" s="22">
        <v>22022</v>
      </c>
      <c r="E70" s="22">
        <v>2561</v>
      </c>
      <c r="F70" s="22">
        <f t="shared" ref="F70:F79" si="16">SUM(C70-D70-E70)</f>
        <v>6974</v>
      </c>
      <c r="G70" s="22">
        <v>113379</v>
      </c>
      <c r="H70" s="22">
        <v>60114</v>
      </c>
      <c r="I70" s="22">
        <v>17060</v>
      </c>
      <c r="J70" s="22">
        <f t="shared" ref="J70:J79" si="17">SUM(G70-H70-I70)</f>
        <v>36205</v>
      </c>
      <c r="K70" s="22">
        <v>2522</v>
      </c>
      <c r="L70" s="22">
        <v>29</v>
      </c>
      <c r="M70" s="22">
        <v>8221</v>
      </c>
      <c r="N70" s="22">
        <v>190</v>
      </c>
      <c r="O70" s="22">
        <v>190</v>
      </c>
    </row>
    <row r="71" spans="1:15" ht="12.75" customHeight="1">
      <c r="A71" s="20" t="s">
        <v>131</v>
      </c>
      <c r="B71" s="21" t="s">
        <v>132</v>
      </c>
      <c r="C71" s="22">
        <v>120712</v>
      </c>
      <c r="D71" s="22">
        <v>77716</v>
      </c>
      <c r="E71" s="22">
        <v>4864</v>
      </c>
      <c r="F71" s="22">
        <f t="shared" si="16"/>
        <v>38132</v>
      </c>
      <c r="G71" s="22">
        <v>301586</v>
      </c>
      <c r="H71" s="22">
        <v>141771</v>
      </c>
      <c r="I71" s="22">
        <v>22587</v>
      </c>
      <c r="J71" s="22">
        <f t="shared" si="17"/>
        <v>137228</v>
      </c>
      <c r="K71" s="22">
        <v>9670</v>
      </c>
      <c r="L71" s="22">
        <v>0</v>
      </c>
      <c r="M71" s="22">
        <v>10236</v>
      </c>
      <c r="N71" s="22">
        <v>31145</v>
      </c>
      <c r="O71" s="22">
        <v>31145</v>
      </c>
    </row>
    <row r="72" spans="1:15" ht="12.75" customHeight="1">
      <c r="A72" s="20" t="s">
        <v>133</v>
      </c>
      <c r="B72" s="21" t="s">
        <v>134</v>
      </c>
      <c r="C72" s="22">
        <v>25647</v>
      </c>
      <c r="D72" s="22">
        <v>17158</v>
      </c>
      <c r="E72" s="22">
        <v>0</v>
      </c>
      <c r="F72" s="22">
        <f t="shared" si="16"/>
        <v>8489</v>
      </c>
      <c r="G72" s="22">
        <v>80709</v>
      </c>
      <c r="H72" s="22">
        <v>44169</v>
      </c>
      <c r="I72" s="22">
        <v>0</v>
      </c>
      <c r="J72" s="22">
        <f t="shared" si="17"/>
        <v>36540</v>
      </c>
      <c r="K72" s="22">
        <v>3884</v>
      </c>
      <c r="L72" s="22">
        <v>1231</v>
      </c>
      <c r="M72" s="22">
        <v>17687</v>
      </c>
      <c r="N72" s="22">
        <v>488</v>
      </c>
      <c r="O72" s="22">
        <v>488</v>
      </c>
    </row>
    <row r="73" spans="1:15" ht="12.75" customHeight="1">
      <c r="A73" s="20" t="s">
        <v>135</v>
      </c>
      <c r="B73" s="21" t="s">
        <v>136</v>
      </c>
      <c r="C73" s="22">
        <v>59147</v>
      </c>
      <c r="D73" s="22">
        <v>41633</v>
      </c>
      <c r="E73" s="22">
        <v>573</v>
      </c>
      <c r="F73" s="22">
        <f t="shared" si="16"/>
        <v>16941</v>
      </c>
      <c r="G73" s="22">
        <v>164941</v>
      </c>
      <c r="H73" s="22">
        <v>97143</v>
      </c>
      <c r="I73" s="22">
        <v>1594</v>
      </c>
      <c r="J73" s="22">
        <f t="shared" si="17"/>
        <v>66204</v>
      </c>
      <c r="K73" s="22">
        <v>7980</v>
      </c>
      <c r="L73" s="22">
        <v>36</v>
      </c>
      <c r="M73" s="22">
        <v>7266</v>
      </c>
      <c r="N73" s="22">
        <v>54325</v>
      </c>
      <c r="O73" s="22">
        <v>54325</v>
      </c>
    </row>
    <row r="74" spans="1:15" ht="12.75" customHeight="1">
      <c r="A74" s="20" t="s">
        <v>137</v>
      </c>
      <c r="B74" s="21" t="s">
        <v>138</v>
      </c>
      <c r="C74" s="22">
        <v>49782</v>
      </c>
      <c r="D74" s="22">
        <v>35990</v>
      </c>
      <c r="E74" s="22">
        <v>1789</v>
      </c>
      <c r="F74" s="22">
        <f t="shared" si="16"/>
        <v>12003</v>
      </c>
      <c r="G74" s="22">
        <v>113529</v>
      </c>
      <c r="H74" s="22">
        <v>64647</v>
      </c>
      <c r="I74" s="22">
        <v>6996</v>
      </c>
      <c r="J74" s="22">
        <f t="shared" si="17"/>
        <v>41886</v>
      </c>
      <c r="K74" s="22">
        <v>4221</v>
      </c>
      <c r="L74" s="22">
        <v>0</v>
      </c>
      <c r="M74" s="22">
        <v>2147</v>
      </c>
      <c r="N74" s="22">
        <v>3153</v>
      </c>
      <c r="O74" s="22">
        <v>3153</v>
      </c>
    </row>
    <row r="75" spans="1:15" ht="12.75" customHeight="1">
      <c r="A75" s="20" t="s">
        <v>139</v>
      </c>
      <c r="B75" s="21" t="s">
        <v>140</v>
      </c>
      <c r="C75" s="22">
        <v>21365</v>
      </c>
      <c r="D75" s="22">
        <v>19310</v>
      </c>
      <c r="E75" s="22">
        <v>500</v>
      </c>
      <c r="F75" s="22">
        <f t="shared" si="16"/>
        <v>1555</v>
      </c>
      <c r="G75" s="22">
        <v>42271</v>
      </c>
      <c r="H75" s="22">
        <v>33779</v>
      </c>
      <c r="I75" s="22">
        <v>2846</v>
      </c>
      <c r="J75" s="22">
        <f t="shared" si="17"/>
        <v>5646</v>
      </c>
      <c r="K75" s="22">
        <v>459</v>
      </c>
      <c r="L75" s="22">
        <v>6</v>
      </c>
      <c r="M75" s="22">
        <v>176</v>
      </c>
      <c r="N75" s="22">
        <v>0</v>
      </c>
      <c r="O75" s="22">
        <v>0</v>
      </c>
    </row>
    <row r="76" spans="1:15" ht="12.75" customHeight="1">
      <c r="A76" s="20" t="s">
        <v>141</v>
      </c>
      <c r="B76" s="21" t="s">
        <v>142</v>
      </c>
      <c r="C76" s="22">
        <v>46990</v>
      </c>
      <c r="D76" s="22">
        <v>33058</v>
      </c>
      <c r="E76" s="22">
        <v>841</v>
      </c>
      <c r="F76" s="22">
        <f t="shared" si="16"/>
        <v>13091</v>
      </c>
      <c r="G76" s="22">
        <v>131207</v>
      </c>
      <c r="H76" s="22">
        <v>79606</v>
      </c>
      <c r="I76" s="22">
        <v>3092</v>
      </c>
      <c r="J76" s="22">
        <f t="shared" si="17"/>
        <v>48509</v>
      </c>
      <c r="K76" s="22">
        <v>2067</v>
      </c>
      <c r="L76" s="22">
        <v>411</v>
      </c>
      <c r="M76" s="22">
        <v>4915</v>
      </c>
      <c r="N76" s="22">
        <v>1055</v>
      </c>
      <c r="O76" s="22">
        <v>1055</v>
      </c>
    </row>
    <row r="77" spans="1:15" ht="12.75" customHeight="1">
      <c r="A77" s="20" t="s">
        <v>143</v>
      </c>
      <c r="B77" s="21" t="s">
        <v>144</v>
      </c>
      <c r="C77" s="22">
        <v>38251</v>
      </c>
      <c r="D77" s="22">
        <v>21813</v>
      </c>
      <c r="E77" s="22">
        <v>649</v>
      </c>
      <c r="F77" s="22">
        <f t="shared" si="16"/>
        <v>15789</v>
      </c>
      <c r="G77" s="22">
        <v>89703</v>
      </c>
      <c r="H77" s="22">
        <v>44902</v>
      </c>
      <c r="I77" s="22">
        <v>2331</v>
      </c>
      <c r="J77" s="22">
        <f t="shared" si="17"/>
        <v>42470</v>
      </c>
      <c r="K77" s="22">
        <v>5344</v>
      </c>
      <c r="L77" s="22">
        <v>0</v>
      </c>
      <c r="M77" s="22">
        <v>5025</v>
      </c>
      <c r="N77" s="22">
        <v>637</v>
      </c>
      <c r="O77" s="22">
        <v>637</v>
      </c>
    </row>
    <row r="78" spans="1:15" ht="12.75" customHeight="1">
      <c r="A78" s="20" t="s">
        <v>145</v>
      </c>
      <c r="B78" s="21" t="s">
        <v>146</v>
      </c>
      <c r="C78" s="22">
        <v>26889</v>
      </c>
      <c r="D78" s="22">
        <v>17746</v>
      </c>
      <c r="E78" s="22">
        <v>0</v>
      </c>
      <c r="F78" s="22">
        <f t="shared" si="16"/>
        <v>9143</v>
      </c>
      <c r="G78" s="22">
        <v>61531</v>
      </c>
      <c r="H78" s="22">
        <v>37113</v>
      </c>
      <c r="I78" s="22">
        <v>0</v>
      </c>
      <c r="J78" s="22">
        <f t="shared" si="17"/>
        <v>24418</v>
      </c>
      <c r="K78" s="22">
        <v>1207</v>
      </c>
      <c r="L78" s="22">
        <v>0</v>
      </c>
      <c r="M78" s="22">
        <v>119</v>
      </c>
      <c r="N78" s="22">
        <v>1128</v>
      </c>
      <c r="O78" s="22">
        <v>1128</v>
      </c>
    </row>
    <row r="79" spans="1:15" ht="12.75" customHeight="1">
      <c r="A79" s="20" t="s">
        <v>147</v>
      </c>
      <c r="B79" s="21" t="s">
        <v>148</v>
      </c>
      <c r="C79" s="22">
        <v>28394</v>
      </c>
      <c r="D79" s="22">
        <v>20449</v>
      </c>
      <c r="E79" s="22">
        <v>770</v>
      </c>
      <c r="F79" s="22">
        <f t="shared" si="16"/>
        <v>7175</v>
      </c>
      <c r="G79" s="22">
        <v>99996</v>
      </c>
      <c r="H79" s="22">
        <v>52251</v>
      </c>
      <c r="I79" s="22">
        <v>4150</v>
      </c>
      <c r="J79" s="22">
        <f t="shared" si="17"/>
        <v>43595</v>
      </c>
      <c r="K79" s="22">
        <v>5038</v>
      </c>
      <c r="L79" s="22">
        <v>27</v>
      </c>
      <c r="M79" s="22">
        <v>14300</v>
      </c>
      <c r="N79" s="22">
        <v>641</v>
      </c>
      <c r="O79" s="22">
        <v>641</v>
      </c>
    </row>
    <row r="80" spans="1:15" ht="12.75" customHeight="1">
      <c r="A80" s="23"/>
      <c r="B80" s="24" t="s">
        <v>149</v>
      </c>
      <c r="C80" s="25">
        <f t="shared" ref="C80:O80" si="18">SUM(C70:C79)</f>
        <v>448734</v>
      </c>
      <c r="D80" s="25">
        <f t="shared" si="18"/>
        <v>306895</v>
      </c>
      <c r="E80" s="25">
        <f t="shared" si="18"/>
        <v>12547</v>
      </c>
      <c r="F80" s="25">
        <f t="shared" si="18"/>
        <v>129292</v>
      </c>
      <c r="G80" s="25">
        <f t="shared" si="18"/>
        <v>1198852</v>
      </c>
      <c r="H80" s="25">
        <f t="shared" si="18"/>
        <v>655495</v>
      </c>
      <c r="I80" s="25">
        <f t="shared" si="18"/>
        <v>60656</v>
      </c>
      <c r="J80" s="25">
        <f t="shared" si="18"/>
        <v>482701</v>
      </c>
      <c r="K80" s="25">
        <f t="shared" si="18"/>
        <v>42392</v>
      </c>
      <c r="L80" s="25">
        <f t="shared" si="18"/>
        <v>1740</v>
      </c>
      <c r="M80" s="25">
        <f t="shared" si="18"/>
        <v>70092</v>
      </c>
      <c r="N80" s="25">
        <f t="shared" si="18"/>
        <v>92762</v>
      </c>
      <c r="O80" s="25">
        <f t="shared" si="18"/>
        <v>92762</v>
      </c>
    </row>
    <row r="81" spans="1:15" ht="12.75" customHeight="1">
      <c r="A81" s="20" t="s">
        <v>150</v>
      </c>
      <c r="B81" s="21" t="s">
        <v>151</v>
      </c>
      <c r="C81" s="22">
        <v>52322</v>
      </c>
      <c r="D81" s="22">
        <v>32243</v>
      </c>
      <c r="E81" s="22">
        <v>1632</v>
      </c>
      <c r="F81" s="22">
        <f>SUM(C81-D81-E81)</f>
        <v>18447</v>
      </c>
      <c r="G81" s="22">
        <v>207610</v>
      </c>
      <c r="H81" s="22">
        <v>103218</v>
      </c>
      <c r="I81" s="22">
        <v>11177</v>
      </c>
      <c r="J81" s="22">
        <f>SUM(G81-H81-I81)</f>
        <v>93215</v>
      </c>
      <c r="K81" s="22">
        <v>2116</v>
      </c>
      <c r="L81" s="22">
        <v>1394</v>
      </c>
      <c r="M81" s="22">
        <v>15907</v>
      </c>
      <c r="N81" s="22">
        <v>2564</v>
      </c>
      <c r="O81" s="22">
        <v>2564</v>
      </c>
    </row>
    <row r="82" spans="1:15" ht="12.75" customHeight="1">
      <c r="A82" s="20" t="s">
        <v>152</v>
      </c>
      <c r="B82" s="21" t="s">
        <v>153</v>
      </c>
      <c r="C82" s="22">
        <v>19003</v>
      </c>
      <c r="D82" s="22">
        <v>13574</v>
      </c>
      <c r="E82" s="22">
        <v>399</v>
      </c>
      <c r="F82" s="22">
        <f>SUM(C82-D82-E82)</f>
        <v>5030</v>
      </c>
      <c r="G82" s="22">
        <v>95604</v>
      </c>
      <c r="H82" s="22">
        <v>43409</v>
      </c>
      <c r="I82" s="22">
        <v>2497</v>
      </c>
      <c r="J82" s="22">
        <f>SUM(G82-H82-I82)</f>
        <v>49698</v>
      </c>
      <c r="K82" s="22">
        <v>946</v>
      </c>
      <c r="L82" s="22">
        <v>12</v>
      </c>
      <c r="M82" s="22">
        <v>13083</v>
      </c>
      <c r="N82" s="22">
        <v>640</v>
      </c>
      <c r="O82" s="22">
        <v>640</v>
      </c>
    </row>
    <row r="83" spans="1:15" ht="12.75" customHeight="1">
      <c r="A83" s="20" t="s">
        <v>154</v>
      </c>
      <c r="B83" s="21" t="s">
        <v>155</v>
      </c>
      <c r="C83" s="22">
        <v>6970</v>
      </c>
      <c r="D83" s="22">
        <v>6376</v>
      </c>
      <c r="E83" s="22">
        <v>436</v>
      </c>
      <c r="F83" s="22">
        <f>SUM(C83-D83-E83)</f>
        <v>158</v>
      </c>
      <c r="G83" s="22">
        <v>29538</v>
      </c>
      <c r="H83" s="22">
        <v>21383</v>
      </c>
      <c r="I83" s="22">
        <v>3062</v>
      </c>
      <c r="J83" s="22">
        <f>SUM(G83-H83-I83)</f>
        <v>5093</v>
      </c>
      <c r="K83" s="22">
        <v>29</v>
      </c>
      <c r="L83" s="22">
        <v>0</v>
      </c>
      <c r="M83" s="22">
        <v>752</v>
      </c>
      <c r="N83" s="22">
        <v>0</v>
      </c>
      <c r="O83" s="22">
        <v>0</v>
      </c>
    </row>
    <row r="84" spans="1:15" ht="12.75" customHeight="1">
      <c r="A84" s="20" t="s">
        <v>156</v>
      </c>
      <c r="B84" s="21" t="s">
        <v>157</v>
      </c>
      <c r="C84" s="22">
        <v>20277</v>
      </c>
      <c r="D84" s="22">
        <v>17733</v>
      </c>
      <c r="E84" s="22">
        <v>335</v>
      </c>
      <c r="F84" s="22">
        <f>SUM(C84-D84-E84)</f>
        <v>2209</v>
      </c>
      <c r="G84" s="22">
        <v>96936</v>
      </c>
      <c r="H84" s="22">
        <v>59569</v>
      </c>
      <c r="I84" s="22">
        <v>2156</v>
      </c>
      <c r="J84" s="22">
        <f>SUM(G84-H84-I84)</f>
        <v>35211</v>
      </c>
      <c r="K84" s="22">
        <v>1367</v>
      </c>
      <c r="L84" s="22">
        <v>0</v>
      </c>
      <c r="M84" s="22">
        <v>12288</v>
      </c>
      <c r="N84" s="22">
        <v>746</v>
      </c>
      <c r="O84" s="22">
        <v>746</v>
      </c>
    </row>
    <row r="85" spans="1:15" ht="12.75" customHeight="1">
      <c r="A85" s="20" t="s">
        <v>158</v>
      </c>
      <c r="B85" s="21" t="s">
        <v>159</v>
      </c>
      <c r="C85" s="22">
        <v>31048</v>
      </c>
      <c r="D85" s="22">
        <v>23989</v>
      </c>
      <c r="E85" s="22">
        <v>1118</v>
      </c>
      <c r="F85" s="22">
        <f>SUM(C85-D85-E85)</f>
        <v>5941</v>
      </c>
      <c r="G85" s="22">
        <v>101607</v>
      </c>
      <c r="H85" s="22">
        <v>62628</v>
      </c>
      <c r="I85" s="22">
        <v>5489</v>
      </c>
      <c r="J85" s="22">
        <f>SUM(G85-H85-I85)</f>
        <v>33490</v>
      </c>
      <c r="K85" s="22">
        <v>2254</v>
      </c>
      <c r="L85" s="22">
        <v>476</v>
      </c>
      <c r="M85" s="22">
        <v>10733</v>
      </c>
      <c r="N85" s="22">
        <v>19257</v>
      </c>
      <c r="O85" s="22">
        <v>19257</v>
      </c>
    </row>
    <row r="86" spans="1:15" ht="12.75" customHeight="1">
      <c r="A86" s="23"/>
      <c r="B86" s="24" t="s">
        <v>160</v>
      </c>
      <c r="C86" s="25">
        <f t="shared" ref="C86:O86" si="19">SUM(C81:C85)</f>
        <v>129620</v>
      </c>
      <c r="D86" s="25">
        <f t="shared" si="19"/>
        <v>93915</v>
      </c>
      <c r="E86" s="25">
        <f t="shared" si="19"/>
        <v>3920</v>
      </c>
      <c r="F86" s="25">
        <f t="shared" si="19"/>
        <v>31785</v>
      </c>
      <c r="G86" s="25">
        <f t="shared" si="19"/>
        <v>531295</v>
      </c>
      <c r="H86" s="25">
        <f t="shared" si="19"/>
        <v>290207</v>
      </c>
      <c r="I86" s="25">
        <f t="shared" si="19"/>
        <v>24381</v>
      </c>
      <c r="J86" s="25">
        <f t="shared" si="19"/>
        <v>216707</v>
      </c>
      <c r="K86" s="25">
        <f t="shared" si="19"/>
        <v>6712</v>
      </c>
      <c r="L86" s="25">
        <f t="shared" si="19"/>
        <v>1882</v>
      </c>
      <c r="M86" s="25">
        <f t="shared" si="19"/>
        <v>52763</v>
      </c>
      <c r="N86" s="25">
        <f t="shared" si="19"/>
        <v>23207</v>
      </c>
      <c r="O86" s="25">
        <f t="shared" si="19"/>
        <v>23207</v>
      </c>
    </row>
    <row r="87" spans="1:15" ht="12.75" customHeight="1">
      <c r="A87" s="20" t="s">
        <v>161</v>
      </c>
      <c r="B87" s="21" t="s">
        <v>162</v>
      </c>
      <c r="C87" s="22">
        <v>53517</v>
      </c>
      <c r="D87" s="22">
        <v>39545</v>
      </c>
      <c r="E87" s="22">
        <v>0</v>
      </c>
      <c r="F87" s="22">
        <f>SUM(C87-D87-E87)</f>
        <v>13972</v>
      </c>
      <c r="G87" s="22">
        <v>238552</v>
      </c>
      <c r="H87" s="22">
        <v>120453</v>
      </c>
      <c r="I87" s="22">
        <v>0</v>
      </c>
      <c r="J87" s="22">
        <f>SUM(G87-H87-I87)</f>
        <v>118099</v>
      </c>
      <c r="K87" s="22">
        <v>2333</v>
      </c>
      <c r="L87" s="22">
        <v>22</v>
      </c>
      <c r="M87" s="22">
        <v>23414</v>
      </c>
      <c r="N87" s="22">
        <v>1463</v>
      </c>
      <c r="O87" s="22">
        <v>1463</v>
      </c>
    </row>
    <row r="88" spans="1:15" ht="12.75" customHeight="1">
      <c r="A88" s="20" t="s">
        <v>163</v>
      </c>
      <c r="B88" s="21" t="s">
        <v>164</v>
      </c>
      <c r="C88" s="22">
        <v>40982</v>
      </c>
      <c r="D88" s="22">
        <v>19934</v>
      </c>
      <c r="E88" s="22">
        <v>1780</v>
      </c>
      <c r="F88" s="22">
        <f>SUM(C88-D88-E88)</f>
        <v>19268</v>
      </c>
      <c r="G88" s="22">
        <v>120265</v>
      </c>
      <c r="H88" s="22">
        <v>48981</v>
      </c>
      <c r="I88" s="22">
        <v>11555</v>
      </c>
      <c r="J88" s="22">
        <f>SUM(G88-H88-I88)</f>
        <v>59729</v>
      </c>
      <c r="K88" s="22">
        <v>983</v>
      </c>
      <c r="L88" s="22">
        <v>0</v>
      </c>
      <c r="M88" s="22">
        <v>6834</v>
      </c>
      <c r="N88" s="22">
        <v>0</v>
      </c>
      <c r="O88" s="22">
        <v>0</v>
      </c>
    </row>
    <row r="89" spans="1:15" ht="12.75" customHeight="1">
      <c r="A89" s="23"/>
      <c r="B89" s="24" t="s">
        <v>165</v>
      </c>
      <c r="C89" s="25">
        <f t="shared" ref="C89:O89" si="20">SUM(C87:C88)</f>
        <v>94499</v>
      </c>
      <c r="D89" s="25">
        <f t="shared" si="20"/>
        <v>59479</v>
      </c>
      <c r="E89" s="25">
        <f t="shared" si="20"/>
        <v>1780</v>
      </c>
      <c r="F89" s="25">
        <f t="shared" si="20"/>
        <v>33240</v>
      </c>
      <c r="G89" s="25">
        <f t="shared" si="20"/>
        <v>358817</v>
      </c>
      <c r="H89" s="25">
        <f t="shared" si="20"/>
        <v>169434</v>
      </c>
      <c r="I89" s="25">
        <f t="shared" si="20"/>
        <v>11555</v>
      </c>
      <c r="J89" s="25">
        <f t="shared" si="20"/>
        <v>177828</v>
      </c>
      <c r="K89" s="25">
        <f t="shared" si="20"/>
        <v>3316</v>
      </c>
      <c r="L89" s="25">
        <f t="shared" si="20"/>
        <v>22</v>
      </c>
      <c r="M89" s="25">
        <f t="shared" si="20"/>
        <v>30248</v>
      </c>
      <c r="N89" s="25">
        <f t="shared" si="20"/>
        <v>1463</v>
      </c>
      <c r="O89" s="25">
        <f t="shared" si="20"/>
        <v>1463</v>
      </c>
    </row>
    <row r="90" spans="1:15" ht="12.75" customHeight="1">
      <c r="A90" s="20" t="s">
        <v>166</v>
      </c>
      <c r="B90" s="21" t="s">
        <v>167</v>
      </c>
      <c r="C90" s="22">
        <v>59194</v>
      </c>
      <c r="D90" s="22">
        <v>27221</v>
      </c>
      <c r="E90" s="22">
        <v>3517</v>
      </c>
      <c r="F90" s="22">
        <f>SUM(C90-D90-E90)</f>
        <v>28456</v>
      </c>
      <c r="G90" s="22">
        <v>265085</v>
      </c>
      <c r="H90" s="22">
        <v>91117</v>
      </c>
      <c r="I90" s="22">
        <v>21290</v>
      </c>
      <c r="J90" s="22">
        <f>SUM(G90-H90-I90)</f>
        <v>152678</v>
      </c>
      <c r="K90" s="22">
        <v>1328</v>
      </c>
      <c r="L90" s="22">
        <v>0</v>
      </c>
      <c r="M90" s="22">
        <v>22798</v>
      </c>
      <c r="N90" s="22">
        <v>362</v>
      </c>
      <c r="O90" s="22">
        <v>362</v>
      </c>
    </row>
    <row r="91" spans="1:15" ht="12.75" customHeight="1">
      <c r="A91" s="20" t="s">
        <v>168</v>
      </c>
      <c r="B91" s="21" t="s">
        <v>169</v>
      </c>
      <c r="C91" s="22">
        <v>55162</v>
      </c>
      <c r="D91" s="22">
        <v>39462</v>
      </c>
      <c r="E91" s="22">
        <v>0</v>
      </c>
      <c r="F91" s="22">
        <f>SUM(C91-D91-E91)</f>
        <v>15700</v>
      </c>
      <c r="G91" s="22">
        <v>235877</v>
      </c>
      <c r="H91" s="22">
        <v>100858</v>
      </c>
      <c r="I91" s="22">
        <v>0</v>
      </c>
      <c r="J91" s="22">
        <f>SUM(G91-H91-I91)</f>
        <v>135019</v>
      </c>
      <c r="K91" s="22">
        <v>1241</v>
      </c>
      <c r="L91" s="22">
        <v>293</v>
      </c>
      <c r="M91" s="22">
        <v>29393</v>
      </c>
      <c r="N91" s="22">
        <v>627</v>
      </c>
      <c r="O91" s="22">
        <v>627</v>
      </c>
    </row>
    <row r="92" spans="1:15" ht="12.75" customHeight="1">
      <c r="A92" s="20" t="s">
        <v>170</v>
      </c>
      <c r="B92" s="21" t="s">
        <v>171</v>
      </c>
      <c r="C92" s="22">
        <v>11468</v>
      </c>
      <c r="D92" s="22">
        <v>8269</v>
      </c>
      <c r="E92" s="22">
        <v>1419</v>
      </c>
      <c r="F92" s="22">
        <f>SUM(C92-D92-E92)</f>
        <v>1780</v>
      </c>
      <c r="G92" s="22">
        <v>40633</v>
      </c>
      <c r="H92" s="22">
        <v>21472</v>
      </c>
      <c r="I92" s="22">
        <v>11008</v>
      </c>
      <c r="J92" s="22">
        <f>SUM(G92-H92-I92)</f>
        <v>8153</v>
      </c>
      <c r="K92" s="22">
        <v>466</v>
      </c>
      <c r="L92" s="22">
        <v>0</v>
      </c>
      <c r="M92" s="22">
        <v>1709</v>
      </c>
      <c r="N92" s="22">
        <v>29</v>
      </c>
      <c r="O92" s="22">
        <v>29</v>
      </c>
    </row>
    <row r="93" spans="1:15" ht="12.75" customHeight="1">
      <c r="A93" s="20" t="s">
        <v>172</v>
      </c>
      <c r="B93" s="21" t="s">
        <v>173</v>
      </c>
      <c r="C93" s="22">
        <v>542293</v>
      </c>
      <c r="D93" s="22">
        <v>354853</v>
      </c>
      <c r="E93" s="22">
        <v>23136</v>
      </c>
      <c r="F93" s="22">
        <f>SUM(C93-D93-E93)</f>
        <v>164304</v>
      </c>
      <c r="G93" s="22">
        <v>1637538</v>
      </c>
      <c r="H93" s="22">
        <v>626838</v>
      </c>
      <c r="I93" s="22">
        <v>79804</v>
      </c>
      <c r="J93" s="22">
        <f>SUM(G93-H93-I93)</f>
        <v>930896</v>
      </c>
      <c r="K93" s="22">
        <v>111450</v>
      </c>
      <c r="L93" s="22">
        <v>741</v>
      </c>
      <c r="M93" s="22">
        <v>99663</v>
      </c>
      <c r="N93" s="22">
        <v>13127</v>
      </c>
      <c r="O93" s="22">
        <v>13127</v>
      </c>
    </row>
    <row r="94" spans="1:15" ht="12.75" customHeight="1">
      <c r="A94" s="20" t="s">
        <v>174</v>
      </c>
      <c r="B94" s="21" t="s">
        <v>175</v>
      </c>
      <c r="C94" s="22">
        <v>37640</v>
      </c>
      <c r="D94" s="22">
        <v>11650</v>
      </c>
      <c r="E94" s="22">
        <v>1019</v>
      </c>
      <c r="F94" s="22">
        <f>SUM(C94-D94-E94)</f>
        <v>24971</v>
      </c>
      <c r="G94" s="22">
        <v>110779</v>
      </c>
      <c r="H94" s="22">
        <v>36948</v>
      </c>
      <c r="I94" s="22">
        <v>7123</v>
      </c>
      <c r="J94" s="22">
        <f>SUM(G94-H94-I94)</f>
        <v>66708</v>
      </c>
      <c r="K94" s="22">
        <v>1458</v>
      </c>
      <c r="L94" s="22">
        <v>1015</v>
      </c>
      <c r="M94" s="22">
        <v>19270</v>
      </c>
      <c r="N94" s="22">
        <v>542</v>
      </c>
      <c r="O94" s="22">
        <v>542</v>
      </c>
    </row>
    <row r="95" spans="1:15" ht="12.75" customHeight="1">
      <c r="A95" s="23"/>
      <c r="B95" s="24" t="s">
        <v>176</v>
      </c>
      <c r="C95" s="25">
        <f t="shared" ref="C95:O95" si="21">SUM(C90:C94)</f>
        <v>705757</v>
      </c>
      <c r="D95" s="25">
        <f t="shared" si="21"/>
        <v>441455</v>
      </c>
      <c r="E95" s="25">
        <f t="shared" si="21"/>
        <v>29091</v>
      </c>
      <c r="F95" s="25">
        <f t="shared" si="21"/>
        <v>235211</v>
      </c>
      <c r="G95" s="25">
        <f t="shared" si="21"/>
        <v>2289912</v>
      </c>
      <c r="H95" s="25">
        <f t="shared" si="21"/>
        <v>877233</v>
      </c>
      <c r="I95" s="25">
        <f t="shared" si="21"/>
        <v>119225</v>
      </c>
      <c r="J95" s="25">
        <f t="shared" si="21"/>
        <v>1293454</v>
      </c>
      <c r="K95" s="25">
        <f t="shared" si="21"/>
        <v>115943</v>
      </c>
      <c r="L95" s="25">
        <f t="shared" si="21"/>
        <v>2049</v>
      </c>
      <c r="M95" s="25">
        <f t="shared" si="21"/>
        <v>172833</v>
      </c>
      <c r="N95" s="25">
        <f t="shared" si="21"/>
        <v>14687</v>
      </c>
      <c r="O95" s="25">
        <f t="shared" si="21"/>
        <v>14687</v>
      </c>
    </row>
    <row r="96" spans="1:15" ht="12.75" customHeight="1">
      <c r="A96" s="20" t="s">
        <v>177</v>
      </c>
      <c r="B96" s="21" t="s">
        <v>178</v>
      </c>
      <c r="C96" s="22">
        <v>10939</v>
      </c>
      <c r="D96" s="22">
        <v>8055</v>
      </c>
      <c r="E96" s="22">
        <v>579</v>
      </c>
      <c r="F96" s="22">
        <f>SUM(C96-D96-E96)</f>
        <v>2305</v>
      </c>
      <c r="G96" s="22">
        <v>58971</v>
      </c>
      <c r="H96" s="22">
        <v>30453</v>
      </c>
      <c r="I96" s="22">
        <v>3397</v>
      </c>
      <c r="J96" s="22">
        <f>SUM(G96-H96-I96)</f>
        <v>25121</v>
      </c>
      <c r="K96" s="22">
        <v>30</v>
      </c>
      <c r="L96" s="22">
        <v>0</v>
      </c>
      <c r="M96" s="22">
        <v>17215</v>
      </c>
      <c r="N96" s="22">
        <v>0</v>
      </c>
      <c r="O96" s="22">
        <v>0</v>
      </c>
    </row>
    <row r="97" spans="1:15" ht="12.75" customHeight="1">
      <c r="A97" s="20" t="s">
        <v>179</v>
      </c>
      <c r="B97" s="21" t="s">
        <v>180</v>
      </c>
      <c r="C97" s="22">
        <v>3438</v>
      </c>
      <c r="D97" s="22">
        <v>3224</v>
      </c>
      <c r="E97" s="22">
        <v>0</v>
      </c>
      <c r="F97" s="22">
        <f>SUM(C97-D97-E97)</f>
        <v>214</v>
      </c>
      <c r="G97" s="22">
        <v>14307</v>
      </c>
      <c r="H97" s="22">
        <v>12105</v>
      </c>
      <c r="I97" s="22">
        <v>0</v>
      </c>
      <c r="J97" s="22">
        <f>SUM(G97-H97-I97)</f>
        <v>2202</v>
      </c>
      <c r="K97" s="22">
        <v>46</v>
      </c>
      <c r="L97" s="22">
        <v>0</v>
      </c>
      <c r="M97" s="22">
        <v>1068</v>
      </c>
      <c r="N97" s="22">
        <v>0</v>
      </c>
      <c r="O97" s="22">
        <v>0</v>
      </c>
    </row>
    <row r="98" spans="1:15" ht="12.75" customHeight="1">
      <c r="A98" s="23"/>
      <c r="B98" s="24" t="s">
        <v>181</v>
      </c>
      <c r="C98" s="25">
        <f t="shared" ref="C98:O98" si="22">SUM(C96:C97)</f>
        <v>14377</v>
      </c>
      <c r="D98" s="25">
        <f t="shared" si="22"/>
        <v>11279</v>
      </c>
      <c r="E98" s="25">
        <f t="shared" si="22"/>
        <v>579</v>
      </c>
      <c r="F98" s="25">
        <f t="shared" si="22"/>
        <v>2519</v>
      </c>
      <c r="G98" s="25">
        <f t="shared" si="22"/>
        <v>73278</v>
      </c>
      <c r="H98" s="25">
        <f t="shared" si="22"/>
        <v>42558</v>
      </c>
      <c r="I98" s="25">
        <f t="shared" si="22"/>
        <v>3397</v>
      </c>
      <c r="J98" s="25">
        <f t="shared" si="22"/>
        <v>27323</v>
      </c>
      <c r="K98" s="25">
        <f t="shared" si="22"/>
        <v>76</v>
      </c>
      <c r="L98" s="25">
        <f t="shared" si="22"/>
        <v>0</v>
      </c>
      <c r="M98" s="25">
        <f t="shared" si="22"/>
        <v>18283</v>
      </c>
      <c r="N98" s="25">
        <f t="shared" si="22"/>
        <v>0</v>
      </c>
      <c r="O98" s="25">
        <f t="shared" si="22"/>
        <v>0</v>
      </c>
    </row>
    <row r="99" spans="1:15" ht="12.75" customHeight="1">
      <c r="A99" s="20" t="s">
        <v>182</v>
      </c>
      <c r="B99" s="21" t="s">
        <v>183</v>
      </c>
      <c r="C99" s="22">
        <v>29984</v>
      </c>
      <c r="D99" s="22">
        <v>22932</v>
      </c>
      <c r="E99" s="22">
        <v>1495</v>
      </c>
      <c r="F99" s="22">
        <f>SUM(C99-D99-E99)</f>
        <v>5557</v>
      </c>
      <c r="G99" s="22">
        <v>133426</v>
      </c>
      <c r="H99" s="22">
        <v>73337</v>
      </c>
      <c r="I99" s="22">
        <v>8690</v>
      </c>
      <c r="J99" s="22">
        <f>SUM(G99-H99-I99)</f>
        <v>51399</v>
      </c>
      <c r="K99" s="22">
        <v>232</v>
      </c>
      <c r="L99" s="22">
        <v>0</v>
      </c>
      <c r="M99" s="22">
        <v>15411</v>
      </c>
      <c r="N99" s="22">
        <v>227</v>
      </c>
      <c r="O99" s="22">
        <v>227</v>
      </c>
    </row>
    <row r="100" spans="1:15" ht="12.75" customHeight="1">
      <c r="A100" s="20" t="s">
        <v>184</v>
      </c>
      <c r="B100" s="21" t="s">
        <v>185</v>
      </c>
      <c r="C100" s="22">
        <v>24475</v>
      </c>
      <c r="D100" s="22">
        <v>13336</v>
      </c>
      <c r="E100" s="22">
        <v>1094</v>
      </c>
      <c r="F100" s="22">
        <f>SUM(C100-D100-E100)</f>
        <v>10045</v>
      </c>
      <c r="G100" s="22">
        <v>103375</v>
      </c>
      <c r="H100" s="22">
        <v>37624</v>
      </c>
      <c r="I100" s="22">
        <v>4951</v>
      </c>
      <c r="J100" s="22">
        <f>SUM(G100-H100-I100)</f>
        <v>60800</v>
      </c>
      <c r="K100" s="22">
        <v>2402</v>
      </c>
      <c r="L100" s="22">
        <v>0</v>
      </c>
      <c r="M100" s="22">
        <v>7781</v>
      </c>
      <c r="N100" s="22">
        <v>168</v>
      </c>
      <c r="O100" s="22">
        <v>168</v>
      </c>
    </row>
    <row r="101" spans="1:15" ht="12.75" customHeight="1">
      <c r="A101" s="20" t="s">
        <v>186</v>
      </c>
      <c r="B101" s="21" t="s">
        <v>187</v>
      </c>
      <c r="C101" s="22">
        <v>14185</v>
      </c>
      <c r="D101" s="22">
        <v>11140</v>
      </c>
      <c r="E101" s="22">
        <v>0</v>
      </c>
      <c r="F101" s="22">
        <f>SUM(C101-D101-E101)</f>
        <v>3045</v>
      </c>
      <c r="G101" s="22">
        <v>47015</v>
      </c>
      <c r="H101" s="22">
        <v>31241</v>
      </c>
      <c r="I101" s="22">
        <v>0</v>
      </c>
      <c r="J101" s="22">
        <f>SUM(G101-H101-I101)</f>
        <v>15774</v>
      </c>
      <c r="K101" s="22">
        <v>81</v>
      </c>
      <c r="L101" s="22">
        <v>0</v>
      </c>
      <c r="M101" s="22">
        <v>5206</v>
      </c>
      <c r="N101" s="22">
        <v>518</v>
      </c>
      <c r="O101" s="22">
        <v>518</v>
      </c>
    </row>
    <row r="102" spans="1:15" ht="12.75" customHeight="1">
      <c r="A102" s="20" t="s">
        <v>188</v>
      </c>
      <c r="B102" s="21" t="s">
        <v>189</v>
      </c>
      <c r="C102" s="22">
        <v>24052</v>
      </c>
      <c r="D102" s="22">
        <v>19514</v>
      </c>
      <c r="E102" s="22">
        <v>1726</v>
      </c>
      <c r="F102" s="22">
        <f>SUM(C102-D102-E102)</f>
        <v>2812</v>
      </c>
      <c r="G102" s="22">
        <v>88303</v>
      </c>
      <c r="H102" s="22">
        <v>51955</v>
      </c>
      <c r="I102" s="22">
        <v>11509</v>
      </c>
      <c r="J102" s="22">
        <f>SUM(G102-H102-I102)</f>
        <v>24839</v>
      </c>
      <c r="K102" s="22">
        <v>1430</v>
      </c>
      <c r="L102" s="22">
        <v>0</v>
      </c>
      <c r="M102" s="22">
        <v>7859</v>
      </c>
      <c r="N102" s="22">
        <v>20</v>
      </c>
      <c r="O102" s="22">
        <v>20</v>
      </c>
    </row>
    <row r="103" spans="1:15" ht="12.75" customHeight="1">
      <c r="A103" s="23"/>
      <c r="B103" s="24" t="s">
        <v>190</v>
      </c>
      <c r="C103" s="25">
        <f t="shared" ref="C103:O103" si="23">SUM(C99:C102)</f>
        <v>92696</v>
      </c>
      <c r="D103" s="25">
        <f t="shared" si="23"/>
        <v>66922</v>
      </c>
      <c r="E103" s="25">
        <f t="shared" si="23"/>
        <v>4315</v>
      </c>
      <c r="F103" s="25">
        <f t="shared" si="23"/>
        <v>21459</v>
      </c>
      <c r="G103" s="25">
        <f t="shared" si="23"/>
        <v>372119</v>
      </c>
      <c r="H103" s="25">
        <f t="shared" si="23"/>
        <v>194157</v>
      </c>
      <c r="I103" s="25">
        <f t="shared" si="23"/>
        <v>25150</v>
      </c>
      <c r="J103" s="25">
        <f t="shared" si="23"/>
        <v>152812</v>
      </c>
      <c r="K103" s="25">
        <f t="shared" si="23"/>
        <v>4145</v>
      </c>
      <c r="L103" s="25">
        <f t="shared" si="23"/>
        <v>0</v>
      </c>
      <c r="M103" s="25">
        <f t="shared" si="23"/>
        <v>36257</v>
      </c>
      <c r="N103" s="25">
        <f t="shared" si="23"/>
        <v>933</v>
      </c>
      <c r="O103" s="25">
        <f t="shared" si="23"/>
        <v>933</v>
      </c>
    </row>
    <row r="104" spans="1:15" ht="12.75" customHeight="1">
      <c r="A104" s="20" t="s">
        <v>191</v>
      </c>
      <c r="B104" s="21" t="s">
        <v>192</v>
      </c>
      <c r="C104" s="22">
        <v>16762</v>
      </c>
      <c r="D104" s="22">
        <v>13613</v>
      </c>
      <c r="E104" s="22">
        <v>708</v>
      </c>
      <c r="F104" s="22">
        <f>SUM(C104-D104-E104)</f>
        <v>2441</v>
      </c>
      <c r="G104" s="22">
        <v>78132</v>
      </c>
      <c r="H104" s="22">
        <v>47214</v>
      </c>
      <c r="I104" s="22">
        <v>5369</v>
      </c>
      <c r="J104" s="22">
        <f>SUM(G104-H104-I104)</f>
        <v>25549</v>
      </c>
      <c r="K104" s="22">
        <v>602</v>
      </c>
      <c r="L104" s="22">
        <v>0</v>
      </c>
      <c r="M104" s="22">
        <v>3613</v>
      </c>
      <c r="N104" s="22">
        <v>244</v>
      </c>
      <c r="O104" s="22">
        <v>244</v>
      </c>
    </row>
    <row r="105" spans="1:15" ht="12.75" customHeight="1">
      <c r="A105" s="20" t="s">
        <v>193</v>
      </c>
      <c r="B105" s="21" t="s">
        <v>194</v>
      </c>
      <c r="C105" s="22">
        <v>13344</v>
      </c>
      <c r="D105" s="22">
        <v>8054</v>
      </c>
      <c r="E105" s="22">
        <v>0</v>
      </c>
      <c r="F105" s="22">
        <f>SUM(C105-D105-E105)</f>
        <v>5290</v>
      </c>
      <c r="G105" s="22">
        <v>55430</v>
      </c>
      <c r="H105" s="22">
        <v>29929</v>
      </c>
      <c r="I105" s="22">
        <v>0</v>
      </c>
      <c r="J105" s="22">
        <f>SUM(G105-H105-I105)</f>
        <v>25501</v>
      </c>
      <c r="K105" s="22">
        <v>179</v>
      </c>
      <c r="L105" s="22">
        <v>0</v>
      </c>
      <c r="M105" s="22">
        <v>6424</v>
      </c>
      <c r="N105" s="22">
        <v>526</v>
      </c>
      <c r="O105" s="22">
        <v>526</v>
      </c>
    </row>
    <row r="106" spans="1:15" ht="12.75" customHeight="1">
      <c r="A106" s="20" t="s">
        <v>195</v>
      </c>
      <c r="B106" s="21" t="s">
        <v>196</v>
      </c>
      <c r="C106" s="22">
        <v>59393</v>
      </c>
      <c r="D106" s="22">
        <v>36815</v>
      </c>
      <c r="E106" s="22">
        <v>2192</v>
      </c>
      <c r="F106" s="22">
        <f>SUM(C106-D106-E106)</f>
        <v>20386</v>
      </c>
      <c r="G106" s="22">
        <v>274610</v>
      </c>
      <c r="H106" s="22">
        <v>111536</v>
      </c>
      <c r="I106" s="22">
        <v>13292</v>
      </c>
      <c r="J106" s="22">
        <f>SUM(G106-H106-I106)</f>
        <v>149782</v>
      </c>
      <c r="K106" s="22">
        <v>632</v>
      </c>
      <c r="L106" s="22">
        <v>0</v>
      </c>
      <c r="M106" s="22">
        <v>60216</v>
      </c>
      <c r="N106" s="22">
        <v>968</v>
      </c>
      <c r="O106" s="22">
        <v>968</v>
      </c>
    </row>
    <row r="107" spans="1:15" ht="12.75" customHeight="1">
      <c r="A107" s="20" t="s">
        <v>197</v>
      </c>
      <c r="B107" s="21" t="s">
        <v>198</v>
      </c>
      <c r="C107" s="22">
        <v>211939</v>
      </c>
      <c r="D107" s="22">
        <v>149358</v>
      </c>
      <c r="E107" s="22">
        <v>5555</v>
      </c>
      <c r="F107" s="22">
        <f>SUM(C107-D107-E107)</f>
        <v>57026</v>
      </c>
      <c r="G107" s="22">
        <v>635245</v>
      </c>
      <c r="H107" s="22">
        <v>294091</v>
      </c>
      <c r="I107" s="22">
        <v>14897</v>
      </c>
      <c r="J107" s="22">
        <f>SUM(G107-H107-I107)</f>
        <v>326257</v>
      </c>
      <c r="K107" s="22">
        <v>13581</v>
      </c>
      <c r="L107" s="22">
        <v>0</v>
      </c>
      <c r="M107" s="22">
        <v>12255</v>
      </c>
      <c r="N107" s="22">
        <v>17703</v>
      </c>
      <c r="O107" s="22">
        <v>17703</v>
      </c>
    </row>
    <row r="108" spans="1:15" ht="12.75" customHeight="1">
      <c r="A108" s="20" t="s">
        <v>199</v>
      </c>
      <c r="B108" s="21" t="s">
        <v>200</v>
      </c>
      <c r="C108" s="22">
        <v>67169</v>
      </c>
      <c r="D108" s="22">
        <v>39527</v>
      </c>
      <c r="E108" s="22">
        <v>2572</v>
      </c>
      <c r="F108" s="22">
        <f>SUM(C108-D108-E108)</f>
        <v>25070</v>
      </c>
      <c r="G108" s="22">
        <v>392159</v>
      </c>
      <c r="H108" s="22">
        <v>120677</v>
      </c>
      <c r="I108" s="22">
        <v>15960</v>
      </c>
      <c r="J108" s="22">
        <f>SUM(G108-H108-I108)</f>
        <v>255522</v>
      </c>
      <c r="K108" s="22">
        <v>1945</v>
      </c>
      <c r="L108" s="22">
        <v>0</v>
      </c>
      <c r="M108" s="22">
        <v>14022</v>
      </c>
      <c r="N108" s="22">
        <v>5931</v>
      </c>
      <c r="O108" s="22">
        <v>5931</v>
      </c>
    </row>
    <row r="109" spans="1:15" ht="12.75" customHeight="1">
      <c r="A109" s="23"/>
      <c r="B109" s="24" t="s">
        <v>201</v>
      </c>
      <c r="C109" s="25">
        <f t="shared" ref="C109:O109" si="24">SUM(C104:C108)</f>
        <v>368607</v>
      </c>
      <c r="D109" s="25">
        <f t="shared" si="24"/>
        <v>247367</v>
      </c>
      <c r="E109" s="25">
        <f t="shared" si="24"/>
        <v>11027</v>
      </c>
      <c r="F109" s="25">
        <f t="shared" si="24"/>
        <v>110213</v>
      </c>
      <c r="G109" s="25">
        <f t="shared" si="24"/>
        <v>1435576</v>
      </c>
      <c r="H109" s="25">
        <f t="shared" si="24"/>
        <v>603447</v>
      </c>
      <c r="I109" s="25">
        <f t="shared" si="24"/>
        <v>49518</v>
      </c>
      <c r="J109" s="25">
        <f t="shared" si="24"/>
        <v>782611</v>
      </c>
      <c r="K109" s="25">
        <f t="shared" si="24"/>
        <v>16939</v>
      </c>
      <c r="L109" s="25">
        <f t="shared" si="24"/>
        <v>0</v>
      </c>
      <c r="M109" s="25">
        <f t="shared" si="24"/>
        <v>96530</v>
      </c>
      <c r="N109" s="25">
        <f t="shared" si="24"/>
        <v>25372</v>
      </c>
      <c r="O109" s="25">
        <f t="shared" si="24"/>
        <v>25372</v>
      </c>
    </row>
    <row r="110" spans="1:15" ht="12.75" customHeight="1">
      <c r="A110" s="20" t="s">
        <v>202</v>
      </c>
      <c r="B110" s="21" t="s">
        <v>203</v>
      </c>
      <c r="C110" s="22">
        <v>105749</v>
      </c>
      <c r="D110" s="22">
        <v>80734</v>
      </c>
      <c r="E110" s="22">
        <v>949</v>
      </c>
      <c r="F110" s="22">
        <f t="shared" ref="F110:F115" si="25">SUM(C110-D110-E110)</f>
        <v>24066</v>
      </c>
      <c r="G110" s="22">
        <v>463573</v>
      </c>
      <c r="H110" s="22">
        <v>279064</v>
      </c>
      <c r="I110" s="22">
        <v>7156</v>
      </c>
      <c r="J110" s="22">
        <f t="shared" ref="J110:J115" si="26">SUM(G110-H110-I110)</f>
        <v>177353</v>
      </c>
      <c r="K110" s="22">
        <v>6498</v>
      </c>
      <c r="L110" s="22">
        <v>0</v>
      </c>
      <c r="M110" s="22">
        <v>64471</v>
      </c>
      <c r="N110" s="22">
        <v>1442</v>
      </c>
      <c r="O110" s="22">
        <v>1442</v>
      </c>
    </row>
    <row r="111" spans="1:15" ht="12.75" customHeight="1">
      <c r="A111" s="20" t="s">
        <v>204</v>
      </c>
      <c r="B111" s="21" t="s">
        <v>205</v>
      </c>
      <c r="C111" s="22">
        <v>14346</v>
      </c>
      <c r="D111" s="22">
        <v>13573</v>
      </c>
      <c r="E111" s="22">
        <v>270</v>
      </c>
      <c r="F111" s="22">
        <f t="shared" si="25"/>
        <v>503</v>
      </c>
      <c r="G111" s="22">
        <v>47513</v>
      </c>
      <c r="H111" s="22">
        <v>41975</v>
      </c>
      <c r="I111" s="22">
        <v>1944</v>
      </c>
      <c r="J111" s="22">
        <f t="shared" si="26"/>
        <v>3594</v>
      </c>
      <c r="K111" s="22">
        <v>44</v>
      </c>
      <c r="L111" s="22">
        <v>0</v>
      </c>
      <c r="M111" s="22">
        <v>2936</v>
      </c>
      <c r="N111" s="22">
        <v>264</v>
      </c>
      <c r="O111" s="22">
        <v>264</v>
      </c>
    </row>
    <row r="112" spans="1:15" ht="12.75" customHeight="1">
      <c r="A112" s="20" t="s">
        <v>206</v>
      </c>
      <c r="B112" s="21" t="s">
        <v>207</v>
      </c>
      <c r="C112" s="22">
        <v>37207</v>
      </c>
      <c r="D112" s="22">
        <v>25459</v>
      </c>
      <c r="E112" s="22">
        <v>0</v>
      </c>
      <c r="F112" s="22">
        <f t="shared" si="25"/>
        <v>11748</v>
      </c>
      <c r="G112" s="22">
        <v>128779</v>
      </c>
      <c r="H112" s="22">
        <v>78978</v>
      </c>
      <c r="I112" s="22">
        <v>0</v>
      </c>
      <c r="J112" s="22">
        <f t="shared" si="26"/>
        <v>49801</v>
      </c>
      <c r="K112" s="22">
        <v>24605</v>
      </c>
      <c r="L112" s="22">
        <v>0</v>
      </c>
      <c r="M112" s="22">
        <v>13547</v>
      </c>
      <c r="N112" s="22">
        <v>387</v>
      </c>
      <c r="O112" s="22">
        <v>387</v>
      </c>
    </row>
    <row r="113" spans="1:15" ht="12.75" customHeight="1">
      <c r="A113" s="20" t="s">
        <v>208</v>
      </c>
      <c r="B113" s="21" t="s">
        <v>209</v>
      </c>
      <c r="C113" s="22">
        <v>31379</v>
      </c>
      <c r="D113" s="22">
        <v>19955</v>
      </c>
      <c r="E113" s="22">
        <v>651</v>
      </c>
      <c r="F113" s="22">
        <f t="shared" si="25"/>
        <v>10773</v>
      </c>
      <c r="G113" s="22">
        <v>135430</v>
      </c>
      <c r="H113" s="22">
        <v>64870</v>
      </c>
      <c r="I113" s="22">
        <v>3558</v>
      </c>
      <c r="J113" s="22">
        <f t="shared" si="26"/>
        <v>67002</v>
      </c>
      <c r="K113" s="22">
        <v>1956</v>
      </c>
      <c r="L113" s="22">
        <v>0</v>
      </c>
      <c r="M113" s="22">
        <v>46392</v>
      </c>
      <c r="N113" s="22">
        <v>1378</v>
      </c>
      <c r="O113" s="22">
        <v>1378</v>
      </c>
    </row>
    <row r="114" spans="1:15" ht="12.75" customHeight="1">
      <c r="A114" s="20" t="s">
        <v>210</v>
      </c>
      <c r="B114" s="21" t="s">
        <v>211</v>
      </c>
      <c r="C114" s="22">
        <v>79527</v>
      </c>
      <c r="D114" s="22">
        <v>56460</v>
      </c>
      <c r="E114" s="22">
        <v>0</v>
      </c>
      <c r="F114" s="22">
        <f t="shared" si="25"/>
        <v>23067</v>
      </c>
      <c r="G114" s="22">
        <v>237746</v>
      </c>
      <c r="H114" s="22">
        <v>139705</v>
      </c>
      <c r="I114" s="22">
        <v>0</v>
      </c>
      <c r="J114" s="22">
        <f t="shared" si="26"/>
        <v>98041</v>
      </c>
      <c r="K114" s="22">
        <v>10035</v>
      </c>
      <c r="L114" s="22">
        <v>0</v>
      </c>
      <c r="M114" s="22">
        <v>27216</v>
      </c>
      <c r="N114" s="22">
        <v>1624</v>
      </c>
      <c r="O114" s="22">
        <v>1624</v>
      </c>
    </row>
    <row r="115" spans="1:15" ht="12.75" customHeight="1">
      <c r="A115" s="20" t="s">
        <v>212</v>
      </c>
      <c r="B115" s="21" t="s">
        <v>213</v>
      </c>
      <c r="C115" s="22">
        <v>49879</v>
      </c>
      <c r="D115" s="22">
        <v>42460</v>
      </c>
      <c r="E115" s="22">
        <v>0</v>
      </c>
      <c r="F115" s="22">
        <f t="shared" si="25"/>
        <v>7419</v>
      </c>
      <c r="G115" s="22">
        <v>175729</v>
      </c>
      <c r="H115" s="22">
        <v>131192</v>
      </c>
      <c r="I115" s="22">
        <v>0</v>
      </c>
      <c r="J115" s="22">
        <f t="shared" si="26"/>
        <v>44537</v>
      </c>
      <c r="K115" s="22">
        <v>4708</v>
      </c>
      <c r="L115" s="22">
        <v>0</v>
      </c>
      <c r="M115" s="22">
        <v>24246</v>
      </c>
      <c r="N115" s="22">
        <v>2642</v>
      </c>
      <c r="O115" s="22">
        <v>2642</v>
      </c>
    </row>
    <row r="116" spans="1:15" ht="12.75" customHeight="1">
      <c r="A116" s="23"/>
      <c r="B116" s="24" t="s">
        <v>214</v>
      </c>
      <c r="C116" s="25">
        <f t="shared" ref="C116:O116" si="27">SUM(C110:C115)</f>
        <v>318087</v>
      </c>
      <c r="D116" s="25">
        <f t="shared" si="27"/>
        <v>238641</v>
      </c>
      <c r="E116" s="25">
        <f t="shared" si="27"/>
        <v>1870</v>
      </c>
      <c r="F116" s="25">
        <f t="shared" si="27"/>
        <v>77576</v>
      </c>
      <c r="G116" s="25">
        <f t="shared" si="27"/>
        <v>1188770</v>
      </c>
      <c r="H116" s="25">
        <f t="shared" si="27"/>
        <v>735784</v>
      </c>
      <c r="I116" s="25">
        <f t="shared" si="27"/>
        <v>12658</v>
      </c>
      <c r="J116" s="25">
        <f t="shared" si="27"/>
        <v>440328</v>
      </c>
      <c r="K116" s="25">
        <f t="shared" si="27"/>
        <v>47846</v>
      </c>
      <c r="L116" s="25">
        <f t="shared" si="27"/>
        <v>0</v>
      </c>
      <c r="M116" s="25">
        <f t="shared" si="27"/>
        <v>178808</v>
      </c>
      <c r="N116" s="25">
        <f t="shared" si="27"/>
        <v>7737</v>
      </c>
      <c r="O116" s="25">
        <f t="shared" si="27"/>
        <v>7737</v>
      </c>
    </row>
    <row r="117" spans="1:15" ht="12.75" customHeight="1">
      <c r="A117" s="20" t="s">
        <v>215</v>
      </c>
      <c r="B117" s="21" t="s">
        <v>216</v>
      </c>
      <c r="C117" s="22">
        <v>11794</v>
      </c>
      <c r="D117" s="22">
        <v>8318</v>
      </c>
      <c r="E117" s="22">
        <v>0</v>
      </c>
      <c r="F117" s="22">
        <f>SUM(C117-D117-E117)</f>
        <v>3476</v>
      </c>
      <c r="G117" s="22">
        <v>50847</v>
      </c>
      <c r="H117" s="22">
        <v>31596</v>
      </c>
      <c r="I117" s="22">
        <v>0</v>
      </c>
      <c r="J117" s="22">
        <f>SUM(G117-H117-I117)</f>
        <v>19251</v>
      </c>
      <c r="K117" s="22">
        <v>0</v>
      </c>
      <c r="L117" s="22">
        <v>0</v>
      </c>
      <c r="M117" s="22">
        <v>21838</v>
      </c>
      <c r="N117" s="22">
        <v>452</v>
      </c>
      <c r="O117" s="22">
        <v>452</v>
      </c>
    </row>
    <row r="118" spans="1:15" ht="12.75" customHeight="1">
      <c r="A118" s="20" t="s">
        <v>217</v>
      </c>
      <c r="B118" s="21" t="s">
        <v>218</v>
      </c>
      <c r="C118" s="22">
        <v>26578</v>
      </c>
      <c r="D118" s="22">
        <v>21405</v>
      </c>
      <c r="E118" s="22">
        <v>537</v>
      </c>
      <c r="F118" s="22">
        <f>SUM(C118-D118-E118)</f>
        <v>4636</v>
      </c>
      <c r="G118" s="22">
        <v>105271</v>
      </c>
      <c r="H118" s="22">
        <v>65464</v>
      </c>
      <c r="I118" s="22">
        <v>3786</v>
      </c>
      <c r="J118" s="22">
        <f>SUM(G118-H118-I118)</f>
        <v>36021</v>
      </c>
      <c r="K118" s="22">
        <v>151</v>
      </c>
      <c r="L118" s="22">
        <v>0</v>
      </c>
      <c r="M118" s="22">
        <v>17712</v>
      </c>
      <c r="N118" s="22">
        <v>880</v>
      </c>
      <c r="O118" s="22">
        <v>880</v>
      </c>
    </row>
    <row r="119" spans="1:15" ht="12.75" customHeight="1">
      <c r="A119" s="23"/>
      <c r="B119" s="24" t="s">
        <v>219</v>
      </c>
      <c r="C119" s="25">
        <f t="shared" ref="C119:O119" si="28">SUM(C117:C118)</f>
        <v>38372</v>
      </c>
      <c r="D119" s="25">
        <f t="shared" si="28"/>
        <v>29723</v>
      </c>
      <c r="E119" s="25">
        <f t="shared" si="28"/>
        <v>537</v>
      </c>
      <c r="F119" s="25">
        <f t="shared" si="28"/>
        <v>8112</v>
      </c>
      <c r="G119" s="25">
        <f t="shared" si="28"/>
        <v>156118</v>
      </c>
      <c r="H119" s="25">
        <f t="shared" si="28"/>
        <v>97060</v>
      </c>
      <c r="I119" s="25">
        <f t="shared" si="28"/>
        <v>3786</v>
      </c>
      <c r="J119" s="25">
        <f t="shared" si="28"/>
        <v>55272</v>
      </c>
      <c r="K119" s="25">
        <f t="shared" si="28"/>
        <v>151</v>
      </c>
      <c r="L119" s="25">
        <f t="shared" si="28"/>
        <v>0</v>
      </c>
      <c r="M119" s="25">
        <f t="shared" si="28"/>
        <v>39550</v>
      </c>
      <c r="N119" s="25">
        <f t="shared" si="28"/>
        <v>1332</v>
      </c>
      <c r="O119" s="25">
        <f t="shared" si="28"/>
        <v>1332</v>
      </c>
    </row>
    <row r="120" spans="1:15" ht="12.75" customHeight="1">
      <c r="A120" s="20" t="s">
        <v>220</v>
      </c>
      <c r="B120" s="21" t="s">
        <v>221</v>
      </c>
      <c r="C120" s="22">
        <v>31151</v>
      </c>
      <c r="D120" s="22">
        <v>27347</v>
      </c>
      <c r="E120" s="22">
        <v>522</v>
      </c>
      <c r="F120" s="22">
        <f>SUM(C120-D120-E120)</f>
        <v>3282</v>
      </c>
      <c r="G120" s="22">
        <v>105406</v>
      </c>
      <c r="H120" s="22">
        <v>80632</v>
      </c>
      <c r="I120" s="22">
        <v>4386</v>
      </c>
      <c r="J120" s="22">
        <f>SUM(G120-H120-I120)</f>
        <v>20388</v>
      </c>
      <c r="K120" s="22">
        <v>3146</v>
      </c>
      <c r="L120" s="22">
        <v>0</v>
      </c>
      <c r="M120" s="22">
        <v>5642</v>
      </c>
      <c r="N120" s="22">
        <v>4170</v>
      </c>
      <c r="O120" s="22">
        <v>4170</v>
      </c>
    </row>
    <row r="121" spans="1:15" ht="12.75" customHeight="1">
      <c r="A121" s="20" t="s">
        <v>222</v>
      </c>
      <c r="B121" s="21" t="s">
        <v>223</v>
      </c>
      <c r="C121" s="22">
        <v>49378</v>
      </c>
      <c r="D121" s="22">
        <v>44652</v>
      </c>
      <c r="E121" s="22">
        <v>1445</v>
      </c>
      <c r="F121" s="22">
        <f>SUM(C121-D121-E121)</f>
        <v>3281</v>
      </c>
      <c r="G121" s="22">
        <v>187382</v>
      </c>
      <c r="H121" s="22">
        <v>133064</v>
      </c>
      <c r="I121" s="22">
        <v>8932</v>
      </c>
      <c r="J121" s="22">
        <f>SUM(G121-H121-I121)</f>
        <v>45386</v>
      </c>
      <c r="K121" s="22">
        <v>526</v>
      </c>
      <c r="L121" s="22">
        <v>0</v>
      </c>
      <c r="M121" s="22">
        <v>14951</v>
      </c>
      <c r="N121" s="22">
        <v>715</v>
      </c>
      <c r="O121" s="22">
        <v>715</v>
      </c>
    </row>
    <row r="122" spans="1:15" ht="12.75" customHeight="1">
      <c r="A122" s="20" t="s">
        <v>224</v>
      </c>
      <c r="B122" s="21" t="s">
        <v>225</v>
      </c>
      <c r="C122" s="22">
        <v>8942</v>
      </c>
      <c r="D122" s="22">
        <v>7859</v>
      </c>
      <c r="E122" s="22">
        <v>0</v>
      </c>
      <c r="F122" s="22">
        <f>SUM(C122-D122-E122)</f>
        <v>1083</v>
      </c>
      <c r="G122" s="22">
        <v>31793</v>
      </c>
      <c r="H122" s="22">
        <v>21600</v>
      </c>
      <c r="I122" s="22">
        <v>0</v>
      </c>
      <c r="J122" s="22">
        <f>SUM(G122-H122-I122)</f>
        <v>10193</v>
      </c>
      <c r="K122" s="22">
        <v>129</v>
      </c>
      <c r="L122" s="22">
        <v>0</v>
      </c>
      <c r="M122" s="22">
        <v>12163</v>
      </c>
      <c r="N122" s="22">
        <v>172</v>
      </c>
      <c r="O122" s="22">
        <v>172</v>
      </c>
    </row>
    <row r="123" spans="1:15" ht="12.75" customHeight="1">
      <c r="A123" s="20" t="s">
        <v>226</v>
      </c>
      <c r="B123" s="21" t="s">
        <v>227</v>
      </c>
      <c r="C123" s="22">
        <v>45851</v>
      </c>
      <c r="D123" s="22">
        <v>38097</v>
      </c>
      <c r="E123" s="22">
        <v>699</v>
      </c>
      <c r="F123" s="22">
        <f>SUM(C123-D123-E123)</f>
        <v>7055</v>
      </c>
      <c r="G123" s="22">
        <v>164034</v>
      </c>
      <c r="H123" s="22">
        <v>98743</v>
      </c>
      <c r="I123" s="22">
        <v>4518</v>
      </c>
      <c r="J123" s="22">
        <f>SUM(G123-H123-I123)</f>
        <v>60773</v>
      </c>
      <c r="K123" s="22">
        <v>1817</v>
      </c>
      <c r="L123" s="22">
        <v>0</v>
      </c>
      <c r="M123" s="22">
        <v>6678</v>
      </c>
      <c r="N123" s="22">
        <v>1197</v>
      </c>
      <c r="O123" s="22">
        <v>1197</v>
      </c>
    </row>
    <row r="124" spans="1:15" ht="12.75" customHeight="1">
      <c r="A124" s="20" t="s">
        <v>228</v>
      </c>
      <c r="B124" s="21" t="s">
        <v>229</v>
      </c>
      <c r="C124" s="22">
        <v>16293</v>
      </c>
      <c r="D124" s="22">
        <v>14574</v>
      </c>
      <c r="E124" s="22">
        <v>430</v>
      </c>
      <c r="F124" s="22">
        <f>SUM(C124-D124-E124)</f>
        <v>1289</v>
      </c>
      <c r="G124" s="22">
        <v>51371</v>
      </c>
      <c r="H124" s="22">
        <v>37959</v>
      </c>
      <c r="I124" s="22">
        <v>3600</v>
      </c>
      <c r="J124" s="22">
        <f>SUM(G124-H124-I124)</f>
        <v>9812</v>
      </c>
      <c r="K124" s="22">
        <v>361</v>
      </c>
      <c r="L124" s="22">
        <v>0</v>
      </c>
      <c r="M124" s="22">
        <v>304</v>
      </c>
      <c r="N124" s="22">
        <v>408</v>
      </c>
      <c r="O124" s="22">
        <v>408</v>
      </c>
    </row>
    <row r="125" spans="1:15" ht="12.75" customHeight="1">
      <c r="A125" s="23"/>
      <c r="B125" s="24" t="s">
        <v>230</v>
      </c>
      <c r="C125" s="25">
        <f t="shared" ref="C125:O125" si="29">SUM(C120:C124)</f>
        <v>151615</v>
      </c>
      <c r="D125" s="25">
        <f t="shared" si="29"/>
        <v>132529</v>
      </c>
      <c r="E125" s="25">
        <f t="shared" si="29"/>
        <v>3096</v>
      </c>
      <c r="F125" s="25">
        <f t="shared" si="29"/>
        <v>15990</v>
      </c>
      <c r="G125" s="25">
        <f t="shared" si="29"/>
        <v>539986</v>
      </c>
      <c r="H125" s="25">
        <f t="shared" si="29"/>
        <v>371998</v>
      </c>
      <c r="I125" s="25">
        <f t="shared" si="29"/>
        <v>21436</v>
      </c>
      <c r="J125" s="25">
        <f t="shared" si="29"/>
        <v>146552</v>
      </c>
      <c r="K125" s="25">
        <f t="shared" si="29"/>
        <v>5979</v>
      </c>
      <c r="L125" s="25">
        <f t="shared" si="29"/>
        <v>0</v>
      </c>
      <c r="M125" s="25">
        <f t="shared" si="29"/>
        <v>39738</v>
      </c>
      <c r="N125" s="25">
        <f t="shared" si="29"/>
        <v>6662</v>
      </c>
      <c r="O125" s="25">
        <f t="shared" si="29"/>
        <v>6662</v>
      </c>
    </row>
    <row r="126" spans="1:15" ht="12.75" customHeight="1">
      <c r="A126" s="20" t="s">
        <v>231</v>
      </c>
      <c r="B126" s="21" t="s">
        <v>232</v>
      </c>
      <c r="C126" s="22">
        <v>32111</v>
      </c>
      <c r="D126" s="22">
        <v>23023</v>
      </c>
      <c r="E126" s="22">
        <v>0</v>
      </c>
      <c r="F126" s="22">
        <f t="shared" ref="F126:F134" si="30">SUM(C126-D126-E126)</f>
        <v>9088</v>
      </c>
      <c r="G126" s="22">
        <v>93272</v>
      </c>
      <c r="H126" s="22">
        <v>52683</v>
      </c>
      <c r="I126" s="22">
        <v>0</v>
      </c>
      <c r="J126" s="22">
        <f t="shared" ref="J126:J134" si="31">SUM(G126-H126-I126)</f>
        <v>40589</v>
      </c>
      <c r="K126" s="22">
        <v>453</v>
      </c>
      <c r="L126" s="22">
        <v>0</v>
      </c>
      <c r="M126" s="22">
        <v>9740</v>
      </c>
      <c r="N126" s="22">
        <v>532</v>
      </c>
      <c r="O126" s="22">
        <v>532</v>
      </c>
    </row>
    <row r="127" spans="1:15" ht="12.75" customHeight="1">
      <c r="A127" s="20" t="s">
        <v>233</v>
      </c>
      <c r="B127" s="21" t="s">
        <v>234</v>
      </c>
      <c r="C127" s="22">
        <v>14693</v>
      </c>
      <c r="D127" s="22">
        <v>11785</v>
      </c>
      <c r="E127" s="22">
        <v>0</v>
      </c>
      <c r="F127" s="22">
        <f t="shared" si="30"/>
        <v>2908</v>
      </c>
      <c r="G127" s="22">
        <v>51799</v>
      </c>
      <c r="H127" s="22">
        <v>39799</v>
      </c>
      <c r="I127" s="22">
        <v>0</v>
      </c>
      <c r="J127" s="22">
        <f t="shared" si="31"/>
        <v>12000</v>
      </c>
      <c r="K127" s="22">
        <v>140</v>
      </c>
      <c r="L127" s="22">
        <v>0</v>
      </c>
      <c r="M127" s="22">
        <v>3604</v>
      </c>
      <c r="N127" s="22">
        <v>305</v>
      </c>
      <c r="O127" s="22">
        <v>305</v>
      </c>
    </row>
    <row r="128" spans="1:15" ht="12.75" customHeight="1">
      <c r="A128" s="20" t="s">
        <v>235</v>
      </c>
      <c r="B128" s="21" t="s">
        <v>236</v>
      </c>
      <c r="C128" s="22">
        <v>96940</v>
      </c>
      <c r="D128" s="22">
        <v>71692</v>
      </c>
      <c r="E128" s="22">
        <v>2104</v>
      </c>
      <c r="F128" s="22">
        <f t="shared" si="30"/>
        <v>23144</v>
      </c>
      <c r="G128" s="22">
        <v>242013</v>
      </c>
      <c r="H128" s="22">
        <v>153875</v>
      </c>
      <c r="I128" s="22">
        <v>8780</v>
      </c>
      <c r="J128" s="22">
        <f t="shared" si="31"/>
        <v>79358</v>
      </c>
      <c r="K128" s="22">
        <v>2518</v>
      </c>
      <c r="L128" s="22">
        <v>0</v>
      </c>
      <c r="M128" s="22">
        <v>16256</v>
      </c>
      <c r="N128" s="22">
        <v>1999</v>
      </c>
      <c r="O128" s="22">
        <v>1999</v>
      </c>
    </row>
    <row r="129" spans="1:15" ht="12.75" customHeight="1">
      <c r="A129" s="20" t="s">
        <v>237</v>
      </c>
      <c r="B129" s="21" t="s">
        <v>238</v>
      </c>
      <c r="C129" s="22">
        <v>11128</v>
      </c>
      <c r="D129" s="22">
        <v>7496</v>
      </c>
      <c r="E129" s="22">
        <v>570</v>
      </c>
      <c r="F129" s="22">
        <f t="shared" si="30"/>
        <v>3062</v>
      </c>
      <c r="G129" s="22">
        <v>43611</v>
      </c>
      <c r="H129" s="22">
        <v>18762</v>
      </c>
      <c r="I129" s="22">
        <v>4349</v>
      </c>
      <c r="J129" s="22">
        <f t="shared" si="31"/>
        <v>20500</v>
      </c>
      <c r="K129" s="22">
        <v>335</v>
      </c>
      <c r="L129" s="22">
        <v>0</v>
      </c>
      <c r="M129" s="22">
        <v>12541</v>
      </c>
      <c r="N129" s="22">
        <v>374</v>
      </c>
      <c r="O129" s="22">
        <v>374</v>
      </c>
    </row>
    <row r="130" spans="1:15" ht="12.75" customHeight="1">
      <c r="A130" s="20" t="s">
        <v>239</v>
      </c>
      <c r="B130" s="21" t="s">
        <v>240</v>
      </c>
      <c r="C130" s="22">
        <v>64485</v>
      </c>
      <c r="D130" s="22">
        <v>52880</v>
      </c>
      <c r="E130" s="22">
        <v>3473</v>
      </c>
      <c r="F130" s="22">
        <f t="shared" si="30"/>
        <v>8132</v>
      </c>
      <c r="G130" s="22">
        <v>171771</v>
      </c>
      <c r="H130" s="22">
        <v>89300</v>
      </c>
      <c r="I130" s="22">
        <v>15435</v>
      </c>
      <c r="J130" s="22">
        <f t="shared" si="31"/>
        <v>67036</v>
      </c>
      <c r="K130" s="22">
        <v>2038</v>
      </c>
      <c r="L130" s="22">
        <v>0</v>
      </c>
      <c r="M130" s="22">
        <v>1289</v>
      </c>
      <c r="N130" s="22">
        <v>6628</v>
      </c>
      <c r="O130" s="22">
        <v>6628</v>
      </c>
    </row>
    <row r="131" spans="1:15" ht="12.75" customHeight="1">
      <c r="A131" s="20" t="s">
        <v>241</v>
      </c>
      <c r="B131" s="21" t="s">
        <v>242</v>
      </c>
      <c r="C131" s="22">
        <v>117860</v>
      </c>
      <c r="D131" s="22">
        <v>96203</v>
      </c>
      <c r="E131" s="22">
        <v>943</v>
      </c>
      <c r="F131" s="22">
        <f t="shared" si="30"/>
        <v>20714</v>
      </c>
      <c r="G131" s="22">
        <v>341048</v>
      </c>
      <c r="H131" s="22">
        <v>159002</v>
      </c>
      <c r="I131" s="22">
        <v>4804</v>
      </c>
      <c r="J131" s="22">
        <f t="shared" si="31"/>
        <v>177242</v>
      </c>
      <c r="K131" s="22">
        <v>6180</v>
      </c>
      <c r="L131" s="22">
        <v>0</v>
      </c>
      <c r="M131" s="22">
        <v>16201</v>
      </c>
      <c r="N131" s="22">
        <v>3669</v>
      </c>
      <c r="O131" s="22">
        <v>3669</v>
      </c>
    </row>
    <row r="132" spans="1:15" ht="12.75" customHeight="1">
      <c r="A132" s="20" t="s">
        <v>243</v>
      </c>
      <c r="B132" s="21" t="s">
        <v>244</v>
      </c>
      <c r="C132" s="22">
        <v>62247</v>
      </c>
      <c r="D132" s="22">
        <v>48871</v>
      </c>
      <c r="E132" s="22">
        <v>0</v>
      </c>
      <c r="F132" s="22">
        <f t="shared" si="30"/>
        <v>13376</v>
      </c>
      <c r="G132" s="22">
        <v>184295</v>
      </c>
      <c r="H132" s="22">
        <v>100145</v>
      </c>
      <c r="I132" s="22">
        <v>0</v>
      </c>
      <c r="J132" s="22">
        <f t="shared" si="31"/>
        <v>84150</v>
      </c>
      <c r="K132" s="22">
        <v>5110</v>
      </c>
      <c r="L132" s="22">
        <v>0</v>
      </c>
      <c r="M132" s="22">
        <v>14736</v>
      </c>
      <c r="N132" s="22">
        <v>359</v>
      </c>
      <c r="O132" s="22">
        <v>359</v>
      </c>
    </row>
    <row r="133" spans="1:15" ht="12.75" customHeight="1">
      <c r="A133" s="20" t="s">
        <v>245</v>
      </c>
      <c r="B133" s="21" t="s">
        <v>246</v>
      </c>
      <c r="C133" s="22">
        <v>48457</v>
      </c>
      <c r="D133" s="22">
        <v>41804</v>
      </c>
      <c r="E133" s="22">
        <v>94</v>
      </c>
      <c r="F133" s="22">
        <f t="shared" si="30"/>
        <v>6559</v>
      </c>
      <c r="G133" s="22">
        <v>119968</v>
      </c>
      <c r="H133" s="22">
        <v>94386</v>
      </c>
      <c r="I133" s="22">
        <v>175</v>
      </c>
      <c r="J133" s="22">
        <f t="shared" si="31"/>
        <v>25407</v>
      </c>
      <c r="K133" s="22">
        <v>21628</v>
      </c>
      <c r="L133" s="22">
        <v>0</v>
      </c>
      <c r="M133" s="22">
        <v>8087</v>
      </c>
      <c r="N133" s="22">
        <v>875</v>
      </c>
      <c r="O133" s="22">
        <v>875</v>
      </c>
    </row>
    <row r="134" spans="1:15" ht="12.75" customHeight="1">
      <c r="A134" s="20" t="s">
        <v>247</v>
      </c>
      <c r="B134" s="21" t="s">
        <v>248</v>
      </c>
      <c r="C134" s="22">
        <v>32411</v>
      </c>
      <c r="D134" s="22">
        <v>24249</v>
      </c>
      <c r="E134" s="22">
        <v>0</v>
      </c>
      <c r="F134" s="22">
        <f t="shared" si="30"/>
        <v>8162</v>
      </c>
      <c r="G134" s="22">
        <v>78162</v>
      </c>
      <c r="H134" s="22">
        <v>50005</v>
      </c>
      <c r="I134" s="22">
        <v>0</v>
      </c>
      <c r="J134" s="22">
        <f t="shared" si="31"/>
        <v>28157</v>
      </c>
      <c r="K134" s="22">
        <v>194</v>
      </c>
      <c r="L134" s="22">
        <v>0</v>
      </c>
      <c r="M134" s="22">
        <v>11096</v>
      </c>
      <c r="N134" s="22">
        <v>196</v>
      </c>
      <c r="O134" s="22">
        <v>196</v>
      </c>
    </row>
    <row r="135" spans="1:15" ht="12.75" customHeight="1">
      <c r="A135" s="26"/>
      <c r="B135" s="24" t="s">
        <v>249</v>
      </c>
      <c r="C135" s="25">
        <f t="shared" ref="C135:O135" si="32">SUM(C126:C134)</f>
        <v>480332</v>
      </c>
      <c r="D135" s="25">
        <f t="shared" si="32"/>
        <v>378003</v>
      </c>
      <c r="E135" s="25">
        <f t="shared" si="32"/>
        <v>7184</v>
      </c>
      <c r="F135" s="25">
        <f t="shared" si="32"/>
        <v>95145</v>
      </c>
      <c r="G135" s="25">
        <f t="shared" si="32"/>
        <v>1325939</v>
      </c>
      <c r="H135" s="25">
        <f t="shared" si="32"/>
        <v>757957</v>
      </c>
      <c r="I135" s="25">
        <f t="shared" si="32"/>
        <v>33543</v>
      </c>
      <c r="J135" s="25">
        <f t="shared" si="32"/>
        <v>534439</v>
      </c>
      <c r="K135" s="25">
        <f t="shared" si="32"/>
        <v>38596</v>
      </c>
      <c r="L135" s="25">
        <f t="shared" si="32"/>
        <v>0</v>
      </c>
      <c r="M135" s="25">
        <f t="shared" si="32"/>
        <v>93550</v>
      </c>
      <c r="N135" s="25">
        <f t="shared" si="32"/>
        <v>14937</v>
      </c>
      <c r="O135" s="25">
        <f t="shared" si="32"/>
        <v>14937</v>
      </c>
    </row>
    <row r="136" spans="1:15" ht="12.75" customHeight="1">
      <c r="A136" s="20" t="s">
        <v>250</v>
      </c>
      <c r="B136" s="21" t="s">
        <v>251</v>
      </c>
      <c r="C136" s="22">
        <v>70740</v>
      </c>
      <c r="D136" s="22">
        <v>65224</v>
      </c>
      <c r="E136" s="22">
        <v>0</v>
      </c>
      <c r="F136" s="22">
        <f t="shared" ref="F136:F143" si="33">SUM(C136-D136-E136)</f>
        <v>5516</v>
      </c>
      <c r="G136" s="22">
        <v>173116</v>
      </c>
      <c r="H136" s="22">
        <v>133422</v>
      </c>
      <c r="I136" s="22">
        <v>0</v>
      </c>
      <c r="J136" s="22">
        <f t="shared" ref="J136:J143" si="34">SUM(G136-H136-I136)</f>
        <v>39694</v>
      </c>
      <c r="K136" s="22">
        <v>12032</v>
      </c>
      <c r="L136" s="22">
        <v>8209</v>
      </c>
      <c r="M136" s="22">
        <v>8657</v>
      </c>
      <c r="N136" s="22">
        <v>22235</v>
      </c>
      <c r="O136" s="22">
        <v>22235</v>
      </c>
    </row>
    <row r="137" spans="1:15" ht="12.75" customHeight="1">
      <c r="A137" s="20" t="s">
        <v>252</v>
      </c>
      <c r="B137" s="21" t="s">
        <v>253</v>
      </c>
      <c r="C137" s="22">
        <v>10373</v>
      </c>
      <c r="D137" s="22">
        <v>10363</v>
      </c>
      <c r="E137" s="22">
        <v>0</v>
      </c>
      <c r="F137" s="22">
        <f t="shared" si="33"/>
        <v>10</v>
      </c>
      <c r="G137" s="22">
        <v>22645</v>
      </c>
      <c r="H137" s="22">
        <v>22419</v>
      </c>
      <c r="I137" s="22">
        <v>0</v>
      </c>
      <c r="J137" s="22">
        <f t="shared" si="34"/>
        <v>226</v>
      </c>
      <c r="K137" s="22">
        <v>530</v>
      </c>
      <c r="L137" s="22">
        <v>0</v>
      </c>
      <c r="M137" s="22">
        <v>0</v>
      </c>
      <c r="N137" s="22">
        <v>2400</v>
      </c>
      <c r="O137" s="22">
        <v>2400</v>
      </c>
    </row>
    <row r="138" spans="1:15" ht="12.75" customHeight="1">
      <c r="A138" s="20" t="s">
        <v>254</v>
      </c>
      <c r="B138" s="21" t="s">
        <v>255</v>
      </c>
      <c r="C138" s="22">
        <v>6363</v>
      </c>
      <c r="D138" s="22">
        <v>6311</v>
      </c>
      <c r="E138" s="22">
        <v>0</v>
      </c>
      <c r="F138" s="22">
        <f t="shared" si="33"/>
        <v>52</v>
      </c>
      <c r="G138" s="22">
        <v>22915</v>
      </c>
      <c r="H138" s="22">
        <v>20367</v>
      </c>
      <c r="I138" s="22">
        <v>0</v>
      </c>
      <c r="J138" s="22">
        <f t="shared" si="34"/>
        <v>2548</v>
      </c>
      <c r="K138" s="22">
        <v>1618</v>
      </c>
      <c r="L138" s="22">
        <v>0</v>
      </c>
      <c r="M138" s="22">
        <v>3749</v>
      </c>
      <c r="N138" s="22">
        <v>4419</v>
      </c>
      <c r="O138" s="22">
        <v>4419</v>
      </c>
    </row>
    <row r="139" spans="1:15" ht="12.75" customHeight="1">
      <c r="A139" s="20" t="s">
        <v>256</v>
      </c>
      <c r="B139" s="21" t="s">
        <v>257</v>
      </c>
      <c r="C139" s="22">
        <v>18373</v>
      </c>
      <c r="D139" s="22">
        <v>16281</v>
      </c>
      <c r="E139" s="22">
        <v>0</v>
      </c>
      <c r="F139" s="22">
        <f t="shared" si="33"/>
        <v>2092</v>
      </c>
      <c r="G139" s="22">
        <v>53161</v>
      </c>
      <c r="H139" s="22">
        <v>43755</v>
      </c>
      <c r="I139" s="22">
        <v>0</v>
      </c>
      <c r="J139" s="22">
        <f t="shared" si="34"/>
        <v>9406</v>
      </c>
      <c r="K139" s="22">
        <v>8234</v>
      </c>
      <c r="L139" s="22">
        <v>907</v>
      </c>
      <c r="M139" s="22">
        <v>7248</v>
      </c>
      <c r="N139" s="22">
        <v>2239</v>
      </c>
      <c r="O139" s="22">
        <v>2239</v>
      </c>
    </row>
    <row r="140" spans="1:15" ht="12.75" customHeight="1">
      <c r="A140" s="20" t="s">
        <v>258</v>
      </c>
      <c r="B140" s="21" t="s">
        <v>259</v>
      </c>
      <c r="C140" s="22">
        <v>4019</v>
      </c>
      <c r="D140" s="22">
        <v>3983</v>
      </c>
      <c r="E140" s="22">
        <v>0</v>
      </c>
      <c r="F140" s="22">
        <f t="shared" si="33"/>
        <v>36</v>
      </c>
      <c r="G140" s="22">
        <v>8426</v>
      </c>
      <c r="H140" s="22">
        <v>8276</v>
      </c>
      <c r="I140" s="22">
        <v>0</v>
      </c>
      <c r="J140" s="22">
        <f t="shared" si="34"/>
        <v>150</v>
      </c>
      <c r="K140" s="22">
        <v>0</v>
      </c>
      <c r="L140" s="22">
        <v>0</v>
      </c>
      <c r="M140" s="22">
        <v>0</v>
      </c>
      <c r="N140" s="22">
        <v>0</v>
      </c>
      <c r="O140" s="22">
        <v>0</v>
      </c>
    </row>
    <row r="141" spans="1:15" ht="12.75" customHeight="1">
      <c r="A141" s="20" t="s">
        <v>260</v>
      </c>
      <c r="B141" s="21" t="s">
        <v>261</v>
      </c>
      <c r="C141" s="22">
        <v>24933</v>
      </c>
      <c r="D141" s="22">
        <v>23635</v>
      </c>
      <c r="E141" s="22">
        <v>0</v>
      </c>
      <c r="F141" s="22">
        <f t="shared" si="33"/>
        <v>1298</v>
      </c>
      <c r="G141" s="22">
        <v>50379</v>
      </c>
      <c r="H141" s="22">
        <v>46181</v>
      </c>
      <c r="I141" s="22">
        <v>0</v>
      </c>
      <c r="J141" s="22">
        <f t="shared" si="34"/>
        <v>4198</v>
      </c>
      <c r="K141" s="22">
        <v>166</v>
      </c>
      <c r="L141" s="22">
        <v>0</v>
      </c>
      <c r="M141" s="22">
        <v>40</v>
      </c>
      <c r="N141" s="22">
        <v>2804</v>
      </c>
      <c r="O141" s="22">
        <v>2804</v>
      </c>
    </row>
    <row r="142" spans="1:15" ht="12.75" customHeight="1">
      <c r="A142" s="20" t="s">
        <v>262</v>
      </c>
      <c r="B142" s="21" t="s">
        <v>263</v>
      </c>
      <c r="C142" s="22">
        <v>17210</v>
      </c>
      <c r="D142" s="22">
        <v>12808</v>
      </c>
      <c r="E142" s="22">
        <v>0</v>
      </c>
      <c r="F142" s="22">
        <f t="shared" si="33"/>
        <v>4402</v>
      </c>
      <c r="G142" s="22">
        <v>53574</v>
      </c>
      <c r="H142" s="22">
        <v>41751</v>
      </c>
      <c r="I142" s="22">
        <v>0</v>
      </c>
      <c r="J142" s="22">
        <f t="shared" si="34"/>
        <v>11823</v>
      </c>
      <c r="K142" s="22">
        <v>5464</v>
      </c>
      <c r="L142" s="22">
        <v>0</v>
      </c>
      <c r="M142" s="22">
        <v>9856</v>
      </c>
      <c r="N142" s="22">
        <v>5975</v>
      </c>
      <c r="O142" s="22">
        <v>5975</v>
      </c>
    </row>
    <row r="143" spans="1:15" ht="12.75" customHeight="1">
      <c r="A143" s="20" t="s">
        <v>264</v>
      </c>
      <c r="B143" s="21" t="s">
        <v>265</v>
      </c>
      <c r="C143" s="22">
        <v>47284</v>
      </c>
      <c r="D143" s="22">
        <v>37289</v>
      </c>
      <c r="E143" s="22">
        <v>0</v>
      </c>
      <c r="F143" s="22">
        <f t="shared" si="33"/>
        <v>9995</v>
      </c>
      <c r="G143" s="22">
        <v>152947</v>
      </c>
      <c r="H143" s="22">
        <v>68132</v>
      </c>
      <c r="I143" s="22">
        <v>0</v>
      </c>
      <c r="J143" s="22">
        <f t="shared" si="34"/>
        <v>84815</v>
      </c>
      <c r="K143" s="22">
        <v>31838</v>
      </c>
      <c r="L143" s="22">
        <v>575</v>
      </c>
      <c r="M143" s="22">
        <v>13794</v>
      </c>
      <c r="N143" s="22">
        <v>8017</v>
      </c>
      <c r="O143" s="22">
        <v>8017</v>
      </c>
    </row>
    <row r="144" spans="1:15" ht="14.7" customHeight="1">
      <c r="A144" s="20" t="s">
        <v>266</v>
      </c>
      <c r="B144" s="21" t="s">
        <v>267</v>
      </c>
      <c r="C144" s="22"/>
      <c r="D144" s="22"/>
      <c r="E144" s="22"/>
      <c r="F144" s="22">
        <v>0</v>
      </c>
      <c r="G144" s="22"/>
      <c r="H144" s="22"/>
      <c r="I144" s="22"/>
      <c r="J144" s="22">
        <v>0</v>
      </c>
      <c r="K144" s="22"/>
      <c r="L144" s="22"/>
      <c r="M144" s="22"/>
      <c r="N144" s="22"/>
      <c r="O144" s="22"/>
    </row>
    <row r="145" spans="1:15" ht="14.7" customHeight="1">
      <c r="A145" s="26"/>
      <c r="B145" s="24" t="s">
        <v>268</v>
      </c>
      <c r="C145" s="28">
        <f t="shared" ref="C145:O145" si="35">SUM(C136:C144)</f>
        <v>199295</v>
      </c>
      <c r="D145" s="28">
        <f t="shared" si="35"/>
        <v>175894</v>
      </c>
      <c r="E145" s="28">
        <f t="shared" si="35"/>
        <v>0</v>
      </c>
      <c r="F145" s="28">
        <f t="shared" si="35"/>
        <v>23401</v>
      </c>
      <c r="G145" s="28">
        <f t="shared" si="35"/>
        <v>537163</v>
      </c>
      <c r="H145" s="28">
        <f t="shared" si="35"/>
        <v>384303</v>
      </c>
      <c r="I145" s="28">
        <f t="shared" si="35"/>
        <v>0</v>
      </c>
      <c r="J145" s="28">
        <f t="shared" si="35"/>
        <v>152860</v>
      </c>
      <c r="K145" s="28">
        <f t="shared" si="35"/>
        <v>59882</v>
      </c>
      <c r="L145" s="28">
        <f t="shared" si="35"/>
        <v>9691</v>
      </c>
      <c r="M145" s="28">
        <f t="shared" si="35"/>
        <v>43344</v>
      </c>
      <c r="N145" s="28">
        <f t="shared" si="35"/>
        <v>48089</v>
      </c>
      <c r="O145" s="28">
        <f t="shared" si="35"/>
        <v>48089</v>
      </c>
    </row>
    <row r="146" spans="1:15" ht="14.7" customHeight="1">
      <c r="A146" s="29" t="s">
        <v>269</v>
      </c>
      <c r="B146" s="30" t="s">
        <v>270</v>
      </c>
      <c r="C146" s="31">
        <f t="shared" ref="C146:O146" si="36">C145+C135+C125+C119+C116+C109+C103+C98+C95+C89+C86+C80+C69+C59+C51+C46+C43+C30+C25+C23</f>
        <v>6148191</v>
      </c>
      <c r="D146" s="31">
        <f t="shared" si="36"/>
        <v>4376831</v>
      </c>
      <c r="E146" s="31">
        <f t="shared" si="36"/>
        <v>181171</v>
      </c>
      <c r="F146" s="31">
        <f t="shared" si="36"/>
        <v>1590189</v>
      </c>
      <c r="G146" s="31">
        <f t="shared" si="36"/>
        <v>19331398</v>
      </c>
      <c r="H146" s="31">
        <f t="shared" si="36"/>
        <v>9867849</v>
      </c>
      <c r="I146" s="31">
        <f t="shared" si="36"/>
        <v>830163</v>
      </c>
      <c r="J146" s="31">
        <f t="shared" si="36"/>
        <v>8633386</v>
      </c>
      <c r="K146" s="31">
        <f t="shared" si="36"/>
        <v>741566</v>
      </c>
      <c r="L146" s="31">
        <f t="shared" si="36"/>
        <v>19585</v>
      </c>
      <c r="M146" s="31">
        <f t="shared" si="36"/>
        <v>1691436</v>
      </c>
      <c r="N146" s="31">
        <f t="shared" si="36"/>
        <v>764381</v>
      </c>
      <c r="O146" s="31">
        <f t="shared" si="36"/>
        <v>389080</v>
      </c>
    </row>
  </sheetData>
  <sheetProtection selectLockedCells="1" selectUnlockedCells="1"/>
  <mergeCells count="29"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G12:G13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:D1"/>
    <mergeCell ref="E1:L1"/>
    <mergeCell ref="A2:D2"/>
    <mergeCell ref="A3:C3"/>
    <mergeCell ref="E3:L3"/>
    <mergeCell ref="A4:C4"/>
    <mergeCell ref="E4:L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2018-05-23T12:34:39Z</dcterms:modified>
</cp:coreProperties>
</file>