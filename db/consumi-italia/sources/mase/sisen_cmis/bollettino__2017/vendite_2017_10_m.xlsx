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i="1" l="1"/>
  <c r="P43" i="2"/>
  <c r="N43"/>
  <c r="N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<sst xmlns="http://schemas.openxmlformats.org/spreadsheetml/2006/main" count="182" uniqueCount="91">
  <si>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</si>
  <si>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</si>
  <si>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</si>
  <si>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</si>
  <si>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</si>
  <si>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</si>
  <si>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</si>
  <si>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ottobre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</si>
  <si>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</si>
  <si>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</si>
  <si>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</si>
  <si>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</si>
  <si>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</si>
  <si>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</si>
  <si>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</si>
  <si>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</si>
  <si>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</si>
  <si>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</si>
  <si>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</si>
  <si>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</si>
  <si>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</si>
  <si>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</si>
  <si>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</si>
  <si>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</si>
  <si>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</si>
  <si>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</si>
  <si>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</si>
  <si>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</si>
  <si>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</si>
  <si>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</si>
  <si>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</si>
  <si>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</si>
  <si>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</si>
  <si>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</si>
  <si>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</si>
  <si>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</si>
  <si>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</si>
  <si>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</si>
  <si>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</si>
  <si>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</si>
  <si>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</si>
  <si>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</si>
  <si>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</si>
  <si>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</si>
  <si>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</si>
  <si>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</si>
  <si>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</si>
  <si>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</si>
  <si>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</si>
  <si>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</si>
  <si>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</si>
  <si>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</si>
  <si>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</si>
  <si>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</si>
  <si>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</si>
  <si>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</si>
  <si>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</si>
  <si>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</si>
  <si>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</si>
  <si>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</si>
  <si>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</si>
  <si>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</si>
  <si>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</si>
  <si>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</si>
  <si>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</si>
  <si>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</si>
  <si>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</si>
  <si>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</si>
  <si>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</si>
  <si>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</si>
  <si>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</si>
  <si>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</si>
  <si>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</si>
  <si>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</si>
  <si>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</si>
  <si>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</si>
  <si>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</si>
  <si>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</si>
  <si>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</si>
  <si>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</si>
  <si>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</si>
  <si>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</si>
  <si>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</si>
  <si>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</si>
  <si>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</si>
  <si>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</si>
  <si>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</si>
  <si>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</si>
  <si>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</si>
  <si>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</si>
  <si>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gennaio-ottobre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</si>
</sst>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59428</v>
      </c>
      <c r="E10" s="29">
        <v>1467</v>
      </c>
      <c r="F10" s="29">
        <v>0</v>
      </c>
      <c r="G10" s="29">
        <v>0</v>
      </c>
      <c r="H10" s="29">
        <v>0</v>
      </c>
      <c r="I10" s="29">
        <v>0</v>
      </c>
      <c r="J10" s="29">
        <v>5562</v>
      </c>
      <c r="K10" s="29">
        <v>291</v>
      </c>
      <c r="L10" s="29">
        <v>53203</v>
      </c>
      <c r="M10" s="29">
        <v>221</v>
      </c>
      <c r="N10" s="30">
        <f t="shared" ref="N10:N42" si="0">SUM(C10:M10)</f>
        <v>120172</v>
      </c>
      <c r="O10" s="29">
        <v>0</v>
      </c>
      <c r="P10" s="30">
        <f t="shared" ref="P10:P42" si="1">SUM(N10:O10)</f>
        <v>120172</v>
      </c>
    </row>
    <row r="11" spans="1:16" ht="15" customHeight="1">
      <c r="A11" s="11" t="s">
        <v>26</v>
      </c>
      <c r="B11" s="12" t="s">
        <v>27</v>
      </c>
      <c r="C11" s="29">
        <v>65325</v>
      </c>
      <c r="D11" s="29">
        <v>4354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70877</v>
      </c>
      <c r="M11" s="29">
        <v>749</v>
      </c>
      <c r="N11" s="30">
        <f t="shared" si="0"/>
        <v>141305</v>
      </c>
      <c r="O11" s="29">
        <v>0</v>
      </c>
      <c r="P11" s="30">
        <f t="shared" si="1"/>
        <v>141305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1640</v>
      </c>
      <c r="K12" s="29">
        <v>0</v>
      </c>
      <c r="L12" s="29">
        <v>0</v>
      </c>
      <c r="M12" s="29">
        <v>0</v>
      </c>
      <c r="N12" s="30">
        <f t="shared" si="0"/>
        <v>1640</v>
      </c>
      <c r="O12" s="29">
        <v>0</v>
      </c>
      <c r="P12" s="30">
        <f t="shared" si="1"/>
        <v>1640</v>
      </c>
    </row>
    <row r="13" spans="1:16" ht="15" customHeight="1">
      <c r="A13" s="11" t="s">
        <v>30</v>
      </c>
      <c r="B13" s="12" t="s">
        <v>31</v>
      </c>
      <c r="C13" s="29">
        <v>453653</v>
      </c>
      <c r="D13" s="29">
        <v>2752</v>
      </c>
      <c r="E13" s="29">
        <v>120</v>
      </c>
      <c r="F13" s="29">
        <v>0</v>
      </c>
      <c r="G13" s="29">
        <v>74</v>
      </c>
      <c r="H13" s="29">
        <v>0</v>
      </c>
      <c r="I13" s="29">
        <v>0</v>
      </c>
      <c r="J13" s="29">
        <v>417</v>
      </c>
      <c r="K13" s="29">
        <v>81</v>
      </c>
      <c r="L13" s="29">
        <v>150839</v>
      </c>
      <c r="M13" s="29">
        <v>8595</v>
      </c>
      <c r="N13" s="30">
        <f t="shared" si="0"/>
        <v>616531</v>
      </c>
      <c r="O13" s="29">
        <v>0</v>
      </c>
      <c r="P13" s="30">
        <f t="shared" si="1"/>
        <v>616531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110</v>
      </c>
      <c r="I14" s="29">
        <v>0</v>
      </c>
      <c r="J14" s="29">
        <v>0</v>
      </c>
      <c r="K14" s="29">
        <v>5</v>
      </c>
      <c r="L14" s="29">
        <v>0</v>
      </c>
      <c r="M14" s="29">
        <v>0</v>
      </c>
      <c r="N14" s="30">
        <f t="shared" si="0"/>
        <v>115</v>
      </c>
      <c r="O14" s="29">
        <v>0</v>
      </c>
      <c r="P14" s="30">
        <f t="shared" si="1"/>
        <v>115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146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146</v>
      </c>
      <c r="O15" s="29">
        <v>0</v>
      </c>
      <c r="P15" s="30">
        <f t="shared" si="1"/>
        <v>146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149</v>
      </c>
      <c r="F16" s="29">
        <v>0</v>
      </c>
      <c r="G16" s="29">
        <v>0</v>
      </c>
      <c r="H16" s="29">
        <v>0</v>
      </c>
      <c r="I16" s="29">
        <v>0</v>
      </c>
      <c r="J16" s="29">
        <v>464</v>
      </c>
      <c r="K16" s="29">
        <v>0</v>
      </c>
      <c r="L16" s="29">
        <v>240</v>
      </c>
      <c r="M16" s="29">
        <v>0</v>
      </c>
      <c r="N16" s="30">
        <f t="shared" si="0"/>
        <v>853</v>
      </c>
      <c r="O16" s="29">
        <v>0</v>
      </c>
      <c r="P16" s="30">
        <f t="shared" si="1"/>
        <v>853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6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363</v>
      </c>
      <c r="M17" s="29">
        <v>0</v>
      </c>
      <c r="N17" s="30">
        <f t="shared" si="0"/>
        <v>369</v>
      </c>
      <c r="O17" s="29">
        <v>0</v>
      </c>
      <c r="P17" s="30">
        <f t="shared" si="1"/>
        <v>369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377385</v>
      </c>
      <c r="I18" s="29">
        <v>0</v>
      </c>
      <c r="J18" s="29">
        <v>112</v>
      </c>
      <c r="K18" s="29">
        <v>4924</v>
      </c>
      <c r="L18" s="29">
        <v>65</v>
      </c>
      <c r="M18" s="29">
        <v>7410</v>
      </c>
      <c r="N18" s="30">
        <f t="shared" si="0"/>
        <v>389896</v>
      </c>
      <c r="O18" s="29">
        <v>0</v>
      </c>
      <c r="P18" s="30">
        <f t="shared" si="1"/>
        <v>389896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14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2</v>
      </c>
      <c r="M19" s="29">
        <v>0</v>
      </c>
      <c r="N19" s="30">
        <f t="shared" si="0"/>
        <v>16</v>
      </c>
      <c r="O19" s="29">
        <v>0</v>
      </c>
      <c r="P19" s="30">
        <f t="shared" si="1"/>
        <v>16</v>
      </c>
    </row>
    <row r="20" spans="1:16" ht="15" customHeight="1">
      <c r="A20" s="11" t="s">
        <v>44</v>
      </c>
      <c r="B20" s="12" t="s">
        <v>45</v>
      </c>
      <c r="C20" s="29">
        <v>1090623</v>
      </c>
      <c r="D20" s="29">
        <v>81732</v>
      </c>
      <c r="E20" s="29">
        <v>227979</v>
      </c>
      <c r="F20" s="29">
        <v>3012</v>
      </c>
      <c r="G20" s="29">
        <v>23465</v>
      </c>
      <c r="H20" s="29">
        <v>0</v>
      </c>
      <c r="I20" s="29">
        <v>997</v>
      </c>
      <c r="J20" s="29">
        <v>3856</v>
      </c>
      <c r="K20" s="29">
        <v>1608</v>
      </c>
      <c r="L20" s="29">
        <v>762586</v>
      </c>
      <c r="M20" s="29">
        <v>48598</v>
      </c>
      <c r="N20" s="30">
        <f t="shared" si="0"/>
        <v>2244456</v>
      </c>
      <c r="O20" s="29">
        <v>30376</v>
      </c>
      <c r="P20" s="30">
        <f t="shared" si="1"/>
        <v>2274832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3126</v>
      </c>
      <c r="E21" s="29">
        <v>1</v>
      </c>
      <c r="F21" s="29">
        <v>0</v>
      </c>
      <c r="G21" s="29">
        <v>1651</v>
      </c>
      <c r="H21" s="29">
        <v>0</v>
      </c>
      <c r="I21" s="29">
        <v>0</v>
      </c>
      <c r="J21" s="29">
        <v>113</v>
      </c>
      <c r="K21" s="29">
        <v>5384</v>
      </c>
      <c r="L21" s="29">
        <v>86602</v>
      </c>
      <c r="M21" s="29">
        <v>1417</v>
      </c>
      <c r="N21" s="30">
        <f t="shared" si="0"/>
        <v>98294</v>
      </c>
      <c r="O21" s="29">
        <v>9851</v>
      </c>
      <c r="P21" s="30">
        <f t="shared" si="1"/>
        <v>108145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101</v>
      </c>
      <c r="E22" s="29">
        <v>0</v>
      </c>
      <c r="F22" s="29">
        <v>0</v>
      </c>
      <c r="G22" s="29">
        <v>0</v>
      </c>
      <c r="H22" s="29">
        <v>0</v>
      </c>
      <c r="I22" s="29">
        <v>1426</v>
      </c>
      <c r="J22" s="29">
        <v>0</v>
      </c>
      <c r="K22" s="29">
        <v>0</v>
      </c>
      <c r="L22" s="29">
        <v>0</v>
      </c>
      <c r="M22" s="29">
        <v>3208</v>
      </c>
      <c r="N22" s="30">
        <f t="shared" si="0"/>
        <v>4735</v>
      </c>
      <c r="O22" s="29">
        <v>0</v>
      </c>
      <c r="P22" s="30">
        <f t="shared" si="1"/>
        <v>4735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42982</v>
      </c>
      <c r="J23" s="29">
        <v>0</v>
      </c>
      <c r="K23" s="29">
        <v>0</v>
      </c>
      <c r="L23" s="29">
        <v>9565</v>
      </c>
      <c r="M23" s="29">
        <v>0</v>
      </c>
      <c r="N23" s="30">
        <f t="shared" si="0"/>
        <v>52547</v>
      </c>
      <c r="O23" s="29">
        <v>135532</v>
      </c>
      <c r="P23" s="30">
        <f t="shared" si="1"/>
        <v>188079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1399</v>
      </c>
      <c r="E24" s="29">
        <v>397</v>
      </c>
      <c r="F24" s="29">
        <v>0</v>
      </c>
      <c r="G24" s="29">
        <v>0</v>
      </c>
      <c r="H24" s="29">
        <v>0</v>
      </c>
      <c r="I24" s="29">
        <v>0</v>
      </c>
      <c r="J24" s="29">
        <v>1482</v>
      </c>
      <c r="K24" s="29">
        <v>66</v>
      </c>
      <c r="L24" s="29">
        <v>22729</v>
      </c>
      <c r="M24" s="29">
        <v>15272</v>
      </c>
      <c r="N24" s="30">
        <f t="shared" si="0"/>
        <v>41345</v>
      </c>
      <c r="O24" s="29">
        <v>96777</v>
      </c>
      <c r="P24" s="30">
        <f t="shared" si="1"/>
        <v>138122</v>
      </c>
    </row>
    <row r="25" spans="1:16" ht="15" customHeight="1">
      <c r="A25" s="11" t="s">
        <v>54</v>
      </c>
      <c r="B25" s="12" t="s">
        <v>55</v>
      </c>
      <c r="C25" s="29">
        <v>323</v>
      </c>
      <c r="D25" s="29">
        <v>6729</v>
      </c>
      <c r="E25" s="29">
        <v>698</v>
      </c>
      <c r="F25" s="29">
        <v>11</v>
      </c>
      <c r="G25" s="29">
        <v>252</v>
      </c>
      <c r="H25" s="29">
        <v>7</v>
      </c>
      <c r="I25" s="29">
        <v>59</v>
      </c>
      <c r="J25" s="29">
        <v>2817</v>
      </c>
      <c r="K25" s="29">
        <v>32</v>
      </c>
      <c r="L25" s="29">
        <v>5464</v>
      </c>
      <c r="M25" s="29">
        <v>773</v>
      </c>
      <c r="N25" s="30">
        <f t="shared" si="0"/>
        <v>17165</v>
      </c>
      <c r="O25" s="29">
        <v>2707</v>
      </c>
      <c r="P25" s="30">
        <f t="shared" si="1"/>
        <v>19872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4041</v>
      </c>
      <c r="E26" s="29">
        <v>178</v>
      </c>
      <c r="F26" s="29">
        <v>3</v>
      </c>
      <c r="G26" s="29">
        <v>60</v>
      </c>
      <c r="H26" s="29">
        <v>18</v>
      </c>
      <c r="I26" s="29">
        <v>37</v>
      </c>
      <c r="J26" s="29">
        <v>10407</v>
      </c>
      <c r="K26" s="29">
        <v>8</v>
      </c>
      <c r="L26" s="29">
        <v>2868</v>
      </c>
      <c r="M26" s="29">
        <v>991</v>
      </c>
      <c r="N26" s="30">
        <f t="shared" si="0"/>
        <v>18615</v>
      </c>
      <c r="O26" s="29">
        <v>204</v>
      </c>
      <c r="P26" s="30">
        <f t="shared" si="1"/>
        <v>18819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22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93</v>
      </c>
      <c r="K27" s="29">
        <v>0</v>
      </c>
      <c r="L27" s="29">
        <v>17</v>
      </c>
      <c r="M27" s="29">
        <v>0</v>
      </c>
      <c r="N27" s="30">
        <f t="shared" si="0"/>
        <v>132</v>
      </c>
      <c r="O27" s="29">
        <v>0</v>
      </c>
      <c r="P27" s="30">
        <f t="shared" si="1"/>
        <v>132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</v>
      </c>
      <c r="E28" s="29">
        <v>0</v>
      </c>
      <c r="F28" s="29">
        <v>0</v>
      </c>
      <c r="G28" s="29">
        <v>0</v>
      </c>
      <c r="H28" s="29">
        <v>0</v>
      </c>
      <c r="I28" s="29">
        <v>4</v>
      </c>
      <c r="J28" s="29">
        <v>201</v>
      </c>
      <c r="K28" s="29">
        <v>0</v>
      </c>
      <c r="L28" s="29">
        <v>32</v>
      </c>
      <c r="M28" s="29">
        <v>0</v>
      </c>
      <c r="N28" s="30">
        <f t="shared" si="0"/>
        <v>239</v>
      </c>
      <c r="O28" s="29">
        <v>0</v>
      </c>
      <c r="P28" s="30">
        <f t="shared" si="1"/>
        <v>239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152</v>
      </c>
      <c r="K29" s="29">
        <v>0</v>
      </c>
      <c r="L29" s="29">
        <v>27</v>
      </c>
      <c r="M29" s="29">
        <v>8774</v>
      </c>
      <c r="N29" s="30">
        <f t="shared" si="0"/>
        <v>8953</v>
      </c>
      <c r="O29" s="29">
        <v>0</v>
      </c>
      <c r="P29" s="30">
        <f t="shared" si="1"/>
        <v>8953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9199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73482</v>
      </c>
      <c r="K32" s="29">
        <v>0</v>
      </c>
      <c r="L32" s="29">
        <v>71511</v>
      </c>
      <c r="M32" s="29">
        <v>5841</v>
      </c>
      <c r="N32" s="30">
        <f t="shared" si="0"/>
        <v>160033</v>
      </c>
      <c r="O32" s="29">
        <v>0</v>
      </c>
      <c r="P32" s="30">
        <f t="shared" si="1"/>
        <v>160033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8327</v>
      </c>
      <c r="K33" s="29">
        <v>0</v>
      </c>
      <c r="L33" s="29">
        <v>0</v>
      </c>
      <c r="M33" s="29">
        <v>0</v>
      </c>
      <c r="N33" s="30">
        <f t="shared" si="0"/>
        <v>8327</v>
      </c>
      <c r="O33" s="29">
        <v>0</v>
      </c>
      <c r="P33" s="30">
        <f t="shared" si="1"/>
        <v>8327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7</v>
      </c>
      <c r="D35" s="29">
        <v>145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4533</v>
      </c>
      <c r="K35" s="29">
        <v>0</v>
      </c>
      <c r="L35" s="29">
        <v>102</v>
      </c>
      <c r="M35" s="29">
        <v>0</v>
      </c>
      <c r="N35" s="30">
        <f t="shared" si="0"/>
        <v>4787</v>
      </c>
      <c r="O35" s="29">
        <v>0</v>
      </c>
      <c r="P35" s="30">
        <f t="shared" si="1"/>
        <v>4787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4381</v>
      </c>
      <c r="K36" s="29">
        <v>0</v>
      </c>
      <c r="L36" s="29">
        <v>12616</v>
      </c>
      <c r="M36" s="29">
        <v>28586</v>
      </c>
      <c r="N36" s="30">
        <f t="shared" si="0"/>
        <v>45583</v>
      </c>
      <c r="O36" s="29">
        <v>0</v>
      </c>
      <c r="P36" s="30">
        <f t="shared" si="1"/>
        <v>45583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2073</v>
      </c>
      <c r="K37" s="29">
        <v>0</v>
      </c>
      <c r="L37" s="29">
        <v>330</v>
      </c>
      <c r="M37" s="29">
        <v>0</v>
      </c>
      <c r="N37" s="30">
        <f t="shared" si="0"/>
        <v>2403</v>
      </c>
      <c r="O37" s="29">
        <v>0</v>
      </c>
      <c r="P37" s="30">
        <f t="shared" si="1"/>
        <v>2403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20</v>
      </c>
      <c r="K38" s="29">
        <v>0</v>
      </c>
      <c r="L38" s="29">
        <v>0</v>
      </c>
      <c r="M38" s="29">
        <v>0</v>
      </c>
      <c r="N38" s="30">
        <f t="shared" si="0"/>
        <v>20</v>
      </c>
      <c r="O38" s="29">
        <v>0</v>
      </c>
      <c r="P38" s="30">
        <f t="shared" si="1"/>
        <v>20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3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35</v>
      </c>
      <c r="K39" s="29">
        <v>0</v>
      </c>
      <c r="L39" s="29">
        <v>4557</v>
      </c>
      <c r="M39" s="29">
        <v>0</v>
      </c>
      <c r="N39" s="30">
        <f t="shared" si="0"/>
        <v>4595</v>
      </c>
      <c r="O39" s="29">
        <v>0</v>
      </c>
      <c r="P39" s="30">
        <f t="shared" si="1"/>
        <v>4595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1609935</v>
      </c>
      <c r="D43" s="31">
        <f t="shared" si="2"/>
        <v>173053</v>
      </c>
      <c r="E43" s="31">
        <f t="shared" si="2"/>
        <v>230989</v>
      </c>
      <c r="F43" s="31">
        <f t="shared" si="2"/>
        <v>3026</v>
      </c>
      <c r="G43" s="31">
        <f t="shared" si="2"/>
        <v>25502</v>
      </c>
      <c r="H43" s="31">
        <f t="shared" si="2"/>
        <v>377666</v>
      </c>
      <c r="I43" s="31">
        <f t="shared" si="2"/>
        <v>45505</v>
      </c>
      <c r="J43" s="31">
        <f t="shared" si="2"/>
        <v>120167</v>
      </c>
      <c r="K43" s="31">
        <f t="shared" si="2"/>
        <v>12399</v>
      </c>
      <c r="L43" s="31">
        <f t="shared" si="2"/>
        <v>1254595</v>
      </c>
      <c r="M43" s="31">
        <f t="shared" si="2"/>
        <v>130435</v>
      </c>
      <c r="N43" s="31">
        <f t="shared" si="2"/>
        <v>3983272</v>
      </c>
      <c r="O43" s="31">
        <f t="shared" si="2"/>
        <v>275447</v>
      </c>
      <c r="P43" s="31">
        <f t="shared" si="2"/>
        <v>4258719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622657</v>
      </c>
      <c r="E10" s="29">
        <v>15047</v>
      </c>
      <c r="F10" s="29">
        <v>0</v>
      </c>
      <c r="G10" s="29">
        <v>0</v>
      </c>
      <c r="H10" s="29">
        <v>0</v>
      </c>
      <c r="I10" s="29">
        <v>0</v>
      </c>
      <c r="J10" s="29">
        <v>61493</v>
      </c>
      <c r="K10" s="29">
        <v>3615</v>
      </c>
      <c r="L10" s="29">
        <v>601923</v>
      </c>
      <c r="M10" s="29">
        <v>1803</v>
      </c>
      <c r="N10" s="30">
        <f t="shared" ref="N10:N42" si="0">SUM(C10:M10)</f>
        <v>1306538</v>
      </c>
      <c r="O10" s="29">
        <v>0</v>
      </c>
      <c r="P10" s="30">
        <f t="shared" ref="P10:P42" si="1">SUM(N10:O10)</f>
        <v>1306538</v>
      </c>
    </row>
    <row r="11" spans="1:16" ht="15" customHeight="1">
      <c r="A11" s="11" t="s">
        <v>26</v>
      </c>
      <c r="B11" s="12" t="s">
        <v>27</v>
      </c>
      <c r="C11" s="29">
        <v>652901</v>
      </c>
      <c r="D11" s="29">
        <v>41641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691461</v>
      </c>
      <c r="M11" s="29">
        <v>10713</v>
      </c>
      <c r="N11" s="30">
        <f t="shared" si="0"/>
        <v>1396716</v>
      </c>
      <c r="O11" s="29">
        <v>0</v>
      </c>
      <c r="P11" s="30">
        <f t="shared" si="1"/>
        <v>1396716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17200</v>
      </c>
      <c r="K12" s="29">
        <v>0</v>
      </c>
      <c r="L12" s="29">
        <v>0</v>
      </c>
      <c r="M12" s="29">
        <v>0</v>
      </c>
      <c r="N12" s="30">
        <f t="shared" si="0"/>
        <v>17200</v>
      </c>
      <c r="O12" s="29">
        <v>0</v>
      </c>
      <c r="P12" s="30">
        <f t="shared" si="1"/>
        <v>17200</v>
      </c>
    </row>
    <row r="13" spans="1:16" ht="15" customHeight="1">
      <c r="A13" s="11" t="s">
        <v>30</v>
      </c>
      <c r="B13" s="12" t="s">
        <v>31</v>
      </c>
      <c r="C13" s="29">
        <v>4558001</v>
      </c>
      <c r="D13" s="29">
        <v>27351</v>
      </c>
      <c r="E13" s="29">
        <v>817</v>
      </c>
      <c r="F13" s="29">
        <v>0</v>
      </c>
      <c r="G13" s="29">
        <v>810</v>
      </c>
      <c r="H13" s="29">
        <v>0</v>
      </c>
      <c r="I13" s="29">
        <v>0</v>
      </c>
      <c r="J13" s="29">
        <v>7529</v>
      </c>
      <c r="K13" s="29">
        <v>1039</v>
      </c>
      <c r="L13" s="29">
        <v>1467275</v>
      </c>
      <c r="M13" s="29">
        <v>86688</v>
      </c>
      <c r="N13" s="30">
        <f t="shared" si="0"/>
        <v>6149510</v>
      </c>
      <c r="O13" s="29">
        <v>0</v>
      </c>
      <c r="P13" s="30">
        <f t="shared" si="1"/>
        <v>6149510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1186</v>
      </c>
      <c r="I14" s="29">
        <v>0</v>
      </c>
      <c r="J14" s="29">
        <v>0</v>
      </c>
      <c r="K14" s="29">
        <v>31</v>
      </c>
      <c r="L14" s="29">
        <v>0</v>
      </c>
      <c r="M14" s="29">
        <v>0</v>
      </c>
      <c r="N14" s="30">
        <f t="shared" si="0"/>
        <v>1217</v>
      </c>
      <c r="O14" s="29">
        <v>0</v>
      </c>
      <c r="P14" s="30">
        <f t="shared" si="1"/>
        <v>1217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1002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1002</v>
      </c>
      <c r="O15" s="29">
        <v>0</v>
      </c>
      <c r="P15" s="30">
        <f t="shared" si="1"/>
        <v>1002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880</v>
      </c>
      <c r="F16" s="29">
        <v>0</v>
      </c>
      <c r="G16" s="29">
        <v>0</v>
      </c>
      <c r="H16" s="29">
        <v>0</v>
      </c>
      <c r="I16" s="29">
        <v>0</v>
      </c>
      <c r="J16" s="29">
        <v>5203</v>
      </c>
      <c r="K16" s="29">
        <v>0</v>
      </c>
      <c r="L16" s="29">
        <v>1444</v>
      </c>
      <c r="M16" s="29">
        <v>0</v>
      </c>
      <c r="N16" s="30">
        <f t="shared" si="0"/>
        <v>7527</v>
      </c>
      <c r="O16" s="29">
        <v>0</v>
      </c>
      <c r="P16" s="30">
        <f t="shared" si="1"/>
        <v>7527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28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2814</v>
      </c>
      <c r="M17" s="29">
        <v>0</v>
      </c>
      <c r="N17" s="30">
        <f t="shared" si="0"/>
        <v>2858</v>
      </c>
      <c r="O17" s="29">
        <v>0</v>
      </c>
      <c r="P17" s="30">
        <f t="shared" si="1"/>
        <v>2858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3615126</v>
      </c>
      <c r="I18" s="29">
        <v>0</v>
      </c>
      <c r="J18" s="29">
        <v>1951</v>
      </c>
      <c r="K18" s="29">
        <v>63895</v>
      </c>
      <c r="L18" s="29">
        <v>283</v>
      </c>
      <c r="M18" s="29">
        <v>68208</v>
      </c>
      <c r="N18" s="30">
        <f t="shared" si="0"/>
        <v>3749463</v>
      </c>
      <c r="O18" s="29">
        <v>0</v>
      </c>
      <c r="P18" s="30">
        <f t="shared" si="1"/>
        <v>3749463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45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24</v>
      </c>
      <c r="M19" s="29">
        <v>0</v>
      </c>
      <c r="N19" s="30">
        <f t="shared" si="0"/>
        <v>69</v>
      </c>
      <c r="O19" s="29">
        <v>0</v>
      </c>
      <c r="P19" s="30">
        <f t="shared" si="1"/>
        <v>69</v>
      </c>
    </row>
    <row r="20" spans="1:16" ht="15" customHeight="1">
      <c r="A20" s="11" t="s">
        <v>44</v>
      </c>
      <c r="B20" s="12" t="s">
        <v>45</v>
      </c>
      <c r="C20" s="29">
        <v>10698016</v>
      </c>
      <c r="D20" s="29">
        <v>755733</v>
      </c>
      <c r="E20" s="29">
        <v>1691436</v>
      </c>
      <c r="F20" s="29">
        <v>29061</v>
      </c>
      <c r="G20" s="29">
        <v>248075</v>
      </c>
      <c r="H20" s="29">
        <v>0</v>
      </c>
      <c r="I20" s="29">
        <v>13108</v>
      </c>
      <c r="J20" s="29">
        <v>49185</v>
      </c>
      <c r="K20" s="29">
        <v>16059</v>
      </c>
      <c r="L20" s="29">
        <v>7259252</v>
      </c>
      <c r="M20" s="29">
        <v>512918</v>
      </c>
      <c r="N20" s="30">
        <f t="shared" si="0"/>
        <v>21272843</v>
      </c>
      <c r="O20" s="29">
        <v>327595</v>
      </c>
      <c r="P20" s="30">
        <f t="shared" si="1"/>
        <v>21600438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28277</v>
      </c>
      <c r="E21" s="29">
        <v>139</v>
      </c>
      <c r="F21" s="29">
        <v>0</v>
      </c>
      <c r="G21" s="29">
        <v>14549</v>
      </c>
      <c r="H21" s="29">
        <v>0</v>
      </c>
      <c r="I21" s="29">
        <v>14004</v>
      </c>
      <c r="J21" s="29">
        <v>1375</v>
      </c>
      <c r="K21" s="29">
        <v>28630</v>
      </c>
      <c r="L21" s="29">
        <v>642089</v>
      </c>
      <c r="M21" s="29">
        <v>12501</v>
      </c>
      <c r="N21" s="30">
        <f t="shared" si="0"/>
        <v>741564</v>
      </c>
      <c r="O21" s="29">
        <v>79919</v>
      </c>
      <c r="P21" s="30">
        <f t="shared" si="1"/>
        <v>821483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1465</v>
      </c>
      <c r="E22" s="29">
        <v>0</v>
      </c>
      <c r="F22" s="29">
        <v>0</v>
      </c>
      <c r="G22" s="29">
        <v>0</v>
      </c>
      <c r="H22" s="29">
        <v>0</v>
      </c>
      <c r="I22" s="29">
        <v>8727</v>
      </c>
      <c r="J22" s="29">
        <v>0</v>
      </c>
      <c r="K22" s="29">
        <v>0</v>
      </c>
      <c r="L22" s="29">
        <v>0</v>
      </c>
      <c r="M22" s="29">
        <v>36453</v>
      </c>
      <c r="N22" s="30">
        <f t="shared" si="0"/>
        <v>46645</v>
      </c>
      <c r="O22" s="29">
        <v>0</v>
      </c>
      <c r="P22" s="30">
        <f t="shared" si="1"/>
        <v>46645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312252</v>
      </c>
      <c r="J23" s="29">
        <v>0</v>
      </c>
      <c r="K23" s="29">
        <v>0</v>
      </c>
      <c r="L23" s="29">
        <v>63049</v>
      </c>
      <c r="M23" s="29">
        <v>0</v>
      </c>
      <c r="N23" s="30">
        <f t="shared" si="0"/>
        <v>375301</v>
      </c>
      <c r="O23" s="29">
        <v>1275354</v>
      </c>
      <c r="P23" s="30">
        <f t="shared" si="1"/>
        <v>1650655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14731</v>
      </c>
      <c r="E24" s="29">
        <v>5396</v>
      </c>
      <c r="F24" s="29">
        <v>0</v>
      </c>
      <c r="G24" s="29">
        <v>0</v>
      </c>
      <c r="H24" s="29">
        <v>0</v>
      </c>
      <c r="I24" s="29">
        <v>0</v>
      </c>
      <c r="J24" s="29">
        <v>14333</v>
      </c>
      <c r="K24" s="29">
        <v>980</v>
      </c>
      <c r="L24" s="29">
        <v>228732</v>
      </c>
      <c r="M24" s="29">
        <v>128714</v>
      </c>
      <c r="N24" s="30">
        <f t="shared" si="0"/>
        <v>392886</v>
      </c>
      <c r="O24" s="29">
        <v>983813</v>
      </c>
      <c r="P24" s="30">
        <f t="shared" si="1"/>
        <v>1376699</v>
      </c>
    </row>
    <row r="25" spans="1:16" ht="15" customHeight="1">
      <c r="A25" s="11" t="s">
        <v>54</v>
      </c>
      <c r="B25" s="12" t="s">
        <v>55</v>
      </c>
      <c r="C25" s="29">
        <v>1664</v>
      </c>
      <c r="D25" s="29">
        <v>64439</v>
      </c>
      <c r="E25" s="29">
        <v>6883</v>
      </c>
      <c r="F25" s="29">
        <v>316</v>
      </c>
      <c r="G25" s="29">
        <v>2135</v>
      </c>
      <c r="H25" s="29">
        <v>42</v>
      </c>
      <c r="I25" s="29">
        <v>599</v>
      </c>
      <c r="J25" s="29">
        <v>25979</v>
      </c>
      <c r="K25" s="29">
        <v>383</v>
      </c>
      <c r="L25" s="29">
        <v>52869</v>
      </c>
      <c r="M25" s="29">
        <v>7802</v>
      </c>
      <c r="N25" s="30">
        <f t="shared" si="0"/>
        <v>163111</v>
      </c>
      <c r="O25" s="29">
        <v>24657</v>
      </c>
      <c r="P25" s="30">
        <f t="shared" si="1"/>
        <v>187768</v>
      </c>
    </row>
    <row r="26" spans="1:16" ht="15" customHeight="1">
      <c r="A26" s="11" t="s">
        <v>56</v>
      </c>
      <c r="B26" s="12" t="s">
        <v>57</v>
      </c>
      <c r="C26" s="29">
        <v>596</v>
      </c>
      <c r="D26" s="29">
        <v>36238</v>
      </c>
      <c r="E26" s="29">
        <v>1421</v>
      </c>
      <c r="F26" s="29">
        <v>44</v>
      </c>
      <c r="G26" s="29">
        <v>741</v>
      </c>
      <c r="H26" s="29">
        <v>209</v>
      </c>
      <c r="I26" s="29">
        <v>416</v>
      </c>
      <c r="J26" s="29">
        <v>93034</v>
      </c>
      <c r="K26" s="29">
        <v>222</v>
      </c>
      <c r="L26" s="29">
        <v>26844</v>
      </c>
      <c r="M26" s="29">
        <v>6932</v>
      </c>
      <c r="N26" s="30">
        <f t="shared" si="0"/>
        <v>166697</v>
      </c>
      <c r="O26" s="29">
        <v>2316</v>
      </c>
      <c r="P26" s="30">
        <f t="shared" si="1"/>
        <v>169013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314</v>
      </c>
      <c r="E27" s="29">
        <v>6</v>
      </c>
      <c r="F27" s="29">
        <v>0</v>
      </c>
      <c r="G27" s="29">
        <v>0</v>
      </c>
      <c r="H27" s="29">
        <v>0</v>
      </c>
      <c r="I27" s="29">
        <v>0</v>
      </c>
      <c r="J27" s="29">
        <v>2020</v>
      </c>
      <c r="K27" s="29">
        <v>0</v>
      </c>
      <c r="L27" s="29">
        <v>123</v>
      </c>
      <c r="M27" s="29">
        <v>0</v>
      </c>
      <c r="N27" s="30">
        <f t="shared" si="0"/>
        <v>2463</v>
      </c>
      <c r="O27" s="29">
        <v>0</v>
      </c>
      <c r="P27" s="30">
        <f t="shared" si="1"/>
        <v>2463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26</v>
      </c>
      <c r="E28" s="29">
        <v>0</v>
      </c>
      <c r="F28" s="29">
        <v>0</v>
      </c>
      <c r="G28" s="29">
        <v>0</v>
      </c>
      <c r="H28" s="29">
        <v>0</v>
      </c>
      <c r="I28" s="29">
        <v>136</v>
      </c>
      <c r="J28" s="29">
        <v>1531</v>
      </c>
      <c r="K28" s="29">
        <v>0</v>
      </c>
      <c r="L28" s="29">
        <v>369</v>
      </c>
      <c r="M28" s="29">
        <v>1</v>
      </c>
      <c r="N28" s="30">
        <f t="shared" si="0"/>
        <v>2063</v>
      </c>
      <c r="O28" s="29">
        <v>0</v>
      </c>
      <c r="P28" s="30">
        <f t="shared" si="1"/>
        <v>2063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1089</v>
      </c>
      <c r="K29" s="29">
        <v>0</v>
      </c>
      <c r="L29" s="29">
        <v>506</v>
      </c>
      <c r="M29" s="29">
        <v>89688</v>
      </c>
      <c r="N29" s="30">
        <f t="shared" si="0"/>
        <v>91283</v>
      </c>
      <c r="O29" s="29">
        <v>0</v>
      </c>
      <c r="P29" s="30">
        <f t="shared" si="1"/>
        <v>91283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7</v>
      </c>
      <c r="M30" s="29">
        <v>0</v>
      </c>
      <c r="N30" s="30">
        <f t="shared" si="0"/>
        <v>7</v>
      </c>
      <c r="O30" s="29">
        <v>0</v>
      </c>
      <c r="P30" s="30">
        <f t="shared" si="1"/>
        <v>7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71812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550837</v>
      </c>
      <c r="K32" s="29">
        <v>0</v>
      </c>
      <c r="L32" s="29">
        <v>540595</v>
      </c>
      <c r="M32" s="29">
        <v>43664</v>
      </c>
      <c r="N32" s="30">
        <f t="shared" si="0"/>
        <v>1206908</v>
      </c>
      <c r="O32" s="29">
        <v>0</v>
      </c>
      <c r="P32" s="30">
        <f t="shared" si="1"/>
        <v>1206908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80137</v>
      </c>
      <c r="K33" s="29">
        <v>0</v>
      </c>
      <c r="L33" s="29">
        <v>0</v>
      </c>
      <c r="M33" s="29">
        <v>0</v>
      </c>
      <c r="N33" s="30">
        <f t="shared" si="0"/>
        <v>80137</v>
      </c>
      <c r="O33" s="29">
        <v>0</v>
      </c>
      <c r="P33" s="30">
        <f t="shared" si="1"/>
        <v>80137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58</v>
      </c>
      <c r="D35" s="29">
        <v>787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38335</v>
      </c>
      <c r="K35" s="29">
        <v>0</v>
      </c>
      <c r="L35" s="29">
        <v>942</v>
      </c>
      <c r="M35" s="29">
        <v>0</v>
      </c>
      <c r="N35" s="30">
        <f t="shared" si="0"/>
        <v>40122</v>
      </c>
      <c r="O35" s="29">
        <v>0</v>
      </c>
      <c r="P35" s="30">
        <f t="shared" si="1"/>
        <v>40122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47280</v>
      </c>
      <c r="K36" s="29">
        <v>0</v>
      </c>
      <c r="L36" s="29">
        <v>136919</v>
      </c>
      <c r="M36" s="29">
        <v>285816</v>
      </c>
      <c r="N36" s="30">
        <f t="shared" si="0"/>
        <v>470015</v>
      </c>
      <c r="O36" s="29">
        <v>0</v>
      </c>
      <c r="P36" s="30">
        <f t="shared" si="1"/>
        <v>470015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15749</v>
      </c>
      <c r="K37" s="29">
        <v>0</v>
      </c>
      <c r="L37" s="29">
        <v>3190</v>
      </c>
      <c r="M37" s="29">
        <v>9239</v>
      </c>
      <c r="N37" s="30">
        <f t="shared" si="0"/>
        <v>28178</v>
      </c>
      <c r="O37" s="29">
        <v>0</v>
      </c>
      <c r="P37" s="30">
        <f t="shared" si="1"/>
        <v>28178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177</v>
      </c>
      <c r="K38" s="29">
        <v>0</v>
      </c>
      <c r="L38" s="29">
        <v>0</v>
      </c>
      <c r="M38" s="29">
        <v>0</v>
      </c>
      <c r="N38" s="30">
        <f t="shared" si="0"/>
        <v>177</v>
      </c>
      <c r="O38" s="29">
        <v>0</v>
      </c>
      <c r="P38" s="30">
        <f t="shared" si="1"/>
        <v>177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17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113</v>
      </c>
      <c r="K39" s="29">
        <v>0</v>
      </c>
      <c r="L39" s="29">
        <v>68562</v>
      </c>
      <c r="M39" s="29">
        <v>0</v>
      </c>
      <c r="N39" s="30">
        <f t="shared" si="0"/>
        <v>68692</v>
      </c>
      <c r="O39" s="29">
        <v>0</v>
      </c>
      <c r="P39" s="30">
        <f t="shared" si="1"/>
        <v>68692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15911236</v>
      </c>
      <c r="D43" s="31">
        <f t="shared" si="2"/>
        <v>1665561</v>
      </c>
      <c r="E43" s="31">
        <f t="shared" si="2"/>
        <v>1722025</v>
      </c>
      <c r="F43" s="31">
        <f t="shared" si="2"/>
        <v>29421</v>
      </c>
      <c r="G43" s="31">
        <f t="shared" si="2"/>
        <v>266310</v>
      </c>
      <c r="H43" s="31">
        <f t="shared" si="2"/>
        <v>3617565</v>
      </c>
      <c r="I43" s="31">
        <f t="shared" si="2"/>
        <v>349242</v>
      </c>
      <c r="J43" s="31">
        <f t="shared" si="2"/>
        <v>1014566</v>
      </c>
      <c r="K43" s="31">
        <f t="shared" si="2"/>
        <v>114854</v>
      </c>
      <c r="L43" s="31">
        <f t="shared" si="2"/>
        <v>11789272</v>
      </c>
      <c r="M43" s="31">
        <f t="shared" si="2"/>
        <v>1301140</v>
      </c>
      <c r="N43" s="31">
        <f t="shared" si="2"/>
        <v>37781192</v>
      </c>
      <c r="O43" s="31">
        <f t="shared" si="2"/>
        <v>2693654</v>
      </c>
      <c r="P43" s="31">
        <f t="shared" si="2"/>
        <v>40474846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2018-05-23T12:03:21Z</dcterms:modified>
</cp:coreProperties>
</file>