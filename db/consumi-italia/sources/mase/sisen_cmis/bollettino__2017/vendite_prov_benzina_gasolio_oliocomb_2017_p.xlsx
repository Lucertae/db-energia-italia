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Progressivo2017" sheetId="2" r:id="rId1"/>
  </sheets>
  <calcPr calcId="125725"/>
</workbook>
</file>

<file path=xl/calcChain.xml><?xml version="1.0" encoding="utf-8"?>
<calcChain xmlns="http://schemas.openxmlformats.org/spreadsheetml/2006/main">
  <c r="F15" i="2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N146" s="1"/>
  <c r="O135"/>
  <c r="F136"/>
  <c r="J136"/>
  <c r="J145" s="1"/>
  <c r="J146" s="1"/>
  <c r="F137"/>
  <c r="F145" s="1"/>
  <c r="J137"/>
  <c r="F138"/>
  <c r="J138"/>
  <c r="F139"/>
  <c r="J139"/>
  <c r="F140"/>
  <c r="J140"/>
  <c r="F141"/>
  <c r="J141"/>
  <c r="F142"/>
  <c r="J142"/>
  <c r="F143"/>
  <c r="J143"/>
  <c r="C145"/>
  <c r="D145"/>
  <c r="D146" s="1"/>
  <c r="E145"/>
  <c r="E146" s="1"/>
  <c r="G145"/>
  <c r="H145"/>
  <c r="H146" s="1"/>
  <c r="I145"/>
  <c r="I146" s="1"/>
  <c r="K145"/>
  <c r="L145"/>
  <c r="L146" s="1"/>
  <c r="M145"/>
  <c r="M146" s="1"/>
  <c r="N145"/>
  <c r="O145"/>
  <c r="C146"/>
  <c r="G146"/>
  <c r="K146"/>
  <c r="O146"/>
  <c r="F146" l="1"/>
</calcChain>
</file>

<file path=xl/sharedStrings.xml><?xml version="1.0" encoding="utf-8"?>
<sst xmlns="http://schemas.openxmlformats.org/spreadsheetml/2006/main" count="274" uniqueCount="271">
  <si>
    <t>Ministero dello Sviluppo Economico</t>
  </si>
  <si>
    <t>BOLLETTINO PETROLIFERO</t>
  </si>
  <si>
    <t>VENDITE  PROVINCIALI</t>
  </si>
  <si>
    <t>BENZINA, GASOLIO, OLIO COMBUSTIBILE</t>
  </si>
  <si>
    <t>la materia è espressa in TONNELLATE intere</t>
  </si>
  <si>
    <t>Report costruito su dati provvisori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</si>
  <si>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</si>
  <si>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</si>
  <si>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</si>
  <si>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</si>
  <si>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</si>
  <si>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</si>
  <si>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</si>
  <si>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</si>
  <si>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</si>
  <si>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</si>
  <si>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</si>
  <si>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</si>
  <si>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</si>
  <si>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</si>
  <si>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</si>
  <si>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</si>
  <si>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</si>
  <si>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</si>
  <si>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</si>
  <si>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</si>
  <si>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</si>
  <si>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</si>
  <si>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</si>
  <si>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</si>
  <si>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</si>
  <si>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</si>
  <si>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</si>
  <si>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</si>
  <si>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</si>
  <si>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</si>
  <si>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</si>
  <si>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</si>
  <si>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</si>
  <si>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</si>
  <si>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</si>
  <si>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</si>
  <si>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</si>
  <si>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</si>
  <si>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</si>
  <si>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</si>
  <si>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</si>
  <si>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</si>
  <si>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</si>
  <si>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</si>
  <si>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</si>
  <si>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</si>
  <si>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</si>
  <si>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</si>
  <si>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</si>
  <si>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</si>
  <si>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</si>
  <si>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</si>
  <si>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</si>
  <si>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</si>
  <si>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</si>
  <si>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</si>
  <si>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</si>
  <si>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</si>
  <si>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</si>
  <si>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</si>
  <si>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</si>
  <si>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</si>
  <si>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</si>
  <si>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</si>
  <si>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</si>
  <si>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</si>
  <si>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</si>
  <si>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</si>
  <si>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</si>
  <si>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</si>
  <si>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</si>
  <si>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</si>
  <si>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</si>
  <si>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</si>
  <si>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</si>
  <si>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</si>
  <si>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</si>
  <si>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</si>
  <si>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</si>
  <si>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</si>
  <si>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</si>
  <si>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</si>
  <si>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</si>
  <si>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</si>
  <si>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</si>
  <si>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</si>
  <si>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</si>
  <si>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</si>
  <si>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</si>
  <si>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</si>
  <si>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</si>
  <si>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</si>
  <si>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</si>
  <si>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</si>
  <si>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</si>
  <si>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</si>
  <si>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</si>
  <si>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</si>
  <si>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</si>
  <si>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</si>
  <si>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</si>
  <si>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</si>
  <si>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</si>
  <si>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</si>
  <si>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</si>
  <si>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</si>
  <si>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</si>
  <si>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</si>
  <si>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</si>
  <si>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</si>
  <si>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</si>
  <si>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</si>
  <si>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</si>
  <si>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</si>
  <si>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</si>
  <si>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</si>
  <si>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</si>
  <si>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</si>
  <si>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</si>
  <si>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</si>
  <si>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</si>
  <si>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</si>
  <si>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</si>
  <si>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</si>
  <si>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</si>
  <si>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</si>
  <si>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</si>
  <si>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</si>
  <si>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</si>
  <si>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</si>
  <si>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</si>
  <si>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</si>
  <si>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</si>
  <si>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</si>
  <si>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</si>
  <si>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</si>
  <si>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</si>
  <si>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</si>
  <si>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</si>
  <si>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</si>
  <si>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</si>
  <si>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</si>
  <si>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</si>
  <si>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</si>
  <si>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</si>
  <si>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</si>
  <si>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</si>
  <si>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</si>
  <si>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</si>
  <si>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</si>
  <si>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</si>
  <si>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</si>
  <si>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</si>
  <si>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</si>
  <si>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</si>
  <si>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</si>
  <si>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</si>
  <si>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</si>
  <si>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</si>
  <si>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</si>
  <si>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</si>
  <si>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</si>
  <si>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</si>
  <si>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</si>
  <si>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</si>
  <si>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</si>
  <si>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</si>
  <si>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</si>
  <si>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</si>
  <si>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</si>
  <si>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</si>
  <si>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</si>
  <si>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</si>
  <si>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</si>
  <si>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</si>
  <si>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</si>
  <si>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</si>
  <si>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</si>
  <si>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</si>
  <si>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</si>
  <si>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</si>
  <si>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</si>
  <si>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</si>
  <si>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</si>
  <si>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</si>
  <si>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</si>
  <si>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</si>
  <si>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</si>
  <si>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</si>
  <si>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</si>
  <si>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</si>
  <si>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</si>
  <si>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</si>
  <si>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</si>
  <si>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</si>
  <si>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</si>
  <si>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</si>
  <si>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</si>
  <si>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</si>
  <si>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</si>
  <si>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</si>
  <si>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</si>
  <si>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</si>
  <si>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</si>
  <si>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</si>
  <si>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</si>
  <si>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</si>
  <si>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</si>
  <si>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</si>
  <si>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</si>
  <si>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</si>
  <si>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</si>
  <si>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</si>
  <si>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</si>
  <si>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</si>
  <si>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</si>
  <si>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</si>
  <si>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</si>
  <si>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</si>
  <si>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</si>
  <si>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</si>
  <si>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</si>
  <si>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</si>
  <si>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</si>
  <si>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</si>
  <si>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</si>
  <si>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</si>
  <si>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</si>
  <si>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</si>
  <si>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</si>
  <si>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</si>
  <si>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</si>
  <si>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</si>
  <si>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</si>
  <si>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</si>
  <si>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</si>
  <si>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</si>
  <si>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</si>
  <si>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</si>
  <si>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</si>
  <si>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</si>
  <si>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</si>
  <si>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</si>
  <si>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</si>
  <si>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</si>
  <si>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</si>
  <si>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</si>
  <si>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</si>
  <si>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</si>
  <si>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</si>
  <si>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</si>
  <si>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</si>
  <si>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</si>
  <si>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</si>
  <si>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</si>
  <si>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</si>
  <si>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</si>
  <si>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</si>
  <si>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SU</t>
  </si>
  <si>
    <t>SUD SARDEGNA</t>
  </si>
  <si>
    <t>SARDEGNA</t>
  </si>
  <si>
    <t>TT</t>
  </si>
  <si>
    <t>TOTALE  ITALIA</t>
  </si>
  <si>
    <t>DGSAIE DIV.6</t>
  </si>
  <si>
    <t>Periodo: gennaio-dicembre 2017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</si>
</sst>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10"/>
      <color indexed="8"/>
      <name val="Calibri"/>
    </font>
    <font>
      <b/>
      <sz val="10"/>
      <color indexed="10"/>
      <name val="Calibri"/>
    </font>
    <font>
      <b/>
      <sz val="12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3"/>
      <name val="Calibri"/>
    </font>
    <font>
      <b/>
      <sz val="11"/>
      <color indexed="10"/>
      <name val="Calibri"/>
    </font>
    <font>
      <b/>
      <sz val="9"/>
      <color indexed="10"/>
      <name val="Calibri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10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0"/>
        <bgColor indexed="16"/>
      </patternFill>
    </fill>
  </fills>
  <borders count="17">
    <border>
      <left/>
      <right/>
      <top/>
      <bottom/>
      <diagonal/>
    </border>
    <border>
      <left style="double">
        <color indexed="15"/>
      </left>
      <right style="thin">
        <color indexed="15"/>
      </right>
      <top style="thin">
        <color indexed="14"/>
      </top>
      <bottom/>
      <diagonal/>
    </border>
    <border>
      <left style="thin">
        <color indexed="15"/>
      </left>
      <right style="thin">
        <color indexed="15"/>
      </right>
      <top style="thin">
        <color indexed="14"/>
      </top>
      <bottom style="thin">
        <color indexed="14"/>
      </bottom>
      <diagonal/>
    </border>
    <border>
      <left style="thin">
        <color indexed="15"/>
      </left>
      <right/>
      <top style="thin">
        <color indexed="14"/>
      </top>
      <bottom style="thin">
        <color indexed="14"/>
      </bottom>
      <diagonal/>
    </border>
    <border>
      <left style="double">
        <color indexed="15"/>
      </left>
      <right/>
      <top style="thin">
        <color indexed="14"/>
      </top>
      <bottom style="thin">
        <color indexed="14"/>
      </bottom>
      <diagonal/>
    </border>
    <border>
      <left style="hair">
        <color indexed="15"/>
      </left>
      <right style="thin">
        <color indexed="15"/>
      </right>
      <top style="thin">
        <color indexed="14"/>
      </top>
      <bottom style="thin">
        <color indexed="14"/>
      </bottom>
      <diagonal/>
    </border>
    <border>
      <left style="thin">
        <color indexed="15"/>
      </left>
      <right style="hair">
        <color indexed="15"/>
      </right>
      <top style="thin">
        <color indexed="14"/>
      </top>
      <bottom style="thin">
        <color indexed="14"/>
      </bottom>
      <diagonal/>
    </border>
    <border>
      <left style="hair">
        <color indexed="15"/>
      </left>
      <right style="thin">
        <color indexed="15"/>
      </right>
      <top style="thin">
        <color indexed="14"/>
      </top>
      <bottom style="hair">
        <color indexed="15"/>
      </bottom>
      <diagonal/>
    </border>
    <border>
      <left style="hair">
        <color indexed="15"/>
      </left>
      <right style="thin">
        <color indexed="15"/>
      </right>
      <top style="thin">
        <color indexed="14"/>
      </top>
      <bottom/>
      <diagonal/>
    </border>
    <border>
      <left style="hair">
        <color indexed="15"/>
      </left>
      <right style="hair">
        <color indexed="15"/>
      </right>
      <top/>
      <bottom style="thin">
        <color indexed="14"/>
      </bottom>
      <diagonal/>
    </border>
    <border>
      <left style="hair">
        <color indexed="15"/>
      </left>
      <right style="thin">
        <color indexed="15"/>
      </right>
      <top/>
      <bottom style="thin">
        <color indexed="14"/>
      </bottom>
      <diagonal/>
    </border>
    <border>
      <left style="double">
        <color indexed="15"/>
      </left>
      <right style="hair">
        <color indexed="15"/>
      </right>
      <top/>
      <bottom style="thin">
        <color indexed="15"/>
      </bottom>
      <diagonal/>
    </border>
    <border>
      <left style="hair">
        <color indexed="15"/>
      </left>
      <right style="thin">
        <color indexed="15"/>
      </right>
      <top/>
      <bottom style="thin">
        <color indexed="15"/>
      </bottom>
      <diagonal/>
    </border>
    <border>
      <left style="thin">
        <color indexed="15"/>
      </left>
      <right style="hair">
        <color indexed="15"/>
      </right>
      <top/>
      <bottom style="thin">
        <color indexed="15"/>
      </bottom>
      <diagonal/>
    </border>
    <border>
      <left style="hair">
        <color indexed="15"/>
      </left>
      <right style="hair">
        <color indexed="15"/>
      </right>
      <top/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/>
      <right/>
      <top/>
      <bottom style="double">
        <color indexed="15"/>
      </bottom>
      <diagonal/>
    </border>
  </borders>
  <cellStyleXfs count="1">
    <xf numFmtId="0" fontId="0" fillId="0" borderId="0" applyFill="0" applyProtection="0"/>
  </cellStyleXfs>
  <cellXfs count="44">
    <xf numFmtId="0" fontId="0" fillId="0" borderId="0" xfId="0" applyFill="1" applyProtection="1"/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Protection="1"/>
    <xf numFmtId="0" fontId="2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4" fillId="2" borderId="0" xfId="0" applyFont="1" applyFill="1" applyProtection="1"/>
    <xf numFmtId="0" fontId="4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 vertical="center"/>
    </xf>
    <xf numFmtId="0" fontId="7" fillId="2" borderId="0" xfId="0" applyFont="1" applyFill="1" applyProtection="1"/>
    <xf numFmtId="0" fontId="8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vertical="center"/>
    </xf>
    <xf numFmtId="0" fontId="8" fillId="2" borderId="10" xfId="0" applyFont="1" applyFill="1" applyBorder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9" fillId="0" borderId="15" xfId="0" applyFont="1" applyFill="1" applyBorder="1" applyAlignment="1" applyProtection="1">
      <alignment horizontal="center"/>
    </xf>
    <xf numFmtId="0" fontId="9" fillId="0" borderId="15" xfId="0" applyFont="1" applyFill="1" applyBorder="1" applyProtection="1"/>
    <xf numFmtId="3" fontId="1" fillId="0" borderId="15" xfId="0" applyNumberFormat="1" applyFont="1" applyFill="1" applyBorder="1" applyProtection="1"/>
    <xf numFmtId="0" fontId="10" fillId="3" borderId="15" xfId="0" applyFont="1" applyFill="1" applyBorder="1" applyAlignment="1" applyProtection="1">
      <alignment horizontal="center"/>
    </xf>
    <xf numFmtId="0" fontId="11" fillId="3" borderId="15" xfId="0" applyFont="1" applyFill="1" applyBorder="1" applyProtection="1"/>
    <xf numFmtId="3" fontId="12" fillId="3" borderId="15" xfId="0" applyNumberFormat="1" applyFont="1" applyFill="1" applyBorder="1" applyProtection="1"/>
    <xf numFmtId="0" fontId="11" fillId="3" borderId="15" xfId="0" applyFont="1" applyFill="1" applyBorder="1" applyAlignment="1" applyProtection="1">
      <alignment horizontal="center"/>
    </xf>
    <xf numFmtId="0" fontId="0" fillId="0" borderId="16" xfId="0" applyFill="1" applyBorder="1" applyProtection="1"/>
    <xf numFmtId="3" fontId="13" fillId="3" borderId="15" xfId="0" applyNumberFormat="1" applyFont="1" applyFill="1" applyBorder="1" applyProtection="1"/>
    <xf numFmtId="0" fontId="14" fillId="0" borderId="15" xfId="0" applyFont="1" applyFill="1" applyBorder="1" applyAlignment="1" applyProtection="1">
      <alignment horizontal="center"/>
    </xf>
    <xf numFmtId="0" fontId="14" fillId="0" borderId="15" xfId="0" applyFont="1" applyFill="1" applyBorder="1" applyProtection="1"/>
    <xf numFmtId="3" fontId="14" fillId="0" borderId="15" xfId="0" applyNumberFormat="1" applyFont="1" applyFill="1" applyBorder="1" applyProtection="1"/>
    <xf numFmtId="0" fontId="8" fillId="2" borderId="8" xfId="0" applyFont="1" applyFill="1" applyBorder="1" applyAlignment="1" applyProtection="1">
      <alignment horizontal="center"/>
    </xf>
    <xf numFmtId="0" fontId="8" fillId="2" borderId="9" xfId="0" applyFont="1" applyFill="1" applyBorder="1" applyAlignment="1" applyProtection="1">
      <alignment horizontal="center" vertical="center"/>
    </xf>
    <xf numFmtId="0" fontId="8" fillId="2" borderId="11" xfId="0" applyFont="1" applyFill="1" applyBorder="1" applyAlignment="1" applyProtection="1">
      <alignment horizontal="center" vertical="center"/>
    </xf>
    <xf numFmtId="0" fontId="8" fillId="2" borderId="12" xfId="0" applyFont="1" applyFill="1" applyBorder="1" applyAlignment="1" applyProtection="1">
      <alignment horizontal="center" vertical="center"/>
    </xf>
    <xf numFmtId="0" fontId="8" fillId="2" borderId="13" xfId="0" applyFont="1" applyFill="1" applyBorder="1" applyAlignment="1" applyProtection="1">
      <alignment horizontal="center" vertical="center"/>
    </xf>
    <xf numFmtId="0" fontId="8" fillId="2" borderId="14" xfId="0" applyFont="1" applyFill="1" applyBorder="1" applyAlignment="1" applyProtection="1">
      <alignment horizontal="center" vertical="center"/>
    </xf>
    <xf numFmtId="0" fontId="8" fillId="2" borderId="4" xfId="0" applyFont="1" applyFill="1" applyBorder="1" applyAlignment="1" applyProtection="1">
      <alignment horizontal="center" vertical="center"/>
    </xf>
    <xf numFmtId="0" fontId="6" fillId="2" borderId="0" xfId="0" applyFont="1" applyFill="1" applyAlignment="1" applyProtection="1">
      <alignment horizontal="center" wrapText="1"/>
    </xf>
    <xf numFmtId="0" fontId="4" fillId="2" borderId="0" xfId="0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8" fillId="2" borderId="6" xfId="0" applyFont="1" applyFill="1" applyBorder="1" applyAlignment="1" applyProtection="1">
      <alignment horizontal="center" vertical="center" wrapText="1"/>
    </xf>
    <xf numFmtId="0" fontId="8" fillId="2" borderId="2" xfId="0" applyFont="1" applyFill="1" applyBorder="1" applyAlignment="1" applyProtection="1">
      <alignment horizontal="center" vertical="center" wrapText="1"/>
    </xf>
    <xf numFmtId="0" fontId="8" fillId="2" borderId="2" xfId="0" applyFont="1" applyFill="1" applyBorder="1" applyAlignment="1" applyProtection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</xf>
    <xf numFmtId="0" fontId="8" fillId="2" borderId="6" xfId="0" applyFont="1" applyFill="1" applyBorder="1" applyAlignment="1" applyProtection="1">
      <alignment horizontal="center" vertical="center"/>
    </xf>
    <xf numFmtId="0" fontId="8" fillId="2" borderId="7" xfId="0" applyFont="1" applyFill="1" applyBorder="1" applyAlignment="1" applyProtection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</xf>
    <xf numFmtId="0" fontId="8" fillId="2" borderId="3" xfId="0" applyFont="1" applyFill="1" applyBorder="1" applyAlignment="1" applyProtection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CCCFF"/>
      <rgbColor rgb="00FF0000"/>
      <rgbColor rgb="00212121"/>
      <rgbColor rgb="003A3935"/>
      <rgbColor rgb="00003366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6"/>
  <sheetViews>
    <sheetView tabSelected="1" workbookViewId="0">
      <selection activeCell="C146" sqref="C146:O146"/>
    </sheetView>
  </sheetViews>
  <sheetFormatPr defaultRowHeight="12.75" customHeight="1"/>
  <cols>
    <col min="1" max="1" width="8.77734375" style="1" customWidth="1"/>
    <col min="2" max="2" width="26.44140625" style="2" customWidth="1"/>
    <col min="3" max="3" width="11.44140625" style="2" customWidth="1"/>
    <col min="4" max="4" width="10.6640625" style="2" customWidth="1"/>
    <col min="5" max="5" width="13" style="2" customWidth="1"/>
    <col min="6" max="6" width="11.6640625" style="2" customWidth="1"/>
    <col min="7" max="7" width="10.109375" style="2" customWidth="1"/>
    <col min="8" max="8" width="13.88671875" style="2" customWidth="1"/>
    <col min="9" max="9" width="12.33203125" style="2" customWidth="1"/>
    <col min="10" max="10" width="12.5546875" style="2" customWidth="1"/>
    <col min="11" max="11" width="18.33203125" style="2" customWidth="1"/>
    <col min="12" max="12" width="17.44140625" style="2" customWidth="1"/>
    <col min="13" max="13" width="16" style="2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4" t="s">
        <v>0</v>
      </c>
      <c r="B1" s="34"/>
      <c r="C1" s="34"/>
      <c r="D1" s="34"/>
      <c r="E1" s="35" t="s">
        <v>1</v>
      </c>
      <c r="F1" s="35"/>
      <c r="G1" s="35"/>
      <c r="H1" s="35"/>
      <c r="I1" s="35"/>
      <c r="J1" s="35"/>
      <c r="K1" s="35"/>
      <c r="L1" s="35"/>
      <c r="M1" s="3"/>
      <c r="N1" s="5"/>
      <c r="O1" s="5"/>
    </row>
    <row r="2" spans="1:15" ht="12" customHeight="1">
      <c r="A2" s="33" t="s">
        <v>269</v>
      </c>
      <c r="B2" s="33"/>
      <c r="C2" s="33"/>
      <c r="D2" s="33"/>
      <c r="E2" s="4"/>
      <c r="F2" s="6"/>
      <c r="G2" s="6"/>
      <c r="H2" s="6"/>
      <c r="I2" s="5"/>
      <c r="J2" s="5"/>
      <c r="K2" s="5"/>
      <c r="L2" s="5"/>
      <c r="M2" s="7"/>
      <c r="N2" s="5"/>
      <c r="O2" s="5"/>
    </row>
    <row r="3" spans="1:15" ht="10.5" customHeight="1">
      <c r="A3" s="33"/>
      <c r="B3" s="33"/>
      <c r="C3" s="33"/>
      <c r="D3" s="3"/>
      <c r="E3" s="34" t="s">
        <v>2</v>
      </c>
      <c r="F3" s="34"/>
      <c r="G3" s="34"/>
      <c r="H3" s="34"/>
      <c r="I3" s="34"/>
      <c r="J3" s="34"/>
      <c r="K3" s="34"/>
      <c r="L3" s="34"/>
      <c r="M3" s="5"/>
      <c r="N3" s="5"/>
      <c r="O3" s="5"/>
    </row>
    <row r="4" spans="1:15" ht="12.75" customHeight="1">
      <c r="A4" s="33"/>
      <c r="B4" s="33"/>
      <c r="C4" s="33"/>
      <c r="D4" s="3"/>
      <c r="E4" s="33" t="s">
        <v>3</v>
      </c>
      <c r="F4" s="33"/>
      <c r="G4" s="33"/>
      <c r="H4" s="33"/>
      <c r="I4" s="33"/>
      <c r="J4" s="33"/>
      <c r="K4" s="33"/>
      <c r="L4" s="33"/>
      <c r="M4" s="5"/>
      <c r="N4" s="5"/>
      <c r="O4" s="5"/>
    </row>
    <row r="5" spans="1:15" ht="15" customHeight="1">
      <c r="A5" s="6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32.25" customHeight="1">
      <c r="A6" s="32" t="s">
        <v>4</v>
      </c>
      <c r="B6" s="32"/>
      <c r="C6" s="32"/>
      <c r="D6" s="32"/>
      <c r="E6" s="8"/>
      <c r="F6" s="5"/>
      <c r="G6" s="5"/>
      <c r="H6" s="5"/>
      <c r="I6" s="33"/>
      <c r="J6" s="33"/>
      <c r="K6" s="33"/>
      <c r="L6" s="33"/>
      <c r="M6" s="33"/>
      <c r="N6" s="5"/>
      <c r="O6" s="5"/>
    </row>
    <row r="7" spans="1:15" ht="15" customHeight="1">
      <c r="A7" s="9"/>
      <c r="B7" s="9"/>
      <c r="C7" s="9"/>
      <c r="D7" s="9"/>
      <c r="E7" s="8"/>
      <c r="F7" s="5"/>
      <c r="G7" s="5"/>
      <c r="H7" s="5"/>
      <c r="I7" s="5"/>
      <c r="J7" s="5"/>
      <c r="K7" s="5"/>
      <c r="L7" s="33" t="s">
        <v>5</v>
      </c>
      <c r="M7" s="33"/>
      <c r="N7" s="33"/>
      <c r="O7" s="33"/>
    </row>
    <row r="8" spans="1:15" ht="15" customHeight="1">
      <c r="A8" s="9"/>
      <c r="B8" s="9"/>
      <c r="C8" s="9"/>
      <c r="D8" s="9"/>
      <c r="E8" s="8"/>
      <c r="F8" s="5"/>
      <c r="G8" s="5"/>
      <c r="H8" s="5"/>
      <c r="I8" s="5"/>
      <c r="J8" s="5"/>
      <c r="K8" s="5"/>
      <c r="L8" s="33" t="s">
        <v>270</v>
      </c>
      <c r="M8" s="33"/>
      <c r="N8" s="33"/>
      <c r="O8" s="33"/>
    </row>
    <row r="9" spans="1:15" ht="15" customHeight="1">
      <c r="A9" s="9"/>
      <c r="B9" s="9"/>
      <c r="C9" s="9"/>
      <c r="D9" s="9"/>
      <c r="E9" s="8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6.75" customHeight="1">
      <c r="A10" s="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s="10" customFormat="1" ht="17.25" customHeight="1">
      <c r="A11" s="42" t="s">
        <v>6</v>
      </c>
      <c r="B11" s="42"/>
      <c r="C11" s="38" t="s">
        <v>7</v>
      </c>
      <c r="D11" s="38"/>
      <c r="E11" s="38"/>
      <c r="F11" s="38"/>
      <c r="G11" s="38" t="s">
        <v>8</v>
      </c>
      <c r="H11" s="38"/>
      <c r="I11" s="38"/>
      <c r="J11" s="38"/>
      <c r="K11" s="43" t="s">
        <v>9</v>
      </c>
      <c r="L11" s="43"/>
      <c r="M11" s="43"/>
      <c r="N11" s="38" t="s">
        <v>10</v>
      </c>
      <c r="O11" s="38"/>
    </row>
    <row r="12" spans="1:15" ht="12.75" customHeight="1">
      <c r="A12" s="31" t="s">
        <v>11</v>
      </c>
      <c r="B12" s="39" t="s">
        <v>12</v>
      </c>
      <c r="C12" s="40" t="s">
        <v>13</v>
      </c>
      <c r="D12" s="41" t="s">
        <v>14</v>
      </c>
      <c r="E12" s="41"/>
      <c r="F12" s="40" t="s">
        <v>15</v>
      </c>
      <c r="G12" s="38" t="s">
        <v>13</v>
      </c>
      <c r="H12" s="37" t="s">
        <v>16</v>
      </c>
      <c r="I12" s="38" t="s">
        <v>17</v>
      </c>
      <c r="J12" s="38" t="s">
        <v>18</v>
      </c>
      <c r="K12" s="37" t="s">
        <v>19</v>
      </c>
      <c r="L12" s="37" t="s">
        <v>20</v>
      </c>
      <c r="M12" s="37" t="s">
        <v>21</v>
      </c>
      <c r="N12" s="36" t="s">
        <v>13</v>
      </c>
      <c r="O12" s="25" t="s">
        <v>22</v>
      </c>
    </row>
    <row r="13" spans="1:15" ht="12.75" customHeight="1">
      <c r="A13" s="31"/>
      <c r="B13" s="39"/>
      <c r="C13" s="40"/>
      <c r="D13" s="26" t="s">
        <v>23</v>
      </c>
      <c r="E13" s="11" t="s">
        <v>17</v>
      </c>
      <c r="F13" s="40"/>
      <c r="G13" s="38"/>
      <c r="H13" s="37"/>
      <c r="I13" s="38"/>
      <c r="J13" s="38"/>
      <c r="K13" s="37"/>
      <c r="L13" s="37"/>
      <c r="M13" s="37"/>
      <c r="N13" s="36"/>
      <c r="O13" s="11" t="s">
        <v>24</v>
      </c>
    </row>
    <row r="14" spans="1:15" s="12" customFormat="1" ht="10.5" customHeight="1">
      <c r="A14" s="27">
        <v>1</v>
      </c>
      <c r="B14" s="28">
        <v>2</v>
      </c>
      <c r="C14" s="29">
        <v>3</v>
      </c>
      <c r="D14" s="30">
        <v>4</v>
      </c>
      <c r="E14" s="29">
        <v>5</v>
      </c>
      <c r="F14" s="29">
        <v>6</v>
      </c>
      <c r="G14" s="29">
        <v>7</v>
      </c>
      <c r="H14" s="29">
        <v>8</v>
      </c>
      <c r="I14" s="29">
        <v>9</v>
      </c>
      <c r="J14" s="29">
        <v>10</v>
      </c>
      <c r="K14" s="29">
        <v>11</v>
      </c>
      <c r="L14" s="29">
        <v>12</v>
      </c>
      <c r="M14" s="29">
        <v>13</v>
      </c>
      <c r="N14" s="29">
        <v>14</v>
      </c>
      <c r="O14" s="28">
        <v>15</v>
      </c>
    </row>
    <row r="15" spans="1:15" ht="12.75" customHeight="1">
      <c r="A15" s="13" t="s">
        <v>25</v>
      </c>
      <c r="B15" s="14" t="s">
        <v>26</v>
      </c>
      <c r="C15" s="15">
        <v>57067</v>
      </c>
      <c r="D15" s="15">
        <v>40567</v>
      </c>
      <c r="E15" s="15">
        <v>5884</v>
      </c>
      <c r="F15" s="15">
        <f t="shared" ref="F15:F22" si="0">SUM(C15-D15-E15)</f>
        <v>10616</v>
      </c>
      <c r="G15" s="15">
        <v>276721</v>
      </c>
      <c r="H15" s="15">
        <v>114157</v>
      </c>
      <c r="I15" s="15">
        <v>32152</v>
      </c>
      <c r="J15" s="15">
        <f t="shared" ref="J15:J22" si="1">SUM(G15-H15-I15)</f>
        <v>130412</v>
      </c>
      <c r="K15" s="15">
        <v>13484</v>
      </c>
      <c r="L15" s="15">
        <v>0</v>
      </c>
      <c r="M15" s="15">
        <v>34952</v>
      </c>
      <c r="N15" s="15">
        <v>9541</v>
      </c>
      <c r="O15" s="15">
        <v>8815</v>
      </c>
    </row>
    <row r="16" spans="1:15" ht="12.75" customHeight="1">
      <c r="A16" s="13" t="s">
        <v>27</v>
      </c>
      <c r="B16" s="14" t="s">
        <v>28</v>
      </c>
      <c r="C16" s="15">
        <v>37357</v>
      </c>
      <c r="D16" s="15">
        <v>16754</v>
      </c>
      <c r="E16" s="15">
        <v>864</v>
      </c>
      <c r="F16" s="15">
        <f t="shared" si="0"/>
        <v>19739</v>
      </c>
      <c r="G16" s="15">
        <v>260664</v>
      </c>
      <c r="H16" s="15">
        <v>44679</v>
      </c>
      <c r="I16" s="15">
        <v>5725</v>
      </c>
      <c r="J16" s="15">
        <f t="shared" si="1"/>
        <v>210260</v>
      </c>
      <c r="K16" s="15">
        <v>7149</v>
      </c>
      <c r="L16" s="15">
        <v>0</v>
      </c>
      <c r="M16" s="15">
        <v>22876</v>
      </c>
      <c r="N16" s="15">
        <v>506</v>
      </c>
      <c r="O16" s="15">
        <v>506</v>
      </c>
    </row>
    <row r="17" spans="1:15" ht="12.75" customHeight="1">
      <c r="A17" s="13" t="s">
        <v>29</v>
      </c>
      <c r="B17" s="14" t="s">
        <v>30</v>
      </c>
      <c r="C17" s="15">
        <v>21988</v>
      </c>
      <c r="D17" s="15">
        <v>18057</v>
      </c>
      <c r="E17" s="15">
        <v>0</v>
      </c>
      <c r="F17" s="15">
        <f t="shared" si="0"/>
        <v>3931</v>
      </c>
      <c r="G17" s="15">
        <v>45351</v>
      </c>
      <c r="H17" s="15">
        <v>32838</v>
      </c>
      <c r="I17" s="15">
        <v>0</v>
      </c>
      <c r="J17" s="15">
        <f t="shared" si="1"/>
        <v>12513</v>
      </c>
      <c r="K17" s="15">
        <v>2800</v>
      </c>
      <c r="L17" s="15">
        <v>0</v>
      </c>
      <c r="M17" s="15">
        <v>1517</v>
      </c>
      <c r="N17" s="15">
        <v>1456</v>
      </c>
      <c r="O17" s="15">
        <v>1456</v>
      </c>
    </row>
    <row r="18" spans="1:15" ht="12.75" customHeight="1">
      <c r="A18" s="13" t="s">
        <v>31</v>
      </c>
      <c r="B18" s="14" t="s">
        <v>32</v>
      </c>
      <c r="C18" s="15">
        <v>70256</v>
      </c>
      <c r="D18" s="15">
        <v>46769</v>
      </c>
      <c r="E18" s="15">
        <v>1026</v>
      </c>
      <c r="F18" s="15">
        <f t="shared" si="0"/>
        <v>22461</v>
      </c>
      <c r="G18" s="15">
        <v>184139</v>
      </c>
      <c r="H18" s="15">
        <v>123665</v>
      </c>
      <c r="I18" s="15">
        <v>4283</v>
      </c>
      <c r="J18" s="15">
        <f t="shared" si="1"/>
        <v>56191</v>
      </c>
      <c r="K18" s="15">
        <v>8959</v>
      </c>
      <c r="L18" s="15">
        <v>0</v>
      </c>
      <c r="M18" s="15">
        <v>17314</v>
      </c>
      <c r="N18" s="15">
        <v>1654</v>
      </c>
      <c r="O18" s="15">
        <v>1654</v>
      </c>
    </row>
    <row r="19" spans="1:15" ht="12.75" customHeight="1">
      <c r="A19" s="13" t="s">
        <v>33</v>
      </c>
      <c r="B19" s="14" t="s">
        <v>34</v>
      </c>
      <c r="C19" s="15">
        <v>42246</v>
      </c>
      <c r="D19" s="15">
        <v>39864</v>
      </c>
      <c r="E19" s="15">
        <v>1717</v>
      </c>
      <c r="F19" s="15">
        <f t="shared" si="0"/>
        <v>665</v>
      </c>
      <c r="G19" s="15">
        <v>118808</v>
      </c>
      <c r="H19" s="15">
        <v>95646</v>
      </c>
      <c r="I19" s="15">
        <v>7891</v>
      </c>
      <c r="J19" s="15">
        <f t="shared" si="1"/>
        <v>15271</v>
      </c>
      <c r="K19" s="15">
        <v>1252</v>
      </c>
      <c r="L19" s="15">
        <v>0</v>
      </c>
      <c r="M19" s="15">
        <v>503</v>
      </c>
      <c r="N19" s="15">
        <v>1424</v>
      </c>
      <c r="O19" s="15">
        <v>1424</v>
      </c>
    </row>
    <row r="20" spans="1:15" ht="12.75" customHeight="1">
      <c r="A20" s="13" t="s">
        <v>35</v>
      </c>
      <c r="B20" s="14" t="s">
        <v>36</v>
      </c>
      <c r="C20" s="15">
        <v>240881</v>
      </c>
      <c r="D20" s="15">
        <v>215697</v>
      </c>
      <c r="E20" s="15">
        <v>6367</v>
      </c>
      <c r="F20" s="15">
        <f t="shared" si="0"/>
        <v>18817</v>
      </c>
      <c r="G20" s="15">
        <v>630332</v>
      </c>
      <c r="H20" s="15">
        <v>454507</v>
      </c>
      <c r="I20" s="15">
        <v>31935</v>
      </c>
      <c r="J20" s="15">
        <f t="shared" si="1"/>
        <v>143890</v>
      </c>
      <c r="K20" s="15">
        <v>20669</v>
      </c>
      <c r="L20" s="15">
        <v>30</v>
      </c>
      <c r="M20" s="15">
        <v>30670</v>
      </c>
      <c r="N20" s="15">
        <v>4944</v>
      </c>
      <c r="O20" s="15">
        <v>4944</v>
      </c>
    </row>
    <row r="21" spans="1:15" ht="12.75" customHeight="1">
      <c r="A21" s="13" t="s">
        <v>37</v>
      </c>
      <c r="B21" s="14" t="s">
        <v>38</v>
      </c>
      <c r="C21" s="15">
        <v>19515</v>
      </c>
      <c r="D21" s="15">
        <v>19167</v>
      </c>
      <c r="E21" s="15">
        <v>0</v>
      </c>
      <c r="F21" s="15">
        <f t="shared" si="0"/>
        <v>348</v>
      </c>
      <c r="G21" s="15">
        <v>35538</v>
      </c>
      <c r="H21" s="15">
        <v>33261</v>
      </c>
      <c r="I21" s="15">
        <v>0</v>
      </c>
      <c r="J21" s="15">
        <f t="shared" si="1"/>
        <v>2277</v>
      </c>
      <c r="K21" s="15">
        <v>149</v>
      </c>
      <c r="L21" s="15">
        <v>0</v>
      </c>
      <c r="M21" s="15">
        <v>0</v>
      </c>
      <c r="N21" s="15">
        <v>161</v>
      </c>
      <c r="O21" s="15">
        <v>161</v>
      </c>
    </row>
    <row r="22" spans="1:15" ht="12.75" customHeight="1">
      <c r="A22" s="13" t="s">
        <v>39</v>
      </c>
      <c r="B22" s="14" t="s">
        <v>40</v>
      </c>
      <c r="C22" s="15">
        <v>18862</v>
      </c>
      <c r="D22" s="15">
        <v>15257</v>
      </c>
      <c r="E22" s="15">
        <v>1873</v>
      </c>
      <c r="F22" s="15">
        <f t="shared" si="0"/>
        <v>1732</v>
      </c>
      <c r="G22" s="15">
        <v>53778</v>
      </c>
      <c r="H22" s="15">
        <v>33192</v>
      </c>
      <c r="I22" s="15">
        <v>7643</v>
      </c>
      <c r="J22" s="15">
        <f t="shared" si="1"/>
        <v>12943</v>
      </c>
      <c r="K22" s="15">
        <v>3796</v>
      </c>
      <c r="L22" s="15">
        <v>0</v>
      </c>
      <c r="M22" s="15">
        <v>11363</v>
      </c>
      <c r="N22" s="15">
        <v>874</v>
      </c>
      <c r="O22" s="15">
        <v>874</v>
      </c>
    </row>
    <row r="23" spans="1:15" ht="12.75" customHeight="1">
      <c r="A23" s="16"/>
      <c r="B23" s="17" t="s">
        <v>41</v>
      </c>
      <c r="C23" s="18">
        <f t="shared" ref="C23:O23" si="2">SUM(C15:C22)</f>
        <v>508172</v>
      </c>
      <c r="D23" s="18">
        <f t="shared" si="2"/>
        <v>412132</v>
      </c>
      <c r="E23" s="18">
        <f t="shared" si="2"/>
        <v>17731</v>
      </c>
      <c r="F23" s="18">
        <f t="shared" si="2"/>
        <v>78309</v>
      </c>
      <c r="G23" s="18">
        <f t="shared" si="2"/>
        <v>1605331</v>
      </c>
      <c r="H23" s="18">
        <f t="shared" si="2"/>
        <v>931945</v>
      </c>
      <c r="I23" s="18">
        <f t="shared" si="2"/>
        <v>89629</v>
      </c>
      <c r="J23" s="18">
        <f t="shared" si="2"/>
        <v>583757</v>
      </c>
      <c r="K23" s="18">
        <f t="shared" si="2"/>
        <v>58258</v>
      </c>
      <c r="L23" s="18">
        <f t="shared" si="2"/>
        <v>30</v>
      </c>
      <c r="M23" s="18">
        <f t="shared" si="2"/>
        <v>119195</v>
      </c>
      <c r="N23" s="18">
        <f t="shared" si="2"/>
        <v>20560</v>
      </c>
      <c r="O23" s="18">
        <f t="shared" si="2"/>
        <v>19834</v>
      </c>
    </row>
    <row r="24" spans="1:15" ht="14.25" customHeight="1">
      <c r="A24" s="13" t="s">
        <v>42</v>
      </c>
      <c r="B24" s="14" t="s">
        <v>43</v>
      </c>
      <c r="C24" s="15">
        <v>21296</v>
      </c>
      <c r="D24" s="15">
        <v>15127</v>
      </c>
      <c r="E24" s="15">
        <v>1481</v>
      </c>
      <c r="F24" s="15">
        <f>SUM(C24-D24-E24)</f>
        <v>4688</v>
      </c>
      <c r="G24" s="15">
        <v>52865</v>
      </c>
      <c r="H24" s="15">
        <v>27494</v>
      </c>
      <c r="I24" s="15">
        <v>4989</v>
      </c>
      <c r="J24" s="15">
        <f>SUM(G24-H24-I24)</f>
        <v>20382</v>
      </c>
      <c r="K24" s="15">
        <v>14667</v>
      </c>
      <c r="L24" s="15">
        <v>0</v>
      </c>
      <c r="M24" s="15">
        <v>4157</v>
      </c>
      <c r="N24" s="15">
        <v>526</v>
      </c>
      <c r="O24" s="15">
        <v>526</v>
      </c>
    </row>
    <row r="25" spans="1:15" ht="14.25" customHeight="1">
      <c r="A25" s="19"/>
      <c r="B25" s="17" t="s">
        <v>44</v>
      </c>
      <c r="C25" s="18">
        <f t="shared" ref="C25:O25" si="3">SUM(C24)</f>
        <v>21296</v>
      </c>
      <c r="D25" s="18">
        <f t="shared" si="3"/>
        <v>15127</v>
      </c>
      <c r="E25" s="18">
        <f t="shared" si="3"/>
        <v>1481</v>
      </c>
      <c r="F25" s="18">
        <f t="shared" si="3"/>
        <v>4688</v>
      </c>
      <c r="G25" s="18">
        <f t="shared" si="3"/>
        <v>52865</v>
      </c>
      <c r="H25" s="18">
        <f t="shared" si="3"/>
        <v>27494</v>
      </c>
      <c r="I25" s="18">
        <f t="shared" si="3"/>
        <v>4989</v>
      </c>
      <c r="J25" s="18">
        <f t="shared" si="3"/>
        <v>20382</v>
      </c>
      <c r="K25" s="18">
        <f t="shared" si="3"/>
        <v>14667</v>
      </c>
      <c r="L25" s="18">
        <f t="shared" si="3"/>
        <v>0</v>
      </c>
      <c r="M25" s="18">
        <f t="shared" si="3"/>
        <v>4157</v>
      </c>
      <c r="N25" s="18">
        <f t="shared" si="3"/>
        <v>526</v>
      </c>
      <c r="O25" s="18">
        <f t="shared" si="3"/>
        <v>526</v>
      </c>
    </row>
    <row r="26" spans="1:15" ht="12.75" customHeight="1">
      <c r="A26" s="13" t="s">
        <v>45</v>
      </c>
      <c r="B26" s="14" t="s">
        <v>46</v>
      </c>
      <c r="C26" s="15">
        <v>135302</v>
      </c>
      <c r="D26" s="15">
        <v>78116</v>
      </c>
      <c r="E26" s="15">
        <v>5600</v>
      </c>
      <c r="F26" s="15">
        <f>SUM(C26-D26-E26)</f>
        <v>51586</v>
      </c>
      <c r="G26" s="15">
        <v>346738</v>
      </c>
      <c r="H26" s="15">
        <v>133555</v>
      </c>
      <c r="I26" s="15">
        <v>17804</v>
      </c>
      <c r="J26" s="15">
        <f>SUM(G26-H26-I26)</f>
        <v>195379</v>
      </c>
      <c r="K26" s="15">
        <v>22055</v>
      </c>
      <c r="L26" s="15">
        <v>0</v>
      </c>
      <c r="M26" s="15">
        <v>11333</v>
      </c>
      <c r="N26" s="15">
        <v>6067</v>
      </c>
      <c r="O26" s="15">
        <v>6067</v>
      </c>
    </row>
    <row r="27" spans="1:15" ht="12.75" customHeight="1">
      <c r="A27" s="13" t="s">
        <v>47</v>
      </c>
      <c r="B27" s="14" t="s">
        <v>48</v>
      </c>
      <c r="C27" s="15">
        <v>31102</v>
      </c>
      <c r="D27" s="15">
        <v>26109</v>
      </c>
      <c r="E27" s="15">
        <v>1354</v>
      </c>
      <c r="F27" s="15">
        <f>SUM(C27-D27-E27)</f>
        <v>3639</v>
      </c>
      <c r="G27" s="15">
        <v>60809</v>
      </c>
      <c r="H27" s="15">
        <v>40203</v>
      </c>
      <c r="I27" s="15">
        <v>4108</v>
      </c>
      <c r="J27" s="15">
        <f>SUM(G27-H27-I27)</f>
        <v>16498</v>
      </c>
      <c r="K27" s="15">
        <v>4512</v>
      </c>
      <c r="L27" s="15">
        <v>0</v>
      </c>
      <c r="M27" s="15">
        <v>2145</v>
      </c>
      <c r="N27" s="15">
        <v>838</v>
      </c>
      <c r="O27" s="15">
        <v>838</v>
      </c>
    </row>
    <row r="28" spans="1:15" ht="12.75" customHeight="1">
      <c r="A28" s="13" t="s">
        <v>49</v>
      </c>
      <c r="B28" s="14" t="s">
        <v>50</v>
      </c>
      <c r="C28" s="15">
        <v>31278</v>
      </c>
      <c r="D28" s="15">
        <v>20121</v>
      </c>
      <c r="E28" s="15">
        <v>2562</v>
      </c>
      <c r="F28" s="15">
        <f>SUM(C28-D28-E28)</f>
        <v>8595</v>
      </c>
      <c r="G28" s="15">
        <v>85379</v>
      </c>
      <c r="H28" s="15">
        <v>43832</v>
      </c>
      <c r="I28" s="15">
        <v>12671</v>
      </c>
      <c r="J28" s="15">
        <f>SUM(G28-H28-I28)</f>
        <v>28876</v>
      </c>
      <c r="K28" s="15">
        <v>2341</v>
      </c>
      <c r="L28" s="15">
        <v>0</v>
      </c>
      <c r="M28" s="15">
        <v>1262</v>
      </c>
      <c r="N28" s="15">
        <v>297</v>
      </c>
      <c r="O28" s="15">
        <v>297</v>
      </c>
    </row>
    <row r="29" spans="1:15" ht="12.75" customHeight="1">
      <c r="A29" s="13" t="s">
        <v>51</v>
      </c>
      <c r="B29" s="14" t="s">
        <v>52</v>
      </c>
      <c r="C29" s="15">
        <v>36762</v>
      </c>
      <c r="D29" s="15">
        <v>31504</v>
      </c>
      <c r="E29" s="15">
        <v>4113</v>
      </c>
      <c r="F29" s="15">
        <f>SUM(C29-D29-E29)</f>
        <v>1145</v>
      </c>
      <c r="G29" s="15">
        <v>81734</v>
      </c>
      <c r="H29" s="15">
        <v>63962</v>
      </c>
      <c r="I29" s="15">
        <v>14962</v>
      </c>
      <c r="J29" s="15">
        <f>SUM(G29-H29-I29)</f>
        <v>2810</v>
      </c>
      <c r="K29" s="15">
        <v>125</v>
      </c>
      <c r="L29" s="15">
        <v>0</v>
      </c>
      <c r="M29" s="15">
        <v>89</v>
      </c>
      <c r="N29" s="15">
        <v>230</v>
      </c>
      <c r="O29" s="15">
        <v>230</v>
      </c>
    </row>
    <row r="30" spans="1:15" ht="12.75" customHeight="1">
      <c r="A30" s="16"/>
      <c r="B30" s="17" t="s">
        <v>53</v>
      </c>
      <c r="C30" s="18">
        <f t="shared" ref="C30:O30" si="4">SUM(C26:C29)</f>
        <v>234444</v>
      </c>
      <c r="D30" s="18">
        <f t="shared" si="4"/>
        <v>155850</v>
      </c>
      <c r="E30" s="18">
        <f t="shared" si="4"/>
        <v>13629</v>
      </c>
      <c r="F30" s="18">
        <f t="shared" si="4"/>
        <v>64965</v>
      </c>
      <c r="G30" s="18">
        <f t="shared" si="4"/>
        <v>574660</v>
      </c>
      <c r="H30" s="18">
        <f t="shared" si="4"/>
        <v>281552</v>
      </c>
      <c r="I30" s="18">
        <f t="shared" si="4"/>
        <v>49545</v>
      </c>
      <c r="J30" s="18">
        <f t="shared" si="4"/>
        <v>243563</v>
      </c>
      <c r="K30" s="18">
        <f t="shared" si="4"/>
        <v>29033</v>
      </c>
      <c r="L30" s="18">
        <f t="shared" si="4"/>
        <v>0</v>
      </c>
      <c r="M30" s="18">
        <f t="shared" si="4"/>
        <v>14829</v>
      </c>
      <c r="N30" s="18">
        <f t="shared" si="4"/>
        <v>7432</v>
      </c>
      <c r="O30" s="18">
        <f t="shared" si="4"/>
        <v>7432</v>
      </c>
    </row>
    <row r="31" spans="1:15" ht="12.75" customHeight="1">
      <c r="A31" s="13" t="s">
        <v>54</v>
      </c>
      <c r="B31" s="14" t="s">
        <v>55</v>
      </c>
      <c r="C31" s="15">
        <v>120731</v>
      </c>
      <c r="D31" s="15">
        <v>98954</v>
      </c>
      <c r="E31" s="15">
        <v>2380</v>
      </c>
      <c r="F31" s="15">
        <f t="shared" ref="F31:F42" si="5">SUM(C31-D31-E31)</f>
        <v>19397</v>
      </c>
      <c r="G31" s="15">
        <v>354295</v>
      </c>
      <c r="H31" s="15">
        <v>199886</v>
      </c>
      <c r="I31" s="15">
        <v>10312</v>
      </c>
      <c r="J31" s="15">
        <f t="shared" ref="J31:J42" si="6">SUM(G31-H31-I31)</f>
        <v>144097</v>
      </c>
      <c r="K31" s="15">
        <v>8196</v>
      </c>
      <c r="L31" s="15">
        <v>0</v>
      </c>
      <c r="M31" s="15">
        <v>7678</v>
      </c>
      <c r="N31" s="15">
        <v>1212</v>
      </c>
      <c r="O31" s="15">
        <v>1212</v>
      </c>
    </row>
    <row r="32" spans="1:15" ht="12.75" customHeight="1">
      <c r="A32" s="13" t="s">
        <v>56</v>
      </c>
      <c r="B32" s="14" t="s">
        <v>57</v>
      </c>
      <c r="C32" s="15">
        <v>178933</v>
      </c>
      <c r="D32" s="15">
        <v>161346</v>
      </c>
      <c r="E32" s="15">
        <v>5823</v>
      </c>
      <c r="F32" s="15">
        <f t="shared" si="5"/>
        <v>11764</v>
      </c>
      <c r="G32" s="15">
        <v>635331</v>
      </c>
      <c r="H32" s="15">
        <v>384805</v>
      </c>
      <c r="I32" s="15">
        <v>29776</v>
      </c>
      <c r="J32" s="15">
        <f t="shared" si="6"/>
        <v>220750</v>
      </c>
      <c r="K32" s="15">
        <v>19545</v>
      </c>
      <c r="L32" s="15">
        <v>0</v>
      </c>
      <c r="M32" s="15">
        <v>98019</v>
      </c>
      <c r="N32" s="15">
        <v>3716</v>
      </c>
      <c r="O32" s="15">
        <v>3716</v>
      </c>
    </row>
    <row r="33" spans="1:256" ht="12.75" customHeight="1">
      <c r="A33" s="13" t="s">
        <v>58</v>
      </c>
      <c r="B33" s="14" t="s">
        <v>59</v>
      </c>
      <c r="C33" s="15">
        <v>86757</v>
      </c>
      <c r="D33" s="15">
        <v>67079</v>
      </c>
      <c r="E33" s="15">
        <v>2231</v>
      </c>
      <c r="F33" s="15">
        <f t="shared" si="5"/>
        <v>17447</v>
      </c>
      <c r="G33" s="15">
        <v>302235</v>
      </c>
      <c r="H33" s="15">
        <v>88102</v>
      </c>
      <c r="I33" s="15">
        <v>5827</v>
      </c>
      <c r="J33" s="15">
        <f t="shared" si="6"/>
        <v>208306</v>
      </c>
      <c r="K33" s="15">
        <v>23571</v>
      </c>
      <c r="L33" s="15">
        <v>263</v>
      </c>
      <c r="M33" s="15">
        <v>23110</v>
      </c>
      <c r="N33" s="15">
        <v>1992</v>
      </c>
      <c r="O33" s="15">
        <v>1992</v>
      </c>
    </row>
    <row r="34" spans="1:256" ht="12.75" customHeight="1">
      <c r="A34" s="13" t="s">
        <v>60</v>
      </c>
      <c r="B34" s="14" t="s">
        <v>61</v>
      </c>
      <c r="C34" s="15">
        <v>99213</v>
      </c>
      <c r="D34" s="15">
        <v>28898</v>
      </c>
      <c r="E34" s="15">
        <v>481</v>
      </c>
      <c r="F34" s="15">
        <f t="shared" si="5"/>
        <v>69834</v>
      </c>
      <c r="G34" s="15">
        <v>313139</v>
      </c>
      <c r="H34" s="15">
        <v>75007</v>
      </c>
      <c r="I34" s="15">
        <v>2171</v>
      </c>
      <c r="J34" s="15">
        <f t="shared" si="6"/>
        <v>235961</v>
      </c>
      <c r="K34" s="15">
        <v>3230</v>
      </c>
      <c r="L34" s="15">
        <v>127</v>
      </c>
      <c r="M34" s="15">
        <v>36800</v>
      </c>
      <c r="N34" s="15">
        <v>349</v>
      </c>
      <c r="O34" s="15">
        <v>349</v>
      </c>
    </row>
    <row r="35" spans="1:256" ht="12.75" customHeight="1">
      <c r="A35" s="13" t="s">
        <v>62</v>
      </c>
      <c r="B35" s="14" t="s">
        <v>63</v>
      </c>
      <c r="C35" s="15">
        <v>40577</v>
      </c>
      <c r="D35" s="15">
        <v>39737</v>
      </c>
      <c r="E35" s="15">
        <v>0</v>
      </c>
      <c r="F35" s="15">
        <f t="shared" si="5"/>
        <v>840</v>
      </c>
      <c r="G35" s="15">
        <v>73335</v>
      </c>
      <c r="H35" s="15">
        <v>66132</v>
      </c>
      <c r="I35" s="15">
        <v>0</v>
      </c>
      <c r="J35" s="15">
        <f t="shared" si="6"/>
        <v>7203</v>
      </c>
      <c r="K35" s="15">
        <v>1877</v>
      </c>
      <c r="L35" s="15">
        <v>0</v>
      </c>
      <c r="M35" s="15">
        <v>264</v>
      </c>
      <c r="N35" s="15">
        <v>3635</v>
      </c>
      <c r="O35" s="15">
        <v>3635</v>
      </c>
    </row>
    <row r="36" spans="1:256" ht="12.75" customHeight="1">
      <c r="A36" s="13" t="s">
        <v>64</v>
      </c>
      <c r="B36" s="14" t="s">
        <v>65</v>
      </c>
      <c r="C36" s="15">
        <v>23699</v>
      </c>
      <c r="D36" s="15">
        <v>18937</v>
      </c>
      <c r="E36" s="15">
        <v>2191</v>
      </c>
      <c r="F36" s="15">
        <f t="shared" si="5"/>
        <v>2571</v>
      </c>
      <c r="G36" s="15">
        <v>68325</v>
      </c>
      <c r="H36" s="15">
        <v>48116</v>
      </c>
      <c r="I36" s="15">
        <v>10888</v>
      </c>
      <c r="J36" s="15">
        <f t="shared" si="6"/>
        <v>9321</v>
      </c>
      <c r="K36" s="15">
        <v>451</v>
      </c>
      <c r="L36" s="15">
        <v>0</v>
      </c>
      <c r="M36" s="15">
        <v>5251</v>
      </c>
      <c r="N36" s="15">
        <v>14</v>
      </c>
      <c r="O36" s="15">
        <v>14</v>
      </c>
    </row>
    <row r="37" spans="1:256" ht="12.75" customHeight="1">
      <c r="A37" s="13" t="s">
        <v>66</v>
      </c>
      <c r="B37" s="14" t="s">
        <v>67</v>
      </c>
      <c r="C37" s="15">
        <v>38149</v>
      </c>
      <c r="D37" s="15">
        <v>33349</v>
      </c>
      <c r="E37" s="15">
        <v>294</v>
      </c>
      <c r="F37" s="15">
        <f t="shared" si="5"/>
        <v>4506</v>
      </c>
      <c r="G37" s="15">
        <v>135831</v>
      </c>
      <c r="H37" s="15">
        <v>91529</v>
      </c>
      <c r="I37" s="15">
        <v>1156</v>
      </c>
      <c r="J37" s="15">
        <f t="shared" si="6"/>
        <v>43146</v>
      </c>
      <c r="K37" s="15">
        <v>1090</v>
      </c>
      <c r="L37" s="15">
        <v>0</v>
      </c>
      <c r="M37" s="15">
        <v>11986</v>
      </c>
      <c r="N37" s="15">
        <v>2871</v>
      </c>
      <c r="O37" s="15">
        <v>2871</v>
      </c>
    </row>
    <row r="38" spans="1:256" ht="12.75" customHeight="1">
      <c r="A38" s="13" t="s">
        <v>68</v>
      </c>
      <c r="B38" s="14" t="s">
        <v>69</v>
      </c>
      <c r="C38" s="15">
        <v>587762</v>
      </c>
      <c r="D38" s="15">
        <v>440227</v>
      </c>
      <c r="E38" s="15">
        <v>16434</v>
      </c>
      <c r="F38" s="15">
        <f t="shared" si="5"/>
        <v>131101</v>
      </c>
      <c r="G38" s="15">
        <v>1355376</v>
      </c>
      <c r="H38" s="15">
        <v>774796</v>
      </c>
      <c r="I38" s="15">
        <v>66608</v>
      </c>
      <c r="J38" s="15">
        <f t="shared" si="6"/>
        <v>513972</v>
      </c>
      <c r="K38" s="15">
        <v>65907</v>
      </c>
      <c r="L38" s="15">
        <v>0</v>
      </c>
      <c r="M38" s="15">
        <v>56778</v>
      </c>
      <c r="N38" s="15">
        <v>442664</v>
      </c>
      <c r="O38" s="15">
        <v>53722</v>
      </c>
    </row>
    <row r="39" spans="1:256" ht="12.75" customHeight="1">
      <c r="A39" s="13" t="s">
        <v>70</v>
      </c>
      <c r="B39" s="14" t="s">
        <v>71</v>
      </c>
      <c r="C39" s="15">
        <v>85040</v>
      </c>
      <c r="D39" s="15">
        <v>78644</v>
      </c>
      <c r="E39" s="15">
        <v>2551</v>
      </c>
      <c r="F39" s="15">
        <f t="shared" si="5"/>
        <v>3845</v>
      </c>
      <c r="G39" s="15">
        <v>156365</v>
      </c>
      <c r="H39" s="15">
        <v>127317</v>
      </c>
      <c r="I39" s="15">
        <v>13788</v>
      </c>
      <c r="J39" s="15">
        <f t="shared" si="6"/>
        <v>15260</v>
      </c>
      <c r="K39" s="15">
        <v>4745</v>
      </c>
      <c r="L39" s="15">
        <v>0</v>
      </c>
      <c r="M39" s="15">
        <v>175</v>
      </c>
      <c r="N39" s="15">
        <v>165</v>
      </c>
      <c r="O39" s="15">
        <v>165</v>
      </c>
    </row>
    <row r="40" spans="1:256" ht="12.75" customHeight="1">
      <c r="A40" s="13" t="s">
        <v>72</v>
      </c>
      <c r="B40" s="14" t="s">
        <v>73</v>
      </c>
      <c r="C40" s="15">
        <v>59367</v>
      </c>
      <c r="D40" s="15">
        <v>51430</v>
      </c>
      <c r="E40" s="15">
        <v>2532</v>
      </c>
      <c r="F40" s="15">
        <f t="shared" si="5"/>
        <v>5405</v>
      </c>
      <c r="G40" s="15">
        <v>167368</v>
      </c>
      <c r="H40" s="15">
        <v>106039</v>
      </c>
      <c r="I40" s="15">
        <v>10889</v>
      </c>
      <c r="J40" s="15">
        <f t="shared" si="6"/>
        <v>50440</v>
      </c>
      <c r="K40" s="15">
        <v>4439</v>
      </c>
      <c r="L40" s="15">
        <v>27</v>
      </c>
      <c r="M40" s="15">
        <v>46059</v>
      </c>
      <c r="N40" s="15">
        <v>763</v>
      </c>
      <c r="O40" s="15">
        <v>763</v>
      </c>
    </row>
    <row r="41" spans="1:256" ht="12.75" customHeight="1">
      <c r="A41" s="13" t="s">
        <v>74</v>
      </c>
      <c r="B41" s="14" t="s">
        <v>75</v>
      </c>
      <c r="C41" s="15">
        <v>20295</v>
      </c>
      <c r="D41" s="15">
        <v>16871</v>
      </c>
      <c r="E41" s="15">
        <v>0</v>
      </c>
      <c r="F41" s="15">
        <f t="shared" si="5"/>
        <v>3424</v>
      </c>
      <c r="G41" s="15">
        <v>71706</v>
      </c>
      <c r="H41" s="15">
        <v>46712</v>
      </c>
      <c r="I41" s="15">
        <v>0</v>
      </c>
      <c r="J41" s="15">
        <f t="shared" si="6"/>
        <v>24994</v>
      </c>
      <c r="K41" s="15">
        <v>7822</v>
      </c>
      <c r="L41" s="15">
        <v>0</v>
      </c>
      <c r="M41" s="15">
        <v>1402</v>
      </c>
      <c r="N41" s="15">
        <v>3322</v>
      </c>
      <c r="O41" s="15">
        <v>3322</v>
      </c>
    </row>
    <row r="42" spans="1:256" ht="12.75" customHeight="1">
      <c r="A42" s="13" t="s">
        <v>76</v>
      </c>
      <c r="B42" s="14" t="s">
        <v>77</v>
      </c>
      <c r="C42" s="15">
        <v>132118</v>
      </c>
      <c r="D42" s="15">
        <v>106420</v>
      </c>
      <c r="E42" s="15">
        <v>3088</v>
      </c>
      <c r="F42" s="15">
        <f t="shared" si="5"/>
        <v>22610</v>
      </c>
      <c r="G42" s="15">
        <v>224801</v>
      </c>
      <c r="H42" s="15">
        <v>168854</v>
      </c>
      <c r="I42" s="15">
        <v>7658</v>
      </c>
      <c r="J42" s="15">
        <f t="shared" si="6"/>
        <v>48289</v>
      </c>
      <c r="K42" s="15">
        <v>6991</v>
      </c>
      <c r="L42" s="15">
        <v>0</v>
      </c>
      <c r="M42" s="15">
        <v>627</v>
      </c>
      <c r="N42" s="15">
        <v>853</v>
      </c>
      <c r="O42" s="15">
        <v>853</v>
      </c>
    </row>
    <row r="43" spans="1:256" ht="12.75" customHeight="1">
      <c r="A43" s="16"/>
      <c r="B43" s="17" t="s">
        <v>78</v>
      </c>
      <c r="C43" s="18">
        <f t="shared" ref="C43:O43" si="7">SUM(C31:C42)</f>
        <v>1472641</v>
      </c>
      <c r="D43" s="18">
        <f t="shared" si="7"/>
        <v>1141892</v>
      </c>
      <c r="E43" s="18">
        <f t="shared" si="7"/>
        <v>38005</v>
      </c>
      <c r="F43" s="18">
        <f t="shared" si="7"/>
        <v>292744</v>
      </c>
      <c r="G43" s="18">
        <f t="shared" si="7"/>
        <v>3858107</v>
      </c>
      <c r="H43" s="18">
        <f t="shared" si="7"/>
        <v>2177295</v>
      </c>
      <c r="I43" s="18">
        <f t="shared" si="7"/>
        <v>159073</v>
      </c>
      <c r="J43" s="18">
        <f t="shared" si="7"/>
        <v>1521739</v>
      </c>
      <c r="K43" s="18">
        <f t="shared" si="7"/>
        <v>147864</v>
      </c>
      <c r="L43" s="18">
        <f t="shared" si="7"/>
        <v>417</v>
      </c>
      <c r="M43" s="18">
        <f t="shared" si="7"/>
        <v>288149</v>
      </c>
      <c r="N43" s="18">
        <f t="shared" si="7"/>
        <v>461556</v>
      </c>
      <c r="O43" s="18">
        <f t="shared" si="7"/>
        <v>72614</v>
      </c>
    </row>
    <row r="44" spans="1:256" ht="12.75" customHeight="1">
      <c r="A44" s="13" t="s">
        <v>79</v>
      </c>
      <c r="B44" s="14" t="s">
        <v>80</v>
      </c>
      <c r="C44" s="15">
        <v>51370</v>
      </c>
      <c r="D44" s="15">
        <v>43662</v>
      </c>
      <c r="E44" s="15">
        <v>1641</v>
      </c>
      <c r="F44" s="15">
        <f>SUM(C44-D44-E44)</f>
        <v>6067</v>
      </c>
      <c r="G44" s="15">
        <v>188706</v>
      </c>
      <c r="H44" s="15">
        <v>107783</v>
      </c>
      <c r="I44" s="15">
        <v>5591</v>
      </c>
      <c r="J44" s="15">
        <f>SUM(G44-H44-I44)</f>
        <v>75332</v>
      </c>
      <c r="K44" s="15">
        <v>13366</v>
      </c>
      <c r="L44" s="15">
        <v>1953</v>
      </c>
      <c r="M44" s="15">
        <v>6872</v>
      </c>
      <c r="N44" s="15">
        <v>2140</v>
      </c>
      <c r="O44" s="15">
        <v>2140</v>
      </c>
    </row>
    <row r="45" spans="1:256" ht="12.75" customHeight="1">
      <c r="A45" s="13" t="s">
        <v>81</v>
      </c>
      <c r="B45" s="14" t="s">
        <v>82</v>
      </c>
      <c r="C45" s="15">
        <v>69827</v>
      </c>
      <c r="D45" s="15">
        <v>52887</v>
      </c>
      <c r="E45" s="15">
        <v>2495</v>
      </c>
      <c r="F45" s="15">
        <f>SUM(C45-D45-E45)</f>
        <v>14445</v>
      </c>
      <c r="G45" s="15">
        <v>298109</v>
      </c>
      <c r="H45" s="15">
        <v>123115</v>
      </c>
      <c r="I45" s="15">
        <v>9305</v>
      </c>
      <c r="J45" s="15">
        <f>SUM(G45-H45-I45)</f>
        <v>165689</v>
      </c>
      <c r="K45" s="15">
        <v>69559</v>
      </c>
      <c r="L45" s="15">
        <v>0</v>
      </c>
      <c r="M45" s="15">
        <v>34663</v>
      </c>
      <c r="N45" s="15">
        <v>138</v>
      </c>
      <c r="O45" s="15">
        <v>138</v>
      </c>
    </row>
    <row r="46" spans="1:256" ht="12.75" customHeight="1">
      <c r="A46" s="16"/>
      <c r="B46" s="17" t="s">
        <v>83</v>
      </c>
      <c r="C46" s="18">
        <f t="shared" ref="C46:O46" si="8">SUM(C44:C45)</f>
        <v>121197</v>
      </c>
      <c r="D46" s="18">
        <f t="shared" si="8"/>
        <v>96549</v>
      </c>
      <c r="E46" s="18">
        <f t="shared" si="8"/>
        <v>4136</v>
      </c>
      <c r="F46" s="18">
        <f t="shared" si="8"/>
        <v>20512</v>
      </c>
      <c r="G46" s="18">
        <f t="shared" si="8"/>
        <v>486815</v>
      </c>
      <c r="H46" s="18">
        <f t="shared" si="8"/>
        <v>230898</v>
      </c>
      <c r="I46" s="18">
        <f t="shared" si="8"/>
        <v>14896</v>
      </c>
      <c r="J46" s="18">
        <f t="shared" si="8"/>
        <v>241021</v>
      </c>
      <c r="K46" s="18">
        <f t="shared" si="8"/>
        <v>82925</v>
      </c>
      <c r="L46" s="18">
        <f t="shared" si="8"/>
        <v>1953</v>
      </c>
      <c r="M46" s="18">
        <f t="shared" si="8"/>
        <v>41535</v>
      </c>
      <c r="N46" s="18">
        <f t="shared" si="8"/>
        <v>2278</v>
      </c>
      <c r="O46" s="18">
        <f t="shared" si="8"/>
        <v>2278</v>
      </c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</row>
    <row r="47" spans="1:256" ht="13.5" customHeight="1">
      <c r="A47" s="13" t="s">
        <v>84</v>
      </c>
      <c r="B47" s="14" t="s">
        <v>85</v>
      </c>
      <c r="C47" s="15">
        <v>12313</v>
      </c>
      <c r="D47" s="15">
        <v>10698</v>
      </c>
      <c r="E47" s="15">
        <v>0</v>
      </c>
      <c r="F47" s="15">
        <f>SUM(C47-D47-E47)</f>
        <v>1615</v>
      </c>
      <c r="G47" s="15">
        <v>12936</v>
      </c>
      <c r="H47" s="15">
        <v>9911</v>
      </c>
      <c r="I47" s="15">
        <v>0</v>
      </c>
      <c r="J47" s="15">
        <f>SUM(G47-H47-I47)</f>
        <v>3025</v>
      </c>
      <c r="K47" s="15">
        <v>2</v>
      </c>
      <c r="L47" s="15">
        <v>0</v>
      </c>
      <c r="M47" s="15">
        <v>153</v>
      </c>
      <c r="N47" s="15">
        <v>0</v>
      </c>
      <c r="O47" s="15">
        <v>0</v>
      </c>
    </row>
    <row r="48" spans="1:256" ht="12.75" customHeight="1">
      <c r="A48" s="13" t="s">
        <v>86</v>
      </c>
      <c r="B48" s="14" t="s">
        <v>87</v>
      </c>
      <c r="C48" s="15">
        <v>35911</v>
      </c>
      <c r="D48" s="15">
        <v>28454</v>
      </c>
      <c r="E48" s="15">
        <v>205</v>
      </c>
      <c r="F48" s="15">
        <f>SUM(C48-D48-E48)</f>
        <v>7252</v>
      </c>
      <c r="G48" s="15">
        <v>67710</v>
      </c>
      <c r="H48" s="15">
        <v>52138</v>
      </c>
      <c r="I48" s="15">
        <v>698</v>
      </c>
      <c r="J48" s="15">
        <f>SUM(G48-H48-I48)</f>
        <v>14874</v>
      </c>
      <c r="K48" s="15">
        <v>129</v>
      </c>
      <c r="L48" s="15">
        <v>0</v>
      </c>
      <c r="M48" s="15">
        <v>2035</v>
      </c>
      <c r="N48" s="15">
        <v>449</v>
      </c>
      <c r="O48" s="15">
        <v>449</v>
      </c>
    </row>
    <row r="49" spans="1:15" ht="12.75" customHeight="1">
      <c r="A49" s="13" t="s">
        <v>88</v>
      </c>
      <c r="B49" s="14" t="s">
        <v>89</v>
      </c>
      <c r="C49" s="15">
        <v>12259</v>
      </c>
      <c r="D49" s="15">
        <v>11185</v>
      </c>
      <c r="E49" s="15">
        <v>672</v>
      </c>
      <c r="F49" s="15">
        <f>SUM(C49-D49-E49)</f>
        <v>402</v>
      </c>
      <c r="G49" s="15">
        <v>19644</v>
      </c>
      <c r="H49" s="15">
        <v>12858</v>
      </c>
      <c r="I49" s="15">
        <v>1780</v>
      </c>
      <c r="J49" s="15">
        <f>SUM(G49-H49-I49)</f>
        <v>5006</v>
      </c>
      <c r="K49" s="15">
        <v>3643</v>
      </c>
      <c r="L49" s="15">
        <v>831</v>
      </c>
      <c r="M49" s="15">
        <v>0</v>
      </c>
      <c r="N49" s="15">
        <v>83</v>
      </c>
      <c r="O49" s="15">
        <v>0</v>
      </c>
    </row>
    <row r="50" spans="1:15" ht="12.75" customHeight="1">
      <c r="A50" s="13" t="s">
        <v>90</v>
      </c>
      <c r="B50" s="14" t="s">
        <v>91</v>
      </c>
      <c r="C50" s="15">
        <v>113093</v>
      </c>
      <c r="D50" s="15">
        <v>108790</v>
      </c>
      <c r="E50" s="15">
        <v>1488</v>
      </c>
      <c r="F50" s="15">
        <f>SUM(C50-D50-E50)</f>
        <v>2815</v>
      </c>
      <c r="G50" s="15">
        <v>255453</v>
      </c>
      <c r="H50" s="15">
        <v>183094</v>
      </c>
      <c r="I50" s="15">
        <v>5504</v>
      </c>
      <c r="J50" s="15">
        <f>SUM(G50-H50-I50)</f>
        <v>66855</v>
      </c>
      <c r="K50" s="15">
        <v>30789</v>
      </c>
      <c r="L50" s="15">
        <v>0</v>
      </c>
      <c r="M50" s="15">
        <v>19777</v>
      </c>
      <c r="N50" s="15">
        <v>7084</v>
      </c>
      <c r="O50" s="15">
        <v>6579</v>
      </c>
    </row>
    <row r="51" spans="1:15" ht="12.75" customHeight="1">
      <c r="A51" s="16"/>
      <c r="B51" s="17" t="s">
        <v>92</v>
      </c>
      <c r="C51" s="18">
        <f t="shared" ref="C51:O51" si="9">SUM(C47:C50)</f>
        <v>173576</v>
      </c>
      <c r="D51" s="18">
        <f t="shared" si="9"/>
        <v>159127</v>
      </c>
      <c r="E51" s="18">
        <f t="shared" si="9"/>
        <v>2365</v>
      </c>
      <c r="F51" s="18">
        <f t="shared" si="9"/>
        <v>12084</v>
      </c>
      <c r="G51" s="18">
        <f t="shared" si="9"/>
        <v>355743</v>
      </c>
      <c r="H51" s="18">
        <f t="shared" si="9"/>
        <v>258001</v>
      </c>
      <c r="I51" s="18">
        <f t="shared" si="9"/>
        <v>7982</v>
      </c>
      <c r="J51" s="18">
        <f t="shared" si="9"/>
        <v>89760</v>
      </c>
      <c r="K51" s="18">
        <f t="shared" si="9"/>
        <v>34563</v>
      </c>
      <c r="L51" s="18">
        <f t="shared" si="9"/>
        <v>831</v>
      </c>
      <c r="M51" s="18">
        <f t="shared" si="9"/>
        <v>21965</v>
      </c>
      <c r="N51" s="18">
        <f t="shared" si="9"/>
        <v>7616</v>
      </c>
      <c r="O51" s="18">
        <f t="shared" si="9"/>
        <v>7028</v>
      </c>
    </row>
    <row r="52" spans="1:15" ht="12.75" customHeight="1">
      <c r="A52" s="13" t="s">
        <v>93</v>
      </c>
      <c r="B52" s="14" t="s">
        <v>94</v>
      </c>
      <c r="C52" s="15">
        <v>19959</v>
      </c>
      <c r="D52" s="15">
        <v>14792</v>
      </c>
      <c r="E52" s="15">
        <v>111</v>
      </c>
      <c r="F52" s="15">
        <f t="shared" ref="F52:F58" si="10">SUM(C52-D52-E52)</f>
        <v>5056</v>
      </c>
      <c r="G52" s="15">
        <v>65805</v>
      </c>
      <c r="H52" s="15">
        <v>35607</v>
      </c>
      <c r="I52" s="15">
        <v>365</v>
      </c>
      <c r="J52" s="15">
        <f t="shared" ref="J52:J58" si="11">SUM(G52-H52-I52)</f>
        <v>29833</v>
      </c>
      <c r="K52" s="15">
        <v>21954</v>
      </c>
      <c r="L52" s="15">
        <v>9</v>
      </c>
      <c r="M52" s="15">
        <v>759</v>
      </c>
      <c r="N52" s="15">
        <v>795</v>
      </c>
      <c r="O52" s="15">
        <v>795</v>
      </c>
    </row>
    <row r="53" spans="1:15" ht="12.75" customHeight="1">
      <c r="A53" s="13" t="s">
        <v>95</v>
      </c>
      <c r="B53" s="14" t="s">
        <v>96</v>
      </c>
      <c r="C53" s="15">
        <v>103071</v>
      </c>
      <c r="D53" s="15">
        <v>73985</v>
      </c>
      <c r="E53" s="15">
        <v>1925</v>
      </c>
      <c r="F53" s="15">
        <f t="shared" si="10"/>
        <v>27161</v>
      </c>
      <c r="G53" s="15">
        <v>330733</v>
      </c>
      <c r="H53" s="15">
        <v>198737</v>
      </c>
      <c r="I53" s="15">
        <v>11186</v>
      </c>
      <c r="J53" s="15">
        <f t="shared" si="11"/>
        <v>120810</v>
      </c>
      <c r="K53" s="15">
        <v>9897</v>
      </c>
      <c r="L53" s="15">
        <v>47</v>
      </c>
      <c r="M53" s="15">
        <v>18748</v>
      </c>
      <c r="N53" s="15">
        <v>3872</v>
      </c>
      <c r="O53" s="15">
        <v>3872</v>
      </c>
    </row>
    <row r="54" spans="1:15" ht="12.75" customHeight="1">
      <c r="A54" s="13" t="s">
        <v>97</v>
      </c>
      <c r="B54" s="14" t="s">
        <v>98</v>
      </c>
      <c r="C54" s="15">
        <v>18260</v>
      </c>
      <c r="D54" s="15">
        <v>10284</v>
      </c>
      <c r="E54" s="15">
        <v>577</v>
      </c>
      <c r="F54" s="15">
        <f t="shared" si="10"/>
        <v>7399</v>
      </c>
      <c r="G54" s="15">
        <v>63236</v>
      </c>
      <c r="H54" s="15">
        <v>34553</v>
      </c>
      <c r="I54" s="15">
        <v>4132</v>
      </c>
      <c r="J54" s="15">
        <f t="shared" si="11"/>
        <v>24551</v>
      </c>
      <c r="K54" s="15">
        <v>750</v>
      </c>
      <c r="L54" s="15">
        <v>0</v>
      </c>
      <c r="M54" s="15">
        <v>9960</v>
      </c>
      <c r="N54" s="15">
        <v>0</v>
      </c>
      <c r="O54" s="15">
        <v>0</v>
      </c>
    </row>
    <row r="55" spans="1:15" ht="12.75" customHeight="1">
      <c r="A55" s="13" t="s">
        <v>99</v>
      </c>
      <c r="B55" s="14" t="s">
        <v>100</v>
      </c>
      <c r="C55" s="15">
        <v>78906</v>
      </c>
      <c r="D55" s="15">
        <v>51971</v>
      </c>
      <c r="E55" s="15">
        <v>1484</v>
      </c>
      <c r="F55" s="15">
        <f t="shared" si="10"/>
        <v>25451</v>
      </c>
      <c r="G55" s="15">
        <v>285001</v>
      </c>
      <c r="H55" s="15">
        <v>133349</v>
      </c>
      <c r="I55" s="15">
        <v>5591</v>
      </c>
      <c r="J55" s="15">
        <f t="shared" si="11"/>
        <v>146061</v>
      </c>
      <c r="K55" s="15">
        <v>30990</v>
      </c>
      <c r="L55" s="15">
        <v>21</v>
      </c>
      <c r="M55" s="15">
        <v>20038</v>
      </c>
      <c r="N55" s="15">
        <v>18491</v>
      </c>
      <c r="O55" s="15">
        <v>18490</v>
      </c>
    </row>
    <row r="56" spans="1:15" ht="12.75" customHeight="1">
      <c r="A56" s="13" t="s">
        <v>101</v>
      </c>
      <c r="B56" s="14" t="s">
        <v>102</v>
      </c>
      <c r="C56" s="15">
        <v>103470</v>
      </c>
      <c r="D56" s="15">
        <v>49327</v>
      </c>
      <c r="E56" s="15">
        <v>5042</v>
      </c>
      <c r="F56" s="15">
        <f t="shared" si="10"/>
        <v>49101</v>
      </c>
      <c r="G56" s="15">
        <v>365184</v>
      </c>
      <c r="H56" s="15">
        <v>119415</v>
      </c>
      <c r="I56" s="15">
        <v>24937</v>
      </c>
      <c r="J56" s="15">
        <f t="shared" si="11"/>
        <v>220832</v>
      </c>
      <c r="K56" s="15">
        <v>19399</v>
      </c>
      <c r="L56" s="15">
        <v>216</v>
      </c>
      <c r="M56" s="15">
        <v>40739</v>
      </c>
      <c r="N56" s="15">
        <v>77544</v>
      </c>
      <c r="O56" s="15">
        <v>3885</v>
      </c>
    </row>
    <row r="57" spans="1:15" ht="12.75" customHeight="1">
      <c r="A57" s="13" t="s">
        <v>103</v>
      </c>
      <c r="B57" s="14" t="s">
        <v>104</v>
      </c>
      <c r="C57" s="15">
        <v>101896</v>
      </c>
      <c r="D57" s="15">
        <v>58523</v>
      </c>
      <c r="E57" s="15">
        <v>5029</v>
      </c>
      <c r="F57" s="15">
        <f t="shared" si="10"/>
        <v>38344</v>
      </c>
      <c r="G57" s="15">
        <v>393948</v>
      </c>
      <c r="H57" s="15">
        <v>178542</v>
      </c>
      <c r="I57" s="15">
        <v>22254</v>
      </c>
      <c r="J57" s="15">
        <f t="shared" si="11"/>
        <v>193152</v>
      </c>
      <c r="K57" s="15">
        <v>5879</v>
      </c>
      <c r="L57" s="15">
        <v>0</v>
      </c>
      <c r="M57" s="15">
        <v>38595</v>
      </c>
      <c r="N57" s="15">
        <v>387</v>
      </c>
      <c r="O57" s="15">
        <v>387</v>
      </c>
    </row>
    <row r="58" spans="1:15" ht="12.75" customHeight="1">
      <c r="A58" s="13" t="s">
        <v>105</v>
      </c>
      <c r="B58" s="14" t="s">
        <v>106</v>
      </c>
      <c r="C58" s="15">
        <v>107937</v>
      </c>
      <c r="D58" s="15">
        <v>60190</v>
      </c>
      <c r="E58" s="15">
        <v>1558</v>
      </c>
      <c r="F58" s="15">
        <f t="shared" si="10"/>
        <v>46189</v>
      </c>
      <c r="G58" s="15">
        <v>375436</v>
      </c>
      <c r="H58" s="15">
        <v>150448</v>
      </c>
      <c r="I58" s="15">
        <v>7560</v>
      </c>
      <c r="J58" s="15">
        <f t="shared" si="11"/>
        <v>217428</v>
      </c>
      <c r="K58" s="15">
        <v>13766</v>
      </c>
      <c r="L58" s="15">
        <v>267</v>
      </c>
      <c r="M58" s="15">
        <v>20882</v>
      </c>
      <c r="N58" s="15">
        <v>31353</v>
      </c>
      <c r="O58" s="15">
        <v>31353</v>
      </c>
    </row>
    <row r="59" spans="1:15" ht="12.75" customHeight="1">
      <c r="A59" s="16"/>
      <c r="B59" s="17" t="s">
        <v>107</v>
      </c>
      <c r="C59" s="18">
        <f t="shared" ref="C59:O59" si="12">SUM(C52:C58)</f>
        <v>533499</v>
      </c>
      <c r="D59" s="18">
        <f t="shared" si="12"/>
        <v>319072</v>
      </c>
      <c r="E59" s="18">
        <f t="shared" si="12"/>
        <v>15726</v>
      </c>
      <c r="F59" s="18">
        <f t="shared" si="12"/>
        <v>198701</v>
      </c>
      <c r="G59" s="18">
        <f t="shared" si="12"/>
        <v>1879343</v>
      </c>
      <c r="H59" s="18">
        <f t="shared" si="12"/>
        <v>850651</v>
      </c>
      <c r="I59" s="18">
        <f t="shared" si="12"/>
        <v>76025</v>
      </c>
      <c r="J59" s="18">
        <f t="shared" si="12"/>
        <v>952667</v>
      </c>
      <c r="K59" s="18">
        <f t="shared" si="12"/>
        <v>102635</v>
      </c>
      <c r="L59" s="18">
        <f t="shared" si="12"/>
        <v>560</v>
      </c>
      <c r="M59" s="18">
        <f t="shared" si="12"/>
        <v>149721</v>
      </c>
      <c r="N59" s="18">
        <f t="shared" si="12"/>
        <v>132442</v>
      </c>
      <c r="O59" s="18">
        <f t="shared" si="12"/>
        <v>58782</v>
      </c>
    </row>
    <row r="60" spans="1:15" ht="12.75" customHeight="1">
      <c r="A60" s="13" t="s">
        <v>108</v>
      </c>
      <c r="B60" s="14" t="s">
        <v>109</v>
      </c>
      <c r="C60" s="15">
        <v>112945</v>
      </c>
      <c r="D60" s="15">
        <v>79927</v>
      </c>
      <c r="E60" s="15">
        <v>8574</v>
      </c>
      <c r="F60" s="15">
        <f t="shared" ref="F60:F68" si="13">SUM(C60-D60-E60)</f>
        <v>24444</v>
      </c>
      <c r="G60" s="15">
        <v>359877</v>
      </c>
      <c r="H60" s="15">
        <v>204314</v>
      </c>
      <c r="I60" s="15">
        <v>45014</v>
      </c>
      <c r="J60" s="15">
        <f t="shared" ref="J60:J68" si="14">SUM(G60-H60-I60)</f>
        <v>110549</v>
      </c>
      <c r="K60" s="15">
        <v>4608</v>
      </c>
      <c r="L60" s="15">
        <v>0</v>
      </c>
      <c r="M60" s="15">
        <v>17888</v>
      </c>
      <c r="N60" s="15">
        <v>2317</v>
      </c>
      <c r="O60" s="15">
        <v>2317</v>
      </c>
    </row>
    <row r="61" spans="1:15" ht="12.75" customHeight="1">
      <c r="A61" s="13" t="s">
        <v>110</v>
      </c>
      <c r="B61" s="14" t="s">
        <v>111</v>
      </c>
      <c r="C61" s="15">
        <v>33232</v>
      </c>
      <c r="D61" s="15">
        <v>22804</v>
      </c>
      <c r="E61" s="15">
        <v>715</v>
      </c>
      <c r="F61" s="15">
        <f t="shared" si="13"/>
        <v>9713</v>
      </c>
      <c r="G61" s="15">
        <v>95806</v>
      </c>
      <c r="H61" s="15">
        <v>59954</v>
      </c>
      <c r="I61" s="15">
        <v>3836</v>
      </c>
      <c r="J61" s="15">
        <f t="shared" si="14"/>
        <v>32016</v>
      </c>
      <c r="K61" s="15">
        <v>192</v>
      </c>
      <c r="L61" s="15">
        <v>0</v>
      </c>
      <c r="M61" s="15">
        <v>16184</v>
      </c>
      <c r="N61" s="15">
        <v>61</v>
      </c>
      <c r="O61" s="15">
        <v>61</v>
      </c>
    </row>
    <row r="62" spans="1:15" ht="12.75" customHeight="1">
      <c r="A62" s="13" t="s">
        <v>112</v>
      </c>
      <c r="B62" s="14" t="s">
        <v>113</v>
      </c>
      <c r="C62" s="15">
        <v>56499</v>
      </c>
      <c r="D62" s="15">
        <v>27706</v>
      </c>
      <c r="E62" s="15">
        <v>2499</v>
      </c>
      <c r="F62" s="15">
        <f t="shared" si="13"/>
        <v>26294</v>
      </c>
      <c r="G62" s="15">
        <v>259863</v>
      </c>
      <c r="H62" s="15">
        <v>76979</v>
      </c>
      <c r="I62" s="15">
        <v>13904</v>
      </c>
      <c r="J62" s="15">
        <f t="shared" si="14"/>
        <v>168980</v>
      </c>
      <c r="K62" s="15">
        <v>4334</v>
      </c>
      <c r="L62" s="15">
        <v>299</v>
      </c>
      <c r="M62" s="15">
        <v>20803</v>
      </c>
      <c r="N62" s="15">
        <v>3796</v>
      </c>
      <c r="O62" s="15">
        <v>3796</v>
      </c>
    </row>
    <row r="63" spans="1:15" ht="12.75" customHeight="1">
      <c r="A63" s="13" t="s">
        <v>114</v>
      </c>
      <c r="B63" s="14" t="s">
        <v>115</v>
      </c>
      <c r="C63" s="15">
        <v>78180</v>
      </c>
      <c r="D63" s="15">
        <v>46913</v>
      </c>
      <c r="E63" s="15">
        <v>4017</v>
      </c>
      <c r="F63" s="15">
        <f t="shared" si="13"/>
        <v>27250</v>
      </c>
      <c r="G63" s="15">
        <v>259870</v>
      </c>
      <c r="H63" s="15">
        <v>140882</v>
      </c>
      <c r="I63" s="15">
        <v>26432</v>
      </c>
      <c r="J63" s="15">
        <f t="shared" si="14"/>
        <v>92556</v>
      </c>
      <c r="K63" s="15">
        <v>1764</v>
      </c>
      <c r="L63" s="15">
        <v>0</v>
      </c>
      <c r="M63" s="15">
        <v>20278</v>
      </c>
      <c r="N63" s="15">
        <v>1032</v>
      </c>
      <c r="O63" s="15">
        <v>1032</v>
      </c>
    </row>
    <row r="64" spans="1:15" ht="12.75" customHeight="1">
      <c r="A64" s="13" t="s">
        <v>116</v>
      </c>
      <c r="B64" s="14" t="s">
        <v>117</v>
      </c>
      <c r="C64" s="15">
        <v>73641</v>
      </c>
      <c r="D64" s="15">
        <v>35785</v>
      </c>
      <c r="E64" s="15">
        <v>4803</v>
      </c>
      <c r="F64" s="15">
        <f t="shared" si="13"/>
        <v>33053</v>
      </c>
      <c r="G64" s="15">
        <v>272825</v>
      </c>
      <c r="H64" s="15">
        <v>108856</v>
      </c>
      <c r="I64" s="15">
        <v>22290</v>
      </c>
      <c r="J64" s="15">
        <f t="shared" si="14"/>
        <v>141679</v>
      </c>
      <c r="K64" s="15">
        <v>1029</v>
      </c>
      <c r="L64" s="15">
        <v>22</v>
      </c>
      <c r="M64" s="15">
        <v>11518</v>
      </c>
      <c r="N64" s="15">
        <v>1507</v>
      </c>
      <c r="O64" s="15">
        <v>1507</v>
      </c>
    </row>
    <row r="65" spans="1:15" ht="12.75" customHeight="1">
      <c r="A65" s="13" t="s">
        <v>118</v>
      </c>
      <c r="B65" s="14" t="s">
        <v>119</v>
      </c>
      <c r="C65" s="15">
        <v>34403</v>
      </c>
      <c r="D65" s="15">
        <v>23541</v>
      </c>
      <c r="E65" s="15">
        <v>3370</v>
      </c>
      <c r="F65" s="15">
        <f t="shared" si="13"/>
        <v>7492</v>
      </c>
      <c r="G65" s="15">
        <v>186734</v>
      </c>
      <c r="H65" s="15">
        <v>70620</v>
      </c>
      <c r="I65" s="15">
        <v>19466</v>
      </c>
      <c r="J65" s="15">
        <f t="shared" si="14"/>
        <v>96648</v>
      </c>
      <c r="K65" s="15">
        <v>8651</v>
      </c>
      <c r="L65" s="15">
        <v>0</v>
      </c>
      <c r="M65" s="15">
        <v>28681</v>
      </c>
      <c r="N65" s="15">
        <v>5451</v>
      </c>
      <c r="O65" s="15">
        <v>5451</v>
      </c>
    </row>
    <row r="66" spans="1:15" ht="12.75" customHeight="1">
      <c r="A66" s="13" t="s">
        <v>120</v>
      </c>
      <c r="B66" s="14" t="s">
        <v>121</v>
      </c>
      <c r="C66" s="15">
        <v>69314</v>
      </c>
      <c r="D66" s="15">
        <v>25185</v>
      </c>
      <c r="E66" s="15">
        <v>1405</v>
      </c>
      <c r="F66" s="15">
        <f t="shared" si="13"/>
        <v>42724</v>
      </c>
      <c r="G66" s="15">
        <v>341702</v>
      </c>
      <c r="H66" s="15">
        <v>74782</v>
      </c>
      <c r="I66" s="15">
        <v>7032</v>
      </c>
      <c r="J66" s="15">
        <f t="shared" si="14"/>
        <v>259888</v>
      </c>
      <c r="K66" s="15">
        <v>31295</v>
      </c>
      <c r="L66" s="15">
        <v>195</v>
      </c>
      <c r="M66" s="15">
        <v>70993</v>
      </c>
      <c r="N66" s="15">
        <v>611</v>
      </c>
      <c r="O66" s="15">
        <v>611</v>
      </c>
    </row>
    <row r="67" spans="1:15" ht="12.75" customHeight="1">
      <c r="A67" s="13" t="s">
        <v>122</v>
      </c>
      <c r="B67" s="14" t="s">
        <v>123</v>
      </c>
      <c r="C67" s="15">
        <v>99776</v>
      </c>
      <c r="D67" s="15">
        <v>26111</v>
      </c>
      <c r="E67" s="15">
        <v>0</v>
      </c>
      <c r="F67" s="15">
        <f t="shared" si="13"/>
        <v>73665</v>
      </c>
      <c r="G67" s="15">
        <v>407289</v>
      </c>
      <c r="H67" s="15">
        <v>74011</v>
      </c>
      <c r="I67" s="15">
        <v>0</v>
      </c>
      <c r="J67" s="15">
        <f t="shared" si="14"/>
        <v>333278</v>
      </c>
      <c r="K67" s="15">
        <v>25421</v>
      </c>
      <c r="L67" s="15">
        <v>0</v>
      </c>
      <c r="M67" s="15">
        <v>101050</v>
      </c>
      <c r="N67" s="15">
        <v>1220</v>
      </c>
      <c r="O67" s="15">
        <v>1220</v>
      </c>
    </row>
    <row r="68" spans="1:15" ht="12.75" customHeight="1">
      <c r="A68" s="13" t="s">
        <v>124</v>
      </c>
      <c r="B68" s="14" t="s">
        <v>125</v>
      </c>
      <c r="C68" s="15">
        <v>75187</v>
      </c>
      <c r="D68" s="15">
        <v>34570</v>
      </c>
      <c r="E68" s="15">
        <v>1172</v>
      </c>
      <c r="F68" s="15">
        <f t="shared" si="13"/>
        <v>39445</v>
      </c>
      <c r="G68" s="15">
        <v>181207</v>
      </c>
      <c r="H68" s="15">
        <v>81474</v>
      </c>
      <c r="I68" s="15">
        <v>7972</v>
      </c>
      <c r="J68" s="15">
        <f t="shared" si="14"/>
        <v>91761</v>
      </c>
      <c r="K68" s="15">
        <v>777</v>
      </c>
      <c r="L68" s="15">
        <v>439</v>
      </c>
      <c r="M68" s="15">
        <v>5956</v>
      </c>
      <c r="N68" s="15">
        <v>0</v>
      </c>
      <c r="O68" s="15">
        <v>0</v>
      </c>
    </row>
    <row r="69" spans="1:15" ht="12.75" customHeight="1">
      <c r="A69" s="16"/>
      <c r="B69" s="17" t="s">
        <v>126</v>
      </c>
      <c r="C69" s="18">
        <f t="shared" ref="C69:O69" si="15">SUM(C60:C68)</f>
        <v>633177</v>
      </c>
      <c r="D69" s="18">
        <f t="shared" si="15"/>
        <v>322542</v>
      </c>
      <c r="E69" s="18">
        <f t="shared" si="15"/>
        <v>26555</v>
      </c>
      <c r="F69" s="18">
        <f t="shared" si="15"/>
        <v>284080</v>
      </c>
      <c r="G69" s="18">
        <f t="shared" si="15"/>
        <v>2365173</v>
      </c>
      <c r="H69" s="18">
        <f t="shared" si="15"/>
        <v>891872</v>
      </c>
      <c r="I69" s="18">
        <f t="shared" si="15"/>
        <v>145946</v>
      </c>
      <c r="J69" s="18">
        <f t="shared" si="15"/>
        <v>1327355</v>
      </c>
      <c r="K69" s="18">
        <f t="shared" si="15"/>
        <v>78071</v>
      </c>
      <c r="L69" s="18">
        <f t="shared" si="15"/>
        <v>955</v>
      </c>
      <c r="M69" s="18">
        <f t="shared" si="15"/>
        <v>293351</v>
      </c>
      <c r="N69" s="18">
        <f t="shared" si="15"/>
        <v>15995</v>
      </c>
      <c r="O69" s="18">
        <f t="shared" si="15"/>
        <v>15995</v>
      </c>
    </row>
    <row r="70" spans="1:15" ht="12.75" customHeight="1">
      <c r="A70" s="13" t="s">
        <v>127</v>
      </c>
      <c r="B70" s="14" t="s">
        <v>128</v>
      </c>
      <c r="C70" s="15">
        <v>36913</v>
      </c>
      <c r="D70" s="15">
        <v>25776</v>
      </c>
      <c r="E70" s="15">
        <v>2910</v>
      </c>
      <c r="F70" s="15">
        <f t="shared" ref="F70:F79" si="16">SUM(C70-D70-E70)</f>
        <v>8227</v>
      </c>
      <c r="G70" s="15">
        <v>134488</v>
      </c>
      <c r="H70" s="15">
        <v>71237</v>
      </c>
      <c r="I70" s="15">
        <v>20239</v>
      </c>
      <c r="J70" s="15">
        <f t="shared" ref="J70:J79" si="17">SUM(G70-H70-I70)</f>
        <v>43012</v>
      </c>
      <c r="K70" s="15">
        <v>3728</v>
      </c>
      <c r="L70" s="15">
        <v>33</v>
      </c>
      <c r="M70" s="15">
        <v>9886</v>
      </c>
      <c r="N70" s="15">
        <v>196</v>
      </c>
      <c r="O70" s="15">
        <v>196</v>
      </c>
    </row>
    <row r="71" spans="1:15" ht="12.75" customHeight="1">
      <c r="A71" s="13" t="s">
        <v>129</v>
      </c>
      <c r="B71" s="14" t="s">
        <v>130</v>
      </c>
      <c r="C71" s="15">
        <v>142993</v>
      </c>
      <c r="D71" s="15">
        <v>92041</v>
      </c>
      <c r="E71" s="15">
        <v>5551</v>
      </c>
      <c r="F71" s="15">
        <f t="shared" si="16"/>
        <v>45401</v>
      </c>
      <c r="G71" s="15">
        <v>359550</v>
      </c>
      <c r="H71" s="15">
        <v>168633</v>
      </c>
      <c r="I71" s="15">
        <v>26588</v>
      </c>
      <c r="J71" s="15">
        <f t="shared" si="17"/>
        <v>164329</v>
      </c>
      <c r="K71" s="15">
        <v>14027</v>
      </c>
      <c r="L71" s="15">
        <v>0</v>
      </c>
      <c r="M71" s="15">
        <v>12062</v>
      </c>
      <c r="N71" s="15">
        <v>37376</v>
      </c>
      <c r="O71" s="15">
        <v>37376</v>
      </c>
    </row>
    <row r="72" spans="1:15" ht="12.75" customHeight="1">
      <c r="A72" s="13" t="s">
        <v>131</v>
      </c>
      <c r="B72" s="14" t="s">
        <v>132</v>
      </c>
      <c r="C72" s="15">
        <v>29282</v>
      </c>
      <c r="D72" s="15">
        <v>19304</v>
      </c>
      <c r="E72" s="15">
        <v>0</v>
      </c>
      <c r="F72" s="15">
        <f t="shared" si="16"/>
        <v>9978</v>
      </c>
      <c r="G72" s="15">
        <v>93677</v>
      </c>
      <c r="H72" s="15">
        <v>50332</v>
      </c>
      <c r="I72" s="15">
        <v>0</v>
      </c>
      <c r="J72" s="15">
        <f t="shared" si="17"/>
        <v>43345</v>
      </c>
      <c r="K72" s="15">
        <v>5554</v>
      </c>
      <c r="L72" s="15">
        <v>1349</v>
      </c>
      <c r="M72" s="15">
        <v>22497</v>
      </c>
      <c r="N72" s="15">
        <v>518</v>
      </c>
      <c r="O72" s="15">
        <v>518</v>
      </c>
    </row>
    <row r="73" spans="1:15" ht="12.75" customHeight="1">
      <c r="A73" s="13" t="s">
        <v>133</v>
      </c>
      <c r="B73" s="14" t="s">
        <v>134</v>
      </c>
      <c r="C73" s="15">
        <v>67502</v>
      </c>
      <c r="D73" s="15">
        <v>48119</v>
      </c>
      <c r="E73" s="15">
        <v>608</v>
      </c>
      <c r="F73" s="15">
        <f t="shared" si="16"/>
        <v>18775</v>
      </c>
      <c r="G73" s="15">
        <v>192062</v>
      </c>
      <c r="H73" s="15">
        <v>113487</v>
      </c>
      <c r="I73" s="15">
        <v>1739</v>
      </c>
      <c r="J73" s="15">
        <f t="shared" si="17"/>
        <v>76836</v>
      </c>
      <c r="K73" s="15">
        <v>10132</v>
      </c>
      <c r="L73" s="15">
        <v>36</v>
      </c>
      <c r="M73" s="15">
        <v>8617</v>
      </c>
      <c r="N73" s="15">
        <v>59125</v>
      </c>
      <c r="O73" s="15">
        <v>59125</v>
      </c>
    </row>
    <row r="74" spans="1:15" ht="12.75" customHeight="1">
      <c r="A74" s="13" t="s">
        <v>135</v>
      </c>
      <c r="B74" s="14" t="s">
        <v>136</v>
      </c>
      <c r="C74" s="15">
        <v>58744</v>
      </c>
      <c r="D74" s="15">
        <v>42342</v>
      </c>
      <c r="E74" s="15">
        <v>1964</v>
      </c>
      <c r="F74" s="15">
        <f t="shared" si="16"/>
        <v>14438</v>
      </c>
      <c r="G74" s="15">
        <v>134522</v>
      </c>
      <c r="H74" s="15">
        <v>76606</v>
      </c>
      <c r="I74" s="15">
        <v>8031</v>
      </c>
      <c r="J74" s="15">
        <f t="shared" si="17"/>
        <v>49885</v>
      </c>
      <c r="K74" s="15">
        <v>5939</v>
      </c>
      <c r="L74" s="15">
        <v>0</v>
      </c>
      <c r="M74" s="15">
        <v>2697</v>
      </c>
      <c r="N74" s="15">
        <v>3729</v>
      </c>
      <c r="O74" s="15">
        <v>3729</v>
      </c>
    </row>
    <row r="75" spans="1:15" ht="12.75" customHeight="1">
      <c r="A75" s="13" t="s">
        <v>137</v>
      </c>
      <c r="B75" s="14" t="s">
        <v>138</v>
      </c>
      <c r="C75" s="15">
        <v>24829</v>
      </c>
      <c r="D75" s="15">
        <v>22435</v>
      </c>
      <c r="E75" s="15">
        <v>541</v>
      </c>
      <c r="F75" s="15">
        <f t="shared" si="16"/>
        <v>1853</v>
      </c>
      <c r="G75" s="15">
        <v>49876</v>
      </c>
      <c r="H75" s="15">
        <v>39758</v>
      </c>
      <c r="I75" s="15">
        <v>3319</v>
      </c>
      <c r="J75" s="15">
        <f t="shared" si="17"/>
        <v>6799</v>
      </c>
      <c r="K75" s="15">
        <v>679</v>
      </c>
      <c r="L75" s="15">
        <v>6</v>
      </c>
      <c r="M75" s="15">
        <v>203</v>
      </c>
      <c r="N75" s="15">
        <v>0</v>
      </c>
      <c r="O75" s="15">
        <v>0</v>
      </c>
    </row>
    <row r="76" spans="1:15" ht="12.75" customHeight="1">
      <c r="A76" s="13" t="s">
        <v>139</v>
      </c>
      <c r="B76" s="14" t="s">
        <v>140</v>
      </c>
      <c r="C76" s="15">
        <v>55258</v>
      </c>
      <c r="D76" s="15">
        <v>38742</v>
      </c>
      <c r="E76" s="15">
        <v>916</v>
      </c>
      <c r="F76" s="15">
        <f t="shared" si="16"/>
        <v>15600</v>
      </c>
      <c r="G76" s="15">
        <v>155904</v>
      </c>
      <c r="H76" s="15">
        <v>94647</v>
      </c>
      <c r="I76" s="15">
        <v>3521</v>
      </c>
      <c r="J76" s="15">
        <f t="shared" si="17"/>
        <v>57736</v>
      </c>
      <c r="K76" s="15">
        <v>3024</v>
      </c>
      <c r="L76" s="15">
        <v>439</v>
      </c>
      <c r="M76" s="15">
        <v>5816</v>
      </c>
      <c r="N76" s="15">
        <v>1366</v>
      </c>
      <c r="O76" s="15">
        <v>1366</v>
      </c>
    </row>
    <row r="77" spans="1:15" ht="12.75" customHeight="1">
      <c r="A77" s="13" t="s">
        <v>141</v>
      </c>
      <c r="B77" s="14" t="s">
        <v>142</v>
      </c>
      <c r="C77" s="15">
        <v>46717</v>
      </c>
      <c r="D77" s="15">
        <v>27042</v>
      </c>
      <c r="E77" s="15">
        <v>722</v>
      </c>
      <c r="F77" s="15">
        <f t="shared" si="16"/>
        <v>18953</v>
      </c>
      <c r="G77" s="15">
        <v>107256</v>
      </c>
      <c r="H77" s="15">
        <v>54904</v>
      </c>
      <c r="I77" s="15">
        <v>2684</v>
      </c>
      <c r="J77" s="15">
        <f t="shared" si="17"/>
        <v>49668</v>
      </c>
      <c r="K77" s="15">
        <v>7963</v>
      </c>
      <c r="L77" s="15">
        <v>0</v>
      </c>
      <c r="M77" s="15">
        <v>6678</v>
      </c>
      <c r="N77" s="15">
        <v>911</v>
      </c>
      <c r="O77" s="15">
        <v>911</v>
      </c>
    </row>
    <row r="78" spans="1:15" ht="12.75" customHeight="1">
      <c r="A78" s="13" t="s">
        <v>143</v>
      </c>
      <c r="B78" s="14" t="s">
        <v>144</v>
      </c>
      <c r="C78" s="15">
        <v>32102</v>
      </c>
      <c r="D78" s="15">
        <v>21228</v>
      </c>
      <c r="E78" s="15">
        <v>0</v>
      </c>
      <c r="F78" s="15">
        <f t="shared" si="16"/>
        <v>10874</v>
      </c>
      <c r="G78" s="15">
        <v>73100</v>
      </c>
      <c r="H78" s="15">
        <v>44243</v>
      </c>
      <c r="I78" s="15">
        <v>0</v>
      </c>
      <c r="J78" s="15">
        <f t="shared" si="17"/>
        <v>28857</v>
      </c>
      <c r="K78" s="15">
        <v>1813</v>
      </c>
      <c r="L78" s="15">
        <v>0</v>
      </c>
      <c r="M78" s="15">
        <v>135</v>
      </c>
      <c r="N78" s="15">
        <v>1194</v>
      </c>
      <c r="O78" s="15">
        <v>1194</v>
      </c>
    </row>
    <row r="79" spans="1:15" ht="12.75" customHeight="1">
      <c r="A79" s="13" t="s">
        <v>145</v>
      </c>
      <c r="B79" s="14" t="s">
        <v>146</v>
      </c>
      <c r="C79" s="15">
        <v>33214</v>
      </c>
      <c r="D79" s="15">
        <v>23835</v>
      </c>
      <c r="E79" s="15">
        <v>871</v>
      </c>
      <c r="F79" s="15">
        <f t="shared" si="16"/>
        <v>8508</v>
      </c>
      <c r="G79" s="15">
        <v>118789</v>
      </c>
      <c r="H79" s="15">
        <v>61526</v>
      </c>
      <c r="I79" s="15">
        <v>4845</v>
      </c>
      <c r="J79" s="15">
        <f t="shared" si="17"/>
        <v>52418</v>
      </c>
      <c r="K79" s="15">
        <v>7396</v>
      </c>
      <c r="L79" s="15">
        <v>37</v>
      </c>
      <c r="M79" s="15">
        <v>16759</v>
      </c>
      <c r="N79" s="15">
        <v>786</v>
      </c>
      <c r="O79" s="15">
        <v>786</v>
      </c>
    </row>
    <row r="80" spans="1:15" ht="12.75" customHeight="1">
      <c r="A80" s="16"/>
      <c r="B80" s="17" t="s">
        <v>147</v>
      </c>
      <c r="C80" s="18">
        <f t="shared" ref="C80:O80" si="18">SUM(C70:C79)</f>
        <v>527554</v>
      </c>
      <c r="D80" s="18">
        <f t="shared" si="18"/>
        <v>360864</v>
      </c>
      <c r="E80" s="18">
        <f t="shared" si="18"/>
        <v>14083</v>
      </c>
      <c r="F80" s="18">
        <f t="shared" si="18"/>
        <v>152607</v>
      </c>
      <c r="G80" s="18">
        <f t="shared" si="18"/>
        <v>1419224</v>
      </c>
      <c r="H80" s="18">
        <f t="shared" si="18"/>
        <v>775373</v>
      </c>
      <c r="I80" s="18">
        <f t="shared" si="18"/>
        <v>70966</v>
      </c>
      <c r="J80" s="18">
        <f t="shared" si="18"/>
        <v>572885</v>
      </c>
      <c r="K80" s="18">
        <f t="shared" si="18"/>
        <v>60255</v>
      </c>
      <c r="L80" s="18">
        <f t="shared" si="18"/>
        <v>1900</v>
      </c>
      <c r="M80" s="18">
        <f t="shared" si="18"/>
        <v>85350</v>
      </c>
      <c r="N80" s="18">
        <f t="shared" si="18"/>
        <v>105201</v>
      </c>
      <c r="O80" s="18">
        <f t="shared" si="18"/>
        <v>105201</v>
      </c>
    </row>
    <row r="81" spans="1:15" ht="12.75" customHeight="1">
      <c r="A81" s="13" t="s">
        <v>148</v>
      </c>
      <c r="B81" s="14" t="s">
        <v>149</v>
      </c>
      <c r="C81" s="15">
        <v>61407</v>
      </c>
      <c r="D81" s="15">
        <v>37733</v>
      </c>
      <c r="E81" s="15">
        <v>1814</v>
      </c>
      <c r="F81" s="15">
        <f>SUM(C81-D81-E81)</f>
        <v>21860</v>
      </c>
      <c r="G81" s="15">
        <v>247495</v>
      </c>
      <c r="H81" s="15">
        <v>122433</v>
      </c>
      <c r="I81" s="15">
        <v>13111</v>
      </c>
      <c r="J81" s="15">
        <f>SUM(G81-H81-I81)</f>
        <v>111951</v>
      </c>
      <c r="K81" s="15">
        <v>2979</v>
      </c>
      <c r="L81" s="15">
        <v>1485</v>
      </c>
      <c r="M81" s="15">
        <v>18835</v>
      </c>
      <c r="N81" s="15">
        <v>2985</v>
      </c>
      <c r="O81" s="15">
        <v>2985</v>
      </c>
    </row>
    <row r="82" spans="1:15" ht="12.75" customHeight="1">
      <c r="A82" s="13" t="s">
        <v>150</v>
      </c>
      <c r="B82" s="14" t="s">
        <v>151</v>
      </c>
      <c r="C82" s="15">
        <v>22134</v>
      </c>
      <c r="D82" s="15">
        <v>15915</v>
      </c>
      <c r="E82" s="15">
        <v>439</v>
      </c>
      <c r="F82" s="15">
        <f>SUM(C82-D82-E82)</f>
        <v>5780</v>
      </c>
      <c r="G82" s="15">
        <v>111262</v>
      </c>
      <c r="H82" s="15">
        <v>51284</v>
      </c>
      <c r="I82" s="15">
        <v>2877</v>
      </c>
      <c r="J82" s="15">
        <f>SUM(G82-H82-I82)</f>
        <v>57101</v>
      </c>
      <c r="K82" s="15">
        <v>1299</v>
      </c>
      <c r="L82" s="15">
        <v>12</v>
      </c>
      <c r="M82" s="15">
        <v>15273</v>
      </c>
      <c r="N82" s="15">
        <v>771</v>
      </c>
      <c r="O82" s="15">
        <v>771</v>
      </c>
    </row>
    <row r="83" spans="1:15" ht="12.75" customHeight="1">
      <c r="A83" s="13" t="s">
        <v>152</v>
      </c>
      <c r="B83" s="14" t="s">
        <v>153</v>
      </c>
      <c r="C83" s="15">
        <v>8589</v>
      </c>
      <c r="D83" s="15">
        <v>7791</v>
      </c>
      <c r="E83" s="15">
        <v>515</v>
      </c>
      <c r="F83" s="15">
        <f>SUM(C83-D83-E83)</f>
        <v>283</v>
      </c>
      <c r="G83" s="15">
        <v>38214</v>
      </c>
      <c r="H83" s="15">
        <v>26706</v>
      </c>
      <c r="I83" s="15">
        <v>3870</v>
      </c>
      <c r="J83" s="15">
        <f>SUM(G83-H83-I83)</f>
        <v>7638</v>
      </c>
      <c r="K83" s="15">
        <v>104</v>
      </c>
      <c r="L83" s="15">
        <v>0</v>
      </c>
      <c r="M83" s="15">
        <v>1347</v>
      </c>
      <c r="N83" s="15">
        <v>0</v>
      </c>
      <c r="O83" s="15">
        <v>0</v>
      </c>
    </row>
    <row r="84" spans="1:15" ht="12.75" customHeight="1">
      <c r="A84" s="13" t="s">
        <v>154</v>
      </c>
      <c r="B84" s="14" t="s">
        <v>155</v>
      </c>
      <c r="C84" s="15">
        <v>23675</v>
      </c>
      <c r="D84" s="15">
        <v>20812</v>
      </c>
      <c r="E84" s="15">
        <v>335</v>
      </c>
      <c r="F84" s="15">
        <f>SUM(C84-D84-E84)</f>
        <v>2528</v>
      </c>
      <c r="G84" s="15">
        <v>114833</v>
      </c>
      <c r="H84" s="15">
        <v>71047</v>
      </c>
      <c r="I84" s="15">
        <v>2156</v>
      </c>
      <c r="J84" s="15">
        <f>SUM(G84-H84-I84)</f>
        <v>41630</v>
      </c>
      <c r="K84" s="15">
        <v>2050</v>
      </c>
      <c r="L84" s="15">
        <v>0</v>
      </c>
      <c r="M84" s="15">
        <v>14764</v>
      </c>
      <c r="N84" s="15">
        <v>952</v>
      </c>
      <c r="O84" s="15">
        <v>952</v>
      </c>
    </row>
    <row r="85" spans="1:15" ht="12.75" customHeight="1">
      <c r="A85" s="13" t="s">
        <v>156</v>
      </c>
      <c r="B85" s="14" t="s">
        <v>157</v>
      </c>
      <c r="C85" s="15">
        <v>36574</v>
      </c>
      <c r="D85" s="15">
        <v>28307</v>
      </c>
      <c r="E85" s="15">
        <v>1178</v>
      </c>
      <c r="F85" s="15">
        <f>SUM(C85-D85-E85)</f>
        <v>7089</v>
      </c>
      <c r="G85" s="15">
        <v>123128</v>
      </c>
      <c r="H85" s="15">
        <v>75034</v>
      </c>
      <c r="I85" s="15">
        <v>6183</v>
      </c>
      <c r="J85" s="15">
        <f>SUM(G85-H85-I85)</f>
        <v>41911</v>
      </c>
      <c r="K85" s="15">
        <v>3271</v>
      </c>
      <c r="L85" s="15">
        <v>526</v>
      </c>
      <c r="M85" s="15">
        <v>12739</v>
      </c>
      <c r="N85" s="15">
        <v>21896</v>
      </c>
      <c r="O85" s="15">
        <v>21896</v>
      </c>
    </row>
    <row r="86" spans="1:15" ht="12.75" customHeight="1">
      <c r="A86" s="16"/>
      <c r="B86" s="17" t="s">
        <v>158</v>
      </c>
      <c r="C86" s="18">
        <f t="shared" ref="C86:O86" si="19">SUM(C81:C85)</f>
        <v>152379</v>
      </c>
      <c r="D86" s="18">
        <f t="shared" si="19"/>
        <v>110558</v>
      </c>
      <c r="E86" s="18">
        <f t="shared" si="19"/>
        <v>4281</v>
      </c>
      <c r="F86" s="18">
        <f t="shared" si="19"/>
        <v>37540</v>
      </c>
      <c r="G86" s="18">
        <f t="shared" si="19"/>
        <v>634932</v>
      </c>
      <c r="H86" s="18">
        <f t="shared" si="19"/>
        <v>346504</v>
      </c>
      <c r="I86" s="18">
        <f t="shared" si="19"/>
        <v>28197</v>
      </c>
      <c r="J86" s="18">
        <f t="shared" si="19"/>
        <v>260231</v>
      </c>
      <c r="K86" s="18">
        <f t="shared" si="19"/>
        <v>9703</v>
      </c>
      <c r="L86" s="18">
        <f t="shared" si="19"/>
        <v>2023</v>
      </c>
      <c r="M86" s="18">
        <f t="shared" si="19"/>
        <v>62958</v>
      </c>
      <c r="N86" s="18">
        <f t="shared" si="19"/>
        <v>26604</v>
      </c>
      <c r="O86" s="18">
        <f t="shared" si="19"/>
        <v>26604</v>
      </c>
    </row>
    <row r="87" spans="1:15" ht="12.75" customHeight="1">
      <c r="A87" s="13" t="s">
        <v>159</v>
      </c>
      <c r="B87" s="14" t="s">
        <v>160</v>
      </c>
      <c r="C87" s="15">
        <v>63814</v>
      </c>
      <c r="D87" s="15">
        <v>46731</v>
      </c>
      <c r="E87" s="15">
        <v>0</v>
      </c>
      <c r="F87" s="15">
        <f>SUM(C87-D87-E87)</f>
        <v>17083</v>
      </c>
      <c r="G87" s="15">
        <v>287530</v>
      </c>
      <c r="H87" s="15">
        <v>144103</v>
      </c>
      <c r="I87" s="15">
        <v>0</v>
      </c>
      <c r="J87" s="15">
        <f>SUM(G87-H87-I87)</f>
        <v>143427</v>
      </c>
      <c r="K87" s="15">
        <v>3529</v>
      </c>
      <c r="L87" s="15">
        <v>22</v>
      </c>
      <c r="M87" s="15">
        <v>28215</v>
      </c>
      <c r="N87" s="15">
        <v>1719</v>
      </c>
      <c r="O87" s="15">
        <v>1719</v>
      </c>
    </row>
    <row r="88" spans="1:15" ht="12.75" customHeight="1">
      <c r="A88" s="13" t="s">
        <v>161</v>
      </c>
      <c r="B88" s="14" t="s">
        <v>162</v>
      </c>
      <c r="C88" s="15">
        <v>48247</v>
      </c>
      <c r="D88" s="15">
        <v>23720</v>
      </c>
      <c r="E88" s="15">
        <v>2047</v>
      </c>
      <c r="F88" s="15">
        <f>SUM(C88-D88-E88)</f>
        <v>22480</v>
      </c>
      <c r="G88" s="15">
        <v>141874</v>
      </c>
      <c r="H88" s="15">
        <v>58789</v>
      </c>
      <c r="I88" s="15">
        <v>13672</v>
      </c>
      <c r="J88" s="15">
        <f>SUM(G88-H88-I88)</f>
        <v>69413</v>
      </c>
      <c r="K88" s="15">
        <v>1523</v>
      </c>
      <c r="L88" s="15">
        <v>0</v>
      </c>
      <c r="M88" s="15">
        <v>8060</v>
      </c>
      <c r="N88" s="15">
        <v>0</v>
      </c>
      <c r="O88" s="15">
        <v>0</v>
      </c>
    </row>
    <row r="89" spans="1:15" ht="12.75" customHeight="1">
      <c r="A89" s="16"/>
      <c r="B89" s="17" t="s">
        <v>163</v>
      </c>
      <c r="C89" s="18">
        <f t="shared" ref="C89:O89" si="20">SUM(C87:C88)</f>
        <v>112061</v>
      </c>
      <c r="D89" s="18">
        <f t="shared" si="20"/>
        <v>70451</v>
      </c>
      <c r="E89" s="18">
        <f t="shared" si="20"/>
        <v>2047</v>
      </c>
      <c r="F89" s="18">
        <f t="shared" si="20"/>
        <v>39563</v>
      </c>
      <c r="G89" s="18">
        <f t="shared" si="20"/>
        <v>429404</v>
      </c>
      <c r="H89" s="18">
        <f t="shared" si="20"/>
        <v>202892</v>
      </c>
      <c r="I89" s="18">
        <f t="shared" si="20"/>
        <v>13672</v>
      </c>
      <c r="J89" s="18">
        <f t="shared" si="20"/>
        <v>212840</v>
      </c>
      <c r="K89" s="18">
        <f t="shared" si="20"/>
        <v>5052</v>
      </c>
      <c r="L89" s="18">
        <f t="shared" si="20"/>
        <v>22</v>
      </c>
      <c r="M89" s="18">
        <f t="shared" si="20"/>
        <v>36275</v>
      </c>
      <c r="N89" s="18">
        <f t="shared" si="20"/>
        <v>1719</v>
      </c>
      <c r="O89" s="18">
        <f t="shared" si="20"/>
        <v>1719</v>
      </c>
    </row>
    <row r="90" spans="1:15" ht="12.75" customHeight="1">
      <c r="A90" s="13" t="s">
        <v>164</v>
      </c>
      <c r="B90" s="14" t="s">
        <v>165</v>
      </c>
      <c r="C90" s="15">
        <v>70434</v>
      </c>
      <c r="D90" s="15">
        <v>32448</v>
      </c>
      <c r="E90" s="15">
        <v>4015</v>
      </c>
      <c r="F90" s="15">
        <f>SUM(C90-D90-E90)</f>
        <v>33971</v>
      </c>
      <c r="G90" s="15">
        <v>314241</v>
      </c>
      <c r="H90" s="15">
        <v>109783</v>
      </c>
      <c r="I90" s="15">
        <v>24987</v>
      </c>
      <c r="J90" s="15">
        <f>SUM(G90-H90-I90)</f>
        <v>179471</v>
      </c>
      <c r="K90" s="15">
        <v>2139</v>
      </c>
      <c r="L90" s="15">
        <v>0</v>
      </c>
      <c r="M90" s="15">
        <v>28846</v>
      </c>
      <c r="N90" s="15">
        <v>431</v>
      </c>
      <c r="O90" s="15">
        <v>431</v>
      </c>
    </row>
    <row r="91" spans="1:15" ht="12.75" customHeight="1">
      <c r="A91" s="13" t="s">
        <v>166</v>
      </c>
      <c r="B91" s="14" t="s">
        <v>167</v>
      </c>
      <c r="C91" s="15">
        <v>64812</v>
      </c>
      <c r="D91" s="15">
        <v>46311</v>
      </c>
      <c r="E91" s="15">
        <v>0</v>
      </c>
      <c r="F91" s="15">
        <f>SUM(C91-D91-E91)</f>
        <v>18501</v>
      </c>
      <c r="G91" s="15">
        <v>277016</v>
      </c>
      <c r="H91" s="15">
        <v>119657</v>
      </c>
      <c r="I91" s="15">
        <v>0</v>
      </c>
      <c r="J91" s="15">
        <f>SUM(G91-H91-I91)</f>
        <v>157359</v>
      </c>
      <c r="K91" s="15">
        <v>1687</v>
      </c>
      <c r="L91" s="15">
        <v>355</v>
      </c>
      <c r="M91" s="15">
        <v>37340</v>
      </c>
      <c r="N91" s="15">
        <v>650</v>
      </c>
      <c r="O91" s="15">
        <v>650</v>
      </c>
    </row>
    <row r="92" spans="1:15" ht="12.75" customHeight="1">
      <c r="A92" s="13" t="s">
        <v>168</v>
      </c>
      <c r="B92" s="14" t="s">
        <v>169</v>
      </c>
      <c r="C92" s="15">
        <v>13595</v>
      </c>
      <c r="D92" s="15">
        <v>9871</v>
      </c>
      <c r="E92" s="15">
        <v>1620</v>
      </c>
      <c r="F92" s="15">
        <f>SUM(C92-D92-E92)</f>
        <v>2104</v>
      </c>
      <c r="G92" s="15">
        <v>48347</v>
      </c>
      <c r="H92" s="15">
        <v>25613</v>
      </c>
      <c r="I92" s="15">
        <v>12994</v>
      </c>
      <c r="J92" s="15">
        <f>SUM(G92-H92-I92)</f>
        <v>9740</v>
      </c>
      <c r="K92" s="15">
        <v>693</v>
      </c>
      <c r="L92" s="15">
        <v>0</v>
      </c>
      <c r="M92" s="15">
        <v>1983</v>
      </c>
      <c r="N92" s="15">
        <v>29</v>
      </c>
      <c r="O92" s="15">
        <v>29</v>
      </c>
    </row>
    <row r="93" spans="1:15" ht="12.75" customHeight="1">
      <c r="A93" s="13" t="s">
        <v>170</v>
      </c>
      <c r="B93" s="14" t="s">
        <v>171</v>
      </c>
      <c r="C93" s="15">
        <v>652317</v>
      </c>
      <c r="D93" s="15">
        <v>422315</v>
      </c>
      <c r="E93" s="15">
        <v>27060</v>
      </c>
      <c r="F93" s="15">
        <f>SUM(C93-D93-E93)</f>
        <v>202942</v>
      </c>
      <c r="G93" s="15">
        <v>1973286</v>
      </c>
      <c r="H93" s="15">
        <v>749450</v>
      </c>
      <c r="I93" s="15">
        <v>94095</v>
      </c>
      <c r="J93" s="15">
        <f>SUM(G93-H93-I93)</f>
        <v>1129741</v>
      </c>
      <c r="K93" s="15">
        <v>157495</v>
      </c>
      <c r="L93" s="15">
        <v>741</v>
      </c>
      <c r="M93" s="15">
        <v>123244</v>
      </c>
      <c r="N93" s="15">
        <v>15324</v>
      </c>
      <c r="O93" s="15">
        <v>15324</v>
      </c>
    </row>
    <row r="94" spans="1:15" ht="12.75" customHeight="1">
      <c r="A94" s="13" t="s">
        <v>172</v>
      </c>
      <c r="B94" s="14" t="s">
        <v>173</v>
      </c>
      <c r="C94" s="15">
        <v>44335</v>
      </c>
      <c r="D94" s="15">
        <v>13790</v>
      </c>
      <c r="E94" s="15">
        <v>1171</v>
      </c>
      <c r="F94" s="15">
        <f>SUM(C94-D94-E94)</f>
        <v>29374</v>
      </c>
      <c r="G94" s="15">
        <v>132102</v>
      </c>
      <c r="H94" s="15">
        <v>44400</v>
      </c>
      <c r="I94" s="15">
        <v>8519</v>
      </c>
      <c r="J94" s="15">
        <f>SUM(G94-H94-I94)</f>
        <v>79183</v>
      </c>
      <c r="K94" s="15">
        <v>2227</v>
      </c>
      <c r="L94" s="15">
        <v>1120</v>
      </c>
      <c r="M94" s="15">
        <v>23549</v>
      </c>
      <c r="N94" s="15">
        <v>626</v>
      </c>
      <c r="O94" s="15">
        <v>626</v>
      </c>
    </row>
    <row r="95" spans="1:15" ht="12.75" customHeight="1">
      <c r="A95" s="16"/>
      <c r="B95" s="17" t="s">
        <v>174</v>
      </c>
      <c r="C95" s="18">
        <f t="shared" ref="C95:O95" si="21">SUM(C90:C94)</f>
        <v>845493</v>
      </c>
      <c r="D95" s="18">
        <f t="shared" si="21"/>
        <v>524735</v>
      </c>
      <c r="E95" s="18">
        <f t="shared" si="21"/>
        <v>33866</v>
      </c>
      <c r="F95" s="18">
        <f t="shared" si="21"/>
        <v>286892</v>
      </c>
      <c r="G95" s="18">
        <f t="shared" si="21"/>
        <v>2744992</v>
      </c>
      <c r="H95" s="18">
        <f t="shared" si="21"/>
        <v>1048903</v>
      </c>
      <c r="I95" s="18">
        <f t="shared" si="21"/>
        <v>140595</v>
      </c>
      <c r="J95" s="18">
        <f t="shared" si="21"/>
        <v>1555494</v>
      </c>
      <c r="K95" s="18">
        <f t="shared" si="21"/>
        <v>164241</v>
      </c>
      <c r="L95" s="18">
        <f t="shared" si="21"/>
        <v>2216</v>
      </c>
      <c r="M95" s="18">
        <f t="shared" si="21"/>
        <v>214962</v>
      </c>
      <c r="N95" s="18">
        <f t="shared" si="21"/>
        <v>17060</v>
      </c>
      <c r="O95" s="18">
        <f t="shared" si="21"/>
        <v>17060</v>
      </c>
    </row>
    <row r="96" spans="1:15" ht="12.75" customHeight="1">
      <c r="A96" s="13" t="s">
        <v>175</v>
      </c>
      <c r="B96" s="14" t="s">
        <v>176</v>
      </c>
      <c r="C96" s="15">
        <v>12688</v>
      </c>
      <c r="D96" s="15">
        <v>9369</v>
      </c>
      <c r="E96" s="15">
        <v>641</v>
      </c>
      <c r="F96" s="15">
        <f>SUM(C96-D96-E96)</f>
        <v>2678</v>
      </c>
      <c r="G96" s="15">
        <v>69349</v>
      </c>
      <c r="H96" s="15">
        <v>35769</v>
      </c>
      <c r="I96" s="15">
        <v>3954</v>
      </c>
      <c r="J96" s="15">
        <f>SUM(G96-H96-I96)</f>
        <v>29626</v>
      </c>
      <c r="K96" s="15">
        <v>30</v>
      </c>
      <c r="L96" s="15">
        <v>0</v>
      </c>
      <c r="M96" s="15">
        <v>20339</v>
      </c>
      <c r="N96" s="15">
        <v>0</v>
      </c>
      <c r="O96" s="15">
        <v>0</v>
      </c>
    </row>
    <row r="97" spans="1:15" ht="12.75" customHeight="1">
      <c r="A97" s="13" t="s">
        <v>177</v>
      </c>
      <c r="B97" s="14" t="s">
        <v>178</v>
      </c>
      <c r="C97" s="15">
        <v>4092</v>
      </c>
      <c r="D97" s="15">
        <v>3814</v>
      </c>
      <c r="E97" s="15">
        <v>0</v>
      </c>
      <c r="F97" s="15">
        <f>SUM(C97-D97-E97)</f>
        <v>278</v>
      </c>
      <c r="G97" s="15">
        <v>17230</v>
      </c>
      <c r="H97" s="15">
        <v>14554</v>
      </c>
      <c r="I97" s="15">
        <v>0</v>
      </c>
      <c r="J97" s="15">
        <f>SUM(G97-H97-I97)</f>
        <v>2676</v>
      </c>
      <c r="K97" s="15">
        <v>46</v>
      </c>
      <c r="L97" s="15">
        <v>0</v>
      </c>
      <c r="M97" s="15">
        <v>1235</v>
      </c>
      <c r="N97" s="15">
        <v>0</v>
      </c>
      <c r="O97" s="15">
        <v>0</v>
      </c>
    </row>
    <row r="98" spans="1:15" ht="12.75" customHeight="1">
      <c r="A98" s="16"/>
      <c r="B98" s="17" t="s">
        <v>179</v>
      </c>
      <c r="C98" s="18">
        <f t="shared" ref="C98:O98" si="22">SUM(C96:C97)</f>
        <v>16780</v>
      </c>
      <c r="D98" s="18">
        <f t="shared" si="22"/>
        <v>13183</v>
      </c>
      <c r="E98" s="18">
        <f t="shared" si="22"/>
        <v>641</v>
      </c>
      <c r="F98" s="18">
        <f t="shared" si="22"/>
        <v>2956</v>
      </c>
      <c r="G98" s="18">
        <f t="shared" si="22"/>
        <v>86579</v>
      </c>
      <c r="H98" s="18">
        <f t="shared" si="22"/>
        <v>50323</v>
      </c>
      <c r="I98" s="18">
        <f t="shared" si="22"/>
        <v>3954</v>
      </c>
      <c r="J98" s="18">
        <f t="shared" si="22"/>
        <v>32302</v>
      </c>
      <c r="K98" s="18">
        <f t="shared" si="22"/>
        <v>76</v>
      </c>
      <c r="L98" s="18">
        <f t="shared" si="22"/>
        <v>0</v>
      </c>
      <c r="M98" s="18">
        <f t="shared" si="22"/>
        <v>21574</v>
      </c>
      <c r="N98" s="18">
        <f t="shared" si="22"/>
        <v>0</v>
      </c>
      <c r="O98" s="18">
        <f t="shared" si="22"/>
        <v>0</v>
      </c>
    </row>
    <row r="99" spans="1:15" ht="12.75" customHeight="1">
      <c r="A99" s="13" t="s">
        <v>180</v>
      </c>
      <c r="B99" s="14" t="s">
        <v>181</v>
      </c>
      <c r="C99" s="15">
        <v>34846</v>
      </c>
      <c r="D99" s="15">
        <v>26786</v>
      </c>
      <c r="E99" s="15">
        <v>1672</v>
      </c>
      <c r="F99" s="15">
        <f>SUM(C99-D99-E99)</f>
        <v>6388</v>
      </c>
      <c r="G99" s="15">
        <v>157384</v>
      </c>
      <c r="H99" s="15">
        <v>86367</v>
      </c>
      <c r="I99" s="15">
        <v>10209</v>
      </c>
      <c r="J99" s="15">
        <f>SUM(G99-H99-I99)</f>
        <v>60808</v>
      </c>
      <c r="K99" s="15">
        <v>406</v>
      </c>
      <c r="L99" s="15">
        <v>0</v>
      </c>
      <c r="M99" s="15">
        <v>18437</v>
      </c>
      <c r="N99" s="15">
        <v>240</v>
      </c>
      <c r="O99" s="15">
        <v>240</v>
      </c>
    </row>
    <row r="100" spans="1:15" ht="12.75" customHeight="1">
      <c r="A100" s="13" t="s">
        <v>182</v>
      </c>
      <c r="B100" s="14" t="s">
        <v>183</v>
      </c>
      <c r="C100" s="15">
        <v>28854</v>
      </c>
      <c r="D100" s="15">
        <v>15693</v>
      </c>
      <c r="E100" s="15">
        <v>1202</v>
      </c>
      <c r="F100" s="15">
        <f>SUM(C100-D100-E100)</f>
        <v>11959</v>
      </c>
      <c r="G100" s="15">
        <v>122556</v>
      </c>
      <c r="H100" s="15">
        <v>45037</v>
      </c>
      <c r="I100" s="15">
        <v>5535</v>
      </c>
      <c r="J100" s="15">
        <f>SUM(G100-H100-I100)</f>
        <v>71984</v>
      </c>
      <c r="K100" s="15">
        <v>3386</v>
      </c>
      <c r="L100" s="15">
        <v>0</v>
      </c>
      <c r="M100" s="15">
        <v>9756</v>
      </c>
      <c r="N100" s="15">
        <v>180</v>
      </c>
      <c r="O100" s="15">
        <v>180</v>
      </c>
    </row>
    <row r="101" spans="1:15" ht="12.75" customHeight="1">
      <c r="A101" s="13" t="s">
        <v>184</v>
      </c>
      <c r="B101" s="14" t="s">
        <v>185</v>
      </c>
      <c r="C101" s="15">
        <v>16719</v>
      </c>
      <c r="D101" s="15">
        <v>13053</v>
      </c>
      <c r="E101" s="15">
        <v>0</v>
      </c>
      <c r="F101" s="15">
        <f>SUM(C101-D101-E101)</f>
        <v>3666</v>
      </c>
      <c r="G101" s="15">
        <v>56376</v>
      </c>
      <c r="H101" s="15">
        <v>37135</v>
      </c>
      <c r="I101" s="15">
        <v>0</v>
      </c>
      <c r="J101" s="15">
        <f>SUM(G101-H101-I101)</f>
        <v>19241</v>
      </c>
      <c r="K101" s="15">
        <v>123</v>
      </c>
      <c r="L101" s="15">
        <v>0</v>
      </c>
      <c r="M101" s="15">
        <v>6490</v>
      </c>
      <c r="N101" s="15">
        <v>699</v>
      </c>
      <c r="O101" s="15">
        <v>699</v>
      </c>
    </row>
    <row r="102" spans="1:15" ht="12.75" customHeight="1">
      <c r="A102" s="13" t="s">
        <v>186</v>
      </c>
      <c r="B102" s="14" t="s">
        <v>187</v>
      </c>
      <c r="C102" s="15">
        <v>27877</v>
      </c>
      <c r="D102" s="15">
        <v>22883</v>
      </c>
      <c r="E102" s="15">
        <v>1883</v>
      </c>
      <c r="F102" s="15">
        <f>SUM(C102-D102-E102)</f>
        <v>3111</v>
      </c>
      <c r="G102" s="15">
        <v>104320</v>
      </c>
      <c r="H102" s="15">
        <v>61573</v>
      </c>
      <c r="I102" s="15">
        <v>13229</v>
      </c>
      <c r="J102" s="15">
        <f>SUM(G102-H102-I102)</f>
        <v>29518</v>
      </c>
      <c r="K102" s="15">
        <v>1734</v>
      </c>
      <c r="L102" s="15">
        <v>0</v>
      </c>
      <c r="M102" s="15">
        <v>9402</v>
      </c>
      <c r="N102" s="15">
        <v>27</v>
      </c>
      <c r="O102" s="15">
        <v>27</v>
      </c>
    </row>
    <row r="103" spans="1:15" ht="12.75" customHeight="1">
      <c r="A103" s="16"/>
      <c r="B103" s="17" t="s">
        <v>188</v>
      </c>
      <c r="C103" s="18">
        <f t="shared" ref="C103:O103" si="23">SUM(C99:C102)</f>
        <v>108296</v>
      </c>
      <c r="D103" s="18">
        <f t="shared" si="23"/>
        <v>78415</v>
      </c>
      <c r="E103" s="18">
        <f t="shared" si="23"/>
        <v>4757</v>
      </c>
      <c r="F103" s="18">
        <f t="shared" si="23"/>
        <v>25124</v>
      </c>
      <c r="G103" s="18">
        <f t="shared" si="23"/>
        <v>440636</v>
      </c>
      <c r="H103" s="18">
        <f t="shared" si="23"/>
        <v>230112</v>
      </c>
      <c r="I103" s="18">
        <f t="shared" si="23"/>
        <v>28973</v>
      </c>
      <c r="J103" s="18">
        <f t="shared" si="23"/>
        <v>181551</v>
      </c>
      <c r="K103" s="18">
        <f t="shared" si="23"/>
        <v>5649</v>
      </c>
      <c r="L103" s="18">
        <f t="shared" si="23"/>
        <v>0</v>
      </c>
      <c r="M103" s="18">
        <f t="shared" si="23"/>
        <v>44085</v>
      </c>
      <c r="N103" s="18">
        <f t="shared" si="23"/>
        <v>1146</v>
      </c>
      <c r="O103" s="18">
        <f t="shared" si="23"/>
        <v>1146</v>
      </c>
    </row>
    <row r="104" spans="1:15" ht="12.75" customHeight="1">
      <c r="A104" s="13" t="s">
        <v>189</v>
      </c>
      <c r="B104" s="14" t="s">
        <v>190</v>
      </c>
      <c r="C104" s="15">
        <v>19832</v>
      </c>
      <c r="D104" s="15">
        <v>16094</v>
      </c>
      <c r="E104" s="15">
        <v>802</v>
      </c>
      <c r="F104" s="15">
        <f>SUM(C104-D104-E104)</f>
        <v>2936</v>
      </c>
      <c r="G104" s="15">
        <v>92747</v>
      </c>
      <c r="H104" s="15">
        <v>56282</v>
      </c>
      <c r="I104" s="15">
        <v>6354</v>
      </c>
      <c r="J104" s="15">
        <f>SUM(G104-H104-I104)</f>
        <v>30111</v>
      </c>
      <c r="K104" s="15">
        <v>822</v>
      </c>
      <c r="L104" s="15">
        <v>0</v>
      </c>
      <c r="M104" s="15">
        <v>4524</v>
      </c>
      <c r="N104" s="15">
        <v>318</v>
      </c>
      <c r="O104" s="15">
        <v>318</v>
      </c>
    </row>
    <row r="105" spans="1:15" ht="12.75" customHeight="1">
      <c r="A105" s="13" t="s">
        <v>191</v>
      </c>
      <c r="B105" s="14" t="s">
        <v>192</v>
      </c>
      <c r="C105" s="15">
        <v>16038</v>
      </c>
      <c r="D105" s="15">
        <v>9591</v>
      </c>
      <c r="E105" s="15">
        <v>0</v>
      </c>
      <c r="F105" s="15">
        <f>SUM(C105-D105-E105)</f>
        <v>6447</v>
      </c>
      <c r="G105" s="15">
        <v>66166</v>
      </c>
      <c r="H105" s="15">
        <v>36102</v>
      </c>
      <c r="I105" s="15">
        <v>0</v>
      </c>
      <c r="J105" s="15">
        <f>SUM(G105-H105-I105)</f>
        <v>30064</v>
      </c>
      <c r="K105" s="15">
        <v>276</v>
      </c>
      <c r="L105" s="15">
        <v>0</v>
      </c>
      <c r="M105" s="15">
        <v>8211</v>
      </c>
      <c r="N105" s="15">
        <v>568</v>
      </c>
      <c r="O105" s="15">
        <v>568</v>
      </c>
    </row>
    <row r="106" spans="1:15" ht="12.75" customHeight="1">
      <c r="A106" s="13" t="s">
        <v>193</v>
      </c>
      <c r="B106" s="14" t="s">
        <v>194</v>
      </c>
      <c r="C106" s="15">
        <v>69136</v>
      </c>
      <c r="D106" s="15">
        <v>43014</v>
      </c>
      <c r="E106" s="15">
        <v>2498</v>
      </c>
      <c r="F106" s="15">
        <f>SUM(C106-D106-E106)</f>
        <v>23624</v>
      </c>
      <c r="G106" s="15">
        <v>320662</v>
      </c>
      <c r="H106" s="15">
        <v>130856</v>
      </c>
      <c r="I106" s="15">
        <v>15641</v>
      </c>
      <c r="J106" s="15">
        <f>SUM(G106-H106-I106)</f>
        <v>174165</v>
      </c>
      <c r="K106" s="15">
        <v>834</v>
      </c>
      <c r="L106" s="15">
        <v>0</v>
      </c>
      <c r="M106" s="15">
        <v>79122</v>
      </c>
      <c r="N106" s="15">
        <v>1109</v>
      </c>
      <c r="O106" s="15">
        <v>1109</v>
      </c>
    </row>
    <row r="107" spans="1:15" ht="12.75" customHeight="1">
      <c r="A107" s="13" t="s">
        <v>195</v>
      </c>
      <c r="B107" s="14" t="s">
        <v>196</v>
      </c>
      <c r="C107" s="15">
        <v>252177</v>
      </c>
      <c r="D107" s="15">
        <v>177515</v>
      </c>
      <c r="E107" s="15">
        <v>6486</v>
      </c>
      <c r="F107" s="15">
        <f>SUM(C107-D107-E107)</f>
        <v>68176</v>
      </c>
      <c r="G107" s="15">
        <v>754465</v>
      </c>
      <c r="H107" s="15">
        <v>351618</v>
      </c>
      <c r="I107" s="15">
        <v>17564</v>
      </c>
      <c r="J107" s="15">
        <f>SUM(G107-H107-I107)</f>
        <v>385283</v>
      </c>
      <c r="K107" s="15">
        <v>16066</v>
      </c>
      <c r="L107" s="15">
        <v>0</v>
      </c>
      <c r="M107" s="15">
        <v>14861</v>
      </c>
      <c r="N107" s="15">
        <v>19585</v>
      </c>
      <c r="O107" s="15">
        <v>19585</v>
      </c>
    </row>
    <row r="108" spans="1:15" ht="12.75" customHeight="1">
      <c r="A108" s="13" t="s">
        <v>197</v>
      </c>
      <c r="B108" s="14" t="s">
        <v>198</v>
      </c>
      <c r="C108" s="15">
        <v>77448</v>
      </c>
      <c r="D108" s="15">
        <v>46391</v>
      </c>
      <c r="E108" s="15">
        <v>2861</v>
      </c>
      <c r="F108" s="15">
        <f>SUM(C108-D108-E108)</f>
        <v>28196</v>
      </c>
      <c r="G108" s="15">
        <v>455195</v>
      </c>
      <c r="H108" s="15">
        <v>142794</v>
      </c>
      <c r="I108" s="15">
        <v>18492</v>
      </c>
      <c r="J108" s="15">
        <f>SUM(G108-H108-I108)</f>
        <v>293909</v>
      </c>
      <c r="K108" s="15">
        <v>2727</v>
      </c>
      <c r="L108" s="15">
        <v>0</v>
      </c>
      <c r="M108" s="15">
        <v>18561</v>
      </c>
      <c r="N108" s="15">
        <v>6572</v>
      </c>
      <c r="O108" s="15">
        <v>6572</v>
      </c>
    </row>
    <row r="109" spans="1:15" ht="12.75" customHeight="1">
      <c r="A109" s="16"/>
      <c r="B109" s="17" t="s">
        <v>199</v>
      </c>
      <c r="C109" s="18">
        <f t="shared" ref="C109:O109" si="24">SUM(C104:C108)</f>
        <v>434631</v>
      </c>
      <c r="D109" s="18">
        <f t="shared" si="24"/>
        <v>292605</v>
      </c>
      <c r="E109" s="18">
        <f t="shared" si="24"/>
        <v>12647</v>
      </c>
      <c r="F109" s="18">
        <f t="shared" si="24"/>
        <v>129379</v>
      </c>
      <c r="G109" s="18">
        <f t="shared" si="24"/>
        <v>1689235</v>
      </c>
      <c r="H109" s="18">
        <f t="shared" si="24"/>
        <v>717652</v>
      </c>
      <c r="I109" s="18">
        <f t="shared" si="24"/>
        <v>58051</v>
      </c>
      <c r="J109" s="18">
        <f t="shared" si="24"/>
        <v>913532</v>
      </c>
      <c r="K109" s="18">
        <f t="shared" si="24"/>
        <v>20725</v>
      </c>
      <c r="L109" s="18">
        <f t="shared" si="24"/>
        <v>0</v>
      </c>
      <c r="M109" s="18">
        <f t="shared" si="24"/>
        <v>125279</v>
      </c>
      <c r="N109" s="18">
        <f t="shared" si="24"/>
        <v>28152</v>
      </c>
      <c r="O109" s="18">
        <f t="shared" si="24"/>
        <v>28152</v>
      </c>
    </row>
    <row r="110" spans="1:15" ht="12.75" customHeight="1">
      <c r="A110" s="13" t="s">
        <v>200</v>
      </c>
      <c r="B110" s="14" t="s">
        <v>201</v>
      </c>
      <c r="C110" s="15">
        <v>124553</v>
      </c>
      <c r="D110" s="15">
        <v>94962</v>
      </c>
      <c r="E110" s="15">
        <v>1035</v>
      </c>
      <c r="F110" s="15">
        <f t="shared" ref="F110:F115" si="25">SUM(C110-D110-E110)</f>
        <v>28556</v>
      </c>
      <c r="G110" s="15">
        <v>546608</v>
      </c>
      <c r="H110" s="15">
        <v>329534</v>
      </c>
      <c r="I110" s="15">
        <v>8252</v>
      </c>
      <c r="J110" s="15">
        <f t="shared" ref="J110:J115" si="26">SUM(G110-H110-I110)</f>
        <v>208822</v>
      </c>
      <c r="K110" s="15">
        <v>9163</v>
      </c>
      <c r="L110" s="15">
        <v>0</v>
      </c>
      <c r="M110" s="15">
        <v>85246</v>
      </c>
      <c r="N110" s="15">
        <v>1697</v>
      </c>
      <c r="O110" s="15">
        <v>1697</v>
      </c>
    </row>
    <row r="111" spans="1:15" ht="12.75" customHeight="1">
      <c r="A111" s="13" t="s">
        <v>202</v>
      </c>
      <c r="B111" s="14" t="s">
        <v>203</v>
      </c>
      <c r="C111" s="15">
        <v>17823</v>
      </c>
      <c r="D111" s="15">
        <v>16738</v>
      </c>
      <c r="E111" s="15">
        <v>306</v>
      </c>
      <c r="F111" s="15">
        <f t="shared" si="25"/>
        <v>779</v>
      </c>
      <c r="G111" s="15">
        <v>59700</v>
      </c>
      <c r="H111" s="15">
        <v>51482</v>
      </c>
      <c r="I111" s="15">
        <v>2284</v>
      </c>
      <c r="J111" s="15">
        <f t="shared" si="26"/>
        <v>5934</v>
      </c>
      <c r="K111" s="15">
        <v>63</v>
      </c>
      <c r="L111" s="15">
        <v>0</v>
      </c>
      <c r="M111" s="15">
        <v>4350</v>
      </c>
      <c r="N111" s="15">
        <v>264</v>
      </c>
      <c r="O111" s="15">
        <v>264</v>
      </c>
    </row>
    <row r="112" spans="1:15" ht="12.75" customHeight="1">
      <c r="A112" s="13" t="s">
        <v>204</v>
      </c>
      <c r="B112" s="14" t="s">
        <v>205</v>
      </c>
      <c r="C112" s="15">
        <v>43969</v>
      </c>
      <c r="D112" s="15">
        <v>29848</v>
      </c>
      <c r="E112" s="15">
        <v>0</v>
      </c>
      <c r="F112" s="15">
        <f t="shared" si="25"/>
        <v>14121</v>
      </c>
      <c r="G112" s="15">
        <v>152936</v>
      </c>
      <c r="H112" s="15">
        <v>92952</v>
      </c>
      <c r="I112" s="15">
        <v>0</v>
      </c>
      <c r="J112" s="15">
        <f t="shared" si="26"/>
        <v>59984</v>
      </c>
      <c r="K112" s="15">
        <v>30286</v>
      </c>
      <c r="L112" s="15">
        <v>0</v>
      </c>
      <c r="M112" s="15">
        <v>18318</v>
      </c>
      <c r="N112" s="15">
        <v>440</v>
      </c>
      <c r="O112" s="15">
        <v>440</v>
      </c>
    </row>
    <row r="113" spans="1:15" ht="12.75" customHeight="1">
      <c r="A113" s="13" t="s">
        <v>206</v>
      </c>
      <c r="B113" s="14" t="s">
        <v>207</v>
      </c>
      <c r="C113" s="15">
        <v>36983</v>
      </c>
      <c r="D113" s="15">
        <v>23623</v>
      </c>
      <c r="E113" s="15">
        <v>707</v>
      </c>
      <c r="F113" s="15">
        <f t="shared" si="25"/>
        <v>12653</v>
      </c>
      <c r="G113" s="15">
        <v>159833</v>
      </c>
      <c r="H113" s="15">
        <v>76853</v>
      </c>
      <c r="I113" s="15">
        <v>4031</v>
      </c>
      <c r="J113" s="15">
        <f t="shared" si="26"/>
        <v>78949</v>
      </c>
      <c r="K113" s="15">
        <v>2819</v>
      </c>
      <c r="L113" s="15">
        <v>0</v>
      </c>
      <c r="M113" s="15">
        <v>63778</v>
      </c>
      <c r="N113" s="15">
        <v>1453</v>
      </c>
      <c r="O113" s="15">
        <v>1453</v>
      </c>
    </row>
    <row r="114" spans="1:15" ht="12.75" customHeight="1">
      <c r="A114" s="13" t="s">
        <v>208</v>
      </c>
      <c r="B114" s="14" t="s">
        <v>209</v>
      </c>
      <c r="C114" s="15">
        <v>93178</v>
      </c>
      <c r="D114" s="15">
        <v>66032</v>
      </c>
      <c r="E114" s="15">
        <v>0</v>
      </c>
      <c r="F114" s="15">
        <f t="shared" si="25"/>
        <v>27146</v>
      </c>
      <c r="G114" s="15">
        <v>279500</v>
      </c>
      <c r="H114" s="15">
        <v>164627</v>
      </c>
      <c r="I114" s="15">
        <v>0</v>
      </c>
      <c r="J114" s="15">
        <f t="shared" si="26"/>
        <v>114873</v>
      </c>
      <c r="K114" s="15">
        <v>14033</v>
      </c>
      <c r="L114" s="15">
        <v>0</v>
      </c>
      <c r="M114" s="15">
        <v>36423</v>
      </c>
      <c r="N114" s="15">
        <v>2031</v>
      </c>
      <c r="O114" s="15">
        <v>2031</v>
      </c>
    </row>
    <row r="115" spans="1:15" ht="12.75" customHeight="1">
      <c r="A115" s="13" t="s">
        <v>210</v>
      </c>
      <c r="B115" s="14" t="s">
        <v>211</v>
      </c>
      <c r="C115" s="15">
        <v>58980</v>
      </c>
      <c r="D115" s="15">
        <v>49955</v>
      </c>
      <c r="E115" s="15">
        <v>0</v>
      </c>
      <c r="F115" s="15">
        <f t="shared" si="25"/>
        <v>9025</v>
      </c>
      <c r="G115" s="15">
        <v>207410</v>
      </c>
      <c r="H115" s="15">
        <v>154001</v>
      </c>
      <c r="I115" s="15">
        <v>0</v>
      </c>
      <c r="J115" s="15">
        <f t="shared" si="26"/>
        <v>53409</v>
      </c>
      <c r="K115" s="15">
        <v>7105</v>
      </c>
      <c r="L115" s="15">
        <v>0</v>
      </c>
      <c r="M115" s="15">
        <v>31839</v>
      </c>
      <c r="N115" s="15">
        <v>3222</v>
      </c>
      <c r="O115" s="15">
        <v>3222</v>
      </c>
    </row>
    <row r="116" spans="1:15" ht="12.75" customHeight="1">
      <c r="A116" s="16"/>
      <c r="B116" s="17" t="s">
        <v>212</v>
      </c>
      <c r="C116" s="18">
        <f t="shared" ref="C116:O116" si="27">SUM(C110:C115)</f>
        <v>375486</v>
      </c>
      <c r="D116" s="18">
        <f t="shared" si="27"/>
        <v>281158</v>
      </c>
      <c r="E116" s="18">
        <f t="shared" si="27"/>
        <v>2048</v>
      </c>
      <c r="F116" s="18">
        <f t="shared" si="27"/>
        <v>92280</v>
      </c>
      <c r="G116" s="18">
        <f t="shared" si="27"/>
        <v>1405987</v>
      </c>
      <c r="H116" s="18">
        <f t="shared" si="27"/>
        <v>869449</v>
      </c>
      <c r="I116" s="18">
        <f t="shared" si="27"/>
        <v>14567</v>
      </c>
      <c r="J116" s="18">
        <f t="shared" si="27"/>
        <v>521971</v>
      </c>
      <c r="K116" s="18">
        <f t="shared" si="27"/>
        <v>63469</v>
      </c>
      <c r="L116" s="18">
        <f t="shared" si="27"/>
        <v>0</v>
      </c>
      <c r="M116" s="18">
        <f t="shared" si="27"/>
        <v>239954</v>
      </c>
      <c r="N116" s="18">
        <f t="shared" si="27"/>
        <v>9107</v>
      </c>
      <c r="O116" s="18">
        <f t="shared" si="27"/>
        <v>9107</v>
      </c>
    </row>
    <row r="117" spans="1:15" ht="12.75" customHeight="1">
      <c r="A117" s="13" t="s">
        <v>213</v>
      </c>
      <c r="B117" s="14" t="s">
        <v>214</v>
      </c>
      <c r="C117" s="15">
        <v>14010</v>
      </c>
      <c r="D117" s="15">
        <v>9865</v>
      </c>
      <c r="E117" s="15">
        <v>0</v>
      </c>
      <c r="F117" s="15">
        <f>SUM(C117-D117-E117)</f>
        <v>4145</v>
      </c>
      <c r="G117" s="15">
        <v>60431</v>
      </c>
      <c r="H117" s="15">
        <v>37313</v>
      </c>
      <c r="I117" s="15">
        <v>0</v>
      </c>
      <c r="J117" s="15">
        <f>SUM(G117-H117-I117)</f>
        <v>23118</v>
      </c>
      <c r="K117" s="15">
        <v>12</v>
      </c>
      <c r="L117" s="15">
        <v>0</v>
      </c>
      <c r="M117" s="15">
        <v>30544</v>
      </c>
      <c r="N117" s="15">
        <v>609</v>
      </c>
      <c r="O117" s="15">
        <v>609</v>
      </c>
    </row>
    <row r="118" spans="1:15" ht="12.75" customHeight="1">
      <c r="A118" s="13" t="s">
        <v>215</v>
      </c>
      <c r="B118" s="14" t="s">
        <v>216</v>
      </c>
      <c r="C118" s="15">
        <v>31694</v>
      </c>
      <c r="D118" s="15">
        <v>25444</v>
      </c>
      <c r="E118" s="15">
        <v>605</v>
      </c>
      <c r="F118" s="15">
        <f>SUM(C118-D118-E118)</f>
        <v>5645</v>
      </c>
      <c r="G118" s="15">
        <v>126086</v>
      </c>
      <c r="H118" s="15">
        <v>77883</v>
      </c>
      <c r="I118" s="15">
        <v>4476</v>
      </c>
      <c r="J118" s="15">
        <f>SUM(G118-H118-I118)</f>
        <v>43727</v>
      </c>
      <c r="K118" s="15">
        <v>252</v>
      </c>
      <c r="L118" s="15">
        <v>0</v>
      </c>
      <c r="M118" s="15">
        <v>23621</v>
      </c>
      <c r="N118" s="15">
        <v>1009</v>
      </c>
      <c r="O118" s="15">
        <v>1009</v>
      </c>
    </row>
    <row r="119" spans="1:15" ht="12.75" customHeight="1">
      <c r="A119" s="16"/>
      <c r="B119" s="17" t="s">
        <v>217</v>
      </c>
      <c r="C119" s="18">
        <f t="shared" ref="C119:O119" si="28">SUM(C117:C118)</f>
        <v>45704</v>
      </c>
      <c r="D119" s="18">
        <f t="shared" si="28"/>
        <v>35309</v>
      </c>
      <c r="E119" s="18">
        <f t="shared" si="28"/>
        <v>605</v>
      </c>
      <c r="F119" s="18">
        <f t="shared" si="28"/>
        <v>9790</v>
      </c>
      <c r="G119" s="18">
        <f t="shared" si="28"/>
        <v>186517</v>
      </c>
      <c r="H119" s="18">
        <f t="shared" si="28"/>
        <v>115196</v>
      </c>
      <c r="I119" s="18">
        <f t="shared" si="28"/>
        <v>4476</v>
      </c>
      <c r="J119" s="18">
        <f t="shared" si="28"/>
        <v>66845</v>
      </c>
      <c r="K119" s="18">
        <f t="shared" si="28"/>
        <v>264</v>
      </c>
      <c r="L119" s="18">
        <f t="shared" si="28"/>
        <v>0</v>
      </c>
      <c r="M119" s="18">
        <f t="shared" si="28"/>
        <v>54165</v>
      </c>
      <c r="N119" s="18">
        <f t="shared" si="28"/>
        <v>1618</v>
      </c>
      <c r="O119" s="18">
        <f t="shared" si="28"/>
        <v>1618</v>
      </c>
    </row>
    <row r="120" spans="1:15" ht="12.75" customHeight="1">
      <c r="A120" s="13" t="s">
        <v>218</v>
      </c>
      <c r="B120" s="14" t="s">
        <v>219</v>
      </c>
      <c r="C120" s="15">
        <v>36554</v>
      </c>
      <c r="D120" s="15">
        <v>32145</v>
      </c>
      <c r="E120" s="15">
        <v>576</v>
      </c>
      <c r="F120" s="15">
        <f>SUM(C120-D120-E120)</f>
        <v>3833</v>
      </c>
      <c r="G120" s="15">
        <v>123814</v>
      </c>
      <c r="H120" s="15">
        <v>95226</v>
      </c>
      <c r="I120" s="15">
        <v>5027</v>
      </c>
      <c r="J120" s="15">
        <f>SUM(G120-H120-I120)</f>
        <v>23561</v>
      </c>
      <c r="K120" s="15">
        <v>4170</v>
      </c>
      <c r="L120" s="15">
        <v>0</v>
      </c>
      <c r="M120" s="15">
        <v>7591</v>
      </c>
      <c r="N120" s="15">
        <v>5150</v>
      </c>
      <c r="O120" s="15">
        <v>5150</v>
      </c>
    </row>
    <row r="121" spans="1:15" ht="12.75" customHeight="1">
      <c r="A121" s="13" t="s">
        <v>220</v>
      </c>
      <c r="B121" s="14" t="s">
        <v>221</v>
      </c>
      <c r="C121" s="15">
        <v>58242</v>
      </c>
      <c r="D121" s="15">
        <v>52799</v>
      </c>
      <c r="E121" s="15">
        <v>1613</v>
      </c>
      <c r="F121" s="15">
        <f>SUM(C121-D121-E121)</f>
        <v>3830</v>
      </c>
      <c r="G121" s="15">
        <v>221799</v>
      </c>
      <c r="H121" s="15">
        <v>158221</v>
      </c>
      <c r="I121" s="15">
        <v>10322</v>
      </c>
      <c r="J121" s="15">
        <f>SUM(G121-H121-I121)</f>
        <v>53256</v>
      </c>
      <c r="K121" s="15">
        <v>701</v>
      </c>
      <c r="L121" s="15">
        <v>0</v>
      </c>
      <c r="M121" s="15">
        <v>19655</v>
      </c>
      <c r="N121" s="15">
        <v>750</v>
      </c>
      <c r="O121" s="15">
        <v>750</v>
      </c>
    </row>
    <row r="122" spans="1:15" ht="12.75" customHeight="1">
      <c r="A122" s="13" t="s">
        <v>222</v>
      </c>
      <c r="B122" s="14" t="s">
        <v>223</v>
      </c>
      <c r="C122" s="15">
        <v>10488</v>
      </c>
      <c r="D122" s="15">
        <v>9267</v>
      </c>
      <c r="E122" s="15">
        <v>0</v>
      </c>
      <c r="F122" s="15">
        <f>SUM(C122-D122-E122)</f>
        <v>1221</v>
      </c>
      <c r="G122" s="15">
        <v>37224</v>
      </c>
      <c r="H122" s="15">
        <v>25420</v>
      </c>
      <c r="I122" s="15">
        <v>0</v>
      </c>
      <c r="J122" s="15">
        <f>SUM(G122-H122-I122)</f>
        <v>11804</v>
      </c>
      <c r="K122" s="15">
        <v>177</v>
      </c>
      <c r="L122" s="15">
        <v>0</v>
      </c>
      <c r="M122" s="15">
        <v>15672</v>
      </c>
      <c r="N122" s="15">
        <v>209</v>
      </c>
      <c r="O122" s="15">
        <v>209</v>
      </c>
    </row>
    <row r="123" spans="1:15" ht="12.75" customHeight="1">
      <c r="A123" s="13" t="s">
        <v>224</v>
      </c>
      <c r="B123" s="14" t="s">
        <v>225</v>
      </c>
      <c r="C123" s="15">
        <v>54159</v>
      </c>
      <c r="D123" s="15">
        <v>45065</v>
      </c>
      <c r="E123" s="15">
        <v>777</v>
      </c>
      <c r="F123" s="15">
        <f>SUM(C123-D123-E123)</f>
        <v>8317</v>
      </c>
      <c r="G123" s="15">
        <v>197254</v>
      </c>
      <c r="H123" s="15">
        <v>117282</v>
      </c>
      <c r="I123" s="15">
        <v>5183</v>
      </c>
      <c r="J123" s="15">
        <f>SUM(G123-H123-I123)</f>
        <v>74789</v>
      </c>
      <c r="K123" s="15">
        <v>2261</v>
      </c>
      <c r="L123" s="15">
        <v>0</v>
      </c>
      <c r="M123" s="15">
        <v>8744</v>
      </c>
      <c r="N123" s="15">
        <v>1291</v>
      </c>
      <c r="O123" s="15">
        <v>1291</v>
      </c>
    </row>
    <row r="124" spans="1:15" ht="12.75" customHeight="1">
      <c r="A124" s="13" t="s">
        <v>226</v>
      </c>
      <c r="B124" s="14" t="s">
        <v>227</v>
      </c>
      <c r="C124" s="15">
        <v>19077</v>
      </c>
      <c r="D124" s="15">
        <v>17069</v>
      </c>
      <c r="E124" s="15">
        <v>508</v>
      </c>
      <c r="F124" s="15">
        <f>SUM(C124-D124-E124)</f>
        <v>1500</v>
      </c>
      <c r="G124" s="15">
        <v>60520</v>
      </c>
      <c r="H124" s="15">
        <v>44495</v>
      </c>
      <c r="I124" s="15">
        <v>4332</v>
      </c>
      <c r="J124" s="15">
        <f>SUM(G124-H124-I124)</f>
        <v>11693</v>
      </c>
      <c r="K124" s="15">
        <v>483</v>
      </c>
      <c r="L124" s="15">
        <v>0</v>
      </c>
      <c r="M124" s="15">
        <v>445</v>
      </c>
      <c r="N124" s="15">
        <v>733</v>
      </c>
      <c r="O124" s="15">
        <v>733</v>
      </c>
    </row>
    <row r="125" spans="1:15" ht="12.75" customHeight="1">
      <c r="A125" s="16"/>
      <c r="B125" s="17" t="s">
        <v>228</v>
      </c>
      <c r="C125" s="18">
        <f t="shared" ref="C125:O125" si="29">SUM(C120:C124)</f>
        <v>178520</v>
      </c>
      <c r="D125" s="18">
        <f t="shared" si="29"/>
        <v>156345</v>
      </c>
      <c r="E125" s="18">
        <f t="shared" si="29"/>
        <v>3474</v>
      </c>
      <c r="F125" s="18">
        <f t="shared" si="29"/>
        <v>18701</v>
      </c>
      <c r="G125" s="18">
        <f t="shared" si="29"/>
        <v>640611</v>
      </c>
      <c r="H125" s="18">
        <f t="shared" si="29"/>
        <v>440644</v>
      </c>
      <c r="I125" s="18">
        <f t="shared" si="29"/>
        <v>24864</v>
      </c>
      <c r="J125" s="18">
        <f t="shared" si="29"/>
        <v>175103</v>
      </c>
      <c r="K125" s="18">
        <f t="shared" si="29"/>
        <v>7792</v>
      </c>
      <c r="L125" s="18">
        <f t="shared" si="29"/>
        <v>0</v>
      </c>
      <c r="M125" s="18">
        <f t="shared" si="29"/>
        <v>52107</v>
      </c>
      <c r="N125" s="18">
        <f t="shared" si="29"/>
        <v>8133</v>
      </c>
      <c r="O125" s="18">
        <f t="shared" si="29"/>
        <v>8133</v>
      </c>
    </row>
    <row r="126" spans="1:15" ht="12.75" customHeight="1">
      <c r="A126" s="13" t="s">
        <v>229</v>
      </c>
      <c r="B126" s="14" t="s">
        <v>230</v>
      </c>
      <c r="C126" s="15">
        <v>38210</v>
      </c>
      <c r="D126" s="15">
        <v>27217</v>
      </c>
      <c r="E126" s="15">
        <v>0</v>
      </c>
      <c r="F126" s="15">
        <f t="shared" ref="F126:F134" si="30">SUM(C126-D126-E126)</f>
        <v>10993</v>
      </c>
      <c r="G126" s="15">
        <v>113009</v>
      </c>
      <c r="H126" s="15">
        <v>63149</v>
      </c>
      <c r="I126" s="15">
        <v>0</v>
      </c>
      <c r="J126" s="15">
        <f t="shared" ref="J126:J134" si="31">SUM(G126-H126-I126)</f>
        <v>49860</v>
      </c>
      <c r="K126" s="15">
        <v>638</v>
      </c>
      <c r="L126" s="15">
        <v>0</v>
      </c>
      <c r="M126" s="15">
        <v>13062</v>
      </c>
      <c r="N126" s="15">
        <v>1323</v>
      </c>
      <c r="O126" s="15">
        <v>1323</v>
      </c>
    </row>
    <row r="127" spans="1:15" ht="12.75" customHeight="1">
      <c r="A127" s="13" t="s">
        <v>231</v>
      </c>
      <c r="B127" s="14" t="s">
        <v>232</v>
      </c>
      <c r="C127" s="15">
        <v>17509</v>
      </c>
      <c r="D127" s="15">
        <v>13950</v>
      </c>
      <c r="E127" s="15">
        <v>0</v>
      </c>
      <c r="F127" s="15">
        <f t="shared" si="30"/>
        <v>3559</v>
      </c>
      <c r="G127" s="15">
        <v>61182</v>
      </c>
      <c r="H127" s="15">
        <v>46331</v>
      </c>
      <c r="I127" s="15">
        <v>0</v>
      </c>
      <c r="J127" s="15">
        <f t="shared" si="31"/>
        <v>14851</v>
      </c>
      <c r="K127" s="15">
        <v>228</v>
      </c>
      <c r="L127" s="15">
        <v>0</v>
      </c>
      <c r="M127" s="15">
        <v>5530</v>
      </c>
      <c r="N127" s="15">
        <v>345</v>
      </c>
      <c r="O127" s="15">
        <v>345</v>
      </c>
    </row>
    <row r="128" spans="1:15" ht="12.75" customHeight="1">
      <c r="A128" s="13" t="s">
        <v>233</v>
      </c>
      <c r="B128" s="14" t="s">
        <v>234</v>
      </c>
      <c r="C128" s="15">
        <v>114304</v>
      </c>
      <c r="D128" s="15">
        <v>83207</v>
      </c>
      <c r="E128" s="15">
        <v>2419</v>
      </c>
      <c r="F128" s="15">
        <f t="shared" si="30"/>
        <v>28678</v>
      </c>
      <c r="G128" s="15">
        <v>284976</v>
      </c>
      <c r="H128" s="15">
        <v>180284</v>
      </c>
      <c r="I128" s="15">
        <v>10299</v>
      </c>
      <c r="J128" s="15">
        <f t="shared" si="31"/>
        <v>94393</v>
      </c>
      <c r="K128" s="15">
        <v>3461</v>
      </c>
      <c r="L128" s="15">
        <v>0</v>
      </c>
      <c r="M128" s="15">
        <v>21338</v>
      </c>
      <c r="N128" s="15">
        <v>2265</v>
      </c>
      <c r="O128" s="15">
        <v>2265</v>
      </c>
    </row>
    <row r="129" spans="1:15" ht="12.75" customHeight="1">
      <c r="A129" s="13" t="s">
        <v>235</v>
      </c>
      <c r="B129" s="14" t="s">
        <v>236</v>
      </c>
      <c r="C129" s="15">
        <v>13198</v>
      </c>
      <c r="D129" s="15">
        <v>8764</v>
      </c>
      <c r="E129" s="15">
        <v>643</v>
      </c>
      <c r="F129" s="15">
        <f t="shared" si="30"/>
        <v>3791</v>
      </c>
      <c r="G129" s="15">
        <v>51676</v>
      </c>
      <c r="H129" s="15">
        <v>22118</v>
      </c>
      <c r="I129" s="15">
        <v>5023</v>
      </c>
      <c r="J129" s="15">
        <f t="shared" si="31"/>
        <v>24535</v>
      </c>
      <c r="K129" s="15">
        <v>456</v>
      </c>
      <c r="L129" s="15">
        <v>0</v>
      </c>
      <c r="M129" s="15">
        <v>17783</v>
      </c>
      <c r="N129" s="15">
        <v>374</v>
      </c>
      <c r="O129" s="15">
        <v>374</v>
      </c>
    </row>
    <row r="130" spans="1:15" ht="12.75" customHeight="1">
      <c r="A130" s="13" t="s">
        <v>237</v>
      </c>
      <c r="B130" s="14" t="s">
        <v>238</v>
      </c>
      <c r="C130" s="15">
        <v>75959</v>
      </c>
      <c r="D130" s="15">
        <v>62053</v>
      </c>
      <c r="E130" s="15">
        <v>4010</v>
      </c>
      <c r="F130" s="15">
        <f t="shared" si="30"/>
        <v>9896</v>
      </c>
      <c r="G130" s="15">
        <v>203234</v>
      </c>
      <c r="H130" s="15">
        <v>105613</v>
      </c>
      <c r="I130" s="15">
        <v>18102</v>
      </c>
      <c r="J130" s="15">
        <f t="shared" si="31"/>
        <v>79519</v>
      </c>
      <c r="K130" s="15">
        <v>2672</v>
      </c>
      <c r="L130" s="15">
        <v>0</v>
      </c>
      <c r="M130" s="15">
        <v>1490</v>
      </c>
      <c r="N130" s="15">
        <v>7702</v>
      </c>
      <c r="O130" s="15">
        <v>7702</v>
      </c>
    </row>
    <row r="131" spans="1:15" ht="12.75" customHeight="1">
      <c r="A131" s="13" t="s">
        <v>239</v>
      </c>
      <c r="B131" s="14" t="s">
        <v>240</v>
      </c>
      <c r="C131" s="15">
        <v>139252</v>
      </c>
      <c r="D131" s="15">
        <v>113837</v>
      </c>
      <c r="E131" s="15">
        <v>1054</v>
      </c>
      <c r="F131" s="15">
        <f t="shared" si="30"/>
        <v>24361</v>
      </c>
      <c r="G131" s="15">
        <v>406669</v>
      </c>
      <c r="H131" s="15">
        <v>189598</v>
      </c>
      <c r="I131" s="15">
        <v>5527</v>
      </c>
      <c r="J131" s="15">
        <f t="shared" si="31"/>
        <v>211544</v>
      </c>
      <c r="K131" s="15">
        <v>8028</v>
      </c>
      <c r="L131" s="15">
        <v>1419</v>
      </c>
      <c r="M131" s="15">
        <v>19762</v>
      </c>
      <c r="N131" s="15">
        <v>4525</v>
      </c>
      <c r="O131" s="15">
        <v>4525</v>
      </c>
    </row>
    <row r="132" spans="1:15" ht="12.75" customHeight="1">
      <c r="A132" s="13" t="s">
        <v>241</v>
      </c>
      <c r="B132" s="14" t="s">
        <v>242</v>
      </c>
      <c r="C132" s="15">
        <v>72979</v>
      </c>
      <c r="D132" s="15">
        <v>57871</v>
      </c>
      <c r="E132" s="15">
        <v>0</v>
      </c>
      <c r="F132" s="15">
        <f t="shared" si="30"/>
        <v>15108</v>
      </c>
      <c r="G132" s="15">
        <v>215097</v>
      </c>
      <c r="H132" s="15">
        <v>119560</v>
      </c>
      <c r="I132" s="15">
        <v>0</v>
      </c>
      <c r="J132" s="15">
        <f t="shared" si="31"/>
        <v>95537</v>
      </c>
      <c r="K132" s="15">
        <v>6776</v>
      </c>
      <c r="L132" s="15">
        <v>0</v>
      </c>
      <c r="M132" s="15">
        <v>18526</v>
      </c>
      <c r="N132" s="15">
        <v>449</v>
      </c>
      <c r="O132" s="15">
        <v>449</v>
      </c>
    </row>
    <row r="133" spans="1:15" ht="12.75" customHeight="1">
      <c r="A133" s="13" t="s">
        <v>243</v>
      </c>
      <c r="B133" s="14" t="s">
        <v>244</v>
      </c>
      <c r="C133" s="15">
        <v>57094</v>
      </c>
      <c r="D133" s="15">
        <v>49166</v>
      </c>
      <c r="E133" s="15">
        <v>106</v>
      </c>
      <c r="F133" s="15">
        <f t="shared" si="30"/>
        <v>7822</v>
      </c>
      <c r="G133" s="15">
        <v>146029</v>
      </c>
      <c r="H133" s="15">
        <v>111533</v>
      </c>
      <c r="I133" s="15">
        <v>216</v>
      </c>
      <c r="J133" s="15">
        <f t="shared" si="31"/>
        <v>34280</v>
      </c>
      <c r="K133" s="15">
        <v>22183</v>
      </c>
      <c r="L133" s="15">
        <v>0</v>
      </c>
      <c r="M133" s="15">
        <v>10710</v>
      </c>
      <c r="N133" s="15">
        <v>1006</v>
      </c>
      <c r="O133" s="15">
        <v>1006</v>
      </c>
    </row>
    <row r="134" spans="1:15" ht="12.75" customHeight="1">
      <c r="A134" s="13" t="s">
        <v>245</v>
      </c>
      <c r="B134" s="14" t="s">
        <v>246</v>
      </c>
      <c r="C134" s="15">
        <v>37559</v>
      </c>
      <c r="D134" s="15">
        <v>28137</v>
      </c>
      <c r="E134" s="15">
        <v>0</v>
      </c>
      <c r="F134" s="15">
        <f t="shared" si="30"/>
        <v>9422</v>
      </c>
      <c r="G134" s="15">
        <v>93107</v>
      </c>
      <c r="H134" s="15">
        <v>58408</v>
      </c>
      <c r="I134" s="15">
        <v>0</v>
      </c>
      <c r="J134" s="15">
        <f t="shared" si="31"/>
        <v>34699</v>
      </c>
      <c r="K134" s="15">
        <v>324</v>
      </c>
      <c r="L134" s="15">
        <v>0</v>
      </c>
      <c r="M134" s="15">
        <v>14921</v>
      </c>
      <c r="N134" s="15">
        <v>299</v>
      </c>
      <c r="O134" s="15">
        <v>299</v>
      </c>
    </row>
    <row r="135" spans="1:15" ht="12.75" customHeight="1">
      <c r="A135" s="19"/>
      <c r="B135" s="17" t="s">
        <v>247</v>
      </c>
      <c r="C135" s="18">
        <f t="shared" ref="C135:O135" si="32">SUM(C126:C134)</f>
        <v>566064</v>
      </c>
      <c r="D135" s="18">
        <f t="shared" si="32"/>
        <v>444202</v>
      </c>
      <c r="E135" s="18">
        <f t="shared" si="32"/>
        <v>8232</v>
      </c>
      <c r="F135" s="18">
        <f t="shared" si="32"/>
        <v>113630</v>
      </c>
      <c r="G135" s="18">
        <f t="shared" si="32"/>
        <v>1574979</v>
      </c>
      <c r="H135" s="18">
        <f t="shared" si="32"/>
        <v>896594</v>
      </c>
      <c r="I135" s="18">
        <f t="shared" si="32"/>
        <v>39167</v>
      </c>
      <c r="J135" s="18">
        <f t="shared" si="32"/>
        <v>639218</v>
      </c>
      <c r="K135" s="18">
        <f t="shared" si="32"/>
        <v>44766</v>
      </c>
      <c r="L135" s="18">
        <f t="shared" si="32"/>
        <v>1419</v>
      </c>
      <c r="M135" s="18">
        <f t="shared" si="32"/>
        <v>123122</v>
      </c>
      <c r="N135" s="18">
        <f t="shared" si="32"/>
        <v>18288</v>
      </c>
      <c r="O135" s="18">
        <f t="shared" si="32"/>
        <v>18288</v>
      </c>
    </row>
    <row r="136" spans="1:15" ht="12.75" customHeight="1">
      <c r="A136" s="13" t="s">
        <v>248</v>
      </c>
      <c r="B136" s="14" t="s">
        <v>249</v>
      </c>
      <c r="C136" s="15">
        <v>83559</v>
      </c>
      <c r="D136" s="15">
        <v>76907</v>
      </c>
      <c r="E136" s="15">
        <v>0</v>
      </c>
      <c r="F136" s="15">
        <f t="shared" ref="F136:F143" si="33">SUM(C136-D136-E136)</f>
        <v>6652</v>
      </c>
      <c r="G136" s="15">
        <v>204706</v>
      </c>
      <c r="H136" s="15">
        <v>158136</v>
      </c>
      <c r="I136" s="15">
        <v>0</v>
      </c>
      <c r="J136" s="15">
        <f t="shared" ref="J136:J143" si="34">SUM(G136-H136-I136)</f>
        <v>46570</v>
      </c>
      <c r="K136" s="15">
        <v>18784</v>
      </c>
      <c r="L136" s="15">
        <v>10018</v>
      </c>
      <c r="M136" s="15">
        <v>13635</v>
      </c>
      <c r="N136" s="15">
        <v>26341</v>
      </c>
      <c r="O136" s="15">
        <v>26341</v>
      </c>
    </row>
    <row r="137" spans="1:15" ht="12.75" customHeight="1">
      <c r="A137" s="13" t="s">
        <v>250</v>
      </c>
      <c r="B137" s="14" t="s">
        <v>251</v>
      </c>
      <c r="C137" s="15">
        <v>12057</v>
      </c>
      <c r="D137" s="15">
        <v>12047</v>
      </c>
      <c r="E137" s="15">
        <v>0</v>
      </c>
      <c r="F137" s="15">
        <f t="shared" si="33"/>
        <v>10</v>
      </c>
      <c r="G137" s="15">
        <v>26880</v>
      </c>
      <c r="H137" s="15">
        <v>26628</v>
      </c>
      <c r="I137" s="15">
        <v>0</v>
      </c>
      <c r="J137" s="15">
        <f t="shared" si="34"/>
        <v>252</v>
      </c>
      <c r="K137" s="15">
        <v>643</v>
      </c>
      <c r="L137" s="15">
        <v>0</v>
      </c>
      <c r="M137" s="15">
        <v>0</v>
      </c>
      <c r="N137" s="15">
        <v>2725</v>
      </c>
      <c r="O137" s="15">
        <v>2725</v>
      </c>
    </row>
    <row r="138" spans="1:15" ht="12.75" customHeight="1">
      <c r="A138" s="13" t="s">
        <v>252</v>
      </c>
      <c r="B138" s="14" t="s">
        <v>253</v>
      </c>
      <c r="C138" s="15">
        <v>7522</v>
      </c>
      <c r="D138" s="15">
        <v>7471</v>
      </c>
      <c r="E138" s="15">
        <v>0</v>
      </c>
      <c r="F138" s="15">
        <f t="shared" si="33"/>
        <v>51</v>
      </c>
      <c r="G138" s="15">
        <v>26688</v>
      </c>
      <c r="H138" s="15">
        <v>24107</v>
      </c>
      <c r="I138" s="15">
        <v>0</v>
      </c>
      <c r="J138" s="15">
        <f t="shared" si="34"/>
        <v>2581</v>
      </c>
      <c r="K138" s="15">
        <v>2322</v>
      </c>
      <c r="L138" s="15">
        <v>0</v>
      </c>
      <c r="M138" s="15">
        <v>5513</v>
      </c>
      <c r="N138" s="15">
        <v>5092</v>
      </c>
      <c r="O138" s="15">
        <v>5092</v>
      </c>
    </row>
    <row r="139" spans="1:15" ht="12.75" customHeight="1">
      <c r="A139" s="13" t="s">
        <v>254</v>
      </c>
      <c r="B139" s="14" t="s">
        <v>255</v>
      </c>
      <c r="C139" s="15">
        <v>21366</v>
      </c>
      <c r="D139" s="15">
        <v>18964</v>
      </c>
      <c r="E139" s="15">
        <v>0</v>
      </c>
      <c r="F139" s="15">
        <f t="shared" si="33"/>
        <v>2402</v>
      </c>
      <c r="G139" s="15">
        <v>62548</v>
      </c>
      <c r="H139" s="15">
        <v>51536</v>
      </c>
      <c r="I139" s="15">
        <v>0</v>
      </c>
      <c r="J139" s="15">
        <f t="shared" si="34"/>
        <v>11012</v>
      </c>
      <c r="K139" s="15">
        <v>12228</v>
      </c>
      <c r="L139" s="15">
        <v>2287</v>
      </c>
      <c r="M139" s="15">
        <v>10134</v>
      </c>
      <c r="N139" s="15">
        <v>2468</v>
      </c>
      <c r="O139" s="15">
        <v>2468</v>
      </c>
    </row>
    <row r="140" spans="1:15" ht="12.75" customHeight="1">
      <c r="A140" s="13" t="s">
        <v>256</v>
      </c>
      <c r="B140" s="14" t="s">
        <v>257</v>
      </c>
      <c r="C140" s="15">
        <v>4642</v>
      </c>
      <c r="D140" s="15">
        <v>4601</v>
      </c>
      <c r="E140" s="15">
        <v>0</v>
      </c>
      <c r="F140" s="15">
        <f t="shared" si="33"/>
        <v>41</v>
      </c>
      <c r="G140" s="15">
        <v>9954</v>
      </c>
      <c r="H140" s="15">
        <v>9775</v>
      </c>
      <c r="I140" s="15">
        <v>0</v>
      </c>
      <c r="J140" s="15">
        <f t="shared" si="34"/>
        <v>179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</row>
    <row r="141" spans="1:15" ht="12.75" customHeight="1">
      <c r="A141" s="13" t="s">
        <v>258</v>
      </c>
      <c r="B141" s="14" t="s">
        <v>259</v>
      </c>
      <c r="C141" s="15">
        <v>27949</v>
      </c>
      <c r="D141" s="15">
        <v>26548</v>
      </c>
      <c r="E141" s="15">
        <v>0</v>
      </c>
      <c r="F141" s="15">
        <f t="shared" si="33"/>
        <v>1401</v>
      </c>
      <c r="G141" s="15">
        <v>57588</v>
      </c>
      <c r="H141" s="15">
        <v>52884</v>
      </c>
      <c r="I141" s="15">
        <v>0</v>
      </c>
      <c r="J141" s="15">
        <f t="shared" si="34"/>
        <v>4704</v>
      </c>
      <c r="K141" s="15">
        <v>217</v>
      </c>
      <c r="L141" s="15">
        <v>0</v>
      </c>
      <c r="M141" s="15">
        <v>139</v>
      </c>
      <c r="N141" s="15">
        <v>3197</v>
      </c>
      <c r="O141" s="15">
        <v>3197</v>
      </c>
    </row>
    <row r="142" spans="1:15" ht="12.75" customHeight="1">
      <c r="A142" s="13" t="s">
        <v>260</v>
      </c>
      <c r="B142" s="14" t="s">
        <v>261</v>
      </c>
      <c r="C142" s="15">
        <v>20161</v>
      </c>
      <c r="D142" s="15">
        <v>15048</v>
      </c>
      <c r="E142" s="15">
        <v>0</v>
      </c>
      <c r="F142" s="15">
        <f t="shared" si="33"/>
        <v>5113</v>
      </c>
      <c r="G142" s="15">
        <v>63412</v>
      </c>
      <c r="H142" s="15">
        <v>49413</v>
      </c>
      <c r="I142" s="15">
        <v>0</v>
      </c>
      <c r="J142" s="15">
        <f t="shared" si="34"/>
        <v>13999</v>
      </c>
      <c r="K142" s="15">
        <v>8261</v>
      </c>
      <c r="L142" s="15">
        <v>0</v>
      </c>
      <c r="M142" s="15">
        <v>13242</v>
      </c>
      <c r="N142" s="15">
        <v>7350</v>
      </c>
      <c r="O142" s="15">
        <v>7350</v>
      </c>
    </row>
    <row r="143" spans="1:15" ht="12.75" customHeight="1">
      <c r="A143" s="13" t="s">
        <v>262</v>
      </c>
      <c r="B143" s="14" t="s">
        <v>263</v>
      </c>
      <c r="C143" s="15">
        <v>54849</v>
      </c>
      <c r="D143" s="15">
        <v>43454</v>
      </c>
      <c r="E143" s="15">
        <v>0</v>
      </c>
      <c r="F143" s="15">
        <f t="shared" si="33"/>
        <v>11395</v>
      </c>
      <c r="G143" s="15">
        <v>178161</v>
      </c>
      <c r="H143" s="15">
        <v>80422</v>
      </c>
      <c r="I143" s="15">
        <v>0</v>
      </c>
      <c r="J143" s="15">
        <f t="shared" si="34"/>
        <v>97739</v>
      </c>
      <c r="K143" s="15">
        <v>47451</v>
      </c>
      <c r="L143" s="15">
        <v>695</v>
      </c>
      <c r="M143" s="15">
        <v>19396</v>
      </c>
      <c r="N143" s="15">
        <v>9223</v>
      </c>
      <c r="O143" s="15">
        <v>9223</v>
      </c>
    </row>
    <row r="144" spans="1:15" ht="14.7" customHeight="1">
      <c r="A144" s="13" t="s">
        <v>264</v>
      </c>
      <c r="B144" s="14" t="s">
        <v>265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</row>
    <row r="145" spans="1:15" ht="14.7" customHeight="1">
      <c r="A145" s="19"/>
      <c r="B145" s="17" t="s">
        <v>266</v>
      </c>
      <c r="C145" s="21">
        <f t="shared" ref="C145:O145" si="35">SUM(C136:C144)</f>
        <v>232105</v>
      </c>
      <c r="D145" s="21">
        <f t="shared" si="35"/>
        <v>205040</v>
      </c>
      <c r="E145" s="21">
        <f t="shared" si="35"/>
        <v>0</v>
      </c>
      <c r="F145" s="21">
        <f t="shared" si="35"/>
        <v>27065</v>
      </c>
      <c r="G145" s="21">
        <f t="shared" si="35"/>
        <v>629937</v>
      </c>
      <c r="H145" s="21">
        <f t="shared" si="35"/>
        <v>452901</v>
      </c>
      <c r="I145" s="21">
        <f t="shared" si="35"/>
        <v>0</v>
      </c>
      <c r="J145" s="21">
        <f t="shared" si="35"/>
        <v>177036</v>
      </c>
      <c r="K145" s="21">
        <f t="shared" si="35"/>
        <v>89906</v>
      </c>
      <c r="L145" s="21">
        <f t="shared" si="35"/>
        <v>13000</v>
      </c>
      <c r="M145" s="21">
        <f t="shared" si="35"/>
        <v>62059</v>
      </c>
      <c r="N145" s="21">
        <f t="shared" si="35"/>
        <v>56396</v>
      </c>
      <c r="O145" s="21">
        <f t="shared" si="35"/>
        <v>56396</v>
      </c>
    </row>
    <row r="146" spans="1:15" ht="14.7" customHeight="1">
      <c r="A146" s="22" t="s">
        <v>267</v>
      </c>
      <c r="B146" s="23" t="s">
        <v>268</v>
      </c>
      <c r="C146" s="24">
        <f t="shared" ref="C146:O146" si="36">C145+C135+C125+C119+C116+C109+C103+C98+C95+C89+C86+C80+C69+C59+C51+C46+C43+C30+C25+C23</f>
        <v>7293075</v>
      </c>
      <c r="D146" s="24">
        <f t="shared" si="36"/>
        <v>5195156</v>
      </c>
      <c r="E146" s="24">
        <f t="shared" si="36"/>
        <v>206309</v>
      </c>
      <c r="F146" s="24">
        <f t="shared" si="36"/>
        <v>1891610</v>
      </c>
      <c r="G146" s="24">
        <f t="shared" si="36"/>
        <v>23061070</v>
      </c>
      <c r="H146" s="24">
        <f t="shared" si="36"/>
        <v>11796251</v>
      </c>
      <c r="I146" s="24">
        <f t="shared" si="36"/>
        <v>975567</v>
      </c>
      <c r="J146" s="24">
        <f t="shared" si="36"/>
        <v>10289252</v>
      </c>
      <c r="K146" s="24">
        <f t="shared" si="36"/>
        <v>1019914</v>
      </c>
      <c r="L146" s="24">
        <f t="shared" si="36"/>
        <v>25326</v>
      </c>
      <c r="M146" s="24">
        <f t="shared" si="36"/>
        <v>2054792</v>
      </c>
      <c r="N146" s="24">
        <f t="shared" si="36"/>
        <v>921829</v>
      </c>
      <c r="O146" s="24">
        <f t="shared" si="36"/>
        <v>457913</v>
      </c>
    </row>
  </sheetData>
  <sheetProtection selectLockedCells="1" selectUnlockedCells="1"/>
  <mergeCells count="29">
    <mergeCell ref="A4:C4"/>
    <mergeCell ref="E4:L4"/>
    <mergeCell ref="A1:D1"/>
    <mergeCell ref="E1:L1"/>
    <mergeCell ref="A2:D2"/>
    <mergeCell ref="A3:C3"/>
    <mergeCell ref="E3:L3"/>
    <mergeCell ref="G12:G13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51180555555555551" footer="0.51180555555555551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Progressivo2017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2018-05-23T12:43:17Z</dcterms:modified>
</cp:coreProperties>
</file>