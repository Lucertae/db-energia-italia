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F16"/>
  <c r="J16"/>
  <c r="J23" s="1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K135"/>
  <c r="L135"/>
  <c r="M135"/>
  <c r="N135"/>
  <c r="O135"/>
  <c r="F136"/>
  <c r="F144" s="1"/>
  <c r="J136"/>
  <c r="J144" s="1"/>
  <c r="J145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E145" s="1"/>
  <c r="G144"/>
  <c r="G145" s="1"/>
  <c r="H144"/>
  <c r="H145" s="1"/>
  <c r="I144"/>
  <c r="I145" s="1"/>
  <c r="K144"/>
  <c r="K145" s="1"/>
  <c r="L144"/>
  <c r="L145" s="1"/>
  <c r="M144"/>
  <c r="M145" s="1"/>
  <c r="N144"/>
  <c r="O144"/>
  <c r="O145" s="1"/>
  <c r="N145"/>
  <c r="F15" i="2"/>
  <c r="J15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F30" s="1"/>
  <c r="J27"/>
  <c r="F28"/>
  <c r="J28"/>
  <c r="F29"/>
  <c r="J29"/>
  <c r="C30"/>
  <c r="D30"/>
  <c r="E30"/>
  <c r="G30"/>
  <c r="H30"/>
  <c r="I30"/>
  <c r="J30"/>
  <c r="K30"/>
  <c r="L30"/>
  <c r="M30"/>
  <c r="N30"/>
  <c r="O30"/>
  <c r="F31"/>
  <c r="J31"/>
  <c r="J43" s="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F46" s="1"/>
  <c r="J44"/>
  <c r="J46" s="1"/>
  <c r="F45"/>
  <c r="J45"/>
  <c r="C46"/>
  <c r="D46"/>
  <c r="E46"/>
  <c r="G46"/>
  <c r="H46"/>
  <c r="I46"/>
  <c r="K46"/>
  <c r="L46"/>
  <c r="M46"/>
  <c r="N46"/>
  <c r="O46"/>
  <c r="F47"/>
  <c r="J47"/>
  <c r="F48"/>
  <c r="J48"/>
  <c r="F49"/>
  <c r="J49"/>
  <c r="F50"/>
  <c r="J50"/>
  <c r="C51"/>
  <c r="D51"/>
  <c r="E51"/>
  <c r="F51"/>
  <c r="G51"/>
  <c r="H51"/>
  <c r="I51"/>
  <c r="J51"/>
  <c r="K51"/>
  <c r="L51"/>
  <c r="M51"/>
  <c r="N51"/>
  <c r="O51"/>
  <c r="F52"/>
  <c r="J52"/>
  <c r="F53"/>
  <c r="F59" s="1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F80" s="1"/>
  <c r="J70"/>
  <c r="J80" s="1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F89" s="1"/>
  <c r="J87"/>
  <c r="J89" s="1"/>
  <c r="F88"/>
  <c r="J88"/>
  <c r="C89"/>
  <c r="D89"/>
  <c r="E89"/>
  <c r="G89"/>
  <c r="H89"/>
  <c r="I89"/>
  <c r="K89"/>
  <c r="L89"/>
  <c r="M89"/>
  <c r="N89"/>
  <c r="O89"/>
  <c r="F90"/>
  <c r="F95" s="1"/>
  <c r="J90"/>
  <c r="F9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F98" s="1"/>
  <c r="J96"/>
  <c r="J98" s="1"/>
  <c r="F97"/>
  <c r="J97"/>
  <c r="C98"/>
  <c r="D98"/>
  <c r="E98"/>
  <c r="G98"/>
  <c r="H98"/>
  <c r="I98"/>
  <c r="K98"/>
  <c r="L98"/>
  <c r="M98"/>
  <c r="N98"/>
  <c r="O98"/>
  <c r="F99"/>
  <c r="J99"/>
  <c r="F100"/>
  <c r="J100"/>
  <c r="F101"/>
  <c r="J101"/>
  <c r="F102"/>
  <c r="J102"/>
  <c r="C103"/>
  <c r="D103"/>
  <c r="E103"/>
  <c r="F103"/>
  <c r="G103"/>
  <c r="H103"/>
  <c r="I103"/>
  <c r="J103"/>
  <c r="K103"/>
  <c r="L103"/>
  <c r="M103"/>
  <c r="N103"/>
  <c r="O103"/>
  <c r="F104"/>
  <c r="J104"/>
  <c r="F105"/>
  <c r="F109" s="1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J110"/>
  <c r="F111"/>
  <c r="J111"/>
  <c r="F112"/>
  <c r="J112"/>
  <c r="F113"/>
  <c r="J113"/>
  <c r="F114"/>
  <c r="J114"/>
  <c r="F115"/>
  <c r="J115"/>
  <c r="C116"/>
  <c r="D116"/>
  <c r="E116"/>
  <c r="F116"/>
  <c r="G116"/>
  <c r="H116"/>
  <c r="I116"/>
  <c r="J116"/>
  <c r="K116"/>
  <c r="L116"/>
  <c r="M116"/>
  <c r="N116"/>
  <c r="O116"/>
  <c r="F117"/>
  <c r="J117"/>
  <c r="F118"/>
  <c r="F119" s="1"/>
  <c r="J118"/>
  <c r="C119"/>
  <c r="D119"/>
  <c r="E119"/>
  <c r="G119"/>
  <c r="H119"/>
  <c r="I119"/>
  <c r="J119"/>
  <c r="K119"/>
  <c r="L119"/>
  <c r="M119"/>
  <c r="N119"/>
  <c r="O119"/>
  <c r="F120"/>
  <c r="J120"/>
  <c r="F121"/>
  <c r="J121"/>
  <c r="F122"/>
  <c r="J122"/>
  <c r="F123"/>
  <c r="J123"/>
  <c r="F124"/>
  <c r="J124"/>
  <c r="C125"/>
  <c r="D125"/>
  <c r="E125"/>
  <c r="F125"/>
  <c r="G125"/>
  <c r="H125"/>
  <c r="I125"/>
  <c r="J125"/>
  <c r="K125"/>
  <c r="L125"/>
  <c r="M125"/>
  <c r="N125"/>
  <c r="O125"/>
  <c r="F126"/>
  <c r="J126"/>
  <c r="F127"/>
  <c r="F135" s="1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D145" s="1"/>
  <c r="E135"/>
  <c r="G135"/>
  <c r="H135"/>
  <c r="H145" s="1"/>
  <c r="I135"/>
  <c r="K135"/>
  <c r="L135"/>
  <c r="L145" s="1"/>
  <c r="M135"/>
  <c r="N135"/>
  <c r="O135"/>
  <c r="F136"/>
  <c r="J136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E144"/>
  <c r="F144"/>
  <c r="F145" s="1"/>
  <c r="G144"/>
  <c r="G145" s="1"/>
  <c r="H144"/>
  <c r="I144"/>
  <c r="J144"/>
  <c r="J145" s="1"/>
  <c r="K144"/>
  <c r="K145" s="1"/>
  <c r="L144"/>
  <c r="M144"/>
  <c r="N144"/>
  <c r="N145" s="1"/>
  <c r="O144"/>
  <c r="O145" s="1"/>
  <c r="E145"/>
  <c r="I145"/>
  <c r="M145"/>
  <c r="F145" i="1" l="1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<sst xmlns="http://schemas.openxmlformats.org/spreadsheetml/2006/main" count="544" uniqueCount="271">
  <si>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</si>
  <si>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</si>
  <si>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</si>
  <si>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</si>
  <si>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</si>
  <si>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</si>
  <si>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</si>
  <si>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giugno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</si>
  <si>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</si>
  <si>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</si>
  <si>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</si>
  <si>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</si>
  <si>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</si>
  <si>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</si>
  <si>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</si>
  <si>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</si>
  <si>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</si>
  <si>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</si>
  <si>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</si>
  <si>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</si>
  <si>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</si>
  <si>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</si>
  <si>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</si>
  <si>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</si>
  <si>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</si>
  <si>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</si>
  <si>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</si>
  <si>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</si>
  <si>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</si>
  <si>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</si>
  <si>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</si>
  <si>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</si>
  <si>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</si>
  <si>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</si>
  <si>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</si>
  <si>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</si>
  <si>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</si>
  <si>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</si>
  <si>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</si>
  <si>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</si>
  <si>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</si>
  <si>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</si>
  <si>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</si>
  <si>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</si>
  <si>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</si>
  <si>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</si>
  <si>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</si>
  <si>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</si>
  <si>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</si>
  <si>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</si>
  <si>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</si>
  <si>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</si>
  <si>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</si>
  <si>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</si>
  <si>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</si>
  <si>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</si>
  <si>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</si>
  <si>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</si>
  <si>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</si>
  <si>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</si>
  <si>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</si>
  <si>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</si>
  <si>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</si>
  <si>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</si>
  <si>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</si>
  <si>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</si>
  <si>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</si>
  <si>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</si>
  <si>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</si>
  <si>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</si>
  <si>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</si>
  <si>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</si>
  <si>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</si>
  <si>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</si>
  <si>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</si>
  <si>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</si>
  <si>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</si>
  <si>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</si>
  <si>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</si>
  <si>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</si>
  <si>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</si>
  <si>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</si>
  <si>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</si>
  <si>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</si>
  <si>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</si>
  <si>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</si>
  <si>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</si>
  <si>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</si>
  <si>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</si>
  <si>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</si>
  <si>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</si>
  <si>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</si>
  <si>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</si>
  <si>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</si>
  <si>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</si>
  <si>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</si>
  <si>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</si>
  <si>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</si>
  <si>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</si>
  <si>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</si>
  <si>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</si>
  <si>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</si>
  <si>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</si>
  <si>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</si>
  <si>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</si>
  <si>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</si>
  <si>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</si>
  <si>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</si>
  <si>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</si>
  <si>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</si>
  <si>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</si>
  <si>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</si>
  <si>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</si>
  <si>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</si>
  <si>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</si>
  <si>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</si>
  <si>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</si>
  <si>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</si>
  <si>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</si>
  <si>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</si>
  <si>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</si>
  <si>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</si>
  <si>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</si>
  <si>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</si>
  <si>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</si>
  <si>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</si>
  <si>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</si>
  <si>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</si>
  <si>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</si>
  <si>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</si>
  <si>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</si>
  <si>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</si>
  <si>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</si>
  <si>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</si>
  <si>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</si>
  <si>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</si>
  <si>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</si>
  <si>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</si>
  <si>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</si>
  <si>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</si>
  <si>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</si>
  <si>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</si>
  <si>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</si>
  <si>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</si>
  <si>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</si>
  <si>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</si>
  <si>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</si>
  <si>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</si>
  <si>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</si>
  <si>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</si>
  <si>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</si>
  <si>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</si>
  <si>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</si>
  <si>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</si>
  <si>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</si>
  <si>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</si>
  <si>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</si>
  <si>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</si>
  <si>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</si>
  <si>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</si>
  <si>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</si>
  <si>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</si>
  <si>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</si>
  <si>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</si>
  <si>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</si>
  <si>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</si>
  <si>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</si>
  <si>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</si>
  <si>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</si>
  <si>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</si>
  <si>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</si>
  <si>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</si>
  <si>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</si>
  <si>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</si>
  <si>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</si>
  <si>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</si>
  <si>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</si>
  <si>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</si>
  <si>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</si>
  <si>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</si>
  <si>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</si>
  <si>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</si>
  <si>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</si>
  <si>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</si>
  <si>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</si>
  <si>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</si>
  <si>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</si>
  <si>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</si>
  <si>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</si>
  <si>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</si>
  <si>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</si>
  <si>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</si>
  <si>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</si>
  <si>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</si>
  <si>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</si>
  <si>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</si>
  <si>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</si>
  <si>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</si>
  <si>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</si>
  <si>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</si>
  <si>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</si>
  <si>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</si>
  <si>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</si>
  <si>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</si>
  <si>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</si>
  <si>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</si>
  <si>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</si>
  <si>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</si>
  <si>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</si>
  <si>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</si>
  <si>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</si>
  <si>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</si>
  <si>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</si>
  <si>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</si>
  <si>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</si>
  <si>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</si>
  <si>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</si>
  <si>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</si>
  <si>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</si>
  <si>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</si>
  <si>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</si>
  <si>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</si>
  <si>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</si>
  <si>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</si>
  <si>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</si>
  <si>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</si>
  <si>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</si>
  <si>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</si>
  <si>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</si>
  <si>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</si>
  <si>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</si>
  <si>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</si>
  <si>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</si>
  <si>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</si>
  <si>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</si>
  <si>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</si>
  <si>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</si>
  <si>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</si>
  <si>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</si>
  <si>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</si>
  <si>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</si>
  <si>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</si>
  <si>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</si>
  <si>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</si>
  <si>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</si>
  <si>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</si>
  <si>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</si>
  <si>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</si>
  <si>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</si>
  <si>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</si>
  <si>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</si>
  <si>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</si>
  <si>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</si>
  <si>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</si>
  <si>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</si>
  <si>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</si>
  <si>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</si>
  <si>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</si>
  <si>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</si>
  <si>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</si>
  <si>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</si>
  <si>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</si>
  <si>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</si>
  <si>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</si>
  <si>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</si>
  <si>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</si>
  <si>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</si>
  <si>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</si>
  <si>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</si>
  <si>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</si>
  <si>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gennaio-giugno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</si>
</sst>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5011</v>
      </c>
      <c r="D15" s="28">
        <v>3604</v>
      </c>
      <c r="E15" s="28">
        <v>733</v>
      </c>
      <c r="F15" s="28">
        <f t="shared" ref="F15:F22" si="0">SUM(C15-D15-E15)</f>
        <v>674</v>
      </c>
      <c r="G15" s="28">
        <v>23318</v>
      </c>
      <c r="H15" s="28">
        <v>9623</v>
      </c>
      <c r="I15" s="28">
        <v>3092</v>
      </c>
      <c r="J15" s="28">
        <f t="shared" ref="J15:J22" si="1">SUM(G15-H15-I15)</f>
        <v>10603</v>
      </c>
      <c r="K15" s="28">
        <v>628</v>
      </c>
      <c r="L15" s="28">
        <v>0</v>
      </c>
      <c r="M15" s="28">
        <v>4036</v>
      </c>
      <c r="N15" s="28">
        <v>1019</v>
      </c>
      <c r="O15" s="28">
        <v>1019</v>
      </c>
    </row>
    <row r="16" spans="1:15" ht="12.75" customHeight="1">
      <c r="A16" s="4" t="s">
        <v>29</v>
      </c>
      <c r="B16" s="5" t="s">
        <v>30</v>
      </c>
      <c r="C16" s="28">
        <v>3484</v>
      </c>
      <c r="D16" s="28">
        <v>1505</v>
      </c>
      <c r="E16" s="28">
        <v>78</v>
      </c>
      <c r="F16" s="28">
        <f t="shared" si="0"/>
        <v>1901</v>
      </c>
      <c r="G16" s="28">
        <v>22652</v>
      </c>
      <c r="H16" s="28">
        <v>3906</v>
      </c>
      <c r="I16" s="28">
        <v>505</v>
      </c>
      <c r="J16" s="28">
        <f t="shared" si="1"/>
        <v>18241</v>
      </c>
      <c r="K16" s="28">
        <v>162</v>
      </c>
      <c r="L16" s="28">
        <v>0</v>
      </c>
      <c r="M16" s="28">
        <v>2172</v>
      </c>
      <c r="N16" s="28">
        <v>66</v>
      </c>
      <c r="O16" s="28">
        <v>66</v>
      </c>
    </row>
    <row r="17" spans="1:15" ht="12.75" customHeight="1">
      <c r="A17" s="4" t="s">
        <v>31</v>
      </c>
      <c r="B17" s="5" t="s">
        <v>32</v>
      </c>
      <c r="C17" s="28">
        <v>2180</v>
      </c>
      <c r="D17" s="28">
        <v>1639</v>
      </c>
      <c r="E17" s="28">
        <v>0</v>
      </c>
      <c r="F17" s="28">
        <f t="shared" si="0"/>
        <v>541</v>
      </c>
      <c r="G17" s="28">
        <v>4170</v>
      </c>
      <c r="H17" s="28">
        <v>2800</v>
      </c>
      <c r="I17" s="28">
        <v>0</v>
      </c>
      <c r="J17" s="28">
        <f t="shared" si="1"/>
        <v>1370</v>
      </c>
      <c r="K17" s="28">
        <v>101</v>
      </c>
      <c r="L17" s="28">
        <v>0</v>
      </c>
      <c r="M17" s="28">
        <v>103</v>
      </c>
      <c r="N17" s="28">
        <v>96</v>
      </c>
      <c r="O17" s="28">
        <v>96</v>
      </c>
    </row>
    <row r="18" spans="1:15" ht="12.75" customHeight="1">
      <c r="A18" s="4" t="s">
        <v>33</v>
      </c>
      <c r="B18" s="5" t="s">
        <v>34</v>
      </c>
      <c r="C18" s="28">
        <v>6637</v>
      </c>
      <c r="D18" s="28">
        <v>4269</v>
      </c>
      <c r="E18" s="28">
        <v>119</v>
      </c>
      <c r="F18" s="28">
        <f t="shared" si="0"/>
        <v>2249</v>
      </c>
      <c r="G18" s="28">
        <v>16403</v>
      </c>
      <c r="H18" s="28">
        <v>10645</v>
      </c>
      <c r="I18" s="28">
        <v>401</v>
      </c>
      <c r="J18" s="28">
        <f t="shared" si="1"/>
        <v>5357</v>
      </c>
      <c r="K18" s="28">
        <v>258</v>
      </c>
      <c r="L18" s="28">
        <v>0</v>
      </c>
      <c r="M18" s="28">
        <v>2060</v>
      </c>
      <c r="N18" s="28">
        <v>162</v>
      </c>
      <c r="O18" s="28">
        <v>162</v>
      </c>
    </row>
    <row r="19" spans="1:15" ht="12.75" customHeight="1">
      <c r="A19" s="4" t="s">
        <v>35</v>
      </c>
      <c r="B19" s="5" t="s">
        <v>36</v>
      </c>
      <c r="C19" s="28">
        <v>3947</v>
      </c>
      <c r="D19" s="28">
        <v>3721</v>
      </c>
      <c r="E19" s="28">
        <v>183</v>
      </c>
      <c r="F19" s="28">
        <f t="shared" si="0"/>
        <v>43</v>
      </c>
      <c r="G19" s="28">
        <v>10426</v>
      </c>
      <c r="H19" s="28">
        <v>8539</v>
      </c>
      <c r="I19" s="28">
        <v>674</v>
      </c>
      <c r="J19" s="28">
        <f t="shared" si="1"/>
        <v>1213</v>
      </c>
      <c r="K19" s="28">
        <v>45</v>
      </c>
      <c r="L19" s="28">
        <v>0</v>
      </c>
      <c r="M19" s="28">
        <v>37</v>
      </c>
      <c r="N19" s="28">
        <v>91</v>
      </c>
      <c r="O19" s="28">
        <v>91</v>
      </c>
    </row>
    <row r="20" spans="1:15" ht="12.75" customHeight="1">
      <c r="A20" s="4" t="s">
        <v>37</v>
      </c>
      <c r="B20" s="5" t="s">
        <v>38</v>
      </c>
      <c r="C20" s="28">
        <v>22064</v>
      </c>
      <c r="D20" s="28">
        <v>19551</v>
      </c>
      <c r="E20" s="28">
        <v>576</v>
      </c>
      <c r="F20" s="28">
        <f t="shared" si="0"/>
        <v>1937</v>
      </c>
      <c r="G20" s="28">
        <v>56427</v>
      </c>
      <c r="H20" s="28">
        <v>40030</v>
      </c>
      <c r="I20" s="28">
        <v>2680</v>
      </c>
      <c r="J20" s="28">
        <f t="shared" si="1"/>
        <v>13717</v>
      </c>
      <c r="K20" s="28">
        <v>613</v>
      </c>
      <c r="L20" s="28">
        <v>0</v>
      </c>
      <c r="M20" s="28">
        <v>2637</v>
      </c>
      <c r="N20" s="28">
        <v>292</v>
      </c>
      <c r="O20" s="28">
        <v>292</v>
      </c>
    </row>
    <row r="21" spans="1:15" ht="12.75" customHeight="1">
      <c r="A21" s="4" t="s">
        <v>39</v>
      </c>
      <c r="B21" s="5" t="s">
        <v>40</v>
      </c>
      <c r="C21" s="28">
        <v>1898</v>
      </c>
      <c r="D21" s="28">
        <v>1820</v>
      </c>
      <c r="E21" s="28">
        <v>0</v>
      </c>
      <c r="F21" s="28">
        <f t="shared" si="0"/>
        <v>78</v>
      </c>
      <c r="G21" s="28">
        <v>3260</v>
      </c>
      <c r="H21" s="28">
        <v>2998</v>
      </c>
      <c r="I21" s="28">
        <v>0</v>
      </c>
      <c r="J21" s="28">
        <f t="shared" si="1"/>
        <v>262</v>
      </c>
      <c r="K21" s="28">
        <v>30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1717</v>
      </c>
      <c r="D22" s="28">
        <v>1403</v>
      </c>
      <c r="E22" s="28">
        <v>190</v>
      </c>
      <c r="F22" s="28">
        <f t="shared" si="0"/>
        <v>124</v>
      </c>
      <c r="G22" s="28">
        <v>4697</v>
      </c>
      <c r="H22" s="28">
        <v>2935</v>
      </c>
      <c r="I22" s="28">
        <v>637</v>
      </c>
      <c r="J22" s="28">
        <f t="shared" si="1"/>
        <v>1125</v>
      </c>
      <c r="K22" s="28">
        <v>146</v>
      </c>
      <c r="L22" s="28">
        <v>0</v>
      </c>
      <c r="M22" s="28">
        <v>710</v>
      </c>
      <c r="N22" s="28">
        <v>15</v>
      </c>
      <c r="O22" s="28">
        <v>15</v>
      </c>
    </row>
    <row r="23" spans="1:15" ht="12.75" customHeight="1">
      <c r="A23" s="8"/>
      <c r="B23" s="9" t="s">
        <v>43</v>
      </c>
      <c r="C23" s="29">
        <f t="shared" ref="C23:O23" si="2">SUM(C15:C22)</f>
        <v>46938</v>
      </c>
      <c r="D23" s="29">
        <f t="shared" si="2"/>
        <v>37512</v>
      </c>
      <c r="E23" s="29">
        <f t="shared" si="2"/>
        <v>1879</v>
      </c>
      <c r="F23" s="29">
        <f t="shared" si="2"/>
        <v>7547</v>
      </c>
      <c r="G23" s="29">
        <f t="shared" si="2"/>
        <v>141353</v>
      </c>
      <c r="H23" s="29">
        <f t="shared" si="2"/>
        <v>81476</v>
      </c>
      <c r="I23" s="29">
        <f t="shared" si="2"/>
        <v>7989</v>
      </c>
      <c r="J23" s="29">
        <f t="shared" si="2"/>
        <v>51888</v>
      </c>
      <c r="K23" s="29">
        <f t="shared" si="2"/>
        <v>1983</v>
      </c>
      <c r="L23" s="29">
        <f t="shared" si="2"/>
        <v>0</v>
      </c>
      <c r="M23" s="29">
        <f t="shared" si="2"/>
        <v>11755</v>
      </c>
      <c r="N23" s="29">
        <f t="shared" si="2"/>
        <v>1749</v>
      </c>
      <c r="O23" s="29">
        <f t="shared" si="2"/>
        <v>1749</v>
      </c>
    </row>
    <row r="24" spans="1:15" ht="14.25" customHeight="1">
      <c r="A24" s="4" t="s">
        <v>44</v>
      </c>
      <c r="B24" s="5" t="s">
        <v>45</v>
      </c>
      <c r="C24" s="28">
        <v>1936</v>
      </c>
      <c r="D24" s="28">
        <v>1367</v>
      </c>
      <c r="E24" s="28">
        <v>129</v>
      </c>
      <c r="F24" s="28">
        <f>SUM(C24-D24-E24)</f>
        <v>440</v>
      </c>
      <c r="G24" s="28">
        <v>4112</v>
      </c>
      <c r="H24" s="28">
        <v>2171</v>
      </c>
      <c r="I24" s="28">
        <v>363</v>
      </c>
      <c r="J24" s="28">
        <f>SUM(G24-H24-I24)</f>
        <v>1578</v>
      </c>
      <c r="K24" s="28">
        <v>381</v>
      </c>
      <c r="L24" s="28">
        <v>0</v>
      </c>
      <c r="M24" s="28">
        <v>323</v>
      </c>
      <c r="N24" s="28">
        <v>29</v>
      </c>
      <c r="O24" s="28">
        <v>29</v>
      </c>
    </row>
    <row r="25" spans="1:15" ht="14.25" customHeight="1">
      <c r="A25" s="10"/>
      <c r="B25" s="9" t="s">
        <v>46</v>
      </c>
      <c r="C25" s="29">
        <f t="shared" ref="C25:O25" si="3">SUM(C24)</f>
        <v>1936</v>
      </c>
      <c r="D25" s="29">
        <f t="shared" si="3"/>
        <v>1367</v>
      </c>
      <c r="E25" s="29">
        <f t="shared" si="3"/>
        <v>129</v>
      </c>
      <c r="F25" s="29">
        <f t="shared" si="3"/>
        <v>440</v>
      </c>
      <c r="G25" s="29">
        <f t="shared" si="3"/>
        <v>4112</v>
      </c>
      <c r="H25" s="29">
        <f t="shared" si="3"/>
        <v>2171</v>
      </c>
      <c r="I25" s="29">
        <f t="shared" si="3"/>
        <v>363</v>
      </c>
      <c r="J25" s="29">
        <f t="shared" si="3"/>
        <v>1578</v>
      </c>
      <c r="K25" s="29">
        <f t="shared" si="3"/>
        <v>381</v>
      </c>
      <c r="L25" s="29">
        <f t="shared" si="3"/>
        <v>0</v>
      </c>
      <c r="M25" s="29">
        <f t="shared" si="3"/>
        <v>323</v>
      </c>
      <c r="N25" s="29">
        <f t="shared" si="3"/>
        <v>29</v>
      </c>
      <c r="O25" s="29">
        <f t="shared" si="3"/>
        <v>29</v>
      </c>
    </row>
    <row r="26" spans="1:15" ht="12.75" customHeight="1">
      <c r="A26" s="4" t="s">
        <v>47</v>
      </c>
      <c r="B26" s="5" t="s">
        <v>48</v>
      </c>
      <c r="C26" s="28">
        <v>10273</v>
      </c>
      <c r="D26" s="28">
        <v>7221</v>
      </c>
      <c r="E26" s="28">
        <v>607</v>
      </c>
      <c r="F26" s="28">
        <f>SUM(C26-D26-E26)</f>
        <v>2445</v>
      </c>
      <c r="G26" s="28">
        <v>26854</v>
      </c>
      <c r="H26" s="28">
        <v>11669</v>
      </c>
      <c r="I26" s="28">
        <v>1591</v>
      </c>
      <c r="J26" s="28">
        <f>SUM(G26-H26-I26)</f>
        <v>13594</v>
      </c>
      <c r="K26" s="28">
        <v>384</v>
      </c>
      <c r="L26" s="28">
        <v>0</v>
      </c>
      <c r="M26" s="28">
        <v>694</v>
      </c>
      <c r="N26" s="28">
        <v>172</v>
      </c>
      <c r="O26" s="28">
        <v>172</v>
      </c>
    </row>
    <row r="27" spans="1:15" ht="12.75" customHeight="1">
      <c r="A27" s="4" t="s">
        <v>49</v>
      </c>
      <c r="B27" s="5" t="s">
        <v>50</v>
      </c>
      <c r="C27" s="28">
        <v>2921</v>
      </c>
      <c r="D27" s="28">
        <v>2465</v>
      </c>
      <c r="E27" s="28">
        <v>122</v>
      </c>
      <c r="F27" s="28">
        <f>SUM(C27-D27-E27)</f>
        <v>334</v>
      </c>
      <c r="G27" s="28">
        <v>5199</v>
      </c>
      <c r="H27" s="28">
        <v>3495</v>
      </c>
      <c r="I27" s="28">
        <v>305</v>
      </c>
      <c r="J27" s="28">
        <f>SUM(G27-H27-I27)</f>
        <v>1399</v>
      </c>
      <c r="K27" s="28">
        <v>118</v>
      </c>
      <c r="L27" s="28">
        <v>0</v>
      </c>
      <c r="M27" s="28">
        <v>138</v>
      </c>
      <c r="N27" s="28">
        <v>27</v>
      </c>
      <c r="O27" s="28">
        <v>27</v>
      </c>
    </row>
    <row r="28" spans="1:15" ht="12.75" customHeight="1">
      <c r="A28" s="4" t="s">
        <v>51</v>
      </c>
      <c r="B28" s="5" t="s">
        <v>52</v>
      </c>
      <c r="C28" s="28">
        <v>3113</v>
      </c>
      <c r="D28" s="28">
        <v>2002</v>
      </c>
      <c r="E28" s="28">
        <v>269</v>
      </c>
      <c r="F28" s="28">
        <f>SUM(C28-D28-E28)</f>
        <v>842</v>
      </c>
      <c r="G28" s="28">
        <v>6882</v>
      </c>
      <c r="H28" s="28">
        <v>3970</v>
      </c>
      <c r="I28" s="28">
        <v>1114</v>
      </c>
      <c r="J28" s="28">
        <f>SUM(G28-H28-I28)</f>
        <v>1798</v>
      </c>
      <c r="K28" s="28">
        <v>24</v>
      </c>
      <c r="L28" s="28">
        <v>0</v>
      </c>
      <c r="M28" s="28">
        <v>171</v>
      </c>
      <c r="N28" s="28">
        <v>37</v>
      </c>
      <c r="O28" s="28">
        <v>37</v>
      </c>
    </row>
    <row r="29" spans="1:15" ht="12.75" customHeight="1">
      <c r="A29" s="4" t="s">
        <v>53</v>
      </c>
      <c r="B29" s="5" t="s">
        <v>54</v>
      </c>
      <c r="C29" s="28">
        <v>3528</v>
      </c>
      <c r="D29" s="28">
        <v>3005</v>
      </c>
      <c r="E29" s="28">
        <v>414</v>
      </c>
      <c r="F29" s="28">
        <f>SUM(C29-D29-E29)</f>
        <v>109</v>
      </c>
      <c r="G29" s="28">
        <v>7213</v>
      </c>
      <c r="H29" s="28">
        <v>5594</v>
      </c>
      <c r="I29" s="28">
        <v>1380</v>
      </c>
      <c r="J29" s="28">
        <f>SUM(G29-H29-I29)</f>
        <v>239</v>
      </c>
      <c r="K29" s="28">
        <v>12</v>
      </c>
      <c r="L29" s="28">
        <v>0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19835</v>
      </c>
      <c r="D30" s="29">
        <f t="shared" si="4"/>
        <v>14693</v>
      </c>
      <c r="E30" s="29">
        <f t="shared" si="4"/>
        <v>1412</v>
      </c>
      <c r="F30" s="29">
        <f t="shared" si="4"/>
        <v>3730</v>
      </c>
      <c r="G30" s="29">
        <f t="shared" si="4"/>
        <v>46148</v>
      </c>
      <c r="H30" s="29">
        <f t="shared" si="4"/>
        <v>24728</v>
      </c>
      <c r="I30" s="29">
        <f t="shared" si="4"/>
        <v>4390</v>
      </c>
      <c r="J30" s="29">
        <f t="shared" si="4"/>
        <v>17030</v>
      </c>
      <c r="K30" s="29">
        <f t="shared" si="4"/>
        <v>538</v>
      </c>
      <c r="L30" s="29">
        <f t="shared" si="4"/>
        <v>0</v>
      </c>
      <c r="M30" s="29">
        <f t="shared" si="4"/>
        <v>1003</v>
      </c>
      <c r="N30" s="29">
        <f t="shared" si="4"/>
        <v>236</v>
      </c>
      <c r="O30" s="29">
        <f t="shared" si="4"/>
        <v>236</v>
      </c>
    </row>
    <row r="31" spans="1:15" ht="12.75" customHeight="1">
      <c r="A31" s="4" t="s">
        <v>56</v>
      </c>
      <c r="B31" s="5" t="s">
        <v>57</v>
      </c>
      <c r="C31" s="28">
        <v>11061</v>
      </c>
      <c r="D31" s="28">
        <v>8815</v>
      </c>
      <c r="E31" s="28">
        <v>214</v>
      </c>
      <c r="F31" s="28">
        <f t="shared" ref="F31:F42" si="5">SUM(C31-D31-E31)</f>
        <v>2032</v>
      </c>
      <c r="G31" s="28">
        <v>30509</v>
      </c>
      <c r="H31" s="28">
        <v>16934</v>
      </c>
      <c r="I31" s="28">
        <v>885</v>
      </c>
      <c r="J31" s="28">
        <f t="shared" ref="J31:J42" si="6">SUM(G31-H31-I31)</f>
        <v>12690</v>
      </c>
      <c r="K31" s="28">
        <v>242</v>
      </c>
      <c r="L31" s="28">
        <v>0</v>
      </c>
      <c r="M31" s="28">
        <v>843</v>
      </c>
      <c r="N31" s="28">
        <v>86</v>
      </c>
      <c r="O31" s="28">
        <v>86</v>
      </c>
    </row>
    <row r="32" spans="1:15" ht="12.75" customHeight="1">
      <c r="A32" s="4" t="s">
        <v>58</v>
      </c>
      <c r="B32" s="5" t="s">
        <v>59</v>
      </c>
      <c r="C32" s="28">
        <v>18017</v>
      </c>
      <c r="D32" s="28">
        <v>16432</v>
      </c>
      <c r="E32" s="28">
        <v>557</v>
      </c>
      <c r="F32" s="28">
        <f t="shared" si="5"/>
        <v>1028</v>
      </c>
      <c r="G32" s="28">
        <v>60330</v>
      </c>
      <c r="H32" s="28">
        <v>36809</v>
      </c>
      <c r="I32" s="28">
        <v>2513</v>
      </c>
      <c r="J32" s="28">
        <f t="shared" si="6"/>
        <v>21008</v>
      </c>
      <c r="K32" s="28">
        <v>642</v>
      </c>
      <c r="L32" s="28">
        <v>0</v>
      </c>
      <c r="M32" s="28">
        <v>11709</v>
      </c>
      <c r="N32" s="28">
        <v>251</v>
      </c>
      <c r="O32" s="28">
        <v>251</v>
      </c>
    </row>
    <row r="33" spans="1:256" ht="12.75" customHeight="1">
      <c r="A33" s="4" t="s">
        <v>60</v>
      </c>
      <c r="B33" s="5" t="s">
        <v>61</v>
      </c>
      <c r="C33" s="28">
        <v>8101</v>
      </c>
      <c r="D33" s="28">
        <v>6183</v>
      </c>
      <c r="E33" s="28">
        <v>229</v>
      </c>
      <c r="F33" s="28">
        <f t="shared" si="5"/>
        <v>1689</v>
      </c>
      <c r="G33" s="28">
        <v>26941</v>
      </c>
      <c r="H33" s="28">
        <v>7864</v>
      </c>
      <c r="I33" s="28">
        <v>506</v>
      </c>
      <c r="J33" s="28">
        <f t="shared" si="6"/>
        <v>18571</v>
      </c>
      <c r="K33" s="28">
        <v>360</v>
      </c>
      <c r="L33" s="28">
        <v>0</v>
      </c>
      <c r="M33" s="28">
        <v>2314</v>
      </c>
      <c r="N33" s="28">
        <v>105</v>
      </c>
      <c r="O33" s="28">
        <v>105</v>
      </c>
    </row>
    <row r="34" spans="1:256" ht="12.75" customHeight="1">
      <c r="A34" s="4" t="s">
        <v>62</v>
      </c>
      <c r="B34" s="5" t="s">
        <v>63</v>
      </c>
      <c r="C34" s="28">
        <v>9509</v>
      </c>
      <c r="D34" s="28">
        <v>2616</v>
      </c>
      <c r="E34" s="28">
        <v>56</v>
      </c>
      <c r="F34" s="28">
        <f t="shared" si="5"/>
        <v>6837</v>
      </c>
      <c r="G34" s="28">
        <v>29349</v>
      </c>
      <c r="H34" s="28">
        <v>6546</v>
      </c>
      <c r="I34" s="28">
        <v>209</v>
      </c>
      <c r="J34" s="28">
        <f t="shared" si="6"/>
        <v>22594</v>
      </c>
      <c r="K34" s="28">
        <v>32</v>
      </c>
      <c r="L34" s="28">
        <v>0</v>
      </c>
      <c r="M34" s="28">
        <v>4885</v>
      </c>
      <c r="N34" s="28">
        <v>27</v>
      </c>
      <c r="O34" s="28">
        <v>27</v>
      </c>
    </row>
    <row r="35" spans="1:256" ht="12.75" customHeight="1">
      <c r="A35" s="4" t="s">
        <v>64</v>
      </c>
      <c r="B35" s="5" t="s">
        <v>65</v>
      </c>
      <c r="C35" s="28">
        <v>3701</v>
      </c>
      <c r="D35" s="28">
        <v>3670</v>
      </c>
      <c r="E35" s="28">
        <v>0</v>
      </c>
      <c r="F35" s="28">
        <f t="shared" si="5"/>
        <v>31</v>
      </c>
      <c r="G35" s="28">
        <v>6309</v>
      </c>
      <c r="H35" s="28">
        <v>5826</v>
      </c>
      <c r="I35" s="28">
        <v>0</v>
      </c>
      <c r="J35" s="28">
        <f t="shared" si="6"/>
        <v>483</v>
      </c>
      <c r="K35" s="28">
        <v>44</v>
      </c>
      <c r="L35" s="28">
        <v>0</v>
      </c>
      <c r="M35" s="28">
        <v>6</v>
      </c>
      <c r="N35" s="28">
        <v>239</v>
      </c>
      <c r="O35" s="28">
        <v>239</v>
      </c>
    </row>
    <row r="36" spans="1:256" ht="12.75" customHeight="1">
      <c r="A36" s="4" t="s">
        <v>66</v>
      </c>
      <c r="B36" s="5" t="s">
        <v>67</v>
      </c>
      <c r="C36" s="28">
        <v>2254</v>
      </c>
      <c r="D36" s="28">
        <v>1674</v>
      </c>
      <c r="E36" s="28">
        <v>252</v>
      </c>
      <c r="F36" s="28">
        <f t="shared" si="5"/>
        <v>328</v>
      </c>
      <c r="G36" s="28">
        <v>6051</v>
      </c>
      <c r="H36" s="28">
        <v>4107</v>
      </c>
      <c r="I36" s="28">
        <v>1049</v>
      </c>
      <c r="J36" s="28">
        <f t="shared" si="6"/>
        <v>895</v>
      </c>
      <c r="K36" s="28">
        <v>0</v>
      </c>
      <c r="L36" s="28">
        <v>0</v>
      </c>
      <c r="M36" s="28">
        <v>529</v>
      </c>
      <c r="N36" s="28">
        <v>4</v>
      </c>
      <c r="O36" s="28">
        <v>4</v>
      </c>
    </row>
    <row r="37" spans="1:256" ht="12.75" customHeight="1">
      <c r="A37" s="4" t="s">
        <v>68</v>
      </c>
      <c r="B37" s="5" t="s">
        <v>69</v>
      </c>
      <c r="C37" s="28">
        <v>3471</v>
      </c>
      <c r="D37" s="28">
        <v>3008</v>
      </c>
      <c r="E37" s="28">
        <v>80</v>
      </c>
      <c r="F37" s="28">
        <f t="shared" si="5"/>
        <v>383</v>
      </c>
      <c r="G37" s="28">
        <v>11366</v>
      </c>
      <c r="H37" s="28">
        <v>7995</v>
      </c>
      <c r="I37" s="28">
        <v>185</v>
      </c>
      <c r="J37" s="28">
        <f t="shared" si="6"/>
        <v>3186</v>
      </c>
      <c r="K37" s="28">
        <v>39</v>
      </c>
      <c r="L37" s="28">
        <v>0</v>
      </c>
      <c r="M37" s="28">
        <v>1735</v>
      </c>
      <c r="N37" s="28">
        <v>337</v>
      </c>
      <c r="O37" s="28">
        <v>337</v>
      </c>
    </row>
    <row r="38" spans="1:256" ht="12.75" customHeight="1">
      <c r="A38" s="4" t="s">
        <v>70</v>
      </c>
      <c r="B38" s="5" t="s">
        <v>71</v>
      </c>
      <c r="C38" s="28">
        <v>55830</v>
      </c>
      <c r="D38" s="28">
        <v>40212</v>
      </c>
      <c r="E38" s="28">
        <v>1608</v>
      </c>
      <c r="F38" s="28">
        <f t="shared" si="5"/>
        <v>14010</v>
      </c>
      <c r="G38" s="28">
        <v>125233</v>
      </c>
      <c r="H38" s="28">
        <v>69229</v>
      </c>
      <c r="I38" s="28">
        <v>5964</v>
      </c>
      <c r="J38" s="28">
        <f t="shared" si="6"/>
        <v>50040</v>
      </c>
      <c r="K38" s="28">
        <v>1861</v>
      </c>
      <c r="L38" s="28">
        <v>0</v>
      </c>
      <c r="M38" s="28">
        <v>7628</v>
      </c>
      <c r="N38" s="28">
        <v>4285</v>
      </c>
      <c r="O38" s="28">
        <v>4285</v>
      </c>
    </row>
    <row r="39" spans="1:256" ht="12.75" customHeight="1">
      <c r="A39" s="4" t="s">
        <v>72</v>
      </c>
      <c r="B39" s="5" t="s">
        <v>73</v>
      </c>
      <c r="C39" s="28">
        <v>7454</v>
      </c>
      <c r="D39" s="28">
        <v>6807</v>
      </c>
      <c r="E39" s="28">
        <v>236</v>
      </c>
      <c r="F39" s="28">
        <f t="shared" si="5"/>
        <v>411</v>
      </c>
      <c r="G39" s="28">
        <v>13590</v>
      </c>
      <c r="H39" s="28">
        <v>10702</v>
      </c>
      <c r="I39" s="28">
        <v>1207</v>
      </c>
      <c r="J39" s="28">
        <f t="shared" si="6"/>
        <v>1681</v>
      </c>
      <c r="K39" s="28">
        <v>70</v>
      </c>
      <c r="L39" s="28">
        <v>0</v>
      </c>
      <c r="M39" s="28">
        <v>75</v>
      </c>
      <c r="N39" s="28">
        <v>53</v>
      </c>
      <c r="O39" s="28">
        <v>53</v>
      </c>
    </row>
    <row r="40" spans="1:256" ht="12.75" customHeight="1">
      <c r="A40" s="4" t="s">
        <v>74</v>
      </c>
      <c r="B40" s="5" t="s">
        <v>75</v>
      </c>
      <c r="C40" s="28">
        <v>5437</v>
      </c>
      <c r="D40" s="28">
        <v>4657</v>
      </c>
      <c r="E40" s="28">
        <v>320</v>
      </c>
      <c r="F40" s="28">
        <f t="shared" si="5"/>
        <v>460</v>
      </c>
      <c r="G40" s="28">
        <v>14662</v>
      </c>
      <c r="H40" s="28">
        <v>9261</v>
      </c>
      <c r="I40" s="28">
        <v>1047</v>
      </c>
      <c r="J40" s="28">
        <f t="shared" si="6"/>
        <v>4354</v>
      </c>
      <c r="K40" s="28">
        <v>88</v>
      </c>
      <c r="L40" s="28">
        <v>0</v>
      </c>
      <c r="M40" s="28">
        <v>3683</v>
      </c>
      <c r="N40" s="28">
        <v>30</v>
      </c>
      <c r="O40" s="28">
        <v>30</v>
      </c>
    </row>
    <row r="41" spans="1:256" ht="12.75" customHeight="1">
      <c r="A41" s="4" t="s">
        <v>76</v>
      </c>
      <c r="B41" s="5" t="s">
        <v>77</v>
      </c>
      <c r="C41" s="28">
        <v>1987</v>
      </c>
      <c r="D41" s="28">
        <v>1788</v>
      </c>
      <c r="E41" s="28">
        <v>0</v>
      </c>
      <c r="F41" s="28">
        <f t="shared" si="5"/>
        <v>199</v>
      </c>
      <c r="G41" s="28">
        <v>5607</v>
      </c>
      <c r="H41" s="28">
        <v>3830</v>
      </c>
      <c r="I41" s="28">
        <v>0</v>
      </c>
      <c r="J41" s="28">
        <f t="shared" si="6"/>
        <v>1777</v>
      </c>
      <c r="K41" s="28">
        <v>209</v>
      </c>
      <c r="L41" s="28">
        <v>0</v>
      </c>
      <c r="M41" s="28">
        <v>124</v>
      </c>
      <c r="N41" s="28">
        <v>103</v>
      </c>
      <c r="O41" s="28">
        <v>103</v>
      </c>
    </row>
    <row r="42" spans="1:256" ht="12.75" customHeight="1">
      <c r="A42" s="4" t="s">
        <v>78</v>
      </c>
      <c r="B42" s="5" t="s">
        <v>79</v>
      </c>
      <c r="C42" s="28">
        <v>12401</v>
      </c>
      <c r="D42" s="28">
        <v>9617</v>
      </c>
      <c r="E42" s="28">
        <v>282</v>
      </c>
      <c r="F42" s="28">
        <f t="shared" si="5"/>
        <v>2502</v>
      </c>
      <c r="G42" s="28">
        <v>20630</v>
      </c>
      <c r="H42" s="28">
        <v>15136</v>
      </c>
      <c r="I42" s="28">
        <v>630</v>
      </c>
      <c r="J42" s="28">
        <f t="shared" si="6"/>
        <v>4864</v>
      </c>
      <c r="K42" s="28">
        <v>206</v>
      </c>
      <c r="L42" s="28">
        <v>0</v>
      </c>
      <c r="M42" s="28">
        <v>22</v>
      </c>
      <c r="N42" s="28">
        <v>61</v>
      </c>
      <c r="O42" s="28">
        <v>61</v>
      </c>
    </row>
    <row r="43" spans="1:256" ht="12.75" customHeight="1">
      <c r="A43" s="8"/>
      <c r="B43" s="9" t="s">
        <v>80</v>
      </c>
      <c r="C43" s="29">
        <f t="shared" ref="C43:O43" si="7">SUM(C31:C42)</f>
        <v>139223</v>
      </c>
      <c r="D43" s="29">
        <f t="shared" si="7"/>
        <v>105479</v>
      </c>
      <c r="E43" s="29">
        <f t="shared" si="7"/>
        <v>3834</v>
      </c>
      <c r="F43" s="29">
        <f t="shared" si="7"/>
        <v>29910</v>
      </c>
      <c r="G43" s="29">
        <f t="shared" si="7"/>
        <v>350577</v>
      </c>
      <c r="H43" s="29">
        <f t="shared" si="7"/>
        <v>194239</v>
      </c>
      <c r="I43" s="29">
        <f t="shared" si="7"/>
        <v>14195</v>
      </c>
      <c r="J43" s="29">
        <f t="shared" si="7"/>
        <v>142143</v>
      </c>
      <c r="K43" s="29">
        <f t="shared" si="7"/>
        <v>3793</v>
      </c>
      <c r="L43" s="29">
        <f t="shared" si="7"/>
        <v>0</v>
      </c>
      <c r="M43" s="29">
        <f t="shared" si="7"/>
        <v>33553</v>
      </c>
      <c r="N43" s="29">
        <f t="shared" si="7"/>
        <v>5581</v>
      </c>
      <c r="O43" s="29">
        <f t="shared" si="7"/>
        <v>5581</v>
      </c>
    </row>
    <row r="44" spans="1:256" ht="12.75" customHeight="1">
      <c r="A44" s="4" t="s">
        <v>81</v>
      </c>
      <c r="B44" s="5" t="s">
        <v>82</v>
      </c>
      <c r="C44" s="28">
        <v>5324</v>
      </c>
      <c r="D44" s="28">
        <v>4329</v>
      </c>
      <c r="E44" s="28">
        <v>202</v>
      </c>
      <c r="F44" s="28">
        <f>SUM(C44-D44-E44)</f>
        <v>793</v>
      </c>
      <c r="G44" s="28">
        <v>16444</v>
      </c>
      <c r="H44" s="28">
        <v>8912</v>
      </c>
      <c r="I44" s="28">
        <v>498</v>
      </c>
      <c r="J44" s="28">
        <f>SUM(G44-H44-I44)</f>
        <v>7034</v>
      </c>
      <c r="K44" s="28">
        <v>615</v>
      </c>
      <c r="L44" s="28">
        <v>0</v>
      </c>
      <c r="M44" s="28">
        <v>1142</v>
      </c>
      <c r="N44" s="28">
        <v>132</v>
      </c>
      <c r="O44" s="28">
        <v>132</v>
      </c>
    </row>
    <row r="45" spans="1:256" ht="12.75" customHeight="1">
      <c r="A45" s="4" t="s">
        <v>83</v>
      </c>
      <c r="B45" s="5" t="s">
        <v>84</v>
      </c>
      <c r="C45" s="28">
        <v>6741</v>
      </c>
      <c r="D45" s="28">
        <v>5097</v>
      </c>
      <c r="E45" s="28">
        <v>306</v>
      </c>
      <c r="F45" s="28">
        <f>SUM(C45-D45-E45)</f>
        <v>1338</v>
      </c>
      <c r="G45" s="28">
        <v>25953</v>
      </c>
      <c r="H45" s="28">
        <v>10096</v>
      </c>
      <c r="I45" s="28">
        <v>792</v>
      </c>
      <c r="J45" s="28">
        <f>SUM(G45-H45-I45)</f>
        <v>15065</v>
      </c>
      <c r="K45" s="28">
        <v>3253</v>
      </c>
      <c r="L45" s="28">
        <v>0</v>
      </c>
      <c r="M45" s="28">
        <v>3276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12065</v>
      </c>
      <c r="D46" s="29">
        <f t="shared" si="8"/>
        <v>9426</v>
      </c>
      <c r="E46" s="29">
        <f t="shared" si="8"/>
        <v>508</v>
      </c>
      <c r="F46" s="29">
        <f t="shared" si="8"/>
        <v>2131</v>
      </c>
      <c r="G46" s="29">
        <f t="shared" si="8"/>
        <v>42397</v>
      </c>
      <c r="H46" s="29">
        <f t="shared" si="8"/>
        <v>19008</v>
      </c>
      <c r="I46" s="29">
        <f t="shared" si="8"/>
        <v>1290</v>
      </c>
      <c r="J46" s="29">
        <f t="shared" si="8"/>
        <v>22099</v>
      </c>
      <c r="K46" s="29">
        <f t="shared" si="8"/>
        <v>3868</v>
      </c>
      <c r="L46" s="29">
        <f t="shared" si="8"/>
        <v>0</v>
      </c>
      <c r="M46" s="29">
        <f t="shared" si="8"/>
        <v>4418</v>
      </c>
      <c r="N46" s="29">
        <f t="shared" si="8"/>
        <v>132</v>
      </c>
      <c r="O46" s="29">
        <f t="shared" si="8"/>
        <v>132</v>
      </c>
    </row>
    <row r="47" spans="1:256" ht="12.75" customHeight="1">
      <c r="A47" s="4" t="s">
        <v>86</v>
      </c>
      <c r="B47" s="5" t="s">
        <v>87</v>
      </c>
      <c r="C47" s="28">
        <v>1125</v>
      </c>
      <c r="D47" s="28">
        <v>977</v>
      </c>
      <c r="E47" s="28">
        <v>0</v>
      </c>
      <c r="F47" s="28">
        <f>SUM(C47-D47-E47)</f>
        <v>148</v>
      </c>
      <c r="G47" s="28">
        <v>1117</v>
      </c>
      <c r="H47" s="28">
        <v>882</v>
      </c>
      <c r="I47" s="28">
        <v>0</v>
      </c>
      <c r="J47" s="28">
        <f>SUM(G47-H47-I47)</f>
        <v>235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3199</v>
      </c>
      <c r="D48" s="28">
        <v>2544</v>
      </c>
      <c r="E48" s="28">
        <v>24</v>
      </c>
      <c r="F48" s="28">
        <f>SUM(C48-D48-E48)</f>
        <v>631</v>
      </c>
      <c r="G48" s="28">
        <v>5948</v>
      </c>
      <c r="H48" s="28">
        <v>4640</v>
      </c>
      <c r="I48" s="28">
        <v>77</v>
      </c>
      <c r="J48" s="28">
        <f>SUM(G48-H48-I48)</f>
        <v>1231</v>
      </c>
      <c r="K48" s="28">
        <v>0</v>
      </c>
      <c r="L48" s="28">
        <v>0</v>
      </c>
      <c r="M48" s="28">
        <v>50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1204</v>
      </c>
      <c r="D49" s="28">
        <v>1078</v>
      </c>
      <c r="E49" s="28">
        <v>85</v>
      </c>
      <c r="F49" s="28">
        <f>SUM(C49-D49-E49)</f>
        <v>41</v>
      </c>
      <c r="G49" s="28">
        <v>1505</v>
      </c>
      <c r="H49" s="28">
        <v>1158</v>
      </c>
      <c r="I49" s="28">
        <v>180</v>
      </c>
      <c r="J49" s="28">
        <f>SUM(G49-H49-I49)</f>
        <v>167</v>
      </c>
      <c r="K49" s="28">
        <v>31</v>
      </c>
      <c r="L49" s="28">
        <v>0</v>
      </c>
      <c r="M49" s="28">
        <v>0</v>
      </c>
      <c r="N49" s="28">
        <v>83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10454</v>
      </c>
      <c r="D50" s="28">
        <v>10021</v>
      </c>
      <c r="E50" s="28">
        <v>187</v>
      </c>
      <c r="F50" s="28">
        <f>SUM(C50-D50-E50)</f>
        <v>246</v>
      </c>
      <c r="G50" s="28">
        <v>23088</v>
      </c>
      <c r="H50" s="28">
        <v>16349</v>
      </c>
      <c r="I50" s="28">
        <v>526</v>
      </c>
      <c r="J50" s="28">
        <f>SUM(G50-H50-I50)</f>
        <v>6213</v>
      </c>
      <c r="K50" s="28">
        <v>743</v>
      </c>
      <c r="L50" s="28">
        <v>0</v>
      </c>
      <c r="M50" s="28">
        <v>3268</v>
      </c>
      <c r="N50" s="28">
        <v>172</v>
      </c>
      <c r="O50" s="28">
        <v>172</v>
      </c>
    </row>
    <row r="51" spans="1:15" ht="12.75" customHeight="1">
      <c r="A51" s="8"/>
      <c r="B51" s="9" t="s">
        <v>94</v>
      </c>
      <c r="C51" s="29">
        <f t="shared" ref="C51:O51" si="9">SUM(C47:C50)</f>
        <v>15982</v>
      </c>
      <c r="D51" s="29">
        <f t="shared" si="9"/>
        <v>14620</v>
      </c>
      <c r="E51" s="29">
        <f t="shared" si="9"/>
        <v>296</v>
      </c>
      <c r="F51" s="29">
        <f t="shared" si="9"/>
        <v>1066</v>
      </c>
      <c r="G51" s="29">
        <f t="shared" si="9"/>
        <v>31658</v>
      </c>
      <c r="H51" s="29">
        <f t="shared" si="9"/>
        <v>23029</v>
      </c>
      <c r="I51" s="29">
        <f t="shared" si="9"/>
        <v>783</v>
      </c>
      <c r="J51" s="29">
        <f t="shared" si="9"/>
        <v>7846</v>
      </c>
      <c r="K51" s="29">
        <f t="shared" si="9"/>
        <v>774</v>
      </c>
      <c r="L51" s="29">
        <f t="shared" si="9"/>
        <v>0</v>
      </c>
      <c r="M51" s="29">
        <f t="shared" si="9"/>
        <v>3318</v>
      </c>
      <c r="N51" s="29">
        <f t="shared" si="9"/>
        <v>255</v>
      </c>
      <c r="O51" s="29">
        <f t="shared" si="9"/>
        <v>172</v>
      </c>
    </row>
    <row r="52" spans="1:15" ht="12.75" customHeight="1">
      <c r="A52" s="4" t="s">
        <v>95</v>
      </c>
      <c r="B52" s="5" t="s">
        <v>96</v>
      </c>
      <c r="C52" s="28">
        <v>1758</v>
      </c>
      <c r="D52" s="28">
        <v>1366</v>
      </c>
      <c r="E52" s="28">
        <v>17</v>
      </c>
      <c r="F52" s="28">
        <f t="shared" ref="F52:F58" si="10">SUM(C52-D52-E52)</f>
        <v>375</v>
      </c>
      <c r="G52" s="28">
        <v>5119</v>
      </c>
      <c r="H52" s="28">
        <v>2835</v>
      </c>
      <c r="I52" s="28">
        <v>69</v>
      </c>
      <c r="J52" s="28">
        <f t="shared" ref="J52:J58" si="11">SUM(G52-H52-I52)</f>
        <v>2215</v>
      </c>
      <c r="K52" s="28">
        <v>1191</v>
      </c>
      <c r="L52" s="28">
        <v>0</v>
      </c>
      <c r="M52" s="28">
        <v>86</v>
      </c>
      <c r="N52" s="28">
        <v>8</v>
      </c>
      <c r="O52" s="28">
        <v>8</v>
      </c>
    </row>
    <row r="53" spans="1:15" ht="12.75" customHeight="1">
      <c r="A53" s="4" t="s">
        <v>97</v>
      </c>
      <c r="B53" s="5" t="s">
        <v>98</v>
      </c>
      <c r="C53" s="28">
        <v>9319</v>
      </c>
      <c r="D53" s="28">
        <v>6643</v>
      </c>
      <c r="E53" s="28">
        <v>205</v>
      </c>
      <c r="F53" s="28">
        <f t="shared" si="10"/>
        <v>2471</v>
      </c>
      <c r="G53" s="28">
        <v>27934</v>
      </c>
      <c r="H53" s="28">
        <v>17186</v>
      </c>
      <c r="I53" s="28">
        <v>1002</v>
      </c>
      <c r="J53" s="28">
        <f t="shared" si="11"/>
        <v>9746</v>
      </c>
      <c r="K53" s="28">
        <v>434</v>
      </c>
      <c r="L53" s="28">
        <v>0</v>
      </c>
      <c r="M53" s="28">
        <v>2363</v>
      </c>
      <c r="N53" s="28">
        <v>205</v>
      </c>
      <c r="O53" s="28">
        <v>205</v>
      </c>
    </row>
    <row r="54" spans="1:15" ht="12.75" customHeight="1">
      <c r="A54" s="4" t="s">
        <v>99</v>
      </c>
      <c r="B54" s="5" t="s">
        <v>100</v>
      </c>
      <c r="C54" s="28">
        <v>1790</v>
      </c>
      <c r="D54" s="28">
        <v>972</v>
      </c>
      <c r="E54" s="28">
        <v>55</v>
      </c>
      <c r="F54" s="28">
        <f t="shared" si="10"/>
        <v>763</v>
      </c>
      <c r="G54" s="28">
        <v>5422</v>
      </c>
      <c r="H54" s="28">
        <v>3050</v>
      </c>
      <c r="I54" s="28">
        <v>375</v>
      </c>
      <c r="J54" s="28">
        <f t="shared" si="11"/>
        <v>1997</v>
      </c>
      <c r="K54" s="28">
        <v>40</v>
      </c>
      <c r="L54" s="28">
        <v>0</v>
      </c>
      <c r="M54" s="28">
        <v>1559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7056</v>
      </c>
      <c r="D55" s="28">
        <v>4603</v>
      </c>
      <c r="E55" s="28">
        <v>153</v>
      </c>
      <c r="F55" s="28">
        <f t="shared" si="10"/>
        <v>2300</v>
      </c>
      <c r="G55" s="28">
        <v>24339</v>
      </c>
      <c r="H55" s="28">
        <v>11511</v>
      </c>
      <c r="I55" s="28">
        <v>505</v>
      </c>
      <c r="J55" s="28">
        <f t="shared" si="11"/>
        <v>12323</v>
      </c>
      <c r="K55" s="28">
        <v>1086</v>
      </c>
      <c r="L55" s="28">
        <v>0</v>
      </c>
      <c r="M55" s="28">
        <v>2195</v>
      </c>
      <c r="N55" s="28">
        <v>1146</v>
      </c>
      <c r="O55" s="28">
        <v>1146</v>
      </c>
    </row>
    <row r="56" spans="1:15" ht="12.75" customHeight="1">
      <c r="A56" s="4" t="s">
        <v>103</v>
      </c>
      <c r="B56" s="5" t="s">
        <v>104</v>
      </c>
      <c r="C56" s="28">
        <v>9828</v>
      </c>
      <c r="D56" s="28">
        <v>4910</v>
      </c>
      <c r="E56" s="28">
        <v>503</v>
      </c>
      <c r="F56" s="28">
        <f t="shared" si="10"/>
        <v>4415</v>
      </c>
      <c r="G56" s="28">
        <v>34267</v>
      </c>
      <c r="H56" s="28">
        <v>11358</v>
      </c>
      <c r="I56" s="28">
        <v>2236</v>
      </c>
      <c r="J56" s="28">
        <f t="shared" si="11"/>
        <v>20673</v>
      </c>
      <c r="K56" s="28">
        <v>801</v>
      </c>
      <c r="L56" s="28">
        <v>7</v>
      </c>
      <c r="M56" s="28">
        <v>5151</v>
      </c>
      <c r="N56" s="28">
        <v>5864</v>
      </c>
      <c r="O56" s="28">
        <v>316</v>
      </c>
    </row>
    <row r="57" spans="1:15" ht="12.75" customHeight="1">
      <c r="A57" s="4" t="s">
        <v>105</v>
      </c>
      <c r="B57" s="5" t="s">
        <v>106</v>
      </c>
      <c r="C57" s="28">
        <v>9628</v>
      </c>
      <c r="D57" s="28">
        <v>5680</v>
      </c>
      <c r="E57" s="28">
        <v>544</v>
      </c>
      <c r="F57" s="28">
        <f t="shared" si="10"/>
        <v>3404</v>
      </c>
      <c r="G57" s="28">
        <v>34100</v>
      </c>
      <c r="H57" s="28">
        <v>15610</v>
      </c>
      <c r="I57" s="28">
        <v>2032</v>
      </c>
      <c r="J57" s="28">
        <f t="shared" si="11"/>
        <v>16458</v>
      </c>
      <c r="K57" s="28">
        <v>194</v>
      </c>
      <c r="L57" s="28">
        <v>0</v>
      </c>
      <c r="M57" s="28">
        <v>4747</v>
      </c>
      <c r="N57" s="28">
        <v>13</v>
      </c>
      <c r="O57" s="28">
        <v>13</v>
      </c>
    </row>
    <row r="58" spans="1:15" ht="12.75" customHeight="1">
      <c r="A58" s="4" t="s">
        <v>107</v>
      </c>
      <c r="B58" s="5" t="s">
        <v>108</v>
      </c>
      <c r="C58" s="28">
        <v>9722</v>
      </c>
      <c r="D58" s="28">
        <v>5524</v>
      </c>
      <c r="E58" s="28">
        <v>157</v>
      </c>
      <c r="F58" s="28">
        <f t="shared" si="10"/>
        <v>4041</v>
      </c>
      <c r="G58" s="28">
        <v>33016</v>
      </c>
      <c r="H58" s="28">
        <v>13339</v>
      </c>
      <c r="I58" s="28">
        <v>642</v>
      </c>
      <c r="J58" s="28">
        <f t="shared" si="11"/>
        <v>19035</v>
      </c>
      <c r="K58" s="28">
        <v>477</v>
      </c>
      <c r="L58" s="28">
        <v>22</v>
      </c>
      <c r="M58" s="28">
        <v>2639</v>
      </c>
      <c r="N58" s="28">
        <v>2265</v>
      </c>
      <c r="O58" s="28">
        <v>2265</v>
      </c>
    </row>
    <row r="59" spans="1:15" ht="12.75" customHeight="1">
      <c r="A59" s="8"/>
      <c r="B59" s="9" t="s">
        <v>109</v>
      </c>
      <c r="C59" s="29">
        <f t="shared" ref="C59:O59" si="12">SUM(C52:C58)</f>
        <v>49101</v>
      </c>
      <c r="D59" s="29">
        <f t="shared" si="12"/>
        <v>29698</v>
      </c>
      <c r="E59" s="29">
        <f t="shared" si="12"/>
        <v>1634</v>
      </c>
      <c r="F59" s="29">
        <f t="shared" si="12"/>
        <v>17769</v>
      </c>
      <c r="G59" s="29">
        <f t="shared" si="12"/>
        <v>164197</v>
      </c>
      <c r="H59" s="29">
        <f t="shared" si="12"/>
        <v>74889</v>
      </c>
      <c r="I59" s="29">
        <f t="shared" si="12"/>
        <v>6861</v>
      </c>
      <c r="J59" s="29">
        <f t="shared" si="12"/>
        <v>82447</v>
      </c>
      <c r="K59" s="29">
        <f t="shared" si="12"/>
        <v>4223</v>
      </c>
      <c r="L59" s="29">
        <f t="shared" si="12"/>
        <v>29</v>
      </c>
      <c r="M59" s="29">
        <f t="shared" si="12"/>
        <v>18740</v>
      </c>
      <c r="N59" s="29">
        <f t="shared" si="12"/>
        <v>9501</v>
      </c>
      <c r="O59" s="29">
        <f t="shared" si="12"/>
        <v>3953</v>
      </c>
    </row>
    <row r="60" spans="1:15" ht="12.75" customHeight="1">
      <c r="A60" s="4" t="s">
        <v>110</v>
      </c>
      <c r="B60" s="5" t="s">
        <v>111</v>
      </c>
      <c r="C60" s="28">
        <v>10307</v>
      </c>
      <c r="D60" s="28">
        <v>7220</v>
      </c>
      <c r="E60" s="28">
        <v>914</v>
      </c>
      <c r="F60" s="28">
        <f t="shared" ref="F60:F68" si="13">SUM(C60-D60-E60)</f>
        <v>2173</v>
      </c>
      <c r="G60" s="28">
        <v>31109</v>
      </c>
      <c r="H60" s="28">
        <v>17590</v>
      </c>
      <c r="I60" s="28">
        <v>4028</v>
      </c>
      <c r="J60" s="28">
        <f t="shared" ref="J60:J68" si="14">SUM(G60-H60-I60)</f>
        <v>9491</v>
      </c>
      <c r="K60" s="28">
        <v>86</v>
      </c>
      <c r="L60" s="28">
        <v>0</v>
      </c>
      <c r="M60" s="28">
        <v>2682</v>
      </c>
      <c r="N60" s="28">
        <v>216</v>
      </c>
      <c r="O60" s="28">
        <v>216</v>
      </c>
    </row>
    <row r="61" spans="1:15" ht="12.75" customHeight="1">
      <c r="A61" s="4" t="s">
        <v>112</v>
      </c>
      <c r="B61" s="5" t="s">
        <v>113</v>
      </c>
      <c r="C61" s="28">
        <v>3099</v>
      </c>
      <c r="D61" s="28">
        <v>2132</v>
      </c>
      <c r="E61" s="28">
        <v>85</v>
      </c>
      <c r="F61" s="28">
        <f t="shared" si="13"/>
        <v>882</v>
      </c>
      <c r="G61" s="28">
        <v>8345</v>
      </c>
      <c r="H61" s="28">
        <v>5271</v>
      </c>
      <c r="I61" s="28">
        <v>345</v>
      </c>
      <c r="J61" s="28">
        <f t="shared" si="14"/>
        <v>2729</v>
      </c>
      <c r="K61" s="28">
        <v>2</v>
      </c>
      <c r="L61" s="28">
        <v>0</v>
      </c>
      <c r="M61" s="28">
        <v>2484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5068</v>
      </c>
      <c r="D62" s="28">
        <v>2620</v>
      </c>
      <c r="E62" s="28">
        <v>272</v>
      </c>
      <c r="F62" s="28">
        <f t="shared" si="13"/>
        <v>2176</v>
      </c>
      <c r="G62" s="28">
        <v>23833</v>
      </c>
      <c r="H62" s="28">
        <v>6844</v>
      </c>
      <c r="I62" s="28">
        <v>1262</v>
      </c>
      <c r="J62" s="28">
        <f t="shared" si="14"/>
        <v>15727</v>
      </c>
      <c r="K62" s="28">
        <v>113</v>
      </c>
      <c r="L62" s="28">
        <v>72</v>
      </c>
      <c r="M62" s="28">
        <v>2430</v>
      </c>
      <c r="N62" s="28">
        <v>423</v>
      </c>
      <c r="O62" s="28">
        <v>423</v>
      </c>
    </row>
    <row r="63" spans="1:15" ht="12.75" customHeight="1">
      <c r="A63" s="4" t="s">
        <v>116</v>
      </c>
      <c r="B63" s="5" t="s">
        <v>117</v>
      </c>
      <c r="C63" s="28">
        <v>7353</v>
      </c>
      <c r="D63" s="28">
        <v>4068</v>
      </c>
      <c r="E63" s="28">
        <v>552</v>
      </c>
      <c r="F63" s="28">
        <f t="shared" si="13"/>
        <v>2733</v>
      </c>
      <c r="G63" s="28">
        <v>23556</v>
      </c>
      <c r="H63" s="28">
        <v>11962</v>
      </c>
      <c r="I63" s="28">
        <v>2464</v>
      </c>
      <c r="J63" s="28">
        <f t="shared" si="14"/>
        <v>9130</v>
      </c>
      <c r="K63" s="28">
        <v>24</v>
      </c>
      <c r="L63" s="28">
        <v>0</v>
      </c>
      <c r="M63" s="28">
        <v>2901</v>
      </c>
      <c r="N63" s="28">
        <v>80</v>
      </c>
      <c r="O63" s="28">
        <v>80</v>
      </c>
    </row>
    <row r="64" spans="1:15" ht="12.75" customHeight="1">
      <c r="A64" s="4" t="s">
        <v>118</v>
      </c>
      <c r="B64" s="5" t="s">
        <v>119</v>
      </c>
      <c r="C64" s="28">
        <v>6740</v>
      </c>
      <c r="D64" s="28">
        <v>3196</v>
      </c>
      <c r="E64" s="28">
        <v>577</v>
      </c>
      <c r="F64" s="28">
        <f t="shared" si="13"/>
        <v>2967</v>
      </c>
      <c r="G64" s="28">
        <v>24683</v>
      </c>
      <c r="H64" s="28">
        <v>9519</v>
      </c>
      <c r="I64" s="28">
        <v>1968</v>
      </c>
      <c r="J64" s="28">
        <f t="shared" si="14"/>
        <v>13196</v>
      </c>
      <c r="K64" s="28">
        <v>31</v>
      </c>
      <c r="L64" s="28">
        <v>7</v>
      </c>
      <c r="M64" s="28">
        <v>1597</v>
      </c>
      <c r="N64" s="28">
        <v>88</v>
      </c>
      <c r="O64" s="28">
        <v>88</v>
      </c>
    </row>
    <row r="65" spans="1:15" ht="12.75" customHeight="1">
      <c r="A65" s="4" t="s">
        <v>120</v>
      </c>
      <c r="B65" s="5" t="s">
        <v>121</v>
      </c>
      <c r="C65" s="28">
        <v>3261</v>
      </c>
      <c r="D65" s="28">
        <v>2182</v>
      </c>
      <c r="E65" s="28">
        <v>367</v>
      </c>
      <c r="F65" s="28">
        <f t="shared" si="13"/>
        <v>712</v>
      </c>
      <c r="G65" s="28">
        <v>17068</v>
      </c>
      <c r="H65" s="28">
        <v>6167</v>
      </c>
      <c r="I65" s="28">
        <v>1813</v>
      </c>
      <c r="J65" s="28">
        <f t="shared" si="14"/>
        <v>9088</v>
      </c>
      <c r="K65" s="28">
        <v>765</v>
      </c>
      <c r="L65" s="28">
        <v>0</v>
      </c>
      <c r="M65" s="28">
        <v>4366</v>
      </c>
      <c r="N65" s="28">
        <v>213</v>
      </c>
      <c r="O65" s="28">
        <v>213</v>
      </c>
    </row>
    <row r="66" spans="1:15" ht="12.75" customHeight="1">
      <c r="A66" s="4" t="s">
        <v>122</v>
      </c>
      <c r="B66" s="5" t="s">
        <v>123</v>
      </c>
      <c r="C66" s="28">
        <v>6599</v>
      </c>
      <c r="D66" s="28">
        <v>2536</v>
      </c>
      <c r="E66" s="28">
        <v>169</v>
      </c>
      <c r="F66" s="28">
        <f t="shared" si="13"/>
        <v>3894</v>
      </c>
      <c r="G66" s="28">
        <v>30499</v>
      </c>
      <c r="H66" s="28">
        <v>6844</v>
      </c>
      <c r="I66" s="28">
        <v>665</v>
      </c>
      <c r="J66" s="28">
        <f t="shared" si="14"/>
        <v>22990</v>
      </c>
      <c r="K66" s="28">
        <v>1198</v>
      </c>
      <c r="L66" s="28">
        <v>15</v>
      </c>
      <c r="M66" s="28">
        <v>8604</v>
      </c>
      <c r="N66" s="28">
        <v>0</v>
      </c>
      <c r="O66" s="28">
        <v>0</v>
      </c>
    </row>
    <row r="67" spans="1:15" ht="12.75" customHeight="1">
      <c r="A67" s="4" t="s">
        <v>124</v>
      </c>
      <c r="B67" s="5" t="s">
        <v>125</v>
      </c>
      <c r="C67" s="28">
        <v>8179</v>
      </c>
      <c r="D67" s="28">
        <v>2306</v>
      </c>
      <c r="E67" s="28">
        <v>0</v>
      </c>
      <c r="F67" s="28">
        <f t="shared" si="13"/>
        <v>5873</v>
      </c>
      <c r="G67" s="28">
        <v>33621</v>
      </c>
      <c r="H67" s="28">
        <v>6147</v>
      </c>
      <c r="I67" s="28">
        <v>0</v>
      </c>
      <c r="J67" s="28">
        <f t="shared" si="14"/>
        <v>27474</v>
      </c>
      <c r="K67" s="28">
        <v>519</v>
      </c>
      <c r="L67" s="28">
        <v>0</v>
      </c>
      <c r="M67" s="28">
        <v>11193</v>
      </c>
      <c r="N67" s="28">
        <v>105</v>
      </c>
      <c r="O67" s="28">
        <v>105</v>
      </c>
    </row>
    <row r="68" spans="1:15" ht="12.75" customHeight="1">
      <c r="A68" s="4" t="s">
        <v>126</v>
      </c>
      <c r="B68" s="5" t="s">
        <v>127</v>
      </c>
      <c r="C68" s="28">
        <v>6873</v>
      </c>
      <c r="D68" s="28">
        <v>3273</v>
      </c>
      <c r="E68" s="28">
        <v>144</v>
      </c>
      <c r="F68" s="28">
        <f t="shared" si="13"/>
        <v>3456</v>
      </c>
      <c r="G68" s="28">
        <v>14593</v>
      </c>
      <c r="H68" s="28">
        <v>7163</v>
      </c>
      <c r="I68" s="28">
        <v>742</v>
      </c>
      <c r="J68" s="28">
        <f t="shared" si="14"/>
        <v>6688</v>
      </c>
      <c r="K68" s="28">
        <v>11</v>
      </c>
      <c r="L68" s="28">
        <v>117</v>
      </c>
      <c r="M68" s="28">
        <v>662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57479</v>
      </c>
      <c r="D69" s="29">
        <f t="shared" si="15"/>
        <v>29533</v>
      </c>
      <c r="E69" s="29">
        <f t="shared" si="15"/>
        <v>3080</v>
      </c>
      <c r="F69" s="29">
        <f t="shared" si="15"/>
        <v>24866</v>
      </c>
      <c r="G69" s="29">
        <f t="shared" si="15"/>
        <v>207307</v>
      </c>
      <c r="H69" s="29">
        <f t="shared" si="15"/>
        <v>77507</v>
      </c>
      <c r="I69" s="29">
        <f t="shared" si="15"/>
        <v>13287</v>
      </c>
      <c r="J69" s="29">
        <f t="shared" si="15"/>
        <v>116513</v>
      </c>
      <c r="K69" s="29">
        <f t="shared" si="15"/>
        <v>2749</v>
      </c>
      <c r="L69" s="29">
        <f t="shared" si="15"/>
        <v>211</v>
      </c>
      <c r="M69" s="29">
        <f t="shared" si="15"/>
        <v>36919</v>
      </c>
      <c r="N69" s="29">
        <f t="shared" si="15"/>
        <v>1125</v>
      </c>
      <c r="O69" s="29">
        <f t="shared" si="15"/>
        <v>1125</v>
      </c>
    </row>
    <row r="70" spans="1:15" ht="12.75" customHeight="1">
      <c r="A70" s="4" t="s">
        <v>129</v>
      </c>
      <c r="B70" s="5" t="s">
        <v>130</v>
      </c>
      <c r="C70" s="28">
        <v>3149</v>
      </c>
      <c r="D70" s="28">
        <v>2136</v>
      </c>
      <c r="E70" s="28">
        <v>263</v>
      </c>
      <c r="F70" s="28">
        <f t="shared" ref="F70:F79" si="16">SUM(C70-D70-E70)</f>
        <v>750</v>
      </c>
      <c r="G70" s="28">
        <v>11335</v>
      </c>
      <c r="H70" s="28">
        <v>5765</v>
      </c>
      <c r="I70" s="28">
        <v>1775</v>
      </c>
      <c r="J70" s="28">
        <f t="shared" ref="J70:J79" si="17">SUM(G70-H70-I70)</f>
        <v>3795</v>
      </c>
      <c r="K70" s="28">
        <v>80</v>
      </c>
      <c r="L70" s="28">
        <v>0</v>
      </c>
      <c r="M70" s="28">
        <v>1045</v>
      </c>
      <c r="N70" s="28">
        <v>36</v>
      </c>
      <c r="O70" s="28">
        <v>36</v>
      </c>
    </row>
    <row r="71" spans="1:15" ht="12.75" customHeight="1">
      <c r="A71" s="4" t="s">
        <v>131</v>
      </c>
      <c r="B71" s="5" t="s">
        <v>132</v>
      </c>
      <c r="C71" s="28">
        <v>12787</v>
      </c>
      <c r="D71" s="28">
        <v>8140</v>
      </c>
      <c r="E71" s="28">
        <v>548</v>
      </c>
      <c r="F71" s="28">
        <f t="shared" si="16"/>
        <v>4099</v>
      </c>
      <c r="G71" s="28">
        <v>31328</v>
      </c>
      <c r="H71" s="28">
        <v>14438</v>
      </c>
      <c r="I71" s="28">
        <v>2262</v>
      </c>
      <c r="J71" s="28">
        <f t="shared" si="17"/>
        <v>14628</v>
      </c>
      <c r="K71" s="28">
        <v>225</v>
      </c>
      <c r="L71" s="28">
        <v>0</v>
      </c>
      <c r="M71" s="28">
        <v>1421</v>
      </c>
      <c r="N71" s="28">
        <v>3575</v>
      </c>
      <c r="O71" s="28">
        <v>3575</v>
      </c>
    </row>
    <row r="72" spans="1:15" ht="12.75" customHeight="1">
      <c r="A72" s="4" t="s">
        <v>133</v>
      </c>
      <c r="B72" s="5" t="s">
        <v>134</v>
      </c>
      <c r="C72" s="28">
        <v>2956</v>
      </c>
      <c r="D72" s="28">
        <v>1906</v>
      </c>
      <c r="E72" s="28">
        <v>0</v>
      </c>
      <c r="F72" s="28">
        <f t="shared" si="16"/>
        <v>1050</v>
      </c>
      <c r="G72" s="28">
        <v>8648</v>
      </c>
      <c r="H72" s="28">
        <v>4670</v>
      </c>
      <c r="I72" s="28">
        <v>0</v>
      </c>
      <c r="J72" s="28">
        <f t="shared" si="17"/>
        <v>3978</v>
      </c>
      <c r="K72" s="28">
        <v>102</v>
      </c>
      <c r="L72" s="28">
        <v>97</v>
      </c>
      <c r="M72" s="28">
        <v>2250</v>
      </c>
      <c r="N72" s="28">
        <v>72</v>
      </c>
      <c r="O72" s="28">
        <v>72</v>
      </c>
    </row>
    <row r="73" spans="1:15" ht="12.75" customHeight="1">
      <c r="A73" s="4" t="s">
        <v>135</v>
      </c>
      <c r="B73" s="5" t="s">
        <v>136</v>
      </c>
      <c r="C73" s="28">
        <v>6628</v>
      </c>
      <c r="D73" s="28">
        <v>4525</v>
      </c>
      <c r="E73" s="28">
        <v>90</v>
      </c>
      <c r="F73" s="28">
        <f t="shared" si="16"/>
        <v>2013</v>
      </c>
      <c r="G73" s="28">
        <v>17091</v>
      </c>
      <c r="H73" s="28">
        <v>10412</v>
      </c>
      <c r="I73" s="28">
        <v>216</v>
      </c>
      <c r="J73" s="28">
        <f t="shared" si="17"/>
        <v>6463</v>
      </c>
      <c r="K73" s="28">
        <v>281</v>
      </c>
      <c r="L73" s="28">
        <v>0</v>
      </c>
      <c r="M73" s="28">
        <v>1245</v>
      </c>
      <c r="N73" s="28">
        <v>7013</v>
      </c>
      <c r="O73" s="28">
        <v>7013</v>
      </c>
    </row>
    <row r="74" spans="1:15" ht="12.75" customHeight="1">
      <c r="A74" s="4" t="s">
        <v>137</v>
      </c>
      <c r="B74" s="5" t="s">
        <v>138</v>
      </c>
      <c r="C74" s="28">
        <v>5450</v>
      </c>
      <c r="D74" s="28">
        <v>3793</v>
      </c>
      <c r="E74" s="28">
        <v>243</v>
      </c>
      <c r="F74" s="28">
        <f t="shared" si="16"/>
        <v>1414</v>
      </c>
      <c r="G74" s="28">
        <v>12007</v>
      </c>
      <c r="H74" s="28">
        <v>6365</v>
      </c>
      <c r="I74" s="28">
        <v>777</v>
      </c>
      <c r="J74" s="28">
        <f t="shared" si="17"/>
        <v>4865</v>
      </c>
      <c r="K74" s="28">
        <v>132</v>
      </c>
      <c r="L74" s="28">
        <v>0</v>
      </c>
      <c r="M74" s="28">
        <v>182</v>
      </c>
      <c r="N74" s="28">
        <v>359</v>
      </c>
      <c r="O74" s="28">
        <v>359</v>
      </c>
    </row>
    <row r="75" spans="1:15" ht="12.75" customHeight="1">
      <c r="A75" s="4" t="s">
        <v>139</v>
      </c>
      <c r="B75" s="5" t="s">
        <v>140</v>
      </c>
      <c r="C75" s="28">
        <v>2162</v>
      </c>
      <c r="D75" s="28">
        <v>1934</v>
      </c>
      <c r="E75" s="28">
        <v>65</v>
      </c>
      <c r="F75" s="28">
        <f t="shared" si="16"/>
        <v>163</v>
      </c>
      <c r="G75" s="28">
        <v>3788</v>
      </c>
      <c r="H75" s="28">
        <v>3099</v>
      </c>
      <c r="I75" s="28">
        <v>196</v>
      </c>
      <c r="J75" s="28">
        <f t="shared" si="17"/>
        <v>493</v>
      </c>
      <c r="K75" s="28">
        <v>8</v>
      </c>
      <c r="L75" s="28">
        <v>0</v>
      </c>
      <c r="M75" s="28">
        <v>22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5116</v>
      </c>
      <c r="D76" s="28">
        <v>3561</v>
      </c>
      <c r="E76" s="28">
        <v>72</v>
      </c>
      <c r="F76" s="28">
        <f t="shared" si="16"/>
        <v>1483</v>
      </c>
      <c r="G76" s="28">
        <v>13848</v>
      </c>
      <c r="H76" s="28">
        <v>8294</v>
      </c>
      <c r="I76" s="28">
        <v>282</v>
      </c>
      <c r="J76" s="28">
        <f t="shared" si="17"/>
        <v>5272</v>
      </c>
      <c r="K76" s="28">
        <v>50</v>
      </c>
      <c r="L76" s="28">
        <v>0</v>
      </c>
      <c r="M76" s="28">
        <v>713</v>
      </c>
      <c r="N76" s="28">
        <v>91</v>
      </c>
      <c r="O76" s="28">
        <v>91</v>
      </c>
    </row>
    <row r="77" spans="1:15" ht="12.75" customHeight="1">
      <c r="A77" s="4" t="s">
        <v>143</v>
      </c>
      <c r="B77" s="5" t="s">
        <v>144</v>
      </c>
      <c r="C77" s="28">
        <v>4059</v>
      </c>
      <c r="D77" s="28">
        <v>2306</v>
      </c>
      <c r="E77" s="28">
        <v>79</v>
      </c>
      <c r="F77" s="28">
        <f t="shared" si="16"/>
        <v>1674</v>
      </c>
      <c r="G77" s="28">
        <v>9234</v>
      </c>
      <c r="H77" s="28">
        <v>4654</v>
      </c>
      <c r="I77" s="28">
        <v>268</v>
      </c>
      <c r="J77" s="28">
        <f t="shared" si="17"/>
        <v>4312</v>
      </c>
      <c r="K77" s="28">
        <v>150</v>
      </c>
      <c r="L77" s="28">
        <v>0</v>
      </c>
      <c r="M77" s="28">
        <v>547</v>
      </c>
      <c r="N77" s="28">
        <v>78</v>
      </c>
      <c r="O77" s="28">
        <v>78</v>
      </c>
    </row>
    <row r="78" spans="1:15" ht="12.75" customHeight="1">
      <c r="A78" s="4" t="s">
        <v>145</v>
      </c>
      <c r="B78" s="5" t="s">
        <v>146</v>
      </c>
      <c r="C78" s="28">
        <v>2794</v>
      </c>
      <c r="D78" s="28">
        <v>1803</v>
      </c>
      <c r="E78" s="28">
        <v>0</v>
      </c>
      <c r="F78" s="28">
        <f t="shared" si="16"/>
        <v>991</v>
      </c>
      <c r="G78" s="28">
        <v>6361</v>
      </c>
      <c r="H78" s="28">
        <v>3787</v>
      </c>
      <c r="I78" s="28">
        <v>0</v>
      </c>
      <c r="J78" s="28">
        <f t="shared" si="17"/>
        <v>2574</v>
      </c>
      <c r="K78" s="28">
        <v>34</v>
      </c>
      <c r="L78" s="28">
        <v>0</v>
      </c>
      <c r="M78" s="28">
        <v>8</v>
      </c>
      <c r="N78" s="28">
        <v>132</v>
      </c>
      <c r="O78" s="28">
        <v>132</v>
      </c>
    </row>
    <row r="79" spans="1:15" ht="12.75" customHeight="1">
      <c r="A79" s="4" t="s">
        <v>147</v>
      </c>
      <c r="B79" s="5" t="s">
        <v>148</v>
      </c>
      <c r="C79" s="28">
        <v>2971</v>
      </c>
      <c r="D79" s="28">
        <v>2169</v>
      </c>
      <c r="E79" s="28">
        <v>89</v>
      </c>
      <c r="F79" s="28">
        <f t="shared" si="16"/>
        <v>713</v>
      </c>
      <c r="G79" s="28">
        <v>10354</v>
      </c>
      <c r="H79" s="28">
        <v>5333</v>
      </c>
      <c r="I79" s="28">
        <v>435</v>
      </c>
      <c r="J79" s="28">
        <f t="shared" si="17"/>
        <v>4586</v>
      </c>
      <c r="K79" s="28">
        <v>179</v>
      </c>
      <c r="L79" s="28">
        <v>0</v>
      </c>
      <c r="M79" s="28">
        <v>1990</v>
      </c>
      <c r="N79" s="28">
        <v>73</v>
      </c>
      <c r="O79" s="28">
        <v>73</v>
      </c>
    </row>
    <row r="80" spans="1:15" ht="12.75" customHeight="1">
      <c r="A80" s="8"/>
      <c r="B80" s="9" t="s">
        <v>149</v>
      </c>
      <c r="C80" s="29">
        <f t="shared" ref="C80:O80" si="18">SUM(C70:C79)</f>
        <v>48072</v>
      </c>
      <c r="D80" s="29">
        <f t="shared" si="18"/>
        <v>32273</v>
      </c>
      <c r="E80" s="29">
        <f t="shared" si="18"/>
        <v>1449</v>
      </c>
      <c r="F80" s="29">
        <f t="shared" si="18"/>
        <v>14350</v>
      </c>
      <c r="G80" s="29">
        <f t="shared" si="18"/>
        <v>123994</v>
      </c>
      <c r="H80" s="29">
        <f t="shared" si="18"/>
        <v>66817</v>
      </c>
      <c r="I80" s="29">
        <f t="shared" si="18"/>
        <v>6211</v>
      </c>
      <c r="J80" s="29">
        <f t="shared" si="18"/>
        <v>50966</v>
      </c>
      <c r="K80" s="29">
        <f t="shared" si="18"/>
        <v>1241</v>
      </c>
      <c r="L80" s="29">
        <f t="shared" si="18"/>
        <v>97</v>
      </c>
      <c r="M80" s="29">
        <f t="shared" si="18"/>
        <v>9423</v>
      </c>
      <c r="N80" s="29">
        <f t="shared" si="18"/>
        <v>11429</v>
      </c>
      <c r="O80" s="29">
        <f t="shared" si="18"/>
        <v>11429</v>
      </c>
    </row>
    <row r="81" spans="1:15" ht="12.75" customHeight="1">
      <c r="A81" s="4" t="s">
        <v>150</v>
      </c>
      <c r="B81" s="5" t="s">
        <v>151</v>
      </c>
      <c r="C81" s="28">
        <v>5886</v>
      </c>
      <c r="D81" s="28">
        <v>3685</v>
      </c>
      <c r="E81" s="28">
        <v>187</v>
      </c>
      <c r="F81" s="28">
        <f>SUM(C81-D81-E81)</f>
        <v>2014</v>
      </c>
      <c r="G81" s="28">
        <v>22116</v>
      </c>
      <c r="H81" s="28">
        <v>11004</v>
      </c>
      <c r="I81" s="28">
        <v>1147</v>
      </c>
      <c r="J81" s="28">
        <f>SUM(G81-H81-I81)</f>
        <v>9965</v>
      </c>
      <c r="K81" s="28">
        <v>87</v>
      </c>
      <c r="L81" s="28">
        <v>181</v>
      </c>
      <c r="M81" s="28">
        <v>2155</v>
      </c>
      <c r="N81" s="28">
        <v>181</v>
      </c>
      <c r="O81" s="28">
        <v>181</v>
      </c>
    </row>
    <row r="82" spans="1:15" ht="12.75" customHeight="1">
      <c r="A82" s="4" t="s">
        <v>152</v>
      </c>
      <c r="B82" s="5" t="s">
        <v>153</v>
      </c>
      <c r="C82" s="28">
        <v>2093</v>
      </c>
      <c r="D82" s="28">
        <v>1461</v>
      </c>
      <c r="E82" s="28">
        <v>41</v>
      </c>
      <c r="F82" s="28">
        <f>SUM(C82-D82-E82)</f>
        <v>591</v>
      </c>
      <c r="G82" s="28">
        <v>10344</v>
      </c>
      <c r="H82" s="28">
        <v>4327</v>
      </c>
      <c r="I82" s="28">
        <v>268</v>
      </c>
      <c r="J82" s="28">
        <f>SUM(G82-H82-I82)</f>
        <v>5749</v>
      </c>
      <c r="K82" s="28">
        <v>40</v>
      </c>
      <c r="L82" s="28">
        <v>0</v>
      </c>
      <c r="M82" s="28">
        <v>2019</v>
      </c>
      <c r="N82" s="28">
        <v>42</v>
      </c>
      <c r="O82" s="28">
        <v>42</v>
      </c>
    </row>
    <row r="83" spans="1:15" ht="12.75" customHeight="1">
      <c r="A83" s="4" t="s">
        <v>154</v>
      </c>
      <c r="B83" s="5" t="s">
        <v>155</v>
      </c>
      <c r="C83" s="28">
        <v>720</v>
      </c>
      <c r="D83" s="28">
        <v>667</v>
      </c>
      <c r="E83" s="28">
        <v>47</v>
      </c>
      <c r="F83" s="28">
        <f>SUM(C83-D83-E83)</f>
        <v>6</v>
      </c>
      <c r="G83" s="28">
        <v>2780</v>
      </c>
      <c r="H83" s="28">
        <v>2151</v>
      </c>
      <c r="I83" s="28">
        <v>305</v>
      </c>
      <c r="J83" s="28">
        <f>SUM(G83-H83-I83)</f>
        <v>324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2214</v>
      </c>
      <c r="D84" s="28">
        <v>1939</v>
      </c>
      <c r="E84" s="28">
        <v>35</v>
      </c>
      <c r="F84" s="28">
        <f>SUM(C84-D84-E84)</f>
        <v>240</v>
      </c>
      <c r="G84" s="28">
        <v>10406</v>
      </c>
      <c r="H84" s="28">
        <v>6310</v>
      </c>
      <c r="I84" s="28">
        <v>249</v>
      </c>
      <c r="J84" s="28">
        <f>SUM(G84-H84-I84)</f>
        <v>3847</v>
      </c>
      <c r="K84" s="28">
        <v>34</v>
      </c>
      <c r="L84" s="28">
        <v>0</v>
      </c>
      <c r="M84" s="28">
        <v>1794</v>
      </c>
      <c r="N84" s="28">
        <v>55</v>
      </c>
      <c r="O84" s="28">
        <v>55</v>
      </c>
    </row>
    <row r="85" spans="1:15" ht="12.75" customHeight="1">
      <c r="A85" s="4" t="s">
        <v>158</v>
      </c>
      <c r="B85" s="5" t="s">
        <v>159</v>
      </c>
      <c r="C85" s="28">
        <v>3363</v>
      </c>
      <c r="D85" s="28">
        <v>2621</v>
      </c>
      <c r="E85" s="28">
        <v>96</v>
      </c>
      <c r="F85" s="28">
        <f>SUM(C85-D85-E85)</f>
        <v>646</v>
      </c>
      <c r="G85" s="28">
        <v>10402</v>
      </c>
      <c r="H85" s="28">
        <v>6457</v>
      </c>
      <c r="I85" s="28">
        <v>417</v>
      </c>
      <c r="J85" s="28">
        <f>SUM(G85-H85-I85)</f>
        <v>3528</v>
      </c>
      <c r="K85" s="28">
        <v>41</v>
      </c>
      <c r="L85" s="28">
        <v>66</v>
      </c>
      <c r="M85" s="28">
        <v>1415</v>
      </c>
      <c r="N85" s="28">
        <v>2081</v>
      </c>
      <c r="O85" s="28">
        <v>2081</v>
      </c>
    </row>
    <row r="86" spans="1:15" ht="12.75" customHeight="1">
      <c r="A86" s="8"/>
      <c r="B86" s="9" t="s">
        <v>160</v>
      </c>
      <c r="C86" s="29">
        <f t="shared" ref="C86:O86" si="19">SUM(C81:C85)</f>
        <v>14276</v>
      </c>
      <c r="D86" s="29">
        <f t="shared" si="19"/>
        <v>10373</v>
      </c>
      <c r="E86" s="29">
        <f t="shared" si="19"/>
        <v>406</v>
      </c>
      <c r="F86" s="29">
        <f t="shared" si="19"/>
        <v>3497</v>
      </c>
      <c r="G86" s="29">
        <f t="shared" si="19"/>
        <v>56048</v>
      </c>
      <c r="H86" s="29">
        <f t="shared" si="19"/>
        <v>30249</v>
      </c>
      <c r="I86" s="29">
        <f t="shared" si="19"/>
        <v>2386</v>
      </c>
      <c r="J86" s="29">
        <f t="shared" si="19"/>
        <v>23413</v>
      </c>
      <c r="K86" s="29">
        <f t="shared" si="19"/>
        <v>202</v>
      </c>
      <c r="L86" s="29">
        <f t="shared" si="19"/>
        <v>247</v>
      </c>
      <c r="M86" s="29">
        <f t="shared" si="19"/>
        <v>7398</v>
      </c>
      <c r="N86" s="29">
        <f t="shared" si="19"/>
        <v>2359</v>
      </c>
      <c r="O86" s="29">
        <f t="shared" si="19"/>
        <v>2359</v>
      </c>
    </row>
    <row r="87" spans="1:15" ht="12.75" customHeight="1">
      <c r="A87" s="4" t="s">
        <v>161</v>
      </c>
      <c r="B87" s="5" t="s">
        <v>162</v>
      </c>
      <c r="C87" s="28">
        <v>6112</v>
      </c>
      <c r="D87" s="28">
        <v>4245</v>
      </c>
      <c r="E87" s="28">
        <v>0</v>
      </c>
      <c r="F87" s="28">
        <f>SUM(C87-D87-E87)</f>
        <v>1867</v>
      </c>
      <c r="G87" s="28">
        <v>24891</v>
      </c>
      <c r="H87" s="28">
        <v>12423</v>
      </c>
      <c r="I87" s="28">
        <v>0</v>
      </c>
      <c r="J87" s="28">
        <f>SUM(G87-H87-I87)</f>
        <v>12468</v>
      </c>
      <c r="K87" s="28">
        <v>53</v>
      </c>
      <c r="L87" s="28">
        <v>0</v>
      </c>
      <c r="M87" s="28">
        <v>3263</v>
      </c>
      <c r="N87" s="28">
        <v>133</v>
      </c>
      <c r="O87" s="28">
        <v>133</v>
      </c>
    </row>
    <row r="88" spans="1:15" ht="12.75" customHeight="1">
      <c r="A88" s="4" t="s">
        <v>163</v>
      </c>
      <c r="B88" s="5" t="s">
        <v>164</v>
      </c>
      <c r="C88" s="28">
        <v>4483</v>
      </c>
      <c r="D88" s="28">
        <v>2223</v>
      </c>
      <c r="E88" s="28">
        <v>193</v>
      </c>
      <c r="F88" s="28">
        <f>SUM(C88-D88-E88)</f>
        <v>2067</v>
      </c>
      <c r="G88" s="28">
        <v>12720</v>
      </c>
      <c r="H88" s="28">
        <v>5380</v>
      </c>
      <c r="I88" s="28">
        <v>1118</v>
      </c>
      <c r="J88" s="28">
        <f>SUM(G88-H88-I88)</f>
        <v>6222</v>
      </c>
      <c r="K88" s="28">
        <v>10</v>
      </c>
      <c r="L88" s="28">
        <v>0</v>
      </c>
      <c r="M88" s="28">
        <v>983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10595</v>
      </c>
      <c r="D89" s="29">
        <f t="shared" si="20"/>
        <v>6468</v>
      </c>
      <c r="E89" s="29">
        <f t="shared" si="20"/>
        <v>193</v>
      </c>
      <c r="F89" s="29">
        <f t="shared" si="20"/>
        <v>3934</v>
      </c>
      <c r="G89" s="29">
        <f t="shared" si="20"/>
        <v>37611</v>
      </c>
      <c r="H89" s="29">
        <f t="shared" si="20"/>
        <v>17803</v>
      </c>
      <c r="I89" s="29">
        <f t="shared" si="20"/>
        <v>1118</v>
      </c>
      <c r="J89" s="29">
        <f t="shared" si="20"/>
        <v>18690</v>
      </c>
      <c r="K89" s="29">
        <f t="shared" si="20"/>
        <v>63</v>
      </c>
      <c r="L89" s="29">
        <f t="shared" si="20"/>
        <v>0</v>
      </c>
      <c r="M89" s="29">
        <f t="shared" si="20"/>
        <v>4246</v>
      </c>
      <c r="N89" s="29">
        <f t="shared" si="20"/>
        <v>133</v>
      </c>
      <c r="O89" s="29">
        <f t="shared" si="20"/>
        <v>133</v>
      </c>
    </row>
    <row r="90" spans="1:15" ht="12.75" customHeight="1">
      <c r="A90" s="4" t="s">
        <v>166</v>
      </c>
      <c r="B90" s="5" t="s">
        <v>167</v>
      </c>
      <c r="C90" s="28">
        <v>6104</v>
      </c>
      <c r="D90" s="28">
        <v>2756</v>
      </c>
      <c r="E90" s="28">
        <v>380</v>
      </c>
      <c r="F90" s="28">
        <f>SUM(C90-D90-E90)</f>
        <v>2968</v>
      </c>
      <c r="G90" s="28">
        <v>27798</v>
      </c>
      <c r="H90" s="28">
        <v>9219</v>
      </c>
      <c r="I90" s="28">
        <v>2104</v>
      </c>
      <c r="J90" s="28">
        <f>SUM(G90-H90-I90)</f>
        <v>16475</v>
      </c>
      <c r="K90" s="28">
        <v>25</v>
      </c>
      <c r="L90" s="28">
        <v>0</v>
      </c>
      <c r="M90" s="28">
        <v>3066</v>
      </c>
      <c r="N90" s="28">
        <v>20</v>
      </c>
      <c r="O90" s="28">
        <v>20</v>
      </c>
    </row>
    <row r="91" spans="1:15" ht="12.75" customHeight="1">
      <c r="A91" s="4" t="s">
        <v>168</v>
      </c>
      <c r="B91" s="5" t="s">
        <v>169</v>
      </c>
      <c r="C91" s="28">
        <v>6022</v>
      </c>
      <c r="D91" s="28">
        <v>4234</v>
      </c>
      <c r="E91" s="28">
        <v>0</v>
      </c>
      <c r="F91" s="28">
        <f>SUM(C91-D91-E91)</f>
        <v>1788</v>
      </c>
      <c r="G91" s="28">
        <v>26136</v>
      </c>
      <c r="H91" s="28">
        <v>10449</v>
      </c>
      <c r="I91" s="28">
        <v>0</v>
      </c>
      <c r="J91" s="28">
        <f>SUM(G91-H91-I91)</f>
        <v>15687</v>
      </c>
      <c r="K91" s="28">
        <v>85</v>
      </c>
      <c r="L91" s="28">
        <v>27</v>
      </c>
      <c r="M91" s="28">
        <v>3489</v>
      </c>
      <c r="N91" s="28">
        <v>12</v>
      </c>
      <c r="O91" s="28">
        <v>12</v>
      </c>
    </row>
    <row r="92" spans="1:15" ht="12.75" customHeight="1">
      <c r="A92" s="4" t="s">
        <v>170</v>
      </c>
      <c r="B92" s="5" t="s">
        <v>171</v>
      </c>
      <c r="C92" s="28">
        <v>1157</v>
      </c>
      <c r="D92" s="28">
        <v>919</v>
      </c>
      <c r="E92" s="28">
        <v>143</v>
      </c>
      <c r="F92" s="28">
        <f>SUM(C92-D92-E92)</f>
        <v>95</v>
      </c>
      <c r="G92" s="28">
        <v>4205</v>
      </c>
      <c r="H92" s="28">
        <v>2318</v>
      </c>
      <c r="I92" s="28">
        <v>1109</v>
      </c>
      <c r="J92" s="28">
        <f>SUM(G92-H92-I92)</f>
        <v>778</v>
      </c>
      <c r="K92" s="28">
        <v>13</v>
      </c>
      <c r="L92" s="28">
        <v>0</v>
      </c>
      <c r="M92" s="28">
        <v>268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55956</v>
      </c>
      <c r="D93" s="28">
        <v>37210</v>
      </c>
      <c r="E93" s="28">
        <v>2493</v>
      </c>
      <c r="F93" s="28">
        <f>SUM(C93-D93-E93)</f>
        <v>16253</v>
      </c>
      <c r="G93" s="28">
        <v>170917</v>
      </c>
      <c r="H93" s="28">
        <v>64985</v>
      </c>
      <c r="I93" s="28">
        <v>8315</v>
      </c>
      <c r="J93" s="28">
        <f>SUM(G93-H93-I93)</f>
        <v>97617</v>
      </c>
      <c r="K93" s="28">
        <v>10462</v>
      </c>
      <c r="L93" s="28">
        <v>156</v>
      </c>
      <c r="M93" s="28">
        <v>12466</v>
      </c>
      <c r="N93" s="28">
        <v>273</v>
      </c>
      <c r="O93" s="28">
        <v>273</v>
      </c>
    </row>
    <row r="94" spans="1:15" ht="12.75" customHeight="1">
      <c r="A94" s="4" t="s">
        <v>174</v>
      </c>
      <c r="B94" s="5" t="s">
        <v>175</v>
      </c>
      <c r="C94" s="28">
        <v>3973</v>
      </c>
      <c r="D94" s="28">
        <v>1292</v>
      </c>
      <c r="E94" s="28">
        <v>103</v>
      </c>
      <c r="F94" s="28">
        <f>SUM(C94-D94-E94)</f>
        <v>2578</v>
      </c>
      <c r="G94" s="28">
        <v>11663</v>
      </c>
      <c r="H94" s="28">
        <v>4030</v>
      </c>
      <c r="I94" s="28">
        <v>719</v>
      </c>
      <c r="J94" s="28">
        <f>SUM(G94-H94-I94)</f>
        <v>6914</v>
      </c>
      <c r="K94" s="28">
        <v>44</v>
      </c>
      <c r="L94" s="28">
        <v>204</v>
      </c>
      <c r="M94" s="28">
        <v>2786</v>
      </c>
      <c r="N94" s="28">
        <v>85</v>
      </c>
      <c r="O94" s="28">
        <v>85</v>
      </c>
    </row>
    <row r="95" spans="1:15" ht="12.75" customHeight="1">
      <c r="A95" s="8"/>
      <c r="B95" s="9" t="s">
        <v>176</v>
      </c>
      <c r="C95" s="29">
        <f t="shared" ref="C95:O95" si="21">SUM(C90:C94)</f>
        <v>73212</v>
      </c>
      <c r="D95" s="29">
        <f t="shared" si="21"/>
        <v>46411</v>
      </c>
      <c r="E95" s="29">
        <f t="shared" si="21"/>
        <v>3119</v>
      </c>
      <c r="F95" s="29">
        <f t="shared" si="21"/>
        <v>23682</v>
      </c>
      <c r="G95" s="29">
        <f t="shared" si="21"/>
        <v>240719</v>
      </c>
      <c r="H95" s="29">
        <f t="shared" si="21"/>
        <v>91001</v>
      </c>
      <c r="I95" s="29">
        <f t="shared" si="21"/>
        <v>12247</v>
      </c>
      <c r="J95" s="29">
        <f t="shared" si="21"/>
        <v>137471</v>
      </c>
      <c r="K95" s="29">
        <f t="shared" si="21"/>
        <v>10629</v>
      </c>
      <c r="L95" s="29">
        <f t="shared" si="21"/>
        <v>387</v>
      </c>
      <c r="M95" s="29">
        <f t="shared" si="21"/>
        <v>22075</v>
      </c>
      <c r="N95" s="29">
        <f t="shared" si="21"/>
        <v>390</v>
      </c>
      <c r="O95" s="29">
        <f t="shared" si="21"/>
        <v>390</v>
      </c>
    </row>
    <row r="96" spans="1:15" ht="12.75" customHeight="1">
      <c r="A96" s="4" t="s">
        <v>177</v>
      </c>
      <c r="B96" s="5" t="s">
        <v>178</v>
      </c>
      <c r="C96" s="28">
        <v>1191</v>
      </c>
      <c r="D96" s="28">
        <v>884</v>
      </c>
      <c r="E96" s="28">
        <v>62</v>
      </c>
      <c r="F96" s="28">
        <f>SUM(C96-D96-E96)</f>
        <v>245</v>
      </c>
      <c r="G96" s="28">
        <v>6552</v>
      </c>
      <c r="H96" s="28">
        <v>3150</v>
      </c>
      <c r="I96" s="28">
        <v>333</v>
      </c>
      <c r="J96" s="28">
        <f>SUM(G96-H96-I96)</f>
        <v>3069</v>
      </c>
      <c r="K96" s="28">
        <v>0</v>
      </c>
      <c r="L96" s="28">
        <v>0</v>
      </c>
      <c r="M96" s="28">
        <v>2626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374</v>
      </c>
      <c r="D97" s="28">
        <v>355</v>
      </c>
      <c r="E97" s="28">
        <v>0</v>
      </c>
      <c r="F97" s="28">
        <f>SUM(C97-D97-E97)</f>
        <v>19</v>
      </c>
      <c r="G97" s="28">
        <v>1536</v>
      </c>
      <c r="H97" s="28">
        <v>1283</v>
      </c>
      <c r="I97" s="28">
        <v>0</v>
      </c>
      <c r="J97" s="28">
        <f>SUM(G97-H97-I97)</f>
        <v>253</v>
      </c>
      <c r="K97" s="28">
        <v>0</v>
      </c>
      <c r="L97" s="28">
        <v>0</v>
      </c>
      <c r="M97" s="28">
        <v>174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1565</v>
      </c>
      <c r="D98" s="29">
        <f t="shared" si="22"/>
        <v>1239</v>
      </c>
      <c r="E98" s="29">
        <f t="shared" si="22"/>
        <v>62</v>
      </c>
      <c r="F98" s="29">
        <f t="shared" si="22"/>
        <v>264</v>
      </c>
      <c r="G98" s="29">
        <f t="shared" si="22"/>
        <v>8088</v>
      </c>
      <c r="H98" s="29">
        <f t="shared" si="22"/>
        <v>4433</v>
      </c>
      <c r="I98" s="29">
        <f t="shared" si="22"/>
        <v>333</v>
      </c>
      <c r="J98" s="29">
        <f t="shared" si="22"/>
        <v>3322</v>
      </c>
      <c r="K98" s="29">
        <f t="shared" si="22"/>
        <v>0</v>
      </c>
      <c r="L98" s="29">
        <f t="shared" si="22"/>
        <v>0</v>
      </c>
      <c r="M98" s="29">
        <f t="shared" si="22"/>
        <v>2800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3264</v>
      </c>
      <c r="D99" s="28">
        <v>2428</v>
      </c>
      <c r="E99" s="28">
        <v>176</v>
      </c>
      <c r="F99" s="28">
        <f>SUM(C99-D99-E99)</f>
        <v>660</v>
      </c>
      <c r="G99" s="28">
        <v>14767</v>
      </c>
      <c r="H99" s="28">
        <v>7580</v>
      </c>
      <c r="I99" s="28">
        <v>947</v>
      </c>
      <c r="J99" s="28">
        <f>SUM(G99-H99-I99)</f>
        <v>6240</v>
      </c>
      <c r="K99" s="28">
        <v>17</v>
      </c>
      <c r="L99" s="28">
        <v>0</v>
      </c>
      <c r="M99" s="28">
        <v>2092</v>
      </c>
      <c r="N99" s="28">
        <v>13</v>
      </c>
      <c r="O99" s="28">
        <v>13</v>
      </c>
    </row>
    <row r="100" spans="1:15" ht="12.75" customHeight="1">
      <c r="A100" s="4" t="s">
        <v>184</v>
      </c>
      <c r="B100" s="5" t="s">
        <v>185</v>
      </c>
      <c r="C100" s="28">
        <v>2634</v>
      </c>
      <c r="D100" s="28">
        <v>1443</v>
      </c>
      <c r="E100" s="28">
        <v>131</v>
      </c>
      <c r="F100" s="28">
        <f>SUM(C100-D100-E100)</f>
        <v>1060</v>
      </c>
      <c r="G100" s="28">
        <v>11366</v>
      </c>
      <c r="H100" s="28">
        <v>3726</v>
      </c>
      <c r="I100" s="28">
        <v>530</v>
      </c>
      <c r="J100" s="28">
        <f>SUM(G100-H100-I100)</f>
        <v>7110</v>
      </c>
      <c r="K100" s="28">
        <v>49</v>
      </c>
      <c r="L100" s="28">
        <v>0</v>
      </c>
      <c r="M100" s="28">
        <v>1262</v>
      </c>
      <c r="N100" s="28">
        <v>0</v>
      </c>
      <c r="O100" s="28">
        <v>0</v>
      </c>
    </row>
    <row r="101" spans="1:15" ht="12.75" customHeight="1">
      <c r="A101" s="4" t="s">
        <v>186</v>
      </c>
      <c r="B101" s="5" t="s">
        <v>187</v>
      </c>
      <c r="C101" s="28">
        <v>1485</v>
      </c>
      <c r="D101" s="28">
        <v>1204</v>
      </c>
      <c r="E101" s="28">
        <v>0</v>
      </c>
      <c r="F101" s="28">
        <f>SUM(C101-D101-E101)</f>
        <v>281</v>
      </c>
      <c r="G101" s="28">
        <v>4844</v>
      </c>
      <c r="H101" s="28">
        <v>3211</v>
      </c>
      <c r="I101" s="28">
        <v>0</v>
      </c>
      <c r="J101" s="28">
        <f>SUM(G101-H101-I101)</f>
        <v>1633</v>
      </c>
      <c r="K101" s="28">
        <v>0</v>
      </c>
      <c r="L101" s="28">
        <v>0</v>
      </c>
      <c r="M101" s="28">
        <v>739</v>
      </c>
      <c r="N101" s="28">
        <v>139</v>
      </c>
      <c r="O101" s="28">
        <v>139</v>
      </c>
    </row>
    <row r="102" spans="1:15" ht="12.75" customHeight="1">
      <c r="A102" s="4" t="s">
        <v>188</v>
      </c>
      <c r="B102" s="5" t="s">
        <v>189</v>
      </c>
      <c r="C102" s="28">
        <v>2628</v>
      </c>
      <c r="D102" s="28">
        <v>2082</v>
      </c>
      <c r="E102" s="28">
        <v>176</v>
      </c>
      <c r="F102" s="28">
        <f>SUM(C102-D102-E102)</f>
        <v>370</v>
      </c>
      <c r="G102" s="28">
        <v>9225</v>
      </c>
      <c r="H102" s="28">
        <v>5427</v>
      </c>
      <c r="I102" s="28">
        <v>1182</v>
      </c>
      <c r="J102" s="28">
        <f>SUM(G102-H102-I102)</f>
        <v>2616</v>
      </c>
      <c r="K102" s="28">
        <v>12</v>
      </c>
      <c r="L102" s="28">
        <v>0</v>
      </c>
      <c r="M102" s="28">
        <v>1172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10011</v>
      </c>
      <c r="D103" s="29">
        <f t="shared" si="23"/>
        <v>7157</v>
      </c>
      <c r="E103" s="29">
        <f t="shared" si="23"/>
        <v>483</v>
      </c>
      <c r="F103" s="29">
        <f t="shared" si="23"/>
        <v>2371</v>
      </c>
      <c r="G103" s="29">
        <f t="shared" si="23"/>
        <v>40202</v>
      </c>
      <c r="H103" s="29">
        <f t="shared" si="23"/>
        <v>19944</v>
      </c>
      <c r="I103" s="29">
        <f t="shared" si="23"/>
        <v>2659</v>
      </c>
      <c r="J103" s="29">
        <f t="shared" si="23"/>
        <v>17599</v>
      </c>
      <c r="K103" s="29">
        <f t="shared" si="23"/>
        <v>78</v>
      </c>
      <c r="L103" s="29">
        <f t="shared" si="23"/>
        <v>0</v>
      </c>
      <c r="M103" s="29">
        <f t="shared" si="23"/>
        <v>5265</v>
      </c>
      <c r="N103" s="29">
        <f t="shared" si="23"/>
        <v>152</v>
      </c>
      <c r="O103" s="29">
        <f t="shared" si="23"/>
        <v>152</v>
      </c>
    </row>
    <row r="104" spans="1:15" ht="12.75" customHeight="1">
      <c r="A104" s="4" t="s">
        <v>191</v>
      </c>
      <c r="B104" s="5" t="s">
        <v>192</v>
      </c>
      <c r="C104" s="28">
        <v>1856</v>
      </c>
      <c r="D104" s="28">
        <v>1478</v>
      </c>
      <c r="E104" s="28">
        <v>79</v>
      </c>
      <c r="F104" s="28">
        <f>SUM(C104-D104-E104)</f>
        <v>299</v>
      </c>
      <c r="G104" s="28">
        <v>8855</v>
      </c>
      <c r="H104" s="28">
        <v>5039</v>
      </c>
      <c r="I104" s="28">
        <v>554</v>
      </c>
      <c r="J104" s="28">
        <f>SUM(G104-H104-I104)</f>
        <v>3262</v>
      </c>
      <c r="K104" s="28">
        <v>15</v>
      </c>
      <c r="L104" s="28">
        <v>0</v>
      </c>
      <c r="M104" s="28">
        <v>706</v>
      </c>
      <c r="N104" s="28">
        <v>28</v>
      </c>
      <c r="O104" s="28">
        <v>28</v>
      </c>
    </row>
    <row r="105" spans="1:15" ht="12.75" customHeight="1">
      <c r="A105" s="4" t="s">
        <v>193</v>
      </c>
      <c r="B105" s="5" t="s">
        <v>194</v>
      </c>
      <c r="C105" s="28">
        <v>1410</v>
      </c>
      <c r="D105" s="28">
        <v>909</v>
      </c>
      <c r="E105" s="28">
        <v>0</v>
      </c>
      <c r="F105" s="28">
        <f>SUM(C105-D105-E105)</f>
        <v>501</v>
      </c>
      <c r="G105" s="28">
        <v>6097</v>
      </c>
      <c r="H105" s="28">
        <v>3377</v>
      </c>
      <c r="I105" s="28">
        <v>0</v>
      </c>
      <c r="J105" s="28">
        <f>SUM(G105-H105-I105)</f>
        <v>2720</v>
      </c>
      <c r="K105" s="28">
        <v>6</v>
      </c>
      <c r="L105" s="28">
        <v>0</v>
      </c>
      <c r="M105" s="28">
        <v>1110</v>
      </c>
      <c r="N105" s="28">
        <v>64</v>
      </c>
      <c r="O105" s="28">
        <v>64</v>
      </c>
    </row>
    <row r="106" spans="1:15" ht="12.75" customHeight="1">
      <c r="A106" s="4" t="s">
        <v>195</v>
      </c>
      <c r="B106" s="5" t="s">
        <v>196</v>
      </c>
      <c r="C106" s="28">
        <v>6106</v>
      </c>
      <c r="D106" s="28">
        <v>3747</v>
      </c>
      <c r="E106" s="28">
        <v>226</v>
      </c>
      <c r="F106" s="28">
        <f>SUM(C106-D106-E106)</f>
        <v>2133</v>
      </c>
      <c r="G106" s="28">
        <v>32496</v>
      </c>
      <c r="H106" s="28">
        <v>11492</v>
      </c>
      <c r="I106" s="28">
        <v>1334</v>
      </c>
      <c r="J106" s="28">
        <f>SUM(G106-H106-I106)</f>
        <v>19670</v>
      </c>
      <c r="K106" s="28">
        <v>40</v>
      </c>
      <c r="L106" s="28">
        <v>0</v>
      </c>
      <c r="M106" s="28">
        <v>6438</v>
      </c>
      <c r="N106" s="28">
        <v>63</v>
      </c>
      <c r="O106" s="28">
        <v>63</v>
      </c>
    </row>
    <row r="107" spans="1:15" ht="12.75" customHeight="1">
      <c r="A107" s="4" t="s">
        <v>197</v>
      </c>
      <c r="B107" s="5" t="s">
        <v>198</v>
      </c>
      <c r="C107" s="28">
        <v>24095</v>
      </c>
      <c r="D107" s="28">
        <v>16985</v>
      </c>
      <c r="E107" s="28">
        <v>629</v>
      </c>
      <c r="F107" s="28">
        <f>SUM(C107-D107-E107)</f>
        <v>6481</v>
      </c>
      <c r="G107" s="28">
        <v>71626</v>
      </c>
      <c r="H107" s="28">
        <v>31977</v>
      </c>
      <c r="I107" s="28">
        <v>1674</v>
      </c>
      <c r="J107" s="28">
        <f>SUM(G107-H107-I107)</f>
        <v>37975</v>
      </c>
      <c r="K107" s="28">
        <v>1067</v>
      </c>
      <c r="L107" s="28">
        <v>0</v>
      </c>
      <c r="M107" s="28">
        <v>1595</v>
      </c>
      <c r="N107" s="28">
        <v>1893</v>
      </c>
      <c r="O107" s="28">
        <v>1893</v>
      </c>
    </row>
    <row r="108" spans="1:15" ht="12.75" customHeight="1">
      <c r="A108" s="4" t="s">
        <v>199</v>
      </c>
      <c r="B108" s="5" t="s">
        <v>200</v>
      </c>
      <c r="C108" s="28">
        <v>6740</v>
      </c>
      <c r="D108" s="28">
        <v>4266</v>
      </c>
      <c r="E108" s="28">
        <v>255</v>
      </c>
      <c r="F108" s="28">
        <f>SUM(C108-D108-E108)</f>
        <v>2219</v>
      </c>
      <c r="G108" s="28">
        <v>38985</v>
      </c>
      <c r="H108" s="28">
        <v>11868</v>
      </c>
      <c r="I108" s="28">
        <v>1695</v>
      </c>
      <c r="J108" s="28">
        <f>SUM(G108-H108-I108)</f>
        <v>25422</v>
      </c>
      <c r="K108" s="28">
        <v>108</v>
      </c>
      <c r="L108" s="28">
        <v>0</v>
      </c>
      <c r="M108" s="28">
        <v>2024</v>
      </c>
      <c r="N108" s="28">
        <v>482</v>
      </c>
      <c r="O108" s="28">
        <v>482</v>
      </c>
    </row>
    <row r="109" spans="1:15" ht="12.75" customHeight="1">
      <c r="A109" s="8"/>
      <c r="B109" s="9" t="s">
        <v>201</v>
      </c>
      <c r="C109" s="29">
        <f t="shared" ref="C109:O109" si="24">SUM(C104:C108)</f>
        <v>40207</v>
      </c>
      <c r="D109" s="29">
        <f t="shared" si="24"/>
        <v>27385</v>
      </c>
      <c r="E109" s="29">
        <f t="shared" si="24"/>
        <v>1189</v>
      </c>
      <c r="F109" s="29">
        <f t="shared" si="24"/>
        <v>11633</v>
      </c>
      <c r="G109" s="29">
        <f t="shared" si="24"/>
        <v>158059</v>
      </c>
      <c r="H109" s="29">
        <f t="shared" si="24"/>
        <v>63753</v>
      </c>
      <c r="I109" s="29">
        <f t="shared" si="24"/>
        <v>5257</v>
      </c>
      <c r="J109" s="29">
        <f t="shared" si="24"/>
        <v>89049</v>
      </c>
      <c r="K109" s="29">
        <f t="shared" si="24"/>
        <v>1236</v>
      </c>
      <c r="L109" s="29">
        <f t="shared" si="24"/>
        <v>0</v>
      </c>
      <c r="M109" s="29">
        <f t="shared" si="24"/>
        <v>11873</v>
      </c>
      <c r="N109" s="29">
        <f t="shared" si="24"/>
        <v>2530</v>
      </c>
      <c r="O109" s="29">
        <f t="shared" si="24"/>
        <v>2530</v>
      </c>
    </row>
    <row r="110" spans="1:15" ht="12.75" customHeight="1">
      <c r="A110" s="4" t="s">
        <v>202</v>
      </c>
      <c r="B110" s="5" t="s">
        <v>203</v>
      </c>
      <c r="C110" s="28">
        <v>11813</v>
      </c>
      <c r="D110" s="28">
        <v>8812</v>
      </c>
      <c r="E110" s="28">
        <v>108</v>
      </c>
      <c r="F110" s="28">
        <f t="shared" ref="F110:F115" si="25">SUM(C110-D110-E110)</f>
        <v>2893</v>
      </c>
      <c r="G110" s="28">
        <v>50757</v>
      </c>
      <c r="H110" s="28">
        <v>30002</v>
      </c>
      <c r="I110" s="28">
        <v>821</v>
      </c>
      <c r="J110" s="28">
        <f t="shared" ref="J110:J115" si="26">SUM(G110-H110-I110)</f>
        <v>19934</v>
      </c>
      <c r="K110" s="28">
        <v>500</v>
      </c>
      <c r="L110" s="28">
        <v>0</v>
      </c>
      <c r="M110" s="28">
        <v>9229</v>
      </c>
      <c r="N110" s="28">
        <v>145</v>
      </c>
      <c r="O110" s="28">
        <v>145</v>
      </c>
    </row>
    <row r="111" spans="1:15" ht="12.75" customHeight="1">
      <c r="A111" s="4" t="s">
        <v>204</v>
      </c>
      <c r="B111" s="5" t="s">
        <v>205</v>
      </c>
      <c r="C111" s="28">
        <v>1481</v>
      </c>
      <c r="D111" s="28">
        <v>1450</v>
      </c>
      <c r="E111" s="28">
        <v>13</v>
      </c>
      <c r="F111" s="28">
        <f t="shared" si="25"/>
        <v>18</v>
      </c>
      <c r="G111" s="28">
        <v>4682</v>
      </c>
      <c r="H111" s="28">
        <v>4381</v>
      </c>
      <c r="I111" s="28">
        <v>140</v>
      </c>
      <c r="J111" s="28">
        <f t="shared" si="26"/>
        <v>161</v>
      </c>
      <c r="K111" s="28">
        <v>10</v>
      </c>
      <c r="L111" s="28">
        <v>0</v>
      </c>
      <c r="M111" s="28">
        <v>145</v>
      </c>
      <c r="N111" s="28">
        <v>25</v>
      </c>
      <c r="O111" s="28">
        <v>25</v>
      </c>
    </row>
    <row r="112" spans="1:15" ht="12.75" customHeight="1">
      <c r="A112" s="4" t="s">
        <v>206</v>
      </c>
      <c r="B112" s="5" t="s">
        <v>207</v>
      </c>
      <c r="C112" s="28">
        <v>4158</v>
      </c>
      <c r="D112" s="28">
        <v>2767</v>
      </c>
      <c r="E112" s="28">
        <v>0</v>
      </c>
      <c r="F112" s="28">
        <f t="shared" si="25"/>
        <v>1391</v>
      </c>
      <c r="G112" s="28">
        <v>13235</v>
      </c>
      <c r="H112" s="28">
        <v>8222</v>
      </c>
      <c r="I112" s="28">
        <v>0</v>
      </c>
      <c r="J112" s="28">
        <f t="shared" si="26"/>
        <v>5013</v>
      </c>
      <c r="K112" s="28">
        <v>1045</v>
      </c>
      <c r="L112" s="28">
        <v>0</v>
      </c>
      <c r="M112" s="28">
        <v>1251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3496</v>
      </c>
      <c r="D113" s="28">
        <v>2196</v>
      </c>
      <c r="E113" s="28">
        <v>67</v>
      </c>
      <c r="F113" s="28">
        <f t="shared" si="25"/>
        <v>1233</v>
      </c>
      <c r="G113" s="28">
        <v>14897</v>
      </c>
      <c r="H113" s="28">
        <v>6959</v>
      </c>
      <c r="I113" s="28">
        <v>436</v>
      </c>
      <c r="J113" s="28">
        <f t="shared" si="26"/>
        <v>7502</v>
      </c>
      <c r="K113" s="28">
        <v>40</v>
      </c>
      <c r="L113" s="28">
        <v>0</v>
      </c>
      <c r="M113" s="28">
        <v>7444</v>
      </c>
      <c r="N113" s="28">
        <v>163</v>
      </c>
      <c r="O113" s="28">
        <v>163</v>
      </c>
    </row>
    <row r="114" spans="1:15" ht="12.75" customHeight="1">
      <c r="A114" s="4" t="s">
        <v>210</v>
      </c>
      <c r="B114" s="5" t="s">
        <v>211</v>
      </c>
      <c r="C114" s="28">
        <v>8751</v>
      </c>
      <c r="D114" s="28">
        <v>6172</v>
      </c>
      <c r="E114" s="28">
        <v>0</v>
      </c>
      <c r="F114" s="28">
        <f t="shared" si="25"/>
        <v>2579</v>
      </c>
      <c r="G114" s="28">
        <v>25243</v>
      </c>
      <c r="H114" s="28">
        <v>14476</v>
      </c>
      <c r="I114" s="28">
        <v>0</v>
      </c>
      <c r="J114" s="28">
        <f t="shared" si="26"/>
        <v>10767</v>
      </c>
      <c r="K114" s="28">
        <v>999</v>
      </c>
      <c r="L114" s="28">
        <v>0</v>
      </c>
      <c r="M114" s="28">
        <v>3020</v>
      </c>
      <c r="N114" s="28">
        <v>95</v>
      </c>
      <c r="O114" s="28">
        <v>95</v>
      </c>
    </row>
    <row r="115" spans="1:15" ht="12.75" customHeight="1">
      <c r="A115" s="4" t="s">
        <v>212</v>
      </c>
      <c r="B115" s="5" t="s">
        <v>213</v>
      </c>
      <c r="C115" s="28">
        <v>5404</v>
      </c>
      <c r="D115" s="28">
        <v>4547</v>
      </c>
      <c r="E115" s="28">
        <v>0</v>
      </c>
      <c r="F115" s="28">
        <f t="shared" si="25"/>
        <v>857</v>
      </c>
      <c r="G115" s="28">
        <v>18319</v>
      </c>
      <c r="H115" s="28">
        <v>13578</v>
      </c>
      <c r="I115" s="28">
        <v>0</v>
      </c>
      <c r="J115" s="28">
        <f t="shared" si="26"/>
        <v>4741</v>
      </c>
      <c r="K115" s="28">
        <v>197</v>
      </c>
      <c r="L115" s="28">
        <v>0</v>
      </c>
      <c r="M115" s="28">
        <v>3059</v>
      </c>
      <c r="N115" s="28">
        <v>348</v>
      </c>
      <c r="O115" s="28">
        <v>348</v>
      </c>
    </row>
    <row r="116" spans="1:15" ht="12.75" customHeight="1">
      <c r="A116" s="8"/>
      <c r="B116" s="9" t="s">
        <v>214</v>
      </c>
      <c r="C116" s="29">
        <f t="shared" ref="C116:O116" si="27">SUM(C110:C115)</f>
        <v>35103</v>
      </c>
      <c r="D116" s="29">
        <f t="shared" si="27"/>
        <v>25944</v>
      </c>
      <c r="E116" s="29">
        <f t="shared" si="27"/>
        <v>188</v>
      </c>
      <c r="F116" s="29">
        <f t="shared" si="27"/>
        <v>8971</v>
      </c>
      <c r="G116" s="29">
        <f t="shared" si="27"/>
        <v>127133</v>
      </c>
      <c r="H116" s="29">
        <f t="shared" si="27"/>
        <v>77618</v>
      </c>
      <c r="I116" s="29">
        <f t="shared" si="27"/>
        <v>1397</v>
      </c>
      <c r="J116" s="29">
        <f t="shared" si="27"/>
        <v>48118</v>
      </c>
      <c r="K116" s="29">
        <f t="shared" si="27"/>
        <v>2791</v>
      </c>
      <c r="L116" s="29">
        <f t="shared" si="27"/>
        <v>0</v>
      </c>
      <c r="M116" s="29">
        <f t="shared" si="27"/>
        <v>24148</v>
      </c>
      <c r="N116" s="29">
        <f t="shared" si="27"/>
        <v>776</v>
      </c>
      <c r="O116" s="29">
        <f t="shared" si="27"/>
        <v>776</v>
      </c>
    </row>
    <row r="117" spans="1:15" ht="12.75" customHeight="1">
      <c r="A117" s="4" t="s">
        <v>215</v>
      </c>
      <c r="B117" s="5" t="s">
        <v>216</v>
      </c>
      <c r="C117" s="28">
        <v>1272</v>
      </c>
      <c r="D117" s="28">
        <v>883</v>
      </c>
      <c r="E117" s="28">
        <v>0</v>
      </c>
      <c r="F117" s="28">
        <f>SUM(C117-D117-E117)</f>
        <v>389</v>
      </c>
      <c r="G117" s="28">
        <v>5315</v>
      </c>
      <c r="H117" s="28">
        <v>3382</v>
      </c>
      <c r="I117" s="28">
        <v>0</v>
      </c>
      <c r="J117" s="28">
        <f>SUM(G117-H117-I117)</f>
        <v>1933</v>
      </c>
      <c r="K117" s="28">
        <v>0</v>
      </c>
      <c r="L117" s="28">
        <v>0</v>
      </c>
      <c r="M117" s="28">
        <v>3319</v>
      </c>
      <c r="N117" s="28">
        <v>29</v>
      </c>
      <c r="O117" s="28">
        <v>29</v>
      </c>
    </row>
    <row r="118" spans="1:15" ht="12.75" customHeight="1">
      <c r="A118" s="4" t="s">
        <v>217</v>
      </c>
      <c r="B118" s="5" t="s">
        <v>218</v>
      </c>
      <c r="C118" s="28">
        <v>2760</v>
      </c>
      <c r="D118" s="28">
        <v>2293</v>
      </c>
      <c r="E118" s="28">
        <v>42</v>
      </c>
      <c r="F118" s="28">
        <f>SUM(C118-D118-E118)</f>
        <v>425</v>
      </c>
      <c r="G118" s="28">
        <v>11002</v>
      </c>
      <c r="H118" s="28">
        <v>6760</v>
      </c>
      <c r="I118" s="28">
        <v>356</v>
      </c>
      <c r="J118" s="28">
        <f>SUM(G118-H118-I118)</f>
        <v>3886</v>
      </c>
      <c r="K118" s="28">
        <v>16</v>
      </c>
      <c r="L118" s="28">
        <v>0</v>
      </c>
      <c r="M118" s="28">
        <v>3173</v>
      </c>
      <c r="N118" s="28">
        <v>111</v>
      </c>
      <c r="O118" s="28">
        <v>111</v>
      </c>
    </row>
    <row r="119" spans="1:15" ht="12.75" customHeight="1">
      <c r="A119" s="8"/>
      <c r="B119" s="9" t="s">
        <v>219</v>
      </c>
      <c r="C119" s="29">
        <f t="shared" ref="C119:O119" si="28">SUM(C117:C118)</f>
        <v>4032</v>
      </c>
      <c r="D119" s="29">
        <f t="shared" si="28"/>
        <v>3176</v>
      </c>
      <c r="E119" s="29">
        <f t="shared" si="28"/>
        <v>42</v>
      </c>
      <c r="F119" s="29">
        <f t="shared" si="28"/>
        <v>814</v>
      </c>
      <c r="G119" s="29">
        <f t="shared" si="28"/>
        <v>16317</v>
      </c>
      <c r="H119" s="29">
        <f t="shared" si="28"/>
        <v>10142</v>
      </c>
      <c r="I119" s="29">
        <f t="shared" si="28"/>
        <v>356</v>
      </c>
      <c r="J119" s="29">
        <f t="shared" si="28"/>
        <v>5819</v>
      </c>
      <c r="K119" s="29">
        <f t="shared" si="28"/>
        <v>16</v>
      </c>
      <c r="L119" s="29">
        <f t="shared" si="28"/>
        <v>0</v>
      </c>
      <c r="M119" s="29">
        <f t="shared" si="28"/>
        <v>6492</v>
      </c>
      <c r="N119" s="29">
        <f t="shared" si="28"/>
        <v>140</v>
      </c>
      <c r="O119" s="29">
        <f t="shared" si="28"/>
        <v>140</v>
      </c>
    </row>
    <row r="120" spans="1:15" ht="12.75" customHeight="1">
      <c r="A120" s="4" t="s">
        <v>220</v>
      </c>
      <c r="B120" s="5" t="s">
        <v>221</v>
      </c>
      <c r="C120" s="28">
        <v>3259</v>
      </c>
      <c r="D120" s="28">
        <v>2844</v>
      </c>
      <c r="E120" s="28">
        <v>54</v>
      </c>
      <c r="F120" s="28">
        <f>SUM(C120-D120-E120)</f>
        <v>361</v>
      </c>
      <c r="G120" s="28">
        <v>10804</v>
      </c>
      <c r="H120" s="28">
        <v>8181</v>
      </c>
      <c r="I120" s="28">
        <v>446</v>
      </c>
      <c r="J120" s="28">
        <f>SUM(G120-H120-I120)</f>
        <v>2177</v>
      </c>
      <c r="K120" s="28">
        <v>187</v>
      </c>
      <c r="L120" s="28">
        <v>0</v>
      </c>
      <c r="M120" s="28">
        <v>748</v>
      </c>
      <c r="N120" s="28">
        <v>348</v>
      </c>
      <c r="O120" s="28">
        <v>348</v>
      </c>
    </row>
    <row r="121" spans="1:15" ht="12.75" customHeight="1">
      <c r="A121" s="4" t="s">
        <v>222</v>
      </c>
      <c r="B121" s="5" t="s">
        <v>223</v>
      </c>
      <c r="C121" s="28">
        <v>5174</v>
      </c>
      <c r="D121" s="28">
        <v>4689</v>
      </c>
      <c r="E121" s="28">
        <v>142</v>
      </c>
      <c r="F121" s="28">
        <f>SUM(C121-D121-E121)</f>
        <v>343</v>
      </c>
      <c r="G121" s="28">
        <v>19483</v>
      </c>
      <c r="H121" s="28">
        <v>13659</v>
      </c>
      <c r="I121" s="28">
        <v>856</v>
      </c>
      <c r="J121" s="28">
        <f>SUM(G121-H121-I121)</f>
        <v>4968</v>
      </c>
      <c r="K121" s="28">
        <v>21</v>
      </c>
      <c r="L121" s="28">
        <v>0</v>
      </c>
      <c r="M121" s="28">
        <v>2027</v>
      </c>
      <c r="N121" s="28">
        <v>119</v>
      </c>
      <c r="O121" s="28">
        <v>119</v>
      </c>
    </row>
    <row r="122" spans="1:15" ht="12.75" customHeight="1">
      <c r="A122" s="4" t="s">
        <v>224</v>
      </c>
      <c r="B122" s="5" t="s">
        <v>225</v>
      </c>
      <c r="C122" s="28">
        <v>948</v>
      </c>
      <c r="D122" s="28">
        <v>808</v>
      </c>
      <c r="E122" s="28">
        <v>0</v>
      </c>
      <c r="F122" s="28">
        <f>SUM(C122-D122-E122)</f>
        <v>140</v>
      </c>
      <c r="G122" s="28">
        <v>3279</v>
      </c>
      <c r="H122" s="28">
        <v>2125</v>
      </c>
      <c r="I122" s="28">
        <v>0</v>
      </c>
      <c r="J122" s="28">
        <f>SUM(G122-H122-I122)</f>
        <v>1154</v>
      </c>
      <c r="K122" s="28">
        <v>3</v>
      </c>
      <c r="L122" s="28">
        <v>0</v>
      </c>
      <c r="M122" s="28">
        <v>1543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4557</v>
      </c>
      <c r="D123" s="28">
        <v>3880</v>
      </c>
      <c r="E123" s="28">
        <v>61</v>
      </c>
      <c r="F123" s="28">
        <f>SUM(C123-D123-E123)</f>
        <v>616</v>
      </c>
      <c r="G123" s="28">
        <v>16372</v>
      </c>
      <c r="H123" s="28">
        <v>9893</v>
      </c>
      <c r="I123" s="28">
        <v>401</v>
      </c>
      <c r="J123" s="28">
        <f>SUM(G123-H123-I123)</f>
        <v>6078</v>
      </c>
      <c r="K123" s="28">
        <v>152</v>
      </c>
      <c r="L123" s="28">
        <v>0</v>
      </c>
      <c r="M123" s="28">
        <v>729</v>
      </c>
      <c r="N123" s="28">
        <v>120</v>
      </c>
      <c r="O123" s="28">
        <v>120</v>
      </c>
    </row>
    <row r="124" spans="1:15" ht="12.75" customHeight="1">
      <c r="A124" s="4" t="s">
        <v>228</v>
      </c>
      <c r="B124" s="5" t="s">
        <v>229</v>
      </c>
      <c r="C124" s="28">
        <v>1698</v>
      </c>
      <c r="D124" s="28">
        <v>1512</v>
      </c>
      <c r="E124" s="28">
        <v>37</v>
      </c>
      <c r="F124" s="28">
        <f>SUM(C124-D124-E124)</f>
        <v>149</v>
      </c>
      <c r="G124" s="28">
        <v>5420</v>
      </c>
      <c r="H124" s="28">
        <v>3902</v>
      </c>
      <c r="I124" s="28">
        <v>329</v>
      </c>
      <c r="J124" s="28">
        <f>SUM(G124-H124-I124)</f>
        <v>1189</v>
      </c>
      <c r="K124" s="28">
        <v>12</v>
      </c>
      <c r="L124" s="28">
        <v>0</v>
      </c>
      <c r="M124" s="28">
        <v>32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15636</v>
      </c>
      <c r="D125" s="29">
        <f t="shared" si="29"/>
        <v>13733</v>
      </c>
      <c r="E125" s="29">
        <f t="shared" si="29"/>
        <v>294</v>
      </c>
      <c r="F125" s="29">
        <f t="shared" si="29"/>
        <v>1609</v>
      </c>
      <c r="G125" s="29">
        <f t="shared" si="29"/>
        <v>55358</v>
      </c>
      <c r="H125" s="29">
        <f t="shared" si="29"/>
        <v>37760</v>
      </c>
      <c r="I125" s="29">
        <f t="shared" si="29"/>
        <v>2032</v>
      </c>
      <c r="J125" s="29">
        <f t="shared" si="29"/>
        <v>15566</v>
      </c>
      <c r="K125" s="29">
        <f t="shared" si="29"/>
        <v>375</v>
      </c>
      <c r="L125" s="29">
        <f t="shared" si="29"/>
        <v>0</v>
      </c>
      <c r="M125" s="29">
        <f t="shared" si="29"/>
        <v>5079</v>
      </c>
      <c r="N125" s="29">
        <f t="shared" si="29"/>
        <v>587</v>
      </c>
      <c r="O125" s="29">
        <f t="shared" si="29"/>
        <v>587</v>
      </c>
    </row>
    <row r="126" spans="1:15" ht="12.75" customHeight="1">
      <c r="A126" s="4" t="s">
        <v>231</v>
      </c>
      <c r="B126" s="5" t="s">
        <v>232</v>
      </c>
      <c r="C126" s="28">
        <v>3505</v>
      </c>
      <c r="D126" s="28">
        <v>2468</v>
      </c>
      <c r="E126" s="28">
        <v>0</v>
      </c>
      <c r="F126" s="28">
        <f t="shared" ref="F126:F134" si="30">SUM(C126-D126-E126)</f>
        <v>1037</v>
      </c>
      <c r="G126" s="28">
        <v>9760</v>
      </c>
      <c r="H126" s="28">
        <v>5448</v>
      </c>
      <c r="I126" s="28">
        <v>0</v>
      </c>
      <c r="J126" s="28">
        <f t="shared" ref="J126:J134" si="31">SUM(G126-H126-I126)</f>
        <v>4312</v>
      </c>
      <c r="K126" s="28">
        <v>84</v>
      </c>
      <c r="L126" s="28">
        <v>0</v>
      </c>
      <c r="M126" s="28">
        <v>1404</v>
      </c>
      <c r="N126" s="28">
        <v>28</v>
      </c>
      <c r="O126" s="28">
        <v>28</v>
      </c>
    </row>
    <row r="127" spans="1:15" ht="12.75" customHeight="1">
      <c r="A127" s="4" t="s">
        <v>233</v>
      </c>
      <c r="B127" s="5" t="s">
        <v>234</v>
      </c>
      <c r="C127" s="28">
        <v>1514</v>
      </c>
      <c r="D127" s="28">
        <v>1267</v>
      </c>
      <c r="E127" s="28">
        <v>0</v>
      </c>
      <c r="F127" s="28">
        <f t="shared" si="30"/>
        <v>247</v>
      </c>
      <c r="G127" s="28">
        <v>5504</v>
      </c>
      <c r="H127" s="28">
        <v>4340</v>
      </c>
      <c r="I127" s="28">
        <v>0</v>
      </c>
      <c r="J127" s="28">
        <f t="shared" si="31"/>
        <v>1164</v>
      </c>
      <c r="K127" s="28">
        <v>0</v>
      </c>
      <c r="L127" s="28">
        <v>0</v>
      </c>
      <c r="M127" s="28">
        <v>632</v>
      </c>
      <c r="N127" s="28">
        <v>13</v>
      </c>
      <c r="O127" s="28">
        <v>13</v>
      </c>
    </row>
    <row r="128" spans="1:15" ht="12.75" customHeight="1">
      <c r="A128" s="4" t="s">
        <v>235</v>
      </c>
      <c r="B128" s="5" t="s">
        <v>236</v>
      </c>
      <c r="C128" s="28">
        <v>10331</v>
      </c>
      <c r="D128" s="28">
        <v>8110</v>
      </c>
      <c r="E128" s="28">
        <v>231</v>
      </c>
      <c r="F128" s="28">
        <f t="shared" si="30"/>
        <v>1990</v>
      </c>
      <c r="G128" s="28">
        <v>26070</v>
      </c>
      <c r="H128" s="28">
        <v>16664</v>
      </c>
      <c r="I128" s="28">
        <v>955</v>
      </c>
      <c r="J128" s="28">
        <f t="shared" si="31"/>
        <v>8451</v>
      </c>
      <c r="K128" s="28">
        <v>47</v>
      </c>
      <c r="L128" s="28">
        <v>0</v>
      </c>
      <c r="M128" s="28">
        <v>2016</v>
      </c>
      <c r="N128" s="28">
        <v>110</v>
      </c>
      <c r="O128" s="28">
        <v>110</v>
      </c>
    </row>
    <row r="129" spans="1:15" ht="12.75" customHeight="1">
      <c r="A129" s="4" t="s">
        <v>237</v>
      </c>
      <c r="B129" s="5" t="s">
        <v>238</v>
      </c>
      <c r="C129" s="28">
        <v>1172</v>
      </c>
      <c r="D129" s="28">
        <v>843</v>
      </c>
      <c r="E129" s="28">
        <v>63</v>
      </c>
      <c r="F129" s="28">
        <f t="shared" si="30"/>
        <v>266</v>
      </c>
      <c r="G129" s="28">
        <v>4665</v>
      </c>
      <c r="H129" s="28">
        <v>2070</v>
      </c>
      <c r="I129" s="28">
        <v>422</v>
      </c>
      <c r="J129" s="28">
        <f t="shared" si="31"/>
        <v>2173</v>
      </c>
      <c r="K129" s="28">
        <v>5</v>
      </c>
      <c r="L129" s="28">
        <v>0</v>
      </c>
      <c r="M129" s="28">
        <v>2081</v>
      </c>
      <c r="N129" s="28">
        <v>107</v>
      </c>
      <c r="O129" s="28">
        <v>107</v>
      </c>
    </row>
    <row r="130" spans="1:15" ht="12.75" customHeight="1">
      <c r="A130" s="4" t="s">
        <v>239</v>
      </c>
      <c r="B130" s="5" t="s">
        <v>240</v>
      </c>
      <c r="C130" s="28">
        <v>6809</v>
      </c>
      <c r="D130" s="28">
        <v>5554</v>
      </c>
      <c r="E130" s="28">
        <v>351</v>
      </c>
      <c r="F130" s="28">
        <f t="shared" si="30"/>
        <v>904</v>
      </c>
      <c r="G130" s="28">
        <v>17592</v>
      </c>
      <c r="H130" s="28">
        <v>8939</v>
      </c>
      <c r="I130" s="28">
        <v>1516</v>
      </c>
      <c r="J130" s="28">
        <f t="shared" si="31"/>
        <v>7137</v>
      </c>
      <c r="K130" s="28">
        <v>31</v>
      </c>
      <c r="L130" s="28">
        <v>0</v>
      </c>
      <c r="M130" s="28">
        <v>152</v>
      </c>
      <c r="N130" s="28">
        <v>920</v>
      </c>
      <c r="O130" s="28">
        <v>920</v>
      </c>
    </row>
    <row r="131" spans="1:15" ht="12.75" customHeight="1">
      <c r="A131" s="4" t="s">
        <v>241</v>
      </c>
      <c r="B131" s="5" t="s">
        <v>242</v>
      </c>
      <c r="C131" s="28">
        <v>11939</v>
      </c>
      <c r="D131" s="28">
        <v>10136</v>
      </c>
      <c r="E131" s="28">
        <v>104</v>
      </c>
      <c r="F131" s="28">
        <f t="shared" si="30"/>
        <v>1699</v>
      </c>
      <c r="G131" s="28">
        <v>31281</v>
      </c>
      <c r="H131" s="28">
        <v>16221</v>
      </c>
      <c r="I131" s="28">
        <v>512</v>
      </c>
      <c r="J131" s="28">
        <f t="shared" si="31"/>
        <v>14548</v>
      </c>
      <c r="K131" s="28">
        <v>43</v>
      </c>
      <c r="L131" s="28">
        <v>0</v>
      </c>
      <c r="M131" s="28">
        <v>905</v>
      </c>
      <c r="N131" s="28">
        <v>607</v>
      </c>
      <c r="O131" s="28">
        <v>607</v>
      </c>
    </row>
    <row r="132" spans="1:15" ht="12.75" customHeight="1">
      <c r="A132" s="4" t="s">
        <v>243</v>
      </c>
      <c r="B132" s="5" t="s">
        <v>244</v>
      </c>
      <c r="C132" s="28">
        <v>5750</v>
      </c>
      <c r="D132" s="28">
        <v>4756</v>
      </c>
      <c r="E132" s="28">
        <v>0</v>
      </c>
      <c r="F132" s="28">
        <f t="shared" si="30"/>
        <v>994</v>
      </c>
      <c r="G132" s="28">
        <v>17020</v>
      </c>
      <c r="H132" s="28">
        <v>9279</v>
      </c>
      <c r="I132" s="28">
        <v>0</v>
      </c>
      <c r="J132" s="28">
        <f t="shared" si="31"/>
        <v>7741</v>
      </c>
      <c r="K132" s="28">
        <v>285</v>
      </c>
      <c r="L132" s="28">
        <v>0</v>
      </c>
      <c r="M132" s="28">
        <v>1069</v>
      </c>
      <c r="N132" s="28">
        <v>0</v>
      </c>
      <c r="O132" s="28">
        <v>0</v>
      </c>
    </row>
    <row r="133" spans="1:15" ht="12.75" customHeight="1">
      <c r="A133" s="4" t="s">
        <v>245</v>
      </c>
      <c r="B133" s="5" t="s">
        <v>246</v>
      </c>
      <c r="C133" s="28">
        <v>5211</v>
      </c>
      <c r="D133" s="28">
        <v>4542</v>
      </c>
      <c r="E133" s="28">
        <v>0</v>
      </c>
      <c r="F133" s="28">
        <f t="shared" si="30"/>
        <v>669</v>
      </c>
      <c r="G133" s="28">
        <v>11912</v>
      </c>
      <c r="H133" s="28">
        <v>9962</v>
      </c>
      <c r="I133" s="28">
        <v>0</v>
      </c>
      <c r="J133" s="28">
        <f t="shared" si="31"/>
        <v>1950</v>
      </c>
      <c r="K133" s="28">
        <v>15</v>
      </c>
      <c r="L133" s="28">
        <v>0</v>
      </c>
      <c r="M133" s="28">
        <v>910</v>
      </c>
      <c r="N133" s="28">
        <v>53</v>
      </c>
      <c r="O133" s="28">
        <v>53</v>
      </c>
    </row>
    <row r="134" spans="1:15" ht="12.75" customHeight="1">
      <c r="A134" s="4" t="s">
        <v>247</v>
      </c>
      <c r="B134" s="5" t="s">
        <v>248</v>
      </c>
      <c r="C134" s="28">
        <v>3468</v>
      </c>
      <c r="D134" s="28">
        <v>2613</v>
      </c>
      <c r="E134" s="28">
        <v>0</v>
      </c>
      <c r="F134" s="28">
        <f t="shared" si="30"/>
        <v>855</v>
      </c>
      <c r="G134" s="28">
        <v>8286</v>
      </c>
      <c r="H134" s="28">
        <v>5174</v>
      </c>
      <c r="I134" s="28">
        <v>0</v>
      </c>
      <c r="J134" s="28">
        <f t="shared" si="31"/>
        <v>3112</v>
      </c>
      <c r="K134" s="28">
        <v>9</v>
      </c>
      <c r="L134" s="28">
        <v>0</v>
      </c>
      <c r="M134" s="28">
        <v>1351</v>
      </c>
      <c r="N134" s="28">
        <v>28</v>
      </c>
      <c r="O134" s="28">
        <v>28</v>
      </c>
    </row>
    <row r="135" spans="1:15" ht="12.75" customHeight="1">
      <c r="A135" s="10"/>
      <c r="B135" s="9" t="s">
        <v>249</v>
      </c>
      <c r="C135" s="29">
        <f t="shared" ref="C135:O135" si="32">SUM(C126:C134)</f>
        <v>49699</v>
      </c>
      <c r="D135" s="29">
        <f t="shared" si="32"/>
        <v>40289</v>
      </c>
      <c r="E135" s="29">
        <f t="shared" si="32"/>
        <v>749</v>
      </c>
      <c r="F135" s="29">
        <f t="shared" si="32"/>
        <v>8661</v>
      </c>
      <c r="G135" s="29">
        <f t="shared" si="32"/>
        <v>132090</v>
      </c>
      <c r="H135" s="29">
        <f t="shared" si="32"/>
        <v>78097</v>
      </c>
      <c r="I135" s="29">
        <f t="shared" si="32"/>
        <v>3405</v>
      </c>
      <c r="J135" s="29">
        <f t="shared" si="32"/>
        <v>50588</v>
      </c>
      <c r="K135" s="29">
        <f t="shared" si="32"/>
        <v>519</v>
      </c>
      <c r="L135" s="29">
        <f t="shared" si="32"/>
        <v>0</v>
      </c>
      <c r="M135" s="29">
        <f t="shared" si="32"/>
        <v>10520</v>
      </c>
      <c r="N135" s="29">
        <f t="shared" si="32"/>
        <v>1866</v>
      </c>
      <c r="O135" s="29">
        <f t="shared" si="32"/>
        <v>1866</v>
      </c>
    </row>
    <row r="136" spans="1:15" ht="12.75" customHeight="1">
      <c r="A136" s="4" t="s">
        <v>250</v>
      </c>
      <c r="B136" s="5" t="s">
        <v>251</v>
      </c>
      <c r="C136" s="28">
        <v>7415</v>
      </c>
      <c r="D136" s="28">
        <v>7069</v>
      </c>
      <c r="E136" s="28">
        <v>0</v>
      </c>
      <c r="F136" s="28">
        <f t="shared" ref="F136:F143" si="33">SUM(C136-D136-E136)</f>
        <v>346</v>
      </c>
      <c r="G136" s="28">
        <v>18439</v>
      </c>
      <c r="H136" s="28">
        <v>14410</v>
      </c>
      <c r="I136" s="28">
        <v>0</v>
      </c>
      <c r="J136" s="28">
        <f t="shared" ref="J136:J143" si="34">SUM(G136-H136-I136)</f>
        <v>4029</v>
      </c>
      <c r="K136" s="28">
        <v>429</v>
      </c>
      <c r="L136" s="28">
        <v>1073</v>
      </c>
      <c r="M136" s="28">
        <v>1223</v>
      </c>
      <c r="N136" s="28">
        <v>2027</v>
      </c>
      <c r="O136" s="28">
        <v>2027</v>
      </c>
    </row>
    <row r="137" spans="1:15" ht="12.75" customHeight="1">
      <c r="A137" s="4" t="s">
        <v>252</v>
      </c>
      <c r="B137" s="5" t="s">
        <v>253</v>
      </c>
      <c r="C137" s="28">
        <v>1082</v>
      </c>
      <c r="D137" s="28">
        <v>1081</v>
      </c>
      <c r="E137" s="28">
        <v>0</v>
      </c>
      <c r="F137" s="28">
        <f t="shared" si="33"/>
        <v>1</v>
      </c>
      <c r="G137" s="28">
        <v>2377</v>
      </c>
      <c r="H137" s="28">
        <v>2335</v>
      </c>
      <c r="I137" s="28">
        <v>0</v>
      </c>
      <c r="J137" s="28">
        <f t="shared" si="34"/>
        <v>42</v>
      </c>
      <c r="K137" s="28">
        <v>32</v>
      </c>
      <c r="L137" s="28">
        <v>0</v>
      </c>
      <c r="M137" s="28">
        <v>0</v>
      </c>
      <c r="N137" s="28">
        <v>145</v>
      </c>
      <c r="O137" s="28">
        <v>145</v>
      </c>
    </row>
    <row r="138" spans="1:15" ht="12.75" customHeight="1">
      <c r="A138" s="4" t="s">
        <v>254</v>
      </c>
      <c r="B138" s="5" t="s">
        <v>255</v>
      </c>
      <c r="C138" s="28">
        <v>666</v>
      </c>
      <c r="D138" s="28">
        <v>654</v>
      </c>
      <c r="E138" s="28">
        <v>0</v>
      </c>
      <c r="F138" s="28">
        <f t="shared" si="33"/>
        <v>12</v>
      </c>
      <c r="G138" s="28">
        <v>2540</v>
      </c>
      <c r="H138" s="28">
        <v>2177</v>
      </c>
      <c r="I138" s="28">
        <v>0</v>
      </c>
      <c r="J138" s="28">
        <f t="shared" si="34"/>
        <v>363</v>
      </c>
      <c r="K138" s="28">
        <v>59</v>
      </c>
      <c r="L138" s="28">
        <v>0</v>
      </c>
      <c r="M138" s="28">
        <v>494</v>
      </c>
      <c r="N138" s="28">
        <v>314</v>
      </c>
      <c r="O138" s="28">
        <v>314</v>
      </c>
    </row>
    <row r="139" spans="1:15" ht="12.75" customHeight="1">
      <c r="A139" s="4" t="s">
        <v>256</v>
      </c>
      <c r="B139" s="5" t="s">
        <v>257</v>
      </c>
      <c r="C139" s="28">
        <v>2107</v>
      </c>
      <c r="D139" s="28">
        <v>1825</v>
      </c>
      <c r="E139" s="28">
        <v>0</v>
      </c>
      <c r="F139" s="28">
        <f t="shared" si="33"/>
        <v>282</v>
      </c>
      <c r="G139" s="28">
        <v>5842</v>
      </c>
      <c r="H139" s="28">
        <v>4686</v>
      </c>
      <c r="I139" s="28">
        <v>0</v>
      </c>
      <c r="J139" s="28">
        <f t="shared" si="34"/>
        <v>1156</v>
      </c>
      <c r="K139" s="28">
        <v>351</v>
      </c>
      <c r="L139" s="28">
        <v>448</v>
      </c>
      <c r="M139" s="28">
        <v>806</v>
      </c>
      <c r="N139" s="28">
        <v>160</v>
      </c>
      <c r="O139" s="28">
        <v>160</v>
      </c>
    </row>
    <row r="140" spans="1:15" ht="12.75" customHeight="1">
      <c r="A140" s="4" t="s">
        <v>258</v>
      </c>
      <c r="B140" s="5" t="s">
        <v>259</v>
      </c>
      <c r="C140" s="28">
        <v>486</v>
      </c>
      <c r="D140" s="28">
        <v>481</v>
      </c>
      <c r="E140" s="28">
        <v>0</v>
      </c>
      <c r="F140" s="28">
        <f t="shared" si="33"/>
        <v>5</v>
      </c>
      <c r="G140" s="28">
        <v>935</v>
      </c>
      <c r="H140" s="28">
        <v>915</v>
      </c>
      <c r="I140" s="28">
        <v>0</v>
      </c>
      <c r="J140" s="28">
        <f t="shared" si="34"/>
        <v>20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3068</v>
      </c>
      <c r="D141" s="28">
        <v>2866</v>
      </c>
      <c r="E141" s="28">
        <v>0</v>
      </c>
      <c r="F141" s="28">
        <f t="shared" si="33"/>
        <v>202</v>
      </c>
      <c r="G141" s="28">
        <v>5856</v>
      </c>
      <c r="H141" s="28">
        <v>5250</v>
      </c>
      <c r="I141" s="28">
        <v>0</v>
      </c>
      <c r="J141" s="28">
        <f t="shared" si="34"/>
        <v>606</v>
      </c>
      <c r="K141" s="28">
        <v>37</v>
      </c>
      <c r="L141" s="28">
        <v>0</v>
      </c>
      <c r="M141" s="28">
        <v>5</v>
      </c>
      <c r="N141" s="28">
        <v>355</v>
      </c>
      <c r="O141" s="28">
        <v>355</v>
      </c>
    </row>
    <row r="142" spans="1:15" ht="12.75" customHeight="1">
      <c r="A142" s="4" t="s">
        <v>262</v>
      </c>
      <c r="B142" s="5" t="s">
        <v>263</v>
      </c>
      <c r="C142" s="28">
        <v>2034</v>
      </c>
      <c r="D142" s="28">
        <v>1418</v>
      </c>
      <c r="E142" s="28">
        <v>0</v>
      </c>
      <c r="F142" s="28">
        <f t="shared" si="33"/>
        <v>616</v>
      </c>
      <c r="G142" s="28">
        <v>5874</v>
      </c>
      <c r="H142" s="28">
        <v>4410</v>
      </c>
      <c r="I142" s="28">
        <v>0</v>
      </c>
      <c r="J142" s="28">
        <f t="shared" si="34"/>
        <v>1464</v>
      </c>
      <c r="K142" s="28">
        <v>241</v>
      </c>
      <c r="L142" s="28">
        <v>0</v>
      </c>
      <c r="M142" s="28">
        <v>1222</v>
      </c>
      <c r="N142" s="28">
        <v>627</v>
      </c>
      <c r="O142" s="28">
        <v>627</v>
      </c>
    </row>
    <row r="143" spans="1:15" ht="12.75" customHeight="1">
      <c r="A143" s="4" t="s">
        <v>264</v>
      </c>
      <c r="B143" s="5" t="s">
        <v>265</v>
      </c>
      <c r="C143" s="28">
        <v>5096</v>
      </c>
      <c r="D143" s="28">
        <v>4134</v>
      </c>
      <c r="E143" s="28">
        <v>0</v>
      </c>
      <c r="F143" s="28">
        <f t="shared" si="33"/>
        <v>962</v>
      </c>
      <c r="G143" s="28">
        <v>16994</v>
      </c>
      <c r="H143" s="28">
        <v>7273</v>
      </c>
      <c r="I143" s="28">
        <v>0</v>
      </c>
      <c r="J143" s="28">
        <f t="shared" si="34"/>
        <v>9721</v>
      </c>
      <c r="K143" s="28">
        <v>1200</v>
      </c>
      <c r="L143" s="28">
        <v>31</v>
      </c>
      <c r="M143" s="28">
        <v>1396</v>
      </c>
      <c r="N143" s="28">
        <v>1012</v>
      </c>
      <c r="O143" s="28">
        <v>1012</v>
      </c>
    </row>
    <row r="144" spans="1:15" ht="12.75" customHeight="1">
      <c r="A144" s="10"/>
      <c r="B144" s="9" t="s">
        <v>266</v>
      </c>
      <c r="C144" s="30">
        <f t="shared" ref="C144:O144" si="35">SUM(C136:C143)</f>
        <v>21954</v>
      </c>
      <c r="D144" s="30">
        <f t="shared" si="35"/>
        <v>19528</v>
      </c>
      <c r="E144" s="30">
        <f t="shared" si="35"/>
        <v>0</v>
      </c>
      <c r="F144" s="30">
        <f t="shared" si="35"/>
        <v>2426</v>
      </c>
      <c r="G144" s="30">
        <f t="shared" si="35"/>
        <v>58857</v>
      </c>
      <c r="H144" s="30">
        <f t="shared" si="35"/>
        <v>41456</v>
      </c>
      <c r="I144" s="30">
        <f t="shared" si="35"/>
        <v>0</v>
      </c>
      <c r="J144" s="30">
        <f t="shared" si="35"/>
        <v>17401</v>
      </c>
      <c r="K144" s="30">
        <f t="shared" si="35"/>
        <v>2349</v>
      </c>
      <c r="L144" s="30">
        <f t="shared" si="35"/>
        <v>1552</v>
      </c>
      <c r="M144" s="30">
        <f t="shared" si="35"/>
        <v>5146</v>
      </c>
      <c r="N144" s="30">
        <f t="shared" si="35"/>
        <v>4640</v>
      </c>
      <c r="O144" s="30">
        <f t="shared" si="35"/>
        <v>4640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666921</v>
      </c>
      <c r="D145" s="31">
        <f t="shared" si="36"/>
        <v>476304</v>
      </c>
      <c r="E145" s="31">
        <f t="shared" si="36"/>
        <v>20946</v>
      </c>
      <c r="F145" s="31">
        <f t="shared" si="36"/>
        <v>169671</v>
      </c>
      <c r="G145" s="31">
        <f t="shared" si="36"/>
        <v>2042225</v>
      </c>
      <c r="H145" s="31">
        <f t="shared" si="36"/>
        <v>1036120</v>
      </c>
      <c r="I145" s="31">
        <f t="shared" si="36"/>
        <v>86559</v>
      </c>
      <c r="J145" s="31">
        <f t="shared" si="36"/>
        <v>919546</v>
      </c>
      <c r="K145" s="31">
        <f t="shared" si="36"/>
        <v>37808</v>
      </c>
      <c r="L145" s="31">
        <f t="shared" si="36"/>
        <v>2523</v>
      </c>
      <c r="M145" s="31">
        <f t="shared" si="36"/>
        <v>224494</v>
      </c>
      <c r="N145" s="31">
        <f t="shared" si="36"/>
        <v>43610</v>
      </c>
      <c r="O145" s="31">
        <f t="shared" si="36"/>
        <v>37979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27301</v>
      </c>
      <c r="D15" s="28">
        <v>20054</v>
      </c>
      <c r="E15" s="28">
        <v>2802</v>
      </c>
      <c r="F15" s="28">
        <f t="shared" ref="F15:F22" si="0">SUM(C15-D15-E15)</f>
        <v>4445</v>
      </c>
      <c r="G15" s="28">
        <v>137162</v>
      </c>
      <c r="H15" s="28">
        <v>55572</v>
      </c>
      <c r="I15" s="28">
        <v>16476</v>
      </c>
      <c r="J15" s="28">
        <f t="shared" ref="J15:J22" si="1">SUM(G15-H15-I15)</f>
        <v>65114</v>
      </c>
      <c r="K15" s="28">
        <v>6797</v>
      </c>
      <c r="L15" s="28">
        <v>0</v>
      </c>
      <c r="M15" s="28">
        <v>15318</v>
      </c>
      <c r="N15" s="28">
        <v>5045</v>
      </c>
      <c r="O15" s="28">
        <v>4319</v>
      </c>
    </row>
    <row r="16" spans="1:15" ht="12.75" customHeight="1">
      <c r="A16" s="4" t="s">
        <v>29</v>
      </c>
      <c r="B16" s="5" t="s">
        <v>30</v>
      </c>
      <c r="C16" s="28">
        <v>18914</v>
      </c>
      <c r="D16" s="28">
        <v>8414</v>
      </c>
      <c r="E16" s="28">
        <v>403</v>
      </c>
      <c r="F16" s="28">
        <f t="shared" si="0"/>
        <v>10097</v>
      </c>
      <c r="G16" s="28">
        <v>130287</v>
      </c>
      <c r="H16" s="28">
        <v>22152</v>
      </c>
      <c r="I16" s="28">
        <v>2887</v>
      </c>
      <c r="J16" s="28">
        <f t="shared" si="1"/>
        <v>105248</v>
      </c>
      <c r="K16" s="28">
        <v>2211</v>
      </c>
      <c r="L16" s="28">
        <v>0</v>
      </c>
      <c r="M16" s="28">
        <v>9365</v>
      </c>
      <c r="N16" s="28">
        <v>235</v>
      </c>
      <c r="O16" s="28">
        <v>235</v>
      </c>
    </row>
    <row r="17" spans="1:15" ht="12.75" customHeight="1">
      <c r="A17" s="4" t="s">
        <v>31</v>
      </c>
      <c r="B17" s="5" t="s">
        <v>32</v>
      </c>
      <c r="C17" s="28">
        <v>11485</v>
      </c>
      <c r="D17" s="28">
        <v>9110</v>
      </c>
      <c r="E17" s="28">
        <v>0</v>
      </c>
      <c r="F17" s="28">
        <f t="shared" si="0"/>
        <v>2375</v>
      </c>
      <c r="G17" s="28">
        <v>23047</v>
      </c>
      <c r="H17" s="28">
        <v>16598</v>
      </c>
      <c r="I17" s="28">
        <v>0</v>
      </c>
      <c r="J17" s="28">
        <f t="shared" si="1"/>
        <v>6449</v>
      </c>
      <c r="K17" s="28">
        <v>981</v>
      </c>
      <c r="L17" s="28">
        <v>0</v>
      </c>
      <c r="M17" s="28">
        <v>540</v>
      </c>
      <c r="N17" s="28">
        <v>867</v>
      </c>
      <c r="O17" s="28">
        <v>867</v>
      </c>
    </row>
    <row r="18" spans="1:15" ht="12.75" customHeight="1">
      <c r="A18" s="4" t="s">
        <v>33</v>
      </c>
      <c r="B18" s="5" t="s">
        <v>34</v>
      </c>
      <c r="C18" s="28">
        <v>35063</v>
      </c>
      <c r="D18" s="28">
        <v>23203</v>
      </c>
      <c r="E18" s="28">
        <v>484</v>
      </c>
      <c r="F18" s="28">
        <f t="shared" si="0"/>
        <v>11376</v>
      </c>
      <c r="G18" s="28">
        <v>89534</v>
      </c>
      <c r="H18" s="28">
        <v>61312</v>
      </c>
      <c r="I18" s="28">
        <v>2178</v>
      </c>
      <c r="J18" s="28">
        <f t="shared" si="1"/>
        <v>26044</v>
      </c>
      <c r="K18" s="28">
        <v>3534</v>
      </c>
      <c r="L18" s="28">
        <v>0</v>
      </c>
      <c r="M18" s="28">
        <v>7438</v>
      </c>
      <c r="N18" s="28">
        <v>716</v>
      </c>
      <c r="O18" s="28">
        <v>716</v>
      </c>
    </row>
    <row r="19" spans="1:15" ht="12.75" customHeight="1">
      <c r="A19" s="4" t="s">
        <v>35</v>
      </c>
      <c r="B19" s="5" t="s">
        <v>36</v>
      </c>
      <c r="C19" s="28">
        <v>21080</v>
      </c>
      <c r="D19" s="28">
        <v>20105</v>
      </c>
      <c r="E19" s="28">
        <v>733</v>
      </c>
      <c r="F19" s="28">
        <f t="shared" si="0"/>
        <v>242</v>
      </c>
      <c r="G19" s="28">
        <v>60065</v>
      </c>
      <c r="H19" s="28">
        <v>48467</v>
      </c>
      <c r="I19" s="28">
        <v>3870</v>
      </c>
      <c r="J19" s="28">
        <f t="shared" si="1"/>
        <v>7728</v>
      </c>
      <c r="K19" s="28">
        <v>681</v>
      </c>
      <c r="L19" s="28">
        <v>0</v>
      </c>
      <c r="M19" s="28">
        <v>220</v>
      </c>
      <c r="N19" s="28">
        <v>373</v>
      </c>
      <c r="O19" s="28">
        <v>373</v>
      </c>
    </row>
    <row r="20" spans="1:15" ht="12.75" customHeight="1">
      <c r="A20" s="4" t="s">
        <v>37</v>
      </c>
      <c r="B20" s="5" t="s">
        <v>38</v>
      </c>
      <c r="C20" s="28">
        <v>122345</v>
      </c>
      <c r="D20" s="28">
        <v>109253</v>
      </c>
      <c r="E20" s="28">
        <v>3035</v>
      </c>
      <c r="F20" s="28">
        <f t="shared" si="0"/>
        <v>10057</v>
      </c>
      <c r="G20" s="28">
        <v>319322</v>
      </c>
      <c r="H20" s="28">
        <v>230028</v>
      </c>
      <c r="I20" s="28">
        <v>16119</v>
      </c>
      <c r="J20" s="28">
        <f t="shared" si="1"/>
        <v>73175</v>
      </c>
      <c r="K20" s="28">
        <v>10124</v>
      </c>
      <c r="L20" s="28">
        <v>0</v>
      </c>
      <c r="M20" s="28">
        <v>11399</v>
      </c>
      <c r="N20" s="28">
        <v>2938</v>
      </c>
      <c r="O20" s="28">
        <v>2938</v>
      </c>
    </row>
    <row r="21" spans="1:15" ht="12.75" customHeight="1">
      <c r="A21" s="4" t="s">
        <v>39</v>
      </c>
      <c r="B21" s="5" t="s">
        <v>40</v>
      </c>
      <c r="C21" s="28">
        <v>9453</v>
      </c>
      <c r="D21" s="28">
        <v>9329</v>
      </c>
      <c r="E21" s="28">
        <v>0</v>
      </c>
      <c r="F21" s="28">
        <f t="shared" si="0"/>
        <v>124</v>
      </c>
      <c r="G21" s="28">
        <v>17160</v>
      </c>
      <c r="H21" s="28">
        <v>16303</v>
      </c>
      <c r="I21" s="28">
        <v>0</v>
      </c>
      <c r="J21" s="28">
        <f t="shared" si="1"/>
        <v>857</v>
      </c>
      <c r="K21" s="28">
        <v>124</v>
      </c>
      <c r="L21" s="28">
        <v>0</v>
      </c>
      <c r="M21" s="28">
        <v>0</v>
      </c>
      <c r="N21" s="28">
        <v>88</v>
      </c>
      <c r="O21" s="28">
        <v>88</v>
      </c>
    </row>
    <row r="22" spans="1:15" ht="12.75" customHeight="1">
      <c r="A22" s="4" t="s">
        <v>41</v>
      </c>
      <c r="B22" s="5" t="s">
        <v>42</v>
      </c>
      <c r="C22" s="28">
        <v>9390</v>
      </c>
      <c r="D22" s="28">
        <v>7618</v>
      </c>
      <c r="E22" s="28">
        <v>943</v>
      </c>
      <c r="F22" s="28">
        <f t="shared" si="0"/>
        <v>829</v>
      </c>
      <c r="G22" s="28">
        <v>26536</v>
      </c>
      <c r="H22" s="28">
        <v>16302</v>
      </c>
      <c r="I22" s="28">
        <v>3964</v>
      </c>
      <c r="J22" s="28">
        <f t="shared" si="1"/>
        <v>6270</v>
      </c>
      <c r="K22" s="28">
        <v>1676</v>
      </c>
      <c r="L22" s="28">
        <v>0</v>
      </c>
      <c r="M22" s="28">
        <v>4170</v>
      </c>
      <c r="N22" s="28">
        <v>709</v>
      </c>
      <c r="O22" s="28">
        <v>709</v>
      </c>
    </row>
    <row r="23" spans="1:15" ht="12.75" customHeight="1">
      <c r="A23" s="8"/>
      <c r="B23" s="9" t="s">
        <v>43</v>
      </c>
      <c r="C23" s="29">
        <f t="shared" ref="C23:O23" si="2">SUM(C15:C22)</f>
        <v>255031</v>
      </c>
      <c r="D23" s="29">
        <f t="shared" si="2"/>
        <v>207086</v>
      </c>
      <c r="E23" s="29">
        <f t="shared" si="2"/>
        <v>8400</v>
      </c>
      <c r="F23" s="29">
        <f t="shared" si="2"/>
        <v>39545</v>
      </c>
      <c r="G23" s="29">
        <f t="shared" si="2"/>
        <v>803113</v>
      </c>
      <c r="H23" s="29">
        <f t="shared" si="2"/>
        <v>466734</v>
      </c>
      <c r="I23" s="29">
        <f t="shared" si="2"/>
        <v>45494</v>
      </c>
      <c r="J23" s="29">
        <f t="shared" si="2"/>
        <v>290885</v>
      </c>
      <c r="K23" s="29">
        <f t="shared" si="2"/>
        <v>26128</v>
      </c>
      <c r="L23" s="29">
        <f t="shared" si="2"/>
        <v>0</v>
      </c>
      <c r="M23" s="29">
        <f t="shared" si="2"/>
        <v>48450</v>
      </c>
      <c r="N23" s="29">
        <f t="shared" si="2"/>
        <v>10971</v>
      </c>
      <c r="O23" s="29">
        <f t="shared" si="2"/>
        <v>10245</v>
      </c>
    </row>
    <row r="24" spans="1:15" ht="14.25" customHeight="1">
      <c r="A24" s="4" t="s">
        <v>44</v>
      </c>
      <c r="B24" s="5" t="s">
        <v>45</v>
      </c>
      <c r="C24" s="28">
        <v>10428</v>
      </c>
      <c r="D24" s="28">
        <v>7360</v>
      </c>
      <c r="E24" s="28">
        <v>649</v>
      </c>
      <c r="F24" s="28">
        <f>SUM(C24-D24-E24)</f>
        <v>2419</v>
      </c>
      <c r="G24" s="28">
        <v>25287</v>
      </c>
      <c r="H24" s="28">
        <v>13047</v>
      </c>
      <c r="I24" s="28">
        <v>2367</v>
      </c>
      <c r="J24" s="28">
        <f>SUM(G24-H24-I24)</f>
        <v>9873</v>
      </c>
      <c r="K24" s="28">
        <v>6945</v>
      </c>
      <c r="L24" s="28">
        <v>0</v>
      </c>
      <c r="M24" s="28">
        <v>1607</v>
      </c>
      <c r="N24" s="28">
        <v>356</v>
      </c>
      <c r="O24" s="28">
        <v>356</v>
      </c>
    </row>
    <row r="25" spans="1:15" ht="14.25" customHeight="1">
      <c r="A25" s="10"/>
      <c r="B25" s="9" t="s">
        <v>46</v>
      </c>
      <c r="C25" s="29">
        <f t="shared" ref="C25:O25" si="3">SUM(C24)</f>
        <v>10428</v>
      </c>
      <c r="D25" s="29">
        <f t="shared" si="3"/>
        <v>7360</v>
      </c>
      <c r="E25" s="29">
        <f t="shared" si="3"/>
        <v>649</v>
      </c>
      <c r="F25" s="29">
        <f t="shared" si="3"/>
        <v>2419</v>
      </c>
      <c r="G25" s="29">
        <f t="shared" si="3"/>
        <v>25287</v>
      </c>
      <c r="H25" s="29">
        <f t="shared" si="3"/>
        <v>13047</v>
      </c>
      <c r="I25" s="29">
        <f t="shared" si="3"/>
        <v>2367</v>
      </c>
      <c r="J25" s="29">
        <f t="shared" si="3"/>
        <v>9873</v>
      </c>
      <c r="K25" s="29">
        <f t="shared" si="3"/>
        <v>6945</v>
      </c>
      <c r="L25" s="29">
        <f t="shared" si="3"/>
        <v>0</v>
      </c>
      <c r="M25" s="29">
        <f t="shared" si="3"/>
        <v>1607</v>
      </c>
      <c r="N25" s="29">
        <f t="shared" si="3"/>
        <v>356</v>
      </c>
      <c r="O25" s="29">
        <f t="shared" si="3"/>
        <v>356</v>
      </c>
    </row>
    <row r="26" spans="1:15" ht="12.75" customHeight="1">
      <c r="A26" s="4" t="s">
        <v>47</v>
      </c>
      <c r="B26" s="5" t="s">
        <v>48</v>
      </c>
      <c r="C26" s="28">
        <v>77503</v>
      </c>
      <c r="D26" s="28">
        <v>38665</v>
      </c>
      <c r="E26" s="28">
        <v>2442</v>
      </c>
      <c r="F26" s="28">
        <f>SUM(C26-D26-E26)</f>
        <v>36396</v>
      </c>
      <c r="G26" s="28">
        <v>192188</v>
      </c>
      <c r="H26" s="28">
        <v>66655</v>
      </c>
      <c r="I26" s="28">
        <v>8302</v>
      </c>
      <c r="J26" s="28">
        <f>SUM(G26-H26-I26)</f>
        <v>117231</v>
      </c>
      <c r="K26" s="28">
        <v>14152</v>
      </c>
      <c r="L26" s="28">
        <v>0</v>
      </c>
      <c r="M26" s="28">
        <v>4087</v>
      </c>
      <c r="N26" s="28">
        <v>2435</v>
      </c>
      <c r="O26" s="28">
        <v>2435</v>
      </c>
    </row>
    <row r="27" spans="1:15" ht="12.75" customHeight="1">
      <c r="A27" s="4" t="s">
        <v>49</v>
      </c>
      <c r="B27" s="5" t="s">
        <v>50</v>
      </c>
      <c r="C27" s="28">
        <v>14776</v>
      </c>
      <c r="D27" s="28">
        <v>12343</v>
      </c>
      <c r="E27" s="28">
        <v>607</v>
      </c>
      <c r="F27" s="28">
        <f>SUM(C27-D27-E27)</f>
        <v>1826</v>
      </c>
      <c r="G27" s="28">
        <v>28642</v>
      </c>
      <c r="H27" s="28">
        <v>19054</v>
      </c>
      <c r="I27" s="28">
        <v>2011</v>
      </c>
      <c r="J27" s="28">
        <f>SUM(G27-H27-I27)</f>
        <v>7577</v>
      </c>
      <c r="K27" s="28">
        <v>2248</v>
      </c>
      <c r="L27" s="28">
        <v>0</v>
      </c>
      <c r="M27" s="28">
        <v>885</v>
      </c>
      <c r="N27" s="28">
        <v>569</v>
      </c>
      <c r="O27" s="28">
        <v>569</v>
      </c>
    </row>
    <row r="28" spans="1:15" ht="12.75" customHeight="1">
      <c r="A28" s="4" t="s">
        <v>51</v>
      </c>
      <c r="B28" s="5" t="s">
        <v>52</v>
      </c>
      <c r="C28" s="28">
        <v>14769</v>
      </c>
      <c r="D28" s="28">
        <v>9506</v>
      </c>
      <c r="E28" s="28">
        <v>1117</v>
      </c>
      <c r="F28" s="28">
        <f>SUM(C28-D28-E28)</f>
        <v>4146</v>
      </c>
      <c r="G28" s="28">
        <v>43376</v>
      </c>
      <c r="H28" s="28">
        <v>21196</v>
      </c>
      <c r="I28" s="28">
        <v>6183</v>
      </c>
      <c r="J28" s="28">
        <f>SUM(G28-H28-I28)</f>
        <v>15997</v>
      </c>
      <c r="K28" s="28">
        <v>691</v>
      </c>
      <c r="L28" s="28">
        <v>0</v>
      </c>
      <c r="M28" s="28">
        <v>650</v>
      </c>
      <c r="N28" s="28">
        <v>196</v>
      </c>
      <c r="O28" s="28">
        <v>196</v>
      </c>
    </row>
    <row r="29" spans="1:15" ht="12.75" customHeight="1">
      <c r="A29" s="4" t="s">
        <v>53</v>
      </c>
      <c r="B29" s="5" t="s">
        <v>54</v>
      </c>
      <c r="C29" s="28">
        <v>17586</v>
      </c>
      <c r="D29" s="28">
        <v>15158</v>
      </c>
      <c r="E29" s="28">
        <v>1799</v>
      </c>
      <c r="F29" s="28">
        <f>SUM(C29-D29-E29)</f>
        <v>629</v>
      </c>
      <c r="G29" s="28">
        <v>40340</v>
      </c>
      <c r="H29" s="28">
        <v>31690</v>
      </c>
      <c r="I29" s="28">
        <v>7128</v>
      </c>
      <c r="J29" s="28">
        <f>SUM(G29-H29-I29)</f>
        <v>1522</v>
      </c>
      <c r="K29" s="28">
        <v>65</v>
      </c>
      <c r="L29" s="28">
        <v>0</v>
      </c>
      <c r="M29" s="28">
        <v>89</v>
      </c>
      <c r="N29" s="28">
        <v>89</v>
      </c>
      <c r="O29" s="28">
        <v>89</v>
      </c>
    </row>
    <row r="30" spans="1:15" ht="12.75" customHeight="1">
      <c r="A30" s="8"/>
      <c r="B30" s="9" t="s">
        <v>55</v>
      </c>
      <c r="C30" s="29">
        <f t="shared" ref="C30:O30" si="4">SUM(C26:C29)</f>
        <v>124634</v>
      </c>
      <c r="D30" s="29">
        <f t="shared" si="4"/>
        <v>75672</v>
      </c>
      <c r="E30" s="29">
        <f t="shared" si="4"/>
        <v>5965</v>
      </c>
      <c r="F30" s="29">
        <f t="shared" si="4"/>
        <v>42997</v>
      </c>
      <c r="G30" s="29">
        <f t="shared" si="4"/>
        <v>304546</v>
      </c>
      <c r="H30" s="29">
        <f t="shared" si="4"/>
        <v>138595</v>
      </c>
      <c r="I30" s="29">
        <f t="shared" si="4"/>
        <v>23624</v>
      </c>
      <c r="J30" s="29">
        <f t="shared" si="4"/>
        <v>142327</v>
      </c>
      <c r="K30" s="29">
        <f t="shared" si="4"/>
        <v>17156</v>
      </c>
      <c r="L30" s="29">
        <f t="shared" si="4"/>
        <v>0</v>
      </c>
      <c r="M30" s="29">
        <f t="shared" si="4"/>
        <v>5711</v>
      </c>
      <c r="N30" s="29">
        <f t="shared" si="4"/>
        <v>3289</v>
      </c>
      <c r="O30" s="29">
        <f t="shared" si="4"/>
        <v>3289</v>
      </c>
    </row>
    <row r="31" spans="1:15" ht="12.75" customHeight="1">
      <c r="A31" s="4" t="s">
        <v>56</v>
      </c>
      <c r="B31" s="5" t="s">
        <v>57</v>
      </c>
      <c r="C31" s="28">
        <v>61277</v>
      </c>
      <c r="D31" s="28">
        <v>49674</v>
      </c>
      <c r="E31" s="28">
        <v>1086</v>
      </c>
      <c r="F31" s="28">
        <f t="shared" ref="F31:F42" si="5">SUM(C31-D31-E31)</f>
        <v>10517</v>
      </c>
      <c r="G31" s="28">
        <v>180630</v>
      </c>
      <c r="H31" s="28">
        <v>100412</v>
      </c>
      <c r="I31" s="28">
        <v>5113</v>
      </c>
      <c r="J31" s="28">
        <f t="shared" ref="J31:J42" si="6">SUM(G31-H31-I31)</f>
        <v>75105</v>
      </c>
      <c r="K31" s="28">
        <v>3819</v>
      </c>
      <c r="L31" s="28">
        <v>0</v>
      </c>
      <c r="M31" s="28">
        <v>3704</v>
      </c>
      <c r="N31" s="28">
        <v>703</v>
      </c>
      <c r="O31" s="28">
        <v>703</v>
      </c>
    </row>
    <row r="32" spans="1:15" ht="12.75" customHeight="1">
      <c r="A32" s="4" t="s">
        <v>58</v>
      </c>
      <c r="B32" s="5" t="s">
        <v>59</v>
      </c>
      <c r="C32" s="28">
        <v>80855</v>
      </c>
      <c r="D32" s="28">
        <v>72270</v>
      </c>
      <c r="E32" s="28">
        <v>2621</v>
      </c>
      <c r="F32" s="28">
        <f t="shared" si="5"/>
        <v>5964</v>
      </c>
      <c r="G32" s="28">
        <v>299294</v>
      </c>
      <c r="H32" s="28">
        <v>175215</v>
      </c>
      <c r="I32" s="28">
        <v>14726</v>
      </c>
      <c r="J32" s="28">
        <f t="shared" si="6"/>
        <v>109353</v>
      </c>
      <c r="K32" s="28">
        <v>8240</v>
      </c>
      <c r="L32" s="28">
        <v>0</v>
      </c>
      <c r="M32" s="28">
        <v>44044</v>
      </c>
      <c r="N32" s="28">
        <v>1737</v>
      </c>
      <c r="O32" s="28">
        <v>1737</v>
      </c>
    </row>
    <row r="33" spans="1:256" ht="12.75" customHeight="1">
      <c r="A33" s="4" t="s">
        <v>60</v>
      </c>
      <c r="B33" s="5" t="s">
        <v>61</v>
      </c>
      <c r="C33" s="28">
        <v>43707</v>
      </c>
      <c r="D33" s="28">
        <v>33521</v>
      </c>
      <c r="E33" s="28">
        <v>969</v>
      </c>
      <c r="F33" s="28">
        <f t="shared" si="5"/>
        <v>9217</v>
      </c>
      <c r="G33" s="28">
        <v>151580</v>
      </c>
      <c r="H33" s="28">
        <v>44042</v>
      </c>
      <c r="I33" s="28">
        <v>2706</v>
      </c>
      <c r="J33" s="28">
        <f t="shared" si="6"/>
        <v>104832</v>
      </c>
      <c r="K33" s="28">
        <v>11280</v>
      </c>
      <c r="L33" s="28">
        <v>89</v>
      </c>
      <c r="M33" s="28">
        <v>10034</v>
      </c>
      <c r="N33" s="28">
        <v>1247</v>
      </c>
      <c r="O33" s="28">
        <v>1247</v>
      </c>
    </row>
    <row r="34" spans="1:256" ht="12.75" customHeight="1">
      <c r="A34" s="4" t="s">
        <v>62</v>
      </c>
      <c r="B34" s="5" t="s">
        <v>63</v>
      </c>
      <c r="C34" s="28">
        <v>47807</v>
      </c>
      <c r="D34" s="28">
        <v>14712</v>
      </c>
      <c r="E34" s="28">
        <v>217</v>
      </c>
      <c r="F34" s="28">
        <f t="shared" si="5"/>
        <v>32878</v>
      </c>
      <c r="G34" s="28">
        <v>155354</v>
      </c>
      <c r="H34" s="28">
        <v>38160</v>
      </c>
      <c r="I34" s="28">
        <v>1077</v>
      </c>
      <c r="J34" s="28">
        <f t="shared" si="6"/>
        <v>116117</v>
      </c>
      <c r="K34" s="28">
        <v>1248</v>
      </c>
      <c r="L34" s="28">
        <v>37</v>
      </c>
      <c r="M34" s="28">
        <v>16799</v>
      </c>
      <c r="N34" s="28">
        <v>165</v>
      </c>
      <c r="O34" s="28">
        <v>165</v>
      </c>
    </row>
    <row r="35" spans="1:256" ht="12.75" customHeight="1">
      <c r="A35" s="4" t="s">
        <v>64</v>
      </c>
      <c r="B35" s="5" t="s">
        <v>65</v>
      </c>
      <c r="C35" s="28">
        <v>19981</v>
      </c>
      <c r="D35" s="28">
        <v>19565</v>
      </c>
      <c r="E35" s="28">
        <v>0</v>
      </c>
      <c r="F35" s="28">
        <f t="shared" si="5"/>
        <v>416</v>
      </c>
      <c r="G35" s="28">
        <v>36039</v>
      </c>
      <c r="H35" s="28">
        <v>32665</v>
      </c>
      <c r="I35" s="28">
        <v>0</v>
      </c>
      <c r="J35" s="28">
        <f t="shared" si="6"/>
        <v>3374</v>
      </c>
      <c r="K35" s="28">
        <v>932</v>
      </c>
      <c r="L35" s="28">
        <v>0</v>
      </c>
      <c r="M35" s="28">
        <v>227</v>
      </c>
      <c r="N35" s="28">
        <v>1709</v>
      </c>
      <c r="O35" s="28">
        <v>1709</v>
      </c>
    </row>
    <row r="36" spans="1:256" ht="12.75" customHeight="1">
      <c r="A36" s="4" t="s">
        <v>66</v>
      </c>
      <c r="B36" s="5" t="s">
        <v>67</v>
      </c>
      <c r="C36" s="28">
        <v>11839</v>
      </c>
      <c r="D36" s="28">
        <v>9674</v>
      </c>
      <c r="E36" s="28">
        <v>894</v>
      </c>
      <c r="F36" s="28">
        <f t="shared" si="5"/>
        <v>1271</v>
      </c>
      <c r="G36" s="28">
        <v>33832</v>
      </c>
      <c r="H36" s="28">
        <v>24171</v>
      </c>
      <c r="I36" s="28">
        <v>5025</v>
      </c>
      <c r="J36" s="28">
        <f t="shared" si="6"/>
        <v>4636</v>
      </c>
      <c r="K36" s="28">
        <v>169</v>
      </c>
      <c r="L36" s="28">
        <v>0</v>
      </c>
      <c r="M36" s="28">
        <v>2289</v>
      </c>
      <c r="N36" s="28">
        <v>9</v>
      </c>
      <c r="O36" s="28">
        <v>9</v>
      </c>
    </row>
    <row r="37" spans="1:256" ht="12.75" customHeight="1">
      <c r="A37" s="4" t="s">
        <v>68</v>
      </c>
      <c r="B37" s="5" t="s">
        <v>69</v>
      </c>
      <c r="C37" s="28">
        <v>18880</v>
      </c>
      <c r="D37" s="28">
        <v>16363</v>
      </c>
      <c r="E37" s="28">
        <v>294</v>
      </c>
      <c r="F37" s="28">
        <f t="shared" si="5"/>
        <v>2223</v>
      </c>
      <c r="G37" s="28">
        <v>69511</v>
      </c>
      <c r="H37" s="28">
        <v>44866</v>
      </c>
      <c r="I37" s="28">
        <v>1156</v>
      </c>
      <c r="J37" s="28">
        <f t="shared" si="6"/>
        <v>23489</v>
      </c>
      <c r="K37" s="28">
        <v>556</v>
      </c>
      <c r="L37" s="28">
        <v>0</v>
      </c>
      <c r="M37" s="28">
        <v>5303</v>
      </c>
      <c r="N37" s="28">
        <v>1764</v>
      </c>
      <c r="O37" s="28">
        <v>1764</v>
      </c>
    </row>
    <row r="38" spans="1:256" ht="12.75" customHeight="1">
      <c r="A38" s="4" t="s">
        <v>70</v>
      </c>
      <c r="B38" s="5" t="s">
        <v>71</v>
      </c>
      <c r="C38" s="28">
        <v>287493</v>
      </c>
      <c r="D38" s="28">
        <v>224241</v>
      </c>
      <c r="E38" s="28">
        <v>7788</v>
      </c>
      <c r="F38" s="28">
        <f t="shared" si="5"/>
        <v>55464</v>
      </c>
      <c r="G38" s="28">
        <v>668305</v>
      </c>
      <c r="H38" s="28">
        <v>392294</v>
      </c>
      <c r="I38" s="28">
        <v>31984</v>
      </c>
      <c r="J38" s="28">
        <f t="shared" si="6"/>
        <v>244027</v>
      </c>
      <c r="K38" s="28">
        <v>31792</v>
      </c>
      <c r="L38" s="28">
        <v>0</v>
      </c>
      <c r="M38" s="28">
        <v>28749</v>
      </c>
      <c r="N38" s="28">
        <v>157110</v>
      </c>
      <c r="O38" s="28">
        <v>27789</v>
      </c>
    </row>
    <row r="39" spans="1:256" ht="12.75" customHeight="1">
      <c r="A39" s="4" t="s">
        <v>72</v>
      </c>
      <c r="B39" s="5" t="s">
        <v>73</v>
      </c>
      <c r="C39" s="28">
        <v>41898</v>
      </c>
      <c r="D39" s="28">
        <v>38632</v>
      </c>
      <c r="E39" s="28">
        <v>1233</v>
      </c>
      <c r="F39" s="28">
        <f t="shared" si="5"/>
        <v>2033</v>
      </c>
      <c r="G39" s="28">
        <v>77814</v>
      </c>
      <c r="H39" s="28">
        <v>63161</v>
      </c>
      <c r="I39" s="28">
        <v>7070</v>
      </c>
      <c r="J39" s="28">
        <f t="shared" si="6"/>
        <v>7583</v>
      </c>
      <c r="K39" s="28">
        <v>1060</v>
      </c>
      <c r="L39" s="28">
        <v>0</v>
      </c>
      <c r="M39" s="28">
        <v>138</v>
      </c>
      <c r="N39" s="28">
        <v>165</v>
      </c>
      <c r="O39" s="28">
        <v>165</v>
      </c>
    </row>
    <row r="40" spans="1:256" ht="12.75" customHeight="1">
      <c r="A40" s="4" t="s">
        <v>74</v>
      </c>
      <c r="B40" s="5" t="s">
        <v>75</v>
      </c>
      <c r="C40" s="28">
        <v>30011</v>
      </c>
      <c r="D40" s="28">
        <v>25976</v>
      </c>
      <c r="E40" s="28">
        <v>1178</v>
      </c>
      <c r="F40" s="28">
        <f t="shared" si="5"/>
        <v>2857</v>
      </c>
      <c r="G40" s="28">
        <v>83661</v>
      </c>
      <c r="H40" s="28">
        <v>53457</v>
      </c>
      <c r="I40" s="28">
        <v>5354</v>
      </c>
      <c r="J40" s="28">
        <f t="shared" si="6"/>
        <v>24850</v>
      </c>
      <c r="K40" s="28">
        <v>2043</v>
      </c>
      <c r="L40" s="28">
        <v>27</v>
      </c>
      <c r="M40" s="28">
        <v>17633</v>
      </c>
      <c r="N40" s="28">
        <v>545</v>
      </c>
      <c r="O40" s="28">
        <v>545</v>
      </c>
    </row>
    <row r="41" spans="1:256" ht="12.75" customHeight="1">
      <c r="A41" s="4" t="s">
        <v>76</v>
      </c>
      <c r="B41" s="5" t="s">
        <v>77</v>
      </c>
      <c r="C41" s="28">
        <v>9191</v>
      </c>
      <c r="D41" s="28">
        <v>7836</v>
      </c>
      <c r="E41" s="28">
        <v>0</v>
      </c>
      <c r="F41" s="28">
        <f t="shared" si="5"/>
        <v>1355</v>
      </c>
      <c r="G41" s="28">
        <v>34102</v>
      </c>
      <c r="H41" s="28">
        <v>22077</v>
      </c>
      <c r="I41" s="28">
        <v>0</v>
      </c>
      <c r="J41" s="28">
        <f t="shared" si="6"/>
        <v>12025</v>
      </c>
      <c r="K41" s="28">
        <v>3966</v>
      </c>
      <c r="L41" s="28">
        <v>0</v>
      </c>
      <c r="M41" s="28">
        <v>826</v>
      </c>
      <c r="N41" s="28">
        <v>1967</v>
      </c>
      <c r="O41" s="28">
        <v>1967</v>
      </c>
    </row>
    <row r="42" spans="1:256" ht="12.75" customHeight="1">
      <c r="A42" s="4" t="s">
        <v>78</v>
      </c>
      <c r="B42" s="5" t="s">
        <v>79</v>
      </c>
      <c r="C42" s="28">
        <v>66022</v>
      </c>
      <c r="D42" s="28">
        <v>53811</v>
      </c>
      <c r="E42" s="28">
        <v>1440</v>
      </c>
      <c r="F42" s="28">
        <f t="shared" si="5"/>
        <v>10771</v>
      </c>
      <c r="G42" s="28">
        <v>113397</v>
      </c>
      <c r="H42" s="28">
        <v>86208</v>
      </c>
      <c r="I42" s="28">
        <v>3619</v>
      </c>
      <c r="J42" s="28">
        <f t="shared" si="6"/>
        <v>23570</v>
      </c>
      <c r="K42" s="28">
        <v>2913</v>
      </c>
      <c r="L42" s="28">
        <v>0</v>
      </c>
      <c r="M42" s="28">
        <v>270</v>
      </c>
      <c r="N42" s="28">
        <v>507</v>
      </c>
      <c r="O42" s="28">
        <v>507</v>
      </c>
    </row>
    <row r="43" spans="1:256" ht="12.75" customHeight="1">
      <c r="A43" s="8"/>
      <c r="B43" s="9" t="s">
        <v>80</v>
      </c>
      <c r="C43" s="29">
        <f t="shared" ref="C43:O43" si="7">SUM(C31:C42)</f>
        <v>718961</v>
      </c>
      <c r="D43" s="29">
        <f t="shared" si="7"/>
        <v>566275</v>
      </c>
      <c r="E43" s="29">
        <f t="shared" si="7"/>
        <v>17720</v>
      </c>
      <c r="F43" s="29">
        <f t="shared" si="7"/>
        <v>134966</v>
      </c>
      <c r="G43" s="29">
        <f t="shared" si="7"/>
        <v>1903519</v>
      </c>
      <c r="H43" s="29">
        <f t="shared" si="7"/>
        <v>1076728</v>
      </c>
      <c r="I43" s="29">
        <f t="shared" si="7"/>
        <v>77830</v>
      </c>
      <c r="J43" s="29">
        <f t="shared" si="7"/>
        <v>748961</v>
      </c>
      <c r="K43" s="29">
        <f t="shared" si="7"/>
        <v>68018</v>
      </c>
      <c r="L43" s="29">
        <f t="shared" si="7"/>
        <v>153</v>
      </c>
      <c r="M43" s="29">
        <f t="shared" si="7"/>
        <v>130016</v>
      </c>
      <c r="N43" s="29">
        <f t="shared" si="7"/>
        <v>167628</v>
      </c>
      <c r="O43" s="29">
        <f t="shared" si="7"/>
        <v>38307</v>
      </c>
    </row>
    <row r="44" spans="1:256" ht="12.75" customHeight="1">
      <c r="A44" s="4" t="s">
        <v>81</v>
      </c>
      <c r="B44" s="5" t="s">
        <v>82</v>
      </c>
      <c r="C44" s="28">
        <v>23795</v>
      </c>
      <c r="D44" s="28">
        <v>20262</v>
      </c>
      <c r="E44" s="28">
        <v>655</v>
      </c>
      <c r="F44" s="28">
        <f>SUM(C44-D44-E44)</f>
        <v>2878</v>
      </c>
      <c r="G44" s="28">
        <v>90308</v>
      </c>
      <c r="H44" s="28">
        <v>51056</v>
      </c>
      <c r="I44" s="28">
        <v>2557</v>
      </c>
      <c r="J44" s="28">
        <f>SUM(G44-H44-I44)</f>
        <v>36695</v>
      </c>
      <c r="K44" s="28">
        <v>5821</v>
      </c>
      <c r="L44" s="28">
        <v>0</v>
      </c>
      <c r="M44" s="28">
        <v>4168</v>
      </c>
      <c r="N44" s="28">
        <v>1233</v>
      </c>
      <c r="O44" s="28">
        <v>1233</v>
      </c>
    </row>
    <row r="45" spans="1:256" ht="12.75" customHeight="1">
      <c r="A45" s="4" t="s">
        <v>83</v>
      </c>
      <c r="B45" s="5" t="s">
        <v>84</v>
      </c>
      <c r="C45" s="28">
        <v>33424</v>
      </c>
      <c r="D45" s="28">
        <v>25344</v>
      </c>
      <c r="E45" s="28">
        <v>988</v>
      </c>
      <c r="F45" s="28">
        <f>SUM(C45-D45-E45)</f>
        <v>7092</v>
      </c>
      <c r="G45" s="28">
        <v>146377</v>
      </c>
      <c r="H45" s="28">
        <v>59595</v>
      </c>
      <c r="I45" s="28">
        <v>4320</v>
      </c>
      <c r="J45" s="28">
        <f>SUM(G45-H45-I45)</f>
        <v>82462</v>
      </c>
      <c r="K45" s="28">
        <v>27941</v>
      </c>
      <c r="L45" s="28">
        <v>0</v>
      </c>
      <c r="M45" s="28">
        <v>18024</v>
      </c>
      <c r="N45" s="28">
        <v>138</v>
      </c>
      <c r="O45" s="28">
        <v>138</v>
      </c>
    </row>
    <row r="46" spans="1:256" ht="12.75" customHeight="1">
      <c r="A46" s="8"/>
      <c r="B46" s="9" t="s">
        <v>85</v>
      </c>
      <c r="C46" s="29">
        <f t="shared" ref="C46:O46" si="8">SUM(C44:C45)</f>
        <v>57219</v>
      </c>
      <c r="D46" s="29">
        <f t="shared" si="8"/>
        <v>45606</v>
      </c>
      <c r="E46" s="29">
        <f t="shared" si="8"/>
        <v>1643</v>
      </c>
      <c r="F46" s="29">
        <f t="shared" si="8"/>
        <v>9970</v>
      </c>
      <c r="G46" s="29">
        <f t="shared" si="8"/>
        <v>236685</v>
      </c>
      <c r="H46" s="29">
        <f t="shared" si="8"/>
        <v>110651</v>
      </c>
      <c r="I46" s="29">
        <f t="shared" si="8"/>
        <v>6877</v>
      </c>
      <c r="J46" s="29">
        <f t="shared" si="8"/>
        <v>119157</v>
      </c>
      <c r="K46" s="29">
        <f t="shared" si="8"/>
        <v>33762</v>
      </c>
      <c r="L46" s="29">
        <f t="shared" si="8"/>
        <v>0</v>
      </c>
      <c r="M46" s="29">
        <f t="shared" si="8"/>
        <v>22192</v>
      </c>
      <c r="N46" s="29">
        <f t="shared" si="8"/>
        <v>1371</v>
      </c>
      <c r="O46" s="29">
        <f t="shared" si="8"/>
        <v>1371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6049</v>
      </c>
      <c r="D47" s="28">
        <v>5370</v>
      </c>
      <c r="E47" s="28">
        <v>0</v>
      </c>
      <c r="F47" s="28">
        <f>SUM(C47-D47-E47)</f>
        <v>679</v>
      </c>
      <c r="G47" s="28">
        <v>6307</v>
      </c>
      <c r="H47" s="28">
        <v>4856</v>
      </c>
      <c r="I47" s="28">
        <v>0</v>
      </c>
      <c r="J47" s="28">
        <f>SUM(G47-H47-I47)</f>
        <v>1451</v>
      </c>
      <c r="K47" s="28">
        <v>2</v>
      </c>
      <c r="L47" s="28">
        <v>0</v>
      </c>
      <c r="M47" s="28">
        <v>51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17740</v>
      </c>
      <c r="D48" s="28">
        <v>14120</v>
      </c>
      <c r="E48" s="28">
        <v>119</v>
      </c>
      <c r="F48" s="28">
        <f>SUM(C48-D48-E48)</f>
        <v>3501</v>
      </c>
      <c r="G48" s="28">
        <v>33117</v>
      </c>
      <c r="H48" s="28">
        <v>25824</v>
      </c>
      <c r="I48" s="28">
        <v>416</v>
      </c>
      <c r="J48" s="28">
        <f>SUM(G48-H48-I48)</f>
        <v>6877</v>
      </c>
      <c r="K48" s="28">
        <v>49</v>
      </c>
      <c r="L48" s="28">
        <v>0</v>
      </c>
      <c r="M48" s="28">
        <v>973</v>
      </c>
      <c r="N48" s="28">
        <v>225</v>
      </c>
      <c r="O48" s="28">
        <v>225</v>
      </c>
    </row>
    <row r="49" spans="1:15" ht="12.75" customHeight="1">
      <c r="A49" s="4" t="s">
        <v>90</v>
      </c>
      <c r="B49" s="5" t="s">
        <v>91</v>
      </c>
      <c r="C49" s="28">
        <v>6009</v>
      </c>
      <c r="D49" s="28">
        <v>5482</v>
      </c>
      <c r="E49" s="28">
        <v>345</v>
      </c>
      <c r="F49" s="28">
        <f>SUM(C49-D49-E49)</f>
        <v>182</v>
      </c>
      <c r="G49" s="28">
        <v>7963</v>
      </c>
      <c r="H49" s="28">
        <v>6301</v>
      </c>
      <c r="I49" s="28">
        <v>899</v>
      </c>
      <c r="J49" s="28">
        <f>SUM(G49-H49-I49)</f>
        <v>763</v>
      </c>
      <c r="K49" s="28">
        <v>2833</v>
      </c>
      <c r="L49" s="28">
        <v>0</v>
      </c>
      <c r="M49" s="28">
        <v>0</v>
      </c>
      <c r="N49" s="28">
        <v>83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56025</v>
      </c>
      <c r="D50" s="28">
        <v>54050</v>
      </c>
      <c r="E50" s="28">
        <v>632</v>
      </c>
      <c r="F50" s="28">
        <f>SUM(C50-D50-E50)</f>
        <v>1343</v>
      </c>
      <c r="G50" s="28">
        <v>122541</v>
      </c>
      <c r="H50" s="28">
        <v>89081</v>
      </c>
      <c r="I50" s="28">
        <v>2661</v>
      </c>
      <c r="J50" s="28">
        <f>SUM(G50-H50-I50)</f>
        <v>30799</v>
      </c>
      <c r="K50" s="28">
        <v>13402</v>
      </c>
      <c r="L50" s="28">
        <v>0</v>
      </c>
      <c r="M50" s="28">
        <v>10009</v>
      </c>
      <c r="N50" s="28">
        <v>3147</v>
      </c>
      <c r="O50" s="28">
        <v>3147</v>
      </c>
    </row>
    <row r="51" spans="1:15" ht="12.75" customHeight="1">
      <c r="A51" s="8"/>
      <c r="B51" s="9" t="s">
        <v>94</v>
      </c>
      <c r="C51" s="29">
        <f t="shared" ref="C51:O51" si="9">SUM(C47:C50)</f>
        <v>85823</v>
      </c>
      <c r="D51" s="29">
        <f t="shared" si="9"/>
        <v>79022</v>
      </c>
      <c r="E51" s="29">
        <f t="shared" si="9"/>
        <v>1096</v>
      </c>
      <c r="F51" s="29">
        <f t="shared" si="9"/>
        <v>5705</v>
      </c>
      <c r="G51" s="29">
        <f t="shared" si="9"/>
        <v>169928</v>
      </c>
      <c r="H51" s="29">
        <f t="shared" si="9"/>
        <v>126062</v>
      </c>
      <c r="I51" s="29">
        <f t="shared" si="9"/>
        <v>3976</v>
      </c>
      <c r="J51" s="29">
        <f t="shared" si="9"/>
        <v>39890</v>
      </c>
      <c r="K51" s="29">
        <f t="shared" si="9"/>
        <v>16286</v>
      </c>
      <c r="L51" s="29">
        <f t="shared" si="9"/>
        <v>0</v>
      </c>
      <c r="M51" s="29">
        <f t="shared" si="9"/>
        <v>11033</v>
      </c>
      <c r="N51" s="29">
        <f t="shared" si="9"/>
        <v>3455</v>
      </c>
      <c r="O51" s="29">
        <f t="shared" si="9"/>
        <v>3372</v>
      </c>
    </row>
    <row r="52" spans="1:15" ht="12.75" customHeight="1">
      <c r="A52" s="4" t="s">
        <v>95</v>
      </c>
      <c r="B52" s="5" t="s">
        <v>96</v>
      </c>
      <c r="C52" s="28">
        <v>9774</v>
      </c>
      <c r="D52" s="28">
        <v>7073</v>
      </c>
      <c r="E52" s="28">
        <v>51</v>
      </c>
      <c r="F52" s="28">
        <f t="shared" ref="F52:F58" si="10">SUM(C52-D52-E52)</f>
        <v>2650</v>
      </c>
      <c r="G52" s="28">
        <v>31743</v>
      </c>
      <c r="H52" s="28">
        <v>17447</v>
      </c>
      <c r="I52" s="28">
        <v>197</v>
      </c>
      <c r="J52" s="28">
        <f t="shared" ref="J52:J58" si="11">SUM(G52-H52-I52)</f>
        <v>14099</v>
      </c>
      <c r="K52" s="28">
        <v>9364</v>
      </c>
      <c r="L52" s="28">
        <v>0</v>
      </c>
      <c r="M52" s="28">
        <v>359</v>
      </c>
      <c r="N52" s="28">
        <v>474</v>
      </c>
      <c r="O52" s="28">
        <v>474</v>
      </c>
    </row>
    <row r="53" spans="1:15" ht="12.75" customHeight="1">
      <c r="A53" s="4" t="s">
        <v>97</v>
      </c>
      <c r="B53" s="5" t="s">
        <v>98</v>
      </c>
      <c r="C53" s="28">
        <v>53294</v>
      </c>
      <c r="D53" s="28">
        <v>38498</v>
      </c>
      <c r="E53" s="28">
        <v>836</v>
      </c>
      <c r="F53" s="28">
        <f t="shared" si="10"/>
        <v>13960</v>
      </c>
      <c r="G53" s="28">
        <v>168421</v>
      </c>
      <c r="H53" s="28">
        <v>102400</v>
      </c>
      <c r="I53" s="28">
        <v>5366</v>
      </c>
      <c r="J53" s="28">
        <f t="shared" si="11"/>
        <v>60655</v>
      </c>
      <c r="K53" s="28">
        <v>5181</v>
      </c>
      <c r="L53" s="28">
        <v>0</v>
      </c>
      <c r="M53" s="28">
        <v>7482</v>
      </c>
      <c r="N53" s="28">
        <v>2286</v>
      </c>
      <c r="O53" s="28">
        <v>2286</v>
      </c>
    </row>
    <row r="54" spans="1:15" ht="12.75" customHeight="1">
      <c r="A54" s="4" t="s">
        <v>99</v>
      </c>
      <c r="B54" s="5" t="s">
        <v>100</v>
      </c>
      <c r="C54" s="28">
        <v>9322</v>
      </c>
      <c r="D54" s="28">
        <v>5203</v>
      </c>
      <c r="E54" s="28">
        <v>241</v>
      </c>
      <c r="F54" s="28">
        <f t="shared" si="10"/>
        <v>3878</v>
      </c>
      <c r="G54" s="28">
        <v>31306</v>
      </c>
      <c r="H54" s="28">
        <v>17183</v>
      </c>
      <c r="I54" s="28">
        <v>2073</v>
      </c>
      <c r="J54" s="28">
        <f t="shared" si="11"/>
        <v>12050</v>
      </c>
      <c r="K54" s="28">
        <v>354</v>
      </c>
      <c r="L54" s="28">
        <v>0</v>
      </c>
      <c r="M54" s="28">
        <v>3876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39915</v>
      </c>
      <c r="D55" s="28">
        <v>26594</v>
      </c>
      <c r="E55" s="28">
        <v>607</v>
      </c>
      <c r="F55" s="28">
        <f t="shared" si="10"/>
        <v>12714</v>
      </c>
      <c r="G55" s="28">
        <v>144120</v>
      </c>
      <c r="H55" s="28">
        <v>67539</v>
      </c>
      <c r="I55" s="28">
        <v>2625</v>
      </c>
      <c r="J55" s="28">
        <f t="shared" si="11"/>
        <v>73956</v>
      </c>
      <c r="K55" s="28">
        <v>15883</v>
      </c>
      <c r="L55" s="28">
        <v>7</v>
      </c>
      <c r="M55" s="28">
        <v>10009</v>
      </c>
      <c r="N55" s="28">
        <v>10016</v>
      </c>
      <c r="O55" s="28">
        <v>10016</v>
      </c>
    </row>
    <row r="56" spans="1:15" ht="12.75" customHeight="1">
      <c r="A56" s="4" t="s">
        <v>103</v>
      </c>
      <c r="B56" s="5" t="s">
        <v>104</v>
      </c>
      <c r="C56" s="28">
        <v>54169</v>
      </c>
      <c r="D56" s="28">
        <v>23911</v>
      </c>
      <c r="E56" s="28">
        <v>2246</v>
      </c>
      <c r="F56" s="28">
        <f t="shared" si="10"/>
        <v>28012</v>
      </c>
      <c r="G56" s="28">
        <v>189920</v>
      </c>
      <c r="H56" s="28">
        <v>58209</v>
      </c>
      <c r="I56" s="28">
        <v>12216</v>
      </c>
      <c r="J56" s="28">
        <f t="shared" si="11"/>
        <v>119495</v>
      </c>
      <c r="K56" s="28">
        <v>6772</v>
      </c>
      <c r="L56" s="28">
        <v>126</v>
      </c>
      <c r="M56" s="28">
        <v>18679</v>
      </c>
      <c r="N56" s="28">
        <v>36147</v>
      </c>
      <c r="O56" s="28">
        <v>3065</v>
      </c>
    </row>
    <row r="57" spans="1:15" ht="12.75" customHeight="1">
      <c r="A57" s="4" t="s">
        <v>105</v>
      </c>
      <c r="B57" s="5" t="s">
        <v>106</v>
      </c>
      <c r="C57" s="28">
        <v>50463</v>
      </c>
      <c r="D57" s="28">
        <v>28349</v>
      </c>
      <c r="E57" s="28">
        <v>2303</v>
      </c>
      <c r="F57" s="28">
        <f t="shared" si="10"/>
        <v>19811</v>
      </c>
      <c r="G57" s="28">
        <v>197401</v>
      </c>
      <c r="H57" s="28">
        <v>87559</v>
      </c>
      <c r="I57" s="28">
        <v>11282</v>
      </c>
      <c r="J57" s="28">
        <f t="shared" si="11"/>
        <v>98560</v>
      </c>
      <c r="K57" s="28">
        <v>2371</v>
      </c>
      <c r="L57" s="28">
        <v>0</v>
      </c>
      <c r="M57" s="28">
        <v>18247</v>
      </c>
      <c r="N57" s="28">
        <v>222</v>
      </c>
      <c r="O57" s="28">
        <v>222</v>
      </c>
    </row>
    <row r="58" spans="1:15" ht="12.75" customHeight="1">
      <c r="A58" s="4" t="s">
        <v>107</v>
      </c>
      <c r="B58" s="5" t="s">
        <v>108</v>
      </c>
      <c r="C58" s="28">
        <v>52216</v>
      </c>
      <c r="D58" s="28">
        <v>29875</v>
      </c>
      <c r="E58" s="28">
        <v>724</v>
      </c>
      <c r="F58" s="28">
        <f t="shared" si="10"/>
        <v>21617</v>
      </c>
      <c r="G58" s="28">
        <v>186368</v>
      </c>
      <c r="H58" s="28">
        <v>74169</v>
      </c>
      <c r="I58" s="28">
        <v>3885</v>
      </c>
      <c r="J58" s="28">
        <f t="shared" si="11"/>
        <v>108314</v>
      </c>
      <c r="K58" s="28">
        <v>6411</v>
      </c>
      <c r="L58" s="28">
        <v>141</v>
      </c>
      <c r="M58" s="28">
        <v>10921</v>
      </c>
      <c r="N58" s="28">
        <v>14930</v>
      </c>
      <c r="O58" s="28">
        <v>14930</v>
      </c>
    </row>
    <row r="59" spans="1:15" ht="12.75" customHeight="1">
      <c r="A59" s="8"/>
      <c r="B59" s="9" t="s">
        <v>109</v>
      </c>
      <c r="C59" s="29">
        <f t="shared" ref="C59:O59" si="12">SUM(C52:C58)</f>
        <v>269153</v>
      </c>
      <c r="D59" s="29">
        <f t="shared" si="12"/>
        <v>159503</v>
      </c>
      <c r="E59" s="29">
        <f t="shared" si="12"/>
        <v>7008</v>
      </c>
      <c r="F59" s="29">
        <f t="shared" si="12"/>
        <v>102642</v>
      </c>
      <c r="G59" s="29">
        <f t="shared" si="12"/>
        <v>949279</v>
      </c>
      <c r="H59" s="29">
        <f t="shared" si="12"/>
        <v>424506</v>
      </c>
      <c r="I59" s="29">
        <f t="shared" si="12"/>
        <v>37644</v>
      </c>
      <c r="J59" s="29">
        <f t="shared" si="12"/>
        <v>487129</v>
      </c>
      <c r="K59" s="29">
        <f t="shared" si="12"/>
        <v>46336</v>
      </c>
      <c r="L59" s="29">
        <f t="shared" si="12"/>
        <v>274</v>
      </c>
      <c r="M59" s="29">
        <f t="shared" si="12"/>
        <v>69573</v>
      </c>
      <c r="N59" s="29">
        <f t="shared" si="12"/>
        <v>64075</v>
      </c>
      <c r="O59" s="29">
        <f t="shared" si="12"/>
        <v>30993</v>
      </c>
    </row>
    <row r="60" spans="1:15" ht="12.75" customHeight="1">
      <c r="A60" s="4" t="s">
        <v>110</v>
      </c>
      <c r="B60" s="5" t="s">
        <v>111</v>
      </c>
      <c r="C60" s="28">
        <v>56984</v>
      </c>
      <c r="D60" s="28">
        <v>41477</v>
      </c>
      <c r="E60" s="28">
        <v>3539</v>
      </c>
      <c r="F60" s="28">
        <f t="shared" ref="F60:F68" si="13">SUM(C60-D60-E60)</f>
        <v>11968</v>
      </c>
      <c r="G60" s="28">
        <v>178714</v>
      </c>
      <c r="H60" s="28">
        <v>104497</v>
      </c>
      <c r="I60" s="28">
        <v>21651</v>
      </c>
      <c r="J60" s="28">
        <f t="shared" ref="J60:J68" si="14">SUM(G60-H60-I60)</f>
        <v>52566</v>
      </c>
      <c r="K60" s="28">
        <v>2050</v>
      </c>
      <c r="L60" s="28">
        <v>0</v>
      </c>
      <c r="M60" s="28">
        <v>7318</v>
      </c>
      <c r="N60" s="28">
        <v>1228</v>
      </c>
      <c r="O60" s="28">
        <v>1228</v>
      </c>
    </row>
    <row r="61" spans="1:15" ht="12.75" customHeight="1">
      <c r="A61" s="4" t="s">
        <v>112</v>
      </c>
      <c r="B61" s="5" t="s">
        <v>113</v>
      </c>
      <c r="C61" s="28">
        <v>16472</v>
      </c>
      <c r="D61" s="28">
        <v>11340</v>
      </c>
      <c r="E61" s="28">
        <v>279</v>
      </c>
      <c r="F61" s="28">
        <f t="shared" si="13"/>
        <v>4853</v>
      </c>
      <c r="G61" s="28">
        <v>46805</v>
      </c>
      <c r="H61" s="28">
        <v>29333</v>
      </c>
      <c r="I61" s="28">
        <v>1750</v>
      </c>
      <c r="J61" s="28">
        <f t="shared" si="14"/>
        <v>15722</v>
      </c>
      <c r="K61" s="28">
        <v>109</v>
      </c>
      <c r="L61" s="28">
        <v>0</v>
      </c>
      <c r="M61" s="28">
        <v>6914</v>
      </c>
      <c r="N61" s="28">
        <v>61</v>
      </c>
      <c r="O61" s="28">
        <v>61</v>
      </c>
    </row>
    <row r="62" spans="1:15" ht="12.75" customHeight="1">
      <c r="A62" s="4" t="s">
        <v>114</v>
      </c>
      <c r="B62" s="5" t="s">
        <v>115</v>
      </c>
      <c r="C62" s="28">
        <v>27261</v>
      </c>
      <c r="D62" s="28">
        <v>13826</v>
      </c>
      <c r="E62" s="28">
        <v>978</v>
      </c>
      <c r="F62" s="28">
        <f t="shared" si="13"/>
        <v>12457</v>
      </c>
      <c r="G62" s="28">
        <v>129155</v>
      </c>
      <c r="H62" s="28">
        <v>38514</v>
      </c>
      <c r="I62" s="28">
        <v>6492</v>
      </c>
      <c r="J62" s="28">
        <f t="shared" si="14"/>
        <v>84149</v>
      </c>
      <c r="K62" s="28">
        <v>2575</v>
      </c>
      <c r="L62" s="28">
        <v>132</v>
      </c>
      <c r="M62" s="28">
        <v>9651</v>
      </c>
      <c r="N62" s="28">
        <v>2162</v>
      </c>
      <c r="O62" s="28">
        <v>2162</v>
      </c>
    </row>
    <row r="63" spans="1:15" ht="12.75" customHeight="1">
      <c r="A63" s="4" t="s">
        <v>116</v>
      </c>
      <c r="B63" s="5" t="s">
        <v>117</v>
      </c>
      <c r="C63" s="28">
        <v>38403</v>
      </c>
      <c r="D63" s="28">
        <v>24030</v>
      </c>
      <c r="E63" s="28">
        <v>1707</v>
      </c>
      <c r="F63" s="28">
        <f t="shared" si="13"/>
        <v>12666</v>
      </c>
      <c r="G63" s="28">
        <v>127814</v>
      </c>
      <c r="H63" s="28">
        <v>70984</v>
      </c>
      <c r="I63" s="28">
        <v>12881</v>
      </c>
      <c r="J63" s="28">
        <f t="shared" si="14"/>
        <v>43949</v>
      </c>
      <c r="K63" s="28">
        <v>899</v>
      </c>
      <c r="L63" s="28">
        <v>0</v>
      </c>
      <c r="M63" s="28">
        <v>7745</v>
      </c>
      <c r="N63" s="28">
        <v>495</v>
      </c>
      <c r="O63" s="28">
        <v>495</v>
      </c>
    </row>
    <row r="64" spans="1:15" ht="12.75" customHeight="1">
      <c r="A64" s="4" t="s">
        <v>118</v>
      </c>
      <c r="B64" s="5" t="s">
        <v>119</v>
      </c>
      <c r="C64" s="28">
        <v>36419</v>
      </c>
      <c r="D64" s="28">
        <v>18083</v>
      </c>
      <c r="E64" s="28">
        <v>2005</v>
      </c>
      <c r="F64" s="28">
        <f t="shared" si="13"/>
        <v>16331</v>
      </c>
      <c r="G64" s="28">
        <v>138420</v>
      </c>
      <c r="H64" s="28">
        <v>54540</v>
      </c>
      <c r="I64" s="28">
        <v>10901</v>
      </c>
      <c r="J64" s="28">
        <f t="shared" si="14"/>
        <v>72979</v>
      </c>
      <c r="K64" s="28">
        <v>362</v>
      </c>
      <c r="L64" s="28">
        <v>22</v>
      </c>
      <c r="M64" s="28">
        <v>4628</v>
      </c>
      <c r="N64" s="28">
        <v>990</v>
      </c>
      <c r="O64" s="28">
        <v>990</v>
      </c>
    </row>
    <row r="65" spans="1:15" ht="12.75" customHeight="1">
      <c r="A65" s="4" t="s">
        <v>120</v>
      </c>
      <c r="B65" s="5" t="s">
        <v>121</v>
      </c>
      <c r="C65" s="28">
        <v>16944</v>
      </c>
      <c r="D65" s="28">
        <v>11785</v>
      </c>
      <c r="E65" s="28">
        <v>1426</v>
      </c>
      <c r="F65" s="28">
        <f t="shared" si="13"/>
        <v>3733</v>
      </c>
      <c r="G65" s="28">
        <v>93567</v>
      </c>
      <c r="H65" s="28">
        <v>35112</v>
      </c>
      <c r="I65" s="28">
        <v>9240</v>
      </c>
      <c r="J65" s="28">
        <f t="shared" si="14"/>
        <v>49215</v>
      </c>
      <c r="K65" s="28">
        <v>5257</v>
      </c>
      <c r="L65" s="28">
        <v>0</v>
      </c>
      <c r="M65" s="28">
        <v>12019</v>
      </c>
      <c r="N65" s="28">
        <v>909</v>
      </c>
      <c r="O65" s="28">
        <v>909</v>
      </c>
    </row>
    <row r="66" spans="1:15" ht="12.75" customHeight="1">
      <c r="A66" s="4" t="s">
        <v>122</v>
      </c>
      <c r="B66" s="5" t="s">
        <v>123</v>
      </c>
      <c r="C66" s="28">
        <v>35283</v>
      </c>
      <c r="D66" s="28">
        <v>12204</v>
      </c>
      <c r="E66" s="28">
        <v>565</v>
      </c>
      <c r="F66" s="28">
        <f t="shared" si="13"/>
        <v>22514</v>
      </c>
      <c r="G66" s="28">
        <v>174720</v>
      </c>
      <c r="H66" s="28">
        <v>36645</v>
      </c>
      <c r="I66" s="28">
        <v>3198</v>
      </c>
      <c r="J66" s="28">
        <f t="shared" si="14"/>
        <v>134877</v>
      </c>
      <c r="K66" s="28">
        <v>12148</v>
      </c>
      <c r="L66" s="28">
        <v>121</v>
      </c>
      <c r="M66" s="28">
        <v>31442</v>
      </c>
      <c r="N66" s="28">
        <v>283</v>
      </c>
      <c r="O66" s="28">
        <v>283</v>
      </c>
    </row>
    <row r="67" spans="1:15" ht="12.75" customHeight="1">
      <c r="A67" s="4" t="s">
        <v>124</v>
      </c>
      <c r="B67" s="5" t="s">
        <v>125</v>
      </c>
      <c r="C67" s="28">
        <v>46750</v>
      </c>
      <c r="D67" s="28">
        <v>13338</v>
      </c>
      <c r="E67" s="28">
        <v>0</v>
      </c>
      <c r="F67" s="28">
        <f t="shared" si="13"/>
        <v>33412</v>
      </c>
      <c r="G67" s="28">
        <v>199091</v>
      </c>
      <c r="H67" s="28">
        <v>37117</v>
      </c>
      <c r="I67" s="28">
        <v>0</v>
      </c>
      <c r="J67" s="28">
        <f t="shared" si="14"/>
        <v>161974</v>
      </c>
      <c r="K67" s="28">
        <v>8938</v>
      </c>
      <c r="L67" s="28">
        <v>0</v>
      </c>
      <c r="M67" s="28">
        <v>42087</v>
      </c>
      <c r="N67" s="28">
        <v>662</v>
      </c>
      <c r="O67" s="28">
        <v>662</v>
      </c>
    </row>
    <row r="68" spans="1:15" ht="12.75" customHeight="1">
      <c r="A68" s="4" t="s">
        <v>126</v>
      </c>
      <c r="B68" s="5" t="s">
        <v>127</v>
      </c>
      <c r="C68" s="28">
        <v>37952</v>
      </c>
      <c r="D68" s="28">
        <v>16622</v>
      </c>
      <c r="E68" s="28">
        <v>444</v>
      </c>
      <c r="F68" s="28">
        <f t="shared" si="13"/>
        <v>20886</v>
      </c>
      <c r="G68" s="28">
        <v>87756</v>
      </c>
      <c r="H68" s="28">
        <v>39056</v>
      </c>
      <c r="I68" s="28">
        <v>3748</v>
      </c>
      <c r="J68" s="28">
        <f t="shared" si="14"/>
        <v>44952</v>
      </c>
      <c r="K68" s="28">
        <v>344</v>
      </c>
      <c r="L68" s="28">
        <v>222</v>
      </c>
      <c r="M68" s="28">
        <v>2328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312468</v>
      </c>
      <c r="D69" s="29">
        <f t="shared" si="15"/>
        <v>162705</v>
      </c>
      <c r="E69" s="29">
        <f t="shared" si="15"/>
        <v>10943</v>
      </c>
      <c r="F69" s="29">
        <f t="shared" si="15"/>
        <v>138820</v>
      </c>
      <c r="G69" s="29">
        <f t="shared" si="15"/>
        <v>1176042</v>
      </c>
      <c r="H69" s="29">
        <f t="shared" si="15"/>
        <v>445798</v>
      </c>
      <c r="I69" s="29">
        <f t="shared" si="15"/>
        <v>69861</v>
      </c>
      <c r="J69" s="29">
        <f t="shared" si="15"/>
        <v>660383</v>
      </c>
      <c r="K69" s="29">
        <f t="shared" si="15"/>
        <v>32682</v>
      </c>
      <c r="L69" s="29">
        <f t="shared" si="15"/>
        <v>497</v>
      </c>
      <c r="M69" s="29">
        <f t="shared" si="15"/>
        <v>124132</v>
      </c>
      <c r="N69" s="29">
        <f t="shared" si="15"/>
        <v>6790</v>
      </c>
      <c r="O69" s="29">
        <f t="shared" si="15"/>
        <v>6790</v>
      </c>
    </row>
    <row r="70" spans="1:15" ht="12.75" customHeight="1">
      <c r="A70" s="4" t="s">
        <v>129</v>
      </c>
      <c r="B70" s="5" t="s">
        <v>130</v>
      </c>
      <c r="C70" s="28">
        <v>19149</v>
      </c>
      <c r="D70" s="28">
        <v>13876</v>
      </c>
      <c r="E70" s="28">
        <v>1162</v>
      </c>
      <c r="F70" s="28">
        <f t="shared" ref="F70:F79" si="16">SUM(C70-D70-E70)</f>
        <v>4111</v>
      </c>
      <c r="G70" s="28">
        <v>68806</v>
      </c>
      <c r="H70" s="28">
        <v>37649</v>
      </c>
      <c r="I70" s="28">
        <v>9641</v>
      </c>
      <c r="J70" s="28">
        <f t="shared" ref="J70:J79" si="17">SUM(G70-H70-I70)</f>
        <v>21516</v>
      </c>
      <c r="K70" s="28">
        <v>1738</v>
      </c>
      <c r="L70" s="28">
        <v>25</v>
      </c>
      <c r="M70" s="28">
        <v>4985</v>
      </c>
      <c r="N70" s="28">
        <v>184</v>
      </c>
      <c r="O70" s="28">
        <v>184</v>
      </c>
    </row>
    <row r="71" spans="1:15" ht="12.75" customHeight="1">
      <c r="A71" s="4" t="s">
        <v>131</v>
      </c>
      <c r="B71" s="5" t="s">
        <v>132</v>
      </c>
      <c r="C71" s="28">
        <v>73692</v>
      </c>
      <c r="D71" s="28">
        <v>48527</v>
      </c>
      <c r="E71" s="28">
        <v>2369</v>
      </c>
      <c r="F71" s="28">
        <f t="shared" si="16"/>
        <v>22796</v>
      </c>
      <c r="G71" s="28">
        <v>182686</v>
      </c>
      <c r="H71" s="28">
        <v>88909</v>
      </c>
      <c r="I71" s="28">
        <v>12795</v>
      </c>
      <c r="J71" s="28">
        <f t="shared" si="17"/>
        <v>80982</v>
      </c>
      <c r="K71" s="28">
        <v>7429</v>
      </c>
      <c r="L71" s="28">
        <v>0</v>
      </c>
      <c r="M71" s="28">
        <v>6369</v>
      </c>
      <c r="N71" s="28">
        <v>18346</v>
      </c>
      <c r="O71" s="28">
        <v>18346</v>
      </c>
    </row>
    <row r="72" spans="1:15" ht="12.75" customHeight="1">
      <c r="A72" s="4" t="s">
        <v>133</v>
      </c>
      <c r="B72" s="5" t="s">
        <v>134</v>
      </c>
      <c r="C72" s="28">
        <v>14179</v>
      </c>
      <c r="D72" s="28">
        <v>9561</v>
      </c>
      <c r="E72" s="28">
        <v>0</v>
      </c>
      <c r="F72" s="28">
        <f t="shared" si="16"/>
        <v>4618</v>
      </c>
      <c r="G72" s="28">
        <v>46406</v>
      </c>
      <c r="H72" s="28">
        <v>25665</v>
      </c>
      <c r="I72" s="28">
        <v>0</v>
      </c>
      <c r="J72" s="28">
        <f t="shared" si="17"/>
        <v>20741</v>
      </c>
      <c r="K72" s="28">
        <v>2971</v>
      </c>
      <c r="L72" s="28">
        <v>460</v>
      </c>
      <c r="M72" s="28">
        <v>9411</v>
      </c>
      <c r="N72" s="28">
        <v>331</v>
      </c>
      <c r="O72" s="28">
        <v>331</v>
      </c>
    </row>
    <row r="73" spans="1:15" ht="12.75" customHeight="1">
      <c r="A73" s="4" t="s">
        <v>135</v>
      </c>
      <c r="B73" s="5" t="s">
        <v>136</v>
      </c>
      <c r="C73" s="28">
        <v>32762</v>
      </c>
      <c r="D73" s="28">
        <v>23757</v>
      </c>
      <c r="E73" s="28">
        <v>230</v>
      </c>
      <c r="F73" s="28">
        <f t="shared" si="16"/>
        <v>8775</v>
      </c>
      <c r="G73" s="28">
        <v>95863</v>
      </c>
      <c r="H73" s="28">
        <v>56928</v>
      </c>
      <c r="I73" s="28">
        <v>760</v>
      </c>
      <c r="J73" s="28">
        <f t="shared" si="17"/>
        <v>38175</v>
      </c>
      <c r="K73" s="28">
        <v>3553</v>
      </c>
      <c r="L73" s="28">
        <v>36</v>
      </c>
      <c r="M73" s="28">
        <v>4471</v>
      </c>
      <c r="N73" s="28">
        <v>29727</v>
      </c>
      <c r="O73" s="28">
        <v>29727</v>
      </c>
    </row>
    <row r="74" spans="1:15" ht="12.75" customHeight="1">
      <c r="A74" s="4" t="s">
        <v>137</v>
      </c>
      <c r="B74" s="5" t="s">
        <v>138</v>
      </c>
      <c r="C74" s="28">
        <v>28932</v>
      </c>
      <c r="D74" s="28">
        <v>21380</v>
      </c>
      <c r="E74" s="28">
        <v>844</v>
      </c>
      <c r="F74" s="28">
        <f t="shared" si="16"/>
        <v>6708</v>
      </c>
      <c r="G74" s="28">
        <v>67552</v>
      </c>
      <c r="H74" s="28">
        <v>39218</v>
      </c>
      <c r="I74" s="28">
        <v>3746</v>
      </c>
      <c r="J74" s="28">
        <f t="shared" si="17"/>
        <v>24588</v>
      </c>
      <c r="K74" s="28">
        <v>2844</v>
      </c>
      <c r="L74" s="28">
        <v>0</v>
      </c>
      <c r="M74" s="28">
        <v>1536</v>
      </c>
      <c r="N74" s="28">
        <v>1940</v>
      </c>
      <c r="O74" s="28">
        <v>1940</v>
      </c>
    </row>
    <row r="75" spans="1:15" ht="12.75" customHeight="1">
      <c r="A75" s="4" t="s">
        <v>139</v>
      </c>
      <c r="B75" s="5" t="s">
        <v>140</v>
      </c>
      <c r="C75" s="28">
        <v>12760</v>
      </c>
      <c r="D75" s="28">
        <v>11679</v>
      </c>
      <c r="E75" s="28">
        <v>239</v>
      </c>
      <c r="F75" s="28">
        <f t="shared" si="16"/>
        <v>842</v>
      </c>
      <c r="G75" s="28">
        <v>25731</v>
      </c>
      <c r="H75" s="28">
        <v>20712</v>
      </c>
      <c r="I75" s="28">
        <v>1715</v>
      </c>
      <c r="J75" s="28">
        <f t="shared" si="17"/>
        <v>3304</v>
      </c>
      <c r="K75" s="28">
        <v>359</v>
      </c>
      <c r="L75" s="28">
        <v>0</v>
      </c>
      <c r="M75" s="28">
        <v>113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28363</v>
      </c>
      <c r="D76" s="28">
        <v>19934</v>
      </c>
      <c r="E76" s="28">
        <v>328</v>
      </c>
      <c r="F76" s="28">
        <f t="shared" si="16"/>
        <v>8101</v>
      </c>
      <c r="G76" s="28">
        <v>80526</v>
      </c>
      <c r="H76" s="28">
        <v>47867</v>
      </c>
      <c r="I76" s="28">
        <v>1587</v>
      </c>
      <c r="J76" s="28">
        <f t="shared" si="17"/>
        <v>31072</v>
      </c>
      <c r="K76" s="28">
        <v>1673</v>
      </c>
      <c r="L76" s="28">
        <v>376</v>
      </c>
      <c r="M76" s="28">
        <v>3216</v>
      </c>
      <c r="N76" s="28">
        <v>856</v>
      </c>
      <c r="O76" s="28">
        <v>856</v>
      </c>
    </row>
    <row r="77" spans="1:15" ht="12.75" customHeight="1">
      <c r="A77" s="4" t="s">
        <v>143</v>
      </c>
      <c r="B77" s="5" t="s">
        <v>144</v>
      </c>
      <c r="C77" s="28">
        <v>22761</v>
      </c>
      <c r="D77" s="28">
        <v>13181</v>
      </c>
      <c r="E77" s="28">
        <v>328</v>
      </c>
      <c r="F77" s="28">
        <f t="shared" si="16"/>
        <v>9252</v>
      </c>
      <c r="G77" s="28">
        <v>55293</v>
      </c>
      <c r="H77" s="28">
        <v>27820</v>
      </c>
      <c r="I77" s="28">
        <v>1265</v>
      </c>
      <c r="J77" s="28">
        <f t="shared" si="17"/>
        <v>26208</v>
      </c>
      <c r="K77" s="28">
        <v>3622</v>
      </c>
      <c r="L77" s="28">
        <v>0</v>
      </c>
      <c r="M77" s="28">
        <v>3535</v>
      </c>
      <c r="N77" s="28">
        <v>479</v>
      </c>
      <c r="O77" s="28">
        <v>479</v>
      </c>
    </row>
    <row r="78" spans="1:15" ht="12.75" customHeight="1">
      <c r="A78" s="4" t="s">
        <v>145</v>
      </c>
      <c r="B78" s="5" t="s">
        <v>146</v>
      </c>
      <c r="C78" s="28">
        <v>16690</v>
      </c>
      <c r="D78" s="28">
        <v>11114</v>
      </c>
      <c r="E78" s="28">
        <v>0</v>
      </c>
      <c r="F78" s="28">
        <f t="shared" si="16"/>
        <v>5576</v>
      </c>
      <c r="G78" s="28">
        <v>37286</v>
      </c>
      <c r="H78" s="28">
        <v>22974</v>
      </c>
      <c r="I78" s="28">
        <v>0</v>
      </c>
      <c r="J78" s="28">
        <f t="shared" si="17"/>
        <v>14312</v>
      </c>
      <c r="K78" s="28">
        <v>830</v>
      </c>
      <c r="L78" s="28">
        <v>0</v>
      </c>
      <c r="M78" s="28">
        <v>58</v>
      </c>
      <c r="N78" s="28">
        <v>724</v>
      </c>
      <c r="O78" s="28">
        <v>724</v>
      </c>
    </row>
    <row r="79" spans="1:15" ht="12.75" customHeight="1">
      <c r="A79" s="4" t="s">
        <v>147</v>
      </c>
      <c r="B79" s="5" t="s">
        <v>148</v>
      </c>
      <c r="C79" s="28">
        <v>16786</v>
      </c>
      <c r="D79" s="28">
        <v>12316</v>
      </c>
      <c r="E79" s="28">
        <v>326</v>
      </c>
      <c r="F79" s="28">
        <f t="shared" si="16"/>
        <v>4144</v>
      </c>
      <c r="G79" s="28">
        <v>59466</v>
      </c>
      <c r="H79" s="28">
        <v>31800</v>
      </c>
      <c r="I79" s="28">
        <v>2208</v>
      </c>
      <c r="J79" s="28">
        <f t="shared" si="17"/>
        <v>25458</v>
      </c>
      <c r="K79" s="28">
        <v>3444</v>
      </c>
      <c r="L79" s="28">
        <v>0</v>
      </c>
      <c r="M79" s="28">
        <v>7439</v>
      </c>
      <c r="N79" s="28">
        <v>416</v>
      </c>
      <c r="O79" s="28">
        <v>416</v>
      </c>
    </row>
    <row r="80" spans="1:15" ht="12.75" customHeight="1">
      <c r="A80" s="8"/>
      <c r="B80" s="9" t="s">
        <v>149</v>
      </c>
      <c r="C80" s="29">
        <f t="shared" ref="C80:O80" si="18">SUM(C70:C79)</f>
        <v>266074</v>
      </c>
      <c r="D80" s="29">
        <f t="shared" si="18"/>
        <v>185325</v>
      </c>
      <c r="E80" s="29">
        <f t="shared" si="18"/>
        <v>5826</v>
      </c>
      <c r="F80" s="29">
        <f t="shared" si="18"/>
        <v>74923</v>
      </c>
      <c r="G80" s="29">
        <f t="shared" si="18"/>
        <v>719615</v>
      </c>
      <c r="H80" s="29">
        <f t="shared" si="18"/>
        <v>399542</v>
      </c>
      <c r="I80" s="29">
        <f t="shared" si="18"/>
        <v>33717</v>
      </c>
      <c r="J80" s="29">
        <f t="shared" si="18"/>
        <v>286356</v>
      </c>
      <c r="K80" s="29">
        <f t="shared" si="18"/>
        <v>28463</v>
      </c>
      <c r="L80" s="29">
        <f t="shared" si="18"/>
        <v>897</v>
      </c>
      <c r="M80" s="29">
        <f t="shared" si="18"/>
        <v>41133</v>
      </c>
      <c r="N80" s="29">
        <f t="shared" si="18"/>
        <v>53003</v>
      </c>
      <c r="O80" s="29">
        <f t="shared" si="18"/>
        <v>53003</v>
      </c>
    </row>
    <row r="81" spans="1:15" ht="12.75" customHeight="1">
      <c r="A81" s="4" t="s">
        <v>150</v>
      </c>
      <c r="B81" s="5" t="s">
        <v>151</v>
      </c>
      <c r="C81" s="28">
        <v>30044</v>
      </c>
      <c r="D81" s="28">
        <v>18746</v>
      </c>
      <c r="E81" s="28">
        <v>611</v>
      </c>
      <c r="F81" s="28">
        <f>SUM(C81-D81-E81)</f>
        <v>10687</v>
      </c>
      <c r="G81" s="28">
        <v>121564</v>
      </c>
      <c r="H81" s="28">
        <v>61549</v>
      </c>
      <c r="I81" s="28">
        <v>5811</v>
      </c>
      <c r="J81" s="28">
        <f>SUM(G81-H81-I81)</f>
        <v>54204</v>
      </c>
      <c r="K81" s="28">
        <v>1548</v>
      </c>
      <c r="L81" s="28">
        <v>1005</v>
      </c>
      <c r="M81" s="28">
        <v>7581</v>
      </c>
      <c r="N81" s="28">
        <v>1732</v>
      </c>
      <c r="O81" s="28">
        <v>1732</v>
      </c>
    </row>
    <row r="82" spans="1:15" ht="12.75" customHeight="1">
      <c r="A82" s="4" t="s">
        <v>152</v>
      </c>
      <c r="B82" s="5" t="s">
        <v>153</v>
      </c>
      <c r="C82" s="28">
        <v>11135</v>
      </c>
      <c r="D82" s="28">
        <v>7923</v>
      </c>
      <c r="E82" s="28">
        <v>147</v>
      </c>
      <c r="F82" s="28">
        <f>SUM(C82-D82-E82)</f>
        <v>3065</v>
      </c>
      <c r="G82" s="28">
        <v>58822</v>
      </c>
      <c r="H82" s="28">
        <v>25929</v>
      </c>
      <c r="I82" s="28">
        <v>1270</v>
      </c>
      <c r="J82" s="28">
        <f>SUM(G82-H82-I82)</f>
        <v>31623</v>
      </c>
      <c r="K82" s="28">
        <v>662</v>
      </c>
      <c r="L82" s="28">
        <v>4</v>
      </c>
      <c r="M82" s="28">
        <v>7281</v>
      </c>
      <c r="N82" s="28">
        <v>313</v>
      </c>
      <c r="O82" s="28">
        <v>313</v>
      </c>
    </row>
    <row r="83" spans="1:15" ht="12.75" customHeight="1">
      <c r="A83" s="4" t="s">
        <v>154</v>
      </c>
      <c r="B83" s="5" t="s">
        <v>155</v>
      </c>
      <c r="C83" s="28">
        <v>3670</v>
      </c>
      <c r="D83" s="28">
        <v>3513</v>
      </c>
      <c r="E83" s="28">
        <v>146</v>
      </c>
      <c r="F83" s="28">
        <f>SUM(C83-D83-E83)</f>
        <v>11</v>
      </c>
      <c r="G83" s="28">
        <v>14708</v>
      </c>
      <c r="H83" s="28">
        <v>11860</v>
      </c>
      <c r="I83" s="28">
        <v>1408</v>
      </c>
      <c r="J83" s="28">
        <f>SUM(G83-H83-I83)</f>
        <v>1440</v>
      </c>
      <c r="K83" s="28">
        <v>1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11938</v>
      </c>
      <c r="D84" s="28">
        <v>10559</v>
      </c>
      <c r="E84" s="28">
        <v>147</v>
      </c>
      <c r="F84" s="28">
        <f>SUM(C84-D84-E84)</f>
        <v>1232</v>
      </c>
      <c r="G84" s="28">
        <v>57662</v>
      </c>
      <c r="H84" s="28">
        <v>35471</v>
      </c>
      <c r="I84" s="28">
        <v>1328</v>
      </c>
      <c r="J84" s="28">
        <f>SUM(G84-H84-I84)</f>
        <v>20863</v>
      </c>
      <c r="K84" s="28">
        <v>999</v>
      </c>
      <c r="L84" s="28">
        <v>0</v>
      </c>
      <c r="M84" s="28">
        <v>5608</v>
      </c>
      <c r="N84" s="28">
        <v>315</v>
      </c>
      <c r="O84" s="28">
        <v>315</v>
      </c>
    </row>
    <row r="85" spans="1:15" ht="12.75" customHeight="1">
      <c r="A85" s="4" t="s">
        <v>158</v>
      </c>
      <c r="B85" s="5" t="s">
        <v>159</v>
      </c>
      <c r="C85" s="28">
        <v>17842</v>
      </c>
      <c r="D85" s="28">
        <v>14348</v>
      </c>
      <c r="E85" s="28">
        <v>461</v>
      </c>
      <c r="F85" s="28">
        <f>SUM(C85-D85-E85)</f>
        <v>3033</v>
      </c>
      <c r="G85" s="28">
        <v>59864</v>
      </c>
      <c r="H85" s="28">
        <v>38355</v>
      </c>
      <c r="I85" s="28">
        <v>2911</v>
      </c>
      <c r="J85" s="28">
        <f>SUM(G85-H85-I85)</f>
        <v>18598</v>
      </c>
      <c r="K85" s="28">
        <v>1597</v>
      </c>
      <c r="L85" s="28">
        <v>355</v>
      </c>
      <c r="M85" s="28">
        <v>4753</v>
      </c>
      <c r="N85" s="28">
        <v>14781</v>
      </c>
      <c r="O85" s="28">
        <v>14781</v>
      </c>
    </row>
    <row r="86" spans="1:15" ht="12.75" customHeight="1">
      <c r="A86" s="8"/>
      <c r="B86" s="9" t="s">
        <v>160</v>
      </c>
      <c r="C86" s="29">
        <f t="shared" ref="C86:O86" si="19">SUM(C81:C85)</f>
        <v>74629</v>
      </c>
      <c r="D86" s="29">
        <f t="shared" si="19"/>
        <v>55089</v>
      </c>
      <c r="E86" s="29">
        <f t="shared" si="19"/>
        <v>1512</v>
      </c>
      <c r="F86" s="29">
        <f t="shared" si="19"/>
        <v>18028</v>
      </c>
      <c r="G86" s="29">
        <f t="shared" si="19"/>
        <v>312620</v>
      </c>
      <c r="H86" s="29">
        <f t="shared" si="19"/>
        <v>173164</v>
      </c>
      <c r="I86" s="29">
        <f t="shared" si="19"/>
        <v>12728</v>
      </c>
      <c r="J86" s="29">
        <f t="shared" si="19"/>
        <v>126728</v>
      </c>
      <c r="K86" s="29">
        <f t="shared" si="19"/>
        <v>4807</v>
      </c>
      <c r="L86" s="29">
        <f t="shared" si="19"/>
        <v>1364</v>
      </c>
      <c r="M86" s="29">
        <f t="shared" si="19"/>
        <v>25238</v>
      </c>
      <c r="N86" s="29">
        <f t="shared" si="19"/>
        <v>17141</v>
      </c>
      <c r="O86" s="29">
        <f t="shared" si="19"/>
        <v>17141</v>
      </c>
    </row>
    <row r="87" spans="1:15" ht="12.75" customHeight="1">
      <c r="A87" s="4" t="s">
        <v>161</v>
      </c>
      <c r="B87" s="5" t="s">
        <v>162</v>
      </c>
      <c r="C87" s="28">
        <v>31719</v>
      </c>
      <c r="D87" s="28">
        <v>23606</v>
      </c>
      <c r="E87" s="28">
        <v>0</v>
      </c>
      <c r="F87" s="28">
        <f>SUM(C87-D87-E87)</f>
        <v>8113</v>
      </c>
      <c r="G87" s="28">
        <v>142294</v>
      </c>
      <c r="H87" s="28">
        <v>72085</v>
      </c>
      <c r="I87" s="28">
        <v>0</v>
      </c>
      <c r="J87" s="28">
        <f>SUM(G87-H87-I87)</f>
        <v>70209</v>
      </c>
      <c r="K87" s="28">
        <v>1687</v>
      </c>
      <c r="L87" s="28">
        <v>22</v>
      </c>
      <c r="M87" s="28">
        <v>10726</v>
      </c>
      <c r="N87" s="28">
        <v>917</v>
      </c>
      <c r="O87" s="28">
        <v>917</v>
      </c>
    </row>
    <row r="88" spans="1:15" ht="12.75" customHeight="1">
      <c r="A88" s="4" t="s">
        <v>163</v>
      </c>
      <c r="B88" s="5" t="s">
        <v>164</v>
      </c>
      <c r="C88" s="28">
        <v>24503</v>
      </c>
      <c r="D88" s="28">
        <v>12027</v>
      </c>
      <c r="E88" s="28">
        <v>804</v>
      </c>
      <c r="F88" s="28">
        <f>SUM(C88-D88-E88)</f>
        <v>11672</v>
      </c>
      <c r="G88" s="28">
        <v>72632</v>
      </c>
      <c r="H88" s="28">
        <v>29700</v>
      </c>
      <c r="I88" s="28">
        <v>6378</v>
      </c>
      <c r="J88" s="28">
        <f>SUM(G88-H88-I88)</f>
        <v>36554</v>
      </c>
      <c r="K88" s="28">
        <v>698</v>
      </c>
      <c r="L88" s="28">
        <v>0</v>
      </c>
      <c r="M88" s="28">
        <v>3623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56222</v>
      </c>
      <c r="D89" s="29">
        <f t="shared" si="20"/>
        <v>35633</v>
      </c>
      <c r="E89" s="29">
        <f t="shared" si="20"/>
        <v>804</v>
      </c>
      <c r="F89" s="29">
        <f t="shared" si="20"/>
        <v>19785</v>
      </c>
      <c r="G89" s="29">
        <f t="shared" si="20"/>
        <v>214926</v>
      </c>
      <c r="H89" s="29">
        <f t="shared" si="20"/>
        <v>101785</v>
      </c>
      <c r="I89" s="29">
        <f t="shared" si="20"/>
        <v>6378</v>
      </c>
      <c r="J89" s="29">
        <f t="shared" si="20"/>
        <v>106763</v>
      </c>
      <c r="K89" s="29">
        <f t="shared" si="20"/>
        <v>2385</v>
      </c>
      <c r="L89" s="29">
        <f t="shared" si="20"/>
        <v>22</v>
      </c>
      <c r="M89" s="29">
        <f t="shared" si="20"/>
        <v>14349</v>
      </c>
      <c r="N89" s="29">
        <f t="shared" si="20"/>
        <v>917</v>
      </c>
      <c r="O89" s="29">
        <f t="shared" si="20"/>
        <v>917</v>
      </c>
    </row>
    <row r="90" spans="1:15" ht="12.75" customHeight="1">
      <c r="A90" s="4" t="s">
        <v>166</v>
      </c>
      <c r="B90" s="5" t="s">
        <v>167</v>
      </c>
      <c r="C90" s="28">
        <v>35394</v>
      </c>
      <c r="D90" s="28">
        <v>16504</v>
      </c>
      <c r="E90" s="28">
        <v>1572</v>
      </c>
      <c r="F90" s="28">
        <f>SUM(C90-D90-E90)</f>
        <v>17318</v>
      </c>
      <c r="G90" s="28">
        <v>155210</v>
      </c>
      <c r="H90" s="28">
        <v>54451</v>
      </c>
      <c r="I90" s="28">
        <v>11229</v>
      </c>
      <c r="J90" s="28">
        <f>SUM(G90-H90-I90)</f>
        <v>89530</v>
      </c>
      <c r="K90" s="28">
        <v>1012</v>
      </c>
      <c r="L90" s="28">
        <v>0</v>
      </c>
      <c r="M90" s="28">
        <v>11413</v>
      </c>
      <c r="N90" s="28">
        <v>191</v>
      </c>
      <c r="O90" s="28">
        <v>191</v>
      </c>
    </row>
    <row r="91" spans="1:15" ht="12.75" customHeight="1">
      <c r="A91" s="4" t="s">
        <v>168</v>
      </c>
      <c r="B91" s="5" t="s">
        <v>169</v>
      </c>
      <c r="C91" s="28">
        <v>32105</v>
      </c>
      <c r="D91" s="28">
        <v>23059</v>
      </c>
      <c r="E91" s="28">
        <v>0</v>
      </c>
      <c r="F91" s="28">
        <f>SUM(C91-D91-E91)</f>
        <v>9046</v>
      </c>
      <c r="G91" s="28">
        <v>141270</v>
      </c>
      <c r="H91" s="28">
        <v>59926</v>
      </c>
      <c r="I91" s="28">
        <v>0</v>
      </c>
      <c r="J91" s="28">
        <f>SUM(G91-H91-I91)</f>
        <v>81344</v>
      </c>
      <c r="K91" s="28">
        <v>693</v>
      </c>
      <c r="L91" s="28">
        <v>109</v>
      </c>
      <c r="M91" s="28">
        <v>15892</v>
      </c>
      <c r="N91" s="28">
        <v>131</v>
      </c>
      <c r="O91" s="28">
        <v>131</v>
      </c>
    </row>
    <row r="92" spans="1:15" ht="12.75" customHeight="1">
      <c r="A92" s="4" t="s">
        <v>170</v>
      </c>
      <c r="B92" s="5" t="s">
        <v>171</v>
      </c>
      <c r="C92" s="28">
        <v>6199</v>
      </c>
      <c r="D92" s="28">
        <v>4883</v>
      </c>
      <c r="E92" s="28">
        <v>677</v>
      </c>
      <c r="F92" s="28">
        <f>SUM(C92-D92-E92)</f>
        <v>639</v>
      </c>
      <c r="G92" s="28">
        <v>23602</v>
      </c>
      <c r="H92" s="28">
        <v>13176</v>
      </c>
      <c r="I92" s="28">
        <v>6204</v>
      </c>
      <c r="J92" s="28">
        <f>SUM(G92-H92-I92)</f>
        <v>4222</v>
      </c>
      <c r="K92" s="28">
        <v>344</v>
      </c>
      <c r="L92" s="28">
        <v>0</v>
      </c>
      <c r="M92" s="28">
        <v>914</v>
      </c>
      <c r="N92" s="28">
        <v>29</v>
      </c>
      <c r="O92" s="28">
        <v>29</v>
      </c>
    </row>
    <row r="93" spans="1:15" ht="12.75" customHeight="1">
      <c r="A93" s="4" t="s">
        <v>172</v>
      </c>
      <c r="B93" s="5" t="s">
        <v>173</v>
      </c>
      <c r="C93" s="28">
        <v>332688</v>
      </c>
      <c r="D93" s="28">
        <v>219234</v>
      </c>
      <c r="E93" s="28">
        <v>13304</v>
      </c>
      <c r="F93" s="28">
        <f>SUM(C93-D93-E93)</f>
        <v>100150</v>
      </c>
      <c r="G93" s="28">
        <v>992345</v>
      </c>
      <c r="H93" s="28">
        <v>384428</v>
      </c>
      <c r="I93" s="28">
        <v>46712</v>
      </c>
      <c r="J93" s="28">
        <f>SUM(G93-H93-I93)</f>
        <v>561205</v>
      </c>
      <c r="K93" s="28">
        <v>79740</v>
      </c>
      <c r="L93" s="28">
        <v>310</v>
      </c>
      <c r="M93" s="28">
        <v>55874</v>
      </c>
      <c r="N93" s="28">
        <v>8666</v>
      </c>
      <c r="O93" s="28">
        <v>8666</v>
      </c>
    </row>
    <row r="94" spans="1:15" ht="12.75" customHeight="1">
      <c r="A94" s="4" t="s">
        <v>174</v>
      </c>
      <c r="B94" s="5" t="s">
        <v>175</v>
      </c>
      <c r="C94" s="28">
        <v>22130</v>
      </c>
      <c r="D94" s="28">
        <v>6763</v>
      </c>
      <c r="E94" s="28">
        <v>429</v>
      </c>
      <c r="F94" s="28">
        <f>SUM(C94-D94-E94)</f>
        <v>14938</v>
      </c>
      <c r="G94" s="28">
        <v>66075</v>
      </c>
      <c r="H94" s="28">
        <v>21882</v>
      </c>
      <c r="I94" s="28">
        <v>3705</v>
      </c>
      <c r="J94" s="28">
        <f>SUM(G94-H94-I94)</f>
        <v>40488</v>
      </c>
      <c r="K94" s="28">
        <v>1153</v>
      </c>
      <c r="L94" s="28">
        <v>613</v>
      </c>
      <c r="M94" s="28">
        <v>9509</v>
      </c>
      <c r="N94" s="28">
        <v>335</v>
      </c>
      <c r="O94" s="28">
        <v>335</v>
      </c>
    </row>
    <row r="95" spans="1:15" ht="12.75" customHeight="1">
      <c r="A95" s="8"/>
      <c r="B95" s="9" t="s">
        <v>176</v>
      </c>
      <c r="C95" s="29">
        <f t="shared" ref="C95:O95" si="21">SUM(C90:C94)</f>
        <v>428516</v>
      </c>
      <c r="D95" s="29">
        <f t="shared" si="21"/>
        <v>270443</v>
      </c>
      <c r="E95" s="29">
        <f t="shared" si="21"/>
        <v>15982</v>
      </c>
      <c r="F95" s="29">
        <f t="shared" si="21"/>
        <v>142091</v>
      </c>
      <c r="G95" s="29">
        <f t="shared" si="21"/>
        <v>1378502</v>
      </c>
      <c r="H95" s="29">
        <f t="shared" si="21"/>
        <v>533863</v>
      </c>
      <c r="I95" s="29">
        <f t="shared" si="21"/>
        <v>67850</v>
      </c>
      <c r="J95" s="29">
        <f t="shared" si="21"/>
        <v>776789</v>
      </c>
      <c r="K95" s="29">
        <f t="shared" si="21"/>
        <v>82942</v>
      </c>
      <c r="L95" s="29">
        <f t="shared" si="21"/>
        <v>1032</v>
      </c>
      <c r="M95" s="29">
        <f t="shared" si="21"/>
        <v>93602</v>
      </c>
      <c r="N95" s="29">
        <f t="shared" si="21"/>
        <v>9352</v>
      </c>
      <c r="O95" s="29">
        <f t="shared" si="21"/>
        <v>9352</v>
      </c>
    </row>
    <row r="96" spans="1:15" ht="12.75" customHeight="1">
      <c r="A96" s="4" t="s">
        <v>177</v>
      </c>
      <c r="B96" s="5" t="s">
        <v>178</v>
      </c>
      <c r="C96" s="28">
        <v>6307</v>
      </c>
      <c r="D96" s="28">
        <v>4732</v>
      </c>
      <c r="E96" s="28">
        <v>181</v>
      </c>
      <c r="F96" s="28">
        <f>SUM(C96-D96-E96)</f>
        <v>1394</v>
      </c>
      <c r="G96" s="28">
        <v>34426</v>
      </c>
      <c r="H96" s="28">
        <v>18207</v>
      </c>
      <c r="I96" s="28">
        <v>1523</v>
      </c>
      <c r="J96" s="28">
        <f>SUM(G96-H96-I96)</f>
        <v>14696</v>
      </c>
      <c r="K96" s="28">
        <v>14</v>
      </c>
      <c r="L96" s="28">
        <v>0</v>
      </c>
      <c r="M96" s="28">
        <v>7216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2035</v>
      </c>
      <c r="D97" s="28">
        <v>1876</v>
      </c>
      <c r="E97" s="28">
        <v>0</v>
      </c>
      <c r="F97" s="28">
        <f>SUM(C97-D97-E97)</f>
        <v>159</v>
      </c>
      <c r="G97" s="28">
        <v>8273</v>
      </c>
      <c r="H97" s="28">
        <v>6843</v>
      </c>
      <c r="I97" s="28">
        <v>0</v>
      </c>
      <c r="J97" s="28">
        <f>SUM(G97-H97-I97)</f>
        <v>1430</v>
      </c>
      <c r="K97" s="28">
        <v>15</v>
      </c>
      <c r="L97" s="28">
        <v>0</v>
      </c>
      <c r="M97" s="28">
        <v>507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8342</v>
      </c>
      <c r="D98" s="29">
        <f t="shared" si="22"/>
        <v>6608</v>
      </c>
      <c r="E98" s="29">
        <f t="shared" si="22"/>
        <v>181</v>
      </c>
      <c r="F98" s="29">
        <f t="shared" si="22"/>
        <v>1553</v>
      </c>
      <c r="G98" s="29">
        <f t="shared" si="22"/>
        <v>42699</v>
      </c>
      <c r="H98" s="29">
        <f t="shared" si="22"/>
        <v>25050</v>
      </c>
      <c r="I98" s="29">
        <f t="shared" si="22"/>
        <v>1523</v>
      </c>
      <c r="J98" s="29">
        <f t="shared" si="22"/>
        <v>16126</v>
      </c>
      <c r="K98" s="29">
        <f t="shared" si="22"/>
        <v>29</v>
      </c>
      <c r="L98" s="29">
        <f t="shared" si="22"/>
        <v>0</v>
      </c>
      <c r="M98" s="29">
        <f t="shared" si="22"/>
        <v>7723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16580</v>
      </c>
      <c r="D99" s="28">
        <v>13359</v>
      </c>
      <c r="E99" s="28">
        <v>498</v>
      </c>
      <c r="F99" s="28">
        <f>SUM(C99-D99-E99)</f>
        <v>2723</v>
      </c>
      <c r="G99" s="28">
        <v>78285</v>
      </c>
      <c r="H99" s="28">
        <v>43475</v>
      </c>
      <c r="I99" s="28">
        <v>3938</v>
      </c>
      <c r="J99" s="28">
        <f>SUM(G99-H99-I99)</f>
        <v>30872</v>
      </c>
      <c r="K99" s="28">
        <v>171</v>
      </c>
      <c r="L99" s="28">
        <v>0</v>
      </c>
      <c r="M99" s="28">
        <v>8003</v>
      </c>
      <c r="N99" s="28">
        <v>107</v>
      </c>
      <c r="O99" s="28">
        <v>107</v>
      </c>
    </row>
    <row r="100" spans="1:15" ht="12.75" customHeight="1">
      <c r="A100" s="4" t="s">
        <v>184</v>
      </c>
      <c r="B100" s="5" t="s">
        <v>185</v>
      </c>
      <c r="C100" s="28">
        <v>14246</v>
      </c>
      <c r="D100" s="28">
        <v>8033</v>
      </c>
      <c r="E100" s="28">
        <v>542</v>
      </c>
      <c r="F100" s="28">
        <f>SUM(C100-D100-E100)</f>
        <v>5671</v>
      </c>
      <c r="G100" s="28">
        <v>61062</v>
      </c>
      <c r="H100" s="28">
        <v>22379</v>
      </c>
      <c r="I100" s="28">
        <v>2921</v>
      </c>
      <c r="J100" s="28">
        <f>SUM(G100-H100-I100)</f>
        <v>35762</v>
      </c>
      <c r="K100" s="28">
        <v>1867</v>
      </c>
      <c r="L100" s="28">
        <v>0</v>
      </c>
      <c r="M100" s="28">
        <v>3660</v>
      </c>
      <c r="N100" s="28">
        <v>128</v>
      </c>
      <c r="O100" s="28">
        <v>128</v>
      </c>
    </row>
    <row r="101" spans="1:15" ht="12.75" customHeight="1">
      <c r="A101" s="4" t="s">
        <v>186</v>
      </c>
      <c r="B101" s="5" t="s">
        <v>187</v>
      </c>
      <c r="C101" s="28">
        <v>8254</v>
      </c>
      <c r="D101" s="28">
        <v>6545</v>
      </c>
      <c r="E101" s="28">
        <v>0</v>
      </c>
      <c r="F101" s="28">
        <f>SUM(C101-D101-E101)</f>
        <v>1709</v>
      </c>
      <c r="G101" s="28">
        <v>28135</v>
      </c>
      <c r="H101" s="28">
        <v>18509</v>
      </c>
      <c r="I101" s="28">
        <v>0</v>
      </c>
      <c r="J101" s="28">
        <f>SUM(G101-H101-I101)</f>
        <v>9626</v>
      </c>
      <c r="K101" s="28">
        <v>65</v>
      </c>
      <c r="L101" s="28">
        <v>0</v>
      </c>
      <c r="M101" s="28">
        <v>2827</v>
      </c>
      <c r="N101" s="28">
        <v>272</v>
      </c>
      <c r="O101" s="28">
        <v>272</v>
      </c>
    </row>
    <row r="102" spans="1:15" ht="12.75" customHeight="1">
      <c r="A102" s="4" t="s">
        <v>188</v>
      </c>
      <c r="B102" s="5" t="s">
        <v>189</v>
      </c>
      <c r="C102" s="28">
        <v>13536</v>
      </c>
      <c r="D102" s="28">
        <v>11368</v>
      </c>
      <c r="E102" s="28">
        <v>627</v>
      </c>
      <c r="F102" s="28">
        <f>SUM(C102-D102-E102)</f>
        <v>1541</v>
      </c>
      <c r="G102" s="28">
        <v>51117</v>
      </c>
      <c r="H102" s="28">
        <v>30816</v>
      </c>
      <c r="I102" s="28">
        <v>5828</v>
      </c>
      <c r="J102" s="28">
        <f>SUM(G102-H102-I102)</f>
        <v>14473</v>
      </c>
      <c r="K102" s="28">
        <v>1214</v>
      </c>
      <c r="L102" s="28">
        <v>0</v>
      </c>
      <c r="M102" s="28">
        <v>4228</v>
      </c>
      <c r="N102" s="28">
        <v>14</v>
      </c>
      <c r="O102" s="28">
        <v>14</v>
      </c>
    </row>
    <row r="103" spans="1:15" ht="12.75" customHeight="1">
      <c r="A103" s="8"/>
      <c r="B103" s="9" t="s">
        <v>190</v>
      </c>
      <c r="C103" s="29">
        <f t="shared" ref="C103:O103" si="23">SUM(C99:C102)</f>
        <v>52616</v>
      </c>
      <c r="D103" s="29">
        <f t="shared" si="23"/>
        <v>39305</v>
      </c>
      <c r="E103" s="29">
        <f t="shared" si="23"/>
        <v>1667</v>
      </c>
      <c r="F103" s="29">
        <f t="shared" si="23"/>
        <v>11644</v>
      </c>
      <c r="G103" s="29">
        <f t="shared" si="23"/>
        <v>218599</v>
      </c>
      <c r="H103" s="29">
        <f t="shared" si="23"/>
        <v>115179</v>
      </c>
      <c r="I103" s="29">
        <f t="shared" si="23"/>
        <v>12687</v>
      </c>
      <c r="J103" s="29">
        <f t="shared" si="23"/>
        <v>90733</v>
      </c>
      <c r="K103" s="29">
        <f t="shared" si="23"/>
        <v>3317</v>
      </c>
      <c r="L103" s="29">
        <f t="shared" si="23"/>
        <v>0</v>
      </c>
      <c r="M103" s="29">
        <f t="shared" si="23"/>
        <v>18718</v>
      </c>
      <c r="N103" s="29">
        <f t="shared" si="23"/>
        <v>521</v>
      </c>
      <c r="O103" s="29">
        <f t="shared" si="23"/>
        <v>521</v>
      </c>
    </row>
    <row r="104" spans="1:15" ht="12.75" customHeight="1">
      <c r="A104" s="4" t="s">
        <v>191</v>
      </c>
      <c r="B104" s="5" t="s">
        <v>192</v>
      </c>
      <c r="C104" s="28">
        <v>9902</v>
      </c>
      <c r="D104" s="28">
        <v>8132</v>
      </c>
      <c r="E104" s="28">
        <v>314</v>
      </c>
      <c r="F104" s="28">
        <f>SUM(C104-D104-E104)</f>
        <v>1456</v>
      </c>
      <c r="G104" s="28">
        <v>46149</v>
      </c>
      <c r="H104" s="28">
        <v>28102</v>
      </c>
      <c r="I104" s="28">
        <v>2856</v>
      </c>
      <c r="J104" s="28">
        <f>SUM(G104-H104-I104)</f>
        <v>15191</v>
      </c>
      <c r="K104" s="28">
        <v>392</v>
      </c>
      <c r="L104" s="28">
        <v>0</v>
      </c>
      <c r="M104" s="28">
        <v>1569</v>
      </c>
      <c r="N104" s="28">
        <v>163</v>
      </c>
      <c r="O104" s="28">
        <v>163</v>
      </c>
    </row>
    <row r="105" spans="1:15" ht="12.75" customHeight="1">
      <c r="A105" s="4" t="s">
        <v>193</v>
      </c>
      <c r="B105" s="5" t="s">
        <v>194</v>
      </c>
      <c r="C105" s="28">
        <v>7913</v>
      </c>
      <c r="D105" s="28">
        <v>4749</v>
      </c>
      <c r="E105" s="28">
        <v>0</v>
      </c>
      <c r="F105" s="28">
        <f>SUM(C105-D105-E105)</f>
        <v>3164</v>
      </c>
      <c r="G105" s="28">
        <v>33042</v>
      </c>
      <c r="H105" s="28">
        <v>17101</v>
      </c>
      <c r="I105" s="28">
        <v>0</v>
      </c>
      <c r="J105" s="28">
        <f>SUM(G105-H105-I105)</f>
        <v>15941</v>
      </c>
      <c r="K105" s="28">
        <v>142</v>
      </c>
      <c r="L105" s="28">
        <v>0</v>
      </c>
      <c r="M105" s="28">
        <v>2790</v>
      </c>
      <c r="N105" s="28">
        <v>377</v>
      </c>
      <c r="O105" s="28">
        <v>377</v>
      </c>
    </row>
    <row r="106" spans="1:15" ht="12.75" customHeight="1">
      <c r="A106" s="4" t="s">
        <v>195</v>
      </c>
      <c r="B106" s="5" t="s">
        <v>196</v>
      </c>
      <c r="C106" s="28">
        <v>36702</v>
      </c>
      <c r="D106" s="28">
        <v>23432</v>
      </c>
      <c r="E106" s="28">
        <v>994</v>
      </c>
      <c r="F106" s="28">
        <f>SUM(C106-D106-E106)</f>
        <v>12276</v>
      </c>
      <c r="G106" s="28">
        <v>166074</v>
      </c>
      <c r="H106" s="28">
        <v>70252</v>
      </c>
      <c r="I106" s="28">
        <v>7031</v>
      </c>
      <c r="J106" s="28">
        <f>SUM(G106-H106-I106)</f>
        <v>88791</v>
      </c>
      <c r="K106" s="28">
        <v>442</v>
      </c>
      <c r="L106" s="28">
        <v>0</v>
      </c>
      <c r="M106" s="28">
        <v>29928</v>
      </c>
      <c r="N106" s="28">
        <v>412</v>
      </c>
      <c r="O106" s="28">
        <v>412</v>
      </c>
    </row>
    <row r="107" spans="1:15" ht="12.75" customHeight="1">
      <c r="A107" s="4" t="s">
        <v>197</v>
      </c>
      <c r="B107" s="5" t="s">
        <v>198</v>
      </c>
      <c r="C107" s="28">
        <v>125148</v>
      </c>
      <c r="D107" s="28">
        <v>87794</v>
      </c>
      <c r="E107" s="28">
        <v>3196</v>
      </c>
      <c r="F107" s="28">
        <f>SUM(C107-D107-E107)</f>
        <v>34158</v>
      </c>
      <c r="G107" s="28">
        <v>383483</v>
      </c>
      <c r="H107" s="28">
        <v>171563</v>
      </c>
      <c r="I107" s="28">
        <v>8726</v>
      </c>
      <c r="J107" s="28">
        <f>SUM(G107-H107-I107)</f>
        <v>203194</v>
      </c>
      <c r="K107" s="28">
        <v>11646</v>
      </c>
      <c r="L107" s="28">
        <v>0</v>
      </c>
      <c r="M107" s="28">
        <v>6135</v>
      </c>
      <c r="N107" s="28">
        <v>8518</v>
      </c>
      <c r="O107" s="28">
        <v>8518</v>
      </c>
    </row>
    <row r="108" spans="1:15" ht="12.75" customHeight="1">
      <c r="A108" s="4" t="s">
        <v>199</v>
      </c>
      <c r="B108" s="5" t="s">
        <v>200</v>
      </c>
      <c r="C108" s="28">
        <v>39839</v>
      </c>
      <c r="D108" s="28">
        <v>22508</v>
      </c>
      <c r="E108" s="28">
        <v>1016</v>
      </c>
      <c r="F108" s="28">
        <f>SUM(C108-D108-E108)</f>
        <v>16315</v>
      </c>
      <c r="G108" s="28">
        <v>257989</v>
      </c>
      <c r="H108" s="28">
        <v>72270</v>
      </c>
      <c r="I108" s="28">
        <v>8065</v>
      </c>
      <c r="J108" s="28">
        <f>SUM(G108-H108-I108)</f>
        <v>177654</v>
      </c>
      <c r="K108" s="28">
        <v>1455</v>
      </c>
      <c r="L108" s="28">
        <v>0</v>
      </c>
      <c r="M108" s="28">
        <v>7230</v>
      </c>
      <c r="N108" s="28">
        <v>3158</v>
      </c>
      <c r="O108" s="28">
        <v>3158</v>
      </c>
    </row>
    <row r="109" spans="1:15" ht="12.75" customHeight="1">
      <c r="A109" s="8"/>
      <c r="B109" s="9" t="s">
        <v>201</v>
      </c>
      <c r="C109" s="29">
        <f t="shared" ref="C109:O109" si="24">SUM(C104:C108)</f>
        <v>219504</v>
      </c>
      <c r="D109" s="29">
        <f t="shared" si="24"/>
        <v>146615</v>
      </c>
      <c r="E109" s="29">
        <f t="shared" si="24"/>
        <v>5520</v>
      </c>
      <c r="F109" s="29">
        <f t="shared" si="24"/>
        <v>67369</v>
      </c>
      <c r="G109" s="29">
        <f t="shared" si="24"/>
        <v>886737</v>
      </c>
      <c r="H109" s="29">
        <f t="shared" si="24"/>
        <v>359288</v>
      </c>
      <c r="I109" s="29">
        <f t="shared" si="24"/>
        <v>26678</v>
      </c>
      <c r="J109" s="29">
        <f t="shared" si="24"/>
        <v>500771</v>
      </c>
      <c r="K109" s="29">
        <f t="shared" si="24"/>
        <v>14077</v>
      </c>
      <c r="L109" s="29">
        <f t="shared" si="24"/>
        <v>0</v>
      </c>
      <c r="M109" s="29">
        <f t="shared" si="24"/>
        <v>47652</v>
      </c>
      <c r="N109" s="29">
        <f t="shared" si="24"/>
        <v>12628</v>
      </c>
      <c r="O109" s="29">
        <f t="shared" si="24"/>
        <v>12628</v>
      </c>
    </row>
    <row r="110" spans="1:15" ht="12.75" customHeight="1">
      <c r="A110" s="4" t="s">
        <v>202</v>
      </c>
      <c r="B110" s="5" t="s">
        <v>203</v>
      </c>
      <c r="C110" s="28">
        <v>60295</v>
      </c>
      <c r="D110" s="28">
        <v>47908</v>
      </c>
      <c r="E110" s="28">
        <v>359</v>
      </c>
      <c r="F110" s="28">
        <f t="shared" ref="F110:F115" si="25">SUM(C110-D110-E110)</f>
        <v>12028</v>
      </c>
      <c r="G110" s="28">
        <v>271439</v>
      </c>
      <c r="H110" s="28">
        <v>165281</v>
      </c>
      <c r="I110" s="28">
        <v>3532</v>
      </c>
      <c r="J110" s="28">
        <f t="shared" ref="J110:J115" si="26">SUM(G110-H110-I110)</f>
        <v>102626</v>
      </c>
      <c r="K110" s="28">
        <v>3557</v>
      </c>
      <c r="L110" s="28">
        <v>0</v>
      </c>
      <c r="M110" s="28">
        <v>31628</v>
      </c>
      <c r="N110" s="28">
        <v>821</v>
      </c>
      <c r="O110" s="28">
        <v>821</v>
      </c>
    </row>
    <row r="111" spans="1:15" ht="12.75" customHeight="1">
      <c r="A111" s="4" t="s">
        <v>204</v>
      </c>
      <c r="B111" s="5" t="s">
        <v>205</v>
      </c>
      <c r="C111" s="28">
        <v>7698</v>
      </c>
      <c r="D111" s="28">
        <v>7369</v>
      </c>
      <c r="E111" s="28">
        <v>82</v>
      </c>
      <c r="F111" s="28">
        <f t="shared" si="25"/>
        <v>247</v>
      </c>
      <c r="G111" s="28">
        <v>25578</v>
      </c>
      <c r="H111" s="28">
        <v>23403</v>
      </c>
      <c r="I111" s="28">
        <v>944</v>
      </c>
      <c r="J111" s="28">
        <f t="shared" si="26"/>
        <v>1231</v>
      </c>
      <c r="K111" s="28">
        <v>25</v>
      </c>
      <c r="L111" s="28">
        <v>0</v>
      </c>
      <c r="M111" s="28">
        <v>617</v>
      </c>
      <c r="N111" s="28">
        <v>209</v>
      </c>
      <c r="O111" s="28">
        <v>209</v>
      </c>
    </row>
    <row r="112" spans="1:15" ht="12.75" customHeight="1">
      <c r="A112" s="4" t="s">
        <v>206</v>
      </c>
      <c r="B112" s="5" t="s">
        <v>207</v>
      </c>
      <c r="C112" s="28">
        <v>19888</v>
      </c>
      <c r="D112" s="28">
        <v>14167</v>
      </c>
      <c r="E112" s="28">
        <v>0</v>
      </c>
      <c r="F112" s="28">
        <f t="shared" si="25"/>
        <v>5721</v>
      </c>
      <c r="G112" s="28">
        <v>70235</v>
      </c>
      <c r="H112" s="28">
        <v>44578</v>
      </c>
      <c r="I112" s="28">
        <v>0</v>
      </c>
      <c r="J112" s="28">
        <f t="shared" si="26"/>
        <v>25657</v>
      </c>
      <c r="K112" s="28">
        <v>18212</v>
      </c>
      <c r="L112" s="28">
        <v>0</v>
      </c>
      <c r="M112" s="28">
        <v>7037</v>
      </c>
      <c r="N112" s="28">
        <v>81</v>
      </c>
      <c r="O112" s="28">
        <v>81</v>
      </c>
    </row>
    <row r="113" spans="1:15" ht="12.75" customHeight="1">
      <c r="A113" s="4" t="s">
        <v>208</v>
      </c>
      <c r="B113" s="5" t="s">
        <v>209</v>
      </c>
      <c r="C113" s="28">
        <v>17906</v>
      </c>
      <c r="D113" s="28">
        <v>11505</v>
      </c>
      <c r="E113" s="28">
        <v>201</v>
      </c>
      <c r="F113" s="28">
        <f t="shared" si="25"/>
        <v>6200</v>
      </c>
      <c r="G113" s="28">
        <v>77376</v>
      </c>
      <c r="H113" s="28">
        <v>37155</v>
      </c>
      <c r="I113" s="28">
        <v>1488</v>
      </c>
      <c r="J113" s="28">
        <f t="shared" si="26"/>
        <v>38733</v>
      </c>
      <c r="K113" s="28">
        <v>1524</v>
      </c>
      <c r="L113" s="28">
        <v>0</v>
      </c>
      <c r="M113" s="28">
        <v>20306</v>
      </c>
      <c r="N113" s="28">
        <v>493</v>
      </c>
      <c r="O113" s="28">
        <v>493</v>
      </c>
    </row>
    <row r="114" spans="1:15" ht="12.75" customHeight="1">
      <c r="A114" s="4" t="s">
        <v>210</v>
      </c>
      <c r="B114" s="5" t="s">
        <v>211</v>
      </c>
      <c r="C114" s="28">
        <v>43565</v>
      </c>
      <c r="D114" s="28">
        <v>30899</v>
      </c>
      <c r="E114" s="28">
        <v>0</v>
      </c>
      <c r="F114" s="28">
        <f t="shared" si="25"/>
        <v>12666</v>
      </c>
      <c r="G114" s="28">
        <v>133466</v>
      </c>
      <c r="H114" s="28">
        <v>76295</v>
      </c>
      <c r="I114" s="28">
        <v>0</v>
      </c>
      <c r="J114" s="28">
        <f t="shared" si="26"/>
        <v>57171</v>
      </c>
      <c r="K114" s="28">
        <v>6317</v>
      </c>
      <c r="L114" s="28">
        <v>0</v>
      </c>
      <c r="M114" s="28">
        <v>15689</v>
      </c>
      <c r="N114" s="28">
        <v>1009</v>
      </c>
      <c r="O114" s="28">
        <v>1009</v>
      </c>
    </row>
    <row r="115" spans="1:15" ht="12.75" customHeight="1">
      <c r="A115" s="4" t="s">
        <v>212</v>
      </c>
      <c r="B115" s="5" t="s">
        <v>213</v>
      </c>
      <c r="C115" s="28">
        <v>28314</v>
      </c>
      <c r="D115" s="28">
        <v>24186</v>
      </c>
      <c r="E115" s="28">
        <v>0</v>
      </c>
      <c r="F115" s="28">
        <f t="shared" si="25"/>
        <v>4128</v>
      </c>
      <c r="G115" s="28">
        <v>101726</v>
      </c>
      <c r="H115" s="28">
        <v>76194</v>
      </c>
      <c r="I115" s="28">
        <v>0</v>
      </c>
      <c r="J115" s="28">
        <f t="shared" si="26"/>
        <v>25532</v>
      </c>
      <c r="K115" s="28">
        <v>3779</v>
      </c>
      <c r="L115" s="28">
        <v>0</v>
      </c>
      <c r="M115" s="28">
        <v>12200</v>
      </c>
      <c r="N115" s="28">
        <v>1344</v>
      </c>
      <c r="O115" s="28">
        <v>1344</v>
      </c>
    </row>
    <row r="116" spans="1:15" ht="12.75" customHeight="1">
      <c r="A116" s="8"/>
      <c r="B116" s="9" t="s">
        <v>214</v>
      </c>
      <c r="C116" s="29">
        <f t="shared" ref="C116:O116" si="27">SUM(C110:C115)</f>
        <v>177666</v>
      </c>
      <c r="D116" s="29">
        <f t="shared" si="27"/>
        <v>136034</v>
      </c>
      <c r="E116" s="29">
        <f t="shared" si="27"/>
        <v>642</v>
      </c>
      <c r="F116" s="29">
        <f t="shared" si="27"/>
        <v>40990</v>
      </c>
      <c r="G116" s="29">
        <f t="shared" si="27"/>
        <v>679820</v>
      </c>
      <c r="H116" s="29">
        <f t="shared" si="27"/>
        <v>422906</v>
      </c>
      <c r="I116" s="29">
        <f t="shared" si="27"/>
        <v>5964</v>
      </c>
      <c r="J116" s="29">
        <f t="shared" si="27"/>
        <v>250950</v>
      </c>
      <c r="K116" s="29">
        <f t="shared" si="27"/>
        <v>33414</v>
      </c>
      <c r="L116" s="29">
        <f t="shared" si="27"/>
        <v>0</v>
      </c>
      <c r="M116" s="29">
        <f t="shared" si="27"/>
        <v>87477</v>
      </c>
      <c r="N116" s="29">
        <f t="shared" si="27"/>
        <v>3957</v>
      </c>
      <c r="O116" s="29">
        <f t="shared" si="27"/>
        <v>3957</v>
      </c>
    </row>
    <row r="117" spans="1:15" ht="12.75" customHeight="1">
      <c r="A117" s="4" t="s">
        <v>215</v>
      </c>
      <c r="B117" s="5" t="s">
        <v>216</v>
      </c>
      <c r="C117" s="28">
        <v>6696</v>
      </c>
      <c r="D117" s="28">
        <v>4698</v>
      </c>
      <c r="E117" s="28">
        <v>0</v>
      </c>
      <c r="F117" s="28">
        <f>SUM(C117-D117-E117)</f>
        <v>1998</v>
      </c>
      <c r="G117" s="28">
        <v>29439</v>
      </c>
      <c r="H117" s="28">
        <v>18217</v>
      </c>
      <c r="I117" s="28">
        <v>0</v>
      </c>
      <c r="J117" s="28">
        <f>SUM(G117-H117-I117)</f>
        <v>11222</v>
      </c>
      <c r="K117" s="28">
        <v>0</v>
      </c>
      <c r="L117" s="28">
        <v>0</v>
      </c>
      <c r="M117" s="28">
        <v>10338</v>
      </c>
      <c r="N117" s="28">
        <v>230</v>
      </c>
      <c r="O117" s="28">
        <v>230</v>
      </c>
    </row>
    <row r="118" spans="1:15" ht="12.75" customHeight="1">
      <c r="A118" s="4" t="s">
        <v>217</v>
      </c>
      <c r="B118" s="5" t="s">
        <v>218</v>
      </c>
      <c r="C118" s="28">
        <v>15430</v>
      </c>
      <c r="D118" s="28">
        <v>12687</v>
      </c>
      <c r="E118" s="28">
        <v>217</v>
      </c>
      <c r="F118" s="28">
        <f>SUM(C118-D118-E118)</f>
        <v>2526</v>
      </c>
      <c r="G118" s="28">
        <v>61242</v>
      </c>
      <c r="H118" s="28">
        <v>38952</v>
      </c>
      <c r="I118" s="28">
        <v>2019</v>
      </c>
      <c r="J118" s="28">
        <f>SUM(G118-H118-I118)</f>
        <v>20271</v>
      </c>
      <c r="K118" s="28">
        <v>121</v>
      </c>
      <c r="L118" s="28">
        <v>0</v>
      </c>
      <c r="M118" s="28">
        <v>8174</v>
      </c>
      <c r="N118" s="28">
        <v>515</v>
      </c>
      <c r="O118" s="28">
        <v>515</v>
      </c>
    </row>
    <row r="119" spans="1:15" ht="12.75" customHeight="1">
      <c r="A119" s="8"/>
      <c r="B119" s="9" t="s">
        <v>219</v>
      </c>
      <c r="C119" s="29">
        <f t="shared" ref="C119:O119" si="28">SUM(C117:C118)</f>
        <v>22126</v>
      </c>
      <c r="D119" s="29">
        <f t="shared" si="28"/>
        <v>17385</v>
      </c>
      <c r="E119" s="29">
        <f t="shared" si="28"/>
        <v>217</v>
      </c>
      <c r="F119" s="29">
        <f t="shared" si="28"/>
        <v>4524</v>
      </c>
      <c r="G119" s="29">
        <f t="shared" si="28"/>
        <v>90681</v>
      </c>
      <c r="H119" s="29">
        <f t="shared" si="28"/>
        <v>57169</v>
      </c>
      <c r="I119" s="29">
        <f t="shared" si="28"/>
        <v>2019</v>
      </c>
      <c r="J119" s="29">
        <f t="shared" si="28"/>
        <v>31493</v>
      </c>
      <c r="K119" s="29">
        <f t="shared" si="28"/>
        <v>121</v>
      </c>
      <c r="L119" s="29">
        <f t="shared" si="28"/>
        <v>0</v>
      </c>
      <c r="M119" s="29">
        <f t="shared" si="28"/>
        <v>18512</v>
      </c>
      <c r="N119" s="29">
        <f t="shared" si="28"/>
        <v>745</v>
      </c>
      <c r="O119" s="29">
        <f t="shared" si="28"/>
        <v>745</v>
      </c>
    </row>
    <row r="120" spans="1:15" ht="12.75" customHeight="1">
      <c r="A120" s="4" t="s">
        <v>220</v>
      </c>
      <c r="B120" s="5" t="s">
        <v>221</v>
      </c>
      <c r="C120" s="28">
        <v>17278</v>
      </c>
      <c r="D120" s="28">
        <v>15273</v>
      </c>
      <c r="E120" s="28">
        <v>219</v>
      </c>
      <c r="F120" s="28">
        <f>SUM(C120-D120-E120)</f>
        <v>1786</v>
      </c>
      <c r="G120" s="28">
        <v>60025</v>
      </c>
      <c r="H120" s="28">
        <v>45305</v>
      </c>
      <c r="I120" s="28">
        <v>2509</v>
      </c>
      <c r="J120" s="28">
        <f>SUM(G120-H120-I120)</f>
        <v>12211</v>
      </c>
      <c r="K120" s="28">
        <v>2344</v>
      </c>
      <c r="L120" s="28">
        <v>0</v>
      </c>
      <c r="M120" s="28">
        <v>2975</v>
      </c>
      <c r="N120" s="28">
        <v>2587</v>
      </c>
      <c r="O120" s="28">
        <v>2587</v>
      </c>
    </row>
    <row r="121" spans="1:15" ht="12.75" customHeight="1">
      <c r="A121" s="4" t="s">
        <v>222</v>
      </c>
      <c r="B121" s="5" t="s">
        <v>223</v>
      </c>
      <c r="C121" s="28">
        <v>27527</v>
      </c>
      <c r="D121" s="28">
        <v>25077</v>
      </c>
      <c r="E121" s="28">
        <v>577</v>
      </c>
      <c r="F121" s="28">
        <f>SUM(C121-D121-E121)</f>
        <v>1873</v>
      </c>
      <c r="G121" s="28">
        <v>106921</v>
      </c>
      <c r="H121" s="28">
        <v>75600</v>
      </c>
      <c r="I121" s="28">
        <v>4543</v>
      </c>
      <c r="J121" s="28">
        <f>SUM(G121-H121-I121)</f>
        <v>26778</v>
      </c>
      <c r="K121" s="28">
        <v>403</v>
      </c>
      <c r="L121" s="28">
        <v>0</v>
      </c>
      <c r="M121" s="28">
        <v>7623</v>
      </c>
      <c r="N121" s="28">
        <v>443</v>
      </c>
      <c r="O121" s="28">
        <v>443</v>
      </c>
    </row>
    <row r="122" spans="1:15" ht="12.75" customHeight="1">
      <c r="A122" s="4" t="s">
        <v>224</v>
      </c>
      <c r="B122" s="5" t="s">
        <v>225</v>
      </c>
      <c r="C122" s="28">
        <v>5028</v>
      </c>
      <c r="D122" s="28">
        <v>4332</v>
      </c>
      <c r="E122" s="28">
        <v>0</v>
      </c>
      <c r="F122" s="28">
        <f>SUM(C122-D122-E122)</f>
        <v>696</v>
      </c>
      <c r="G122" s="28">
        <v>17821</v>
      </c>
      <c r="H122" s="28">
        <v>11809</v>
      </c>
      <c r="I122" s="28">
        <v>0</v>
      </c>
      <c r="J122" s="28">
        <f>SUM(G122-H122-I122)</f>
        <v>6012</v>
      </c>
      <c r="K122" s="28">
        <v>118</v>
      </c>
      <c r="L122" s="28">
        <v>0</v>
      </c>
      <c r="M122" s="28">
        <v>6586</v>
      </c>
      <c r="N122" s="28">
        <v>101</v>
      </c>
      <c r="O122" s="28">
        <v>101</v>
      </c>
    </row>
    <row r="123" spans="1:15" ht="12.75" customHeight="1">
      <c r="A123" s="4" t="s">
        <v>226</v>
      </c>
      <c r="B123" s="5" t="s">
        <v>227</v>
      </c>
      <c r="C123" s="28">
        <v>25898</v>
      </c>
      <c r="D123" s="28">
        <v>21654</v>
      </c>
      <c r="E123" s="28">
        <v>303</v>
      </c>
      <c r="F123" s="28">
        <f>SUM(C123-D123-E123)</f>
        <v>3941</v>
      </c>
      <c r="G123" s="28">
        <v>91259</v>
      </c>
      <c r="H123" s="28">
        <v>56905</v>
      </c>
      <c r="I123" s="28">
        <v>2347</v>
      </c>
      <c r="J123" s="28">
        <f>SUM(G123-H123-I123)</f>
        <v>32007</v>
      </c>
      <c r="K123" s="28">
        <v>1436</v>
      </c>
      <c r="L123" s="28">
        <v>0</v>
      </c>
      <c r="M123" s="28">
        <v>3855</v>
      </c>
      <c r="N123" s="28">
        <v>1012</v>
      </c>
      <c r="O123" s="28">
        <v>1012</v>
      </c>
    </row>
    <row r="124" spans="1:15" ht="12.75" customHeight="1">
      <c r="A124" s="4" t="s">
        <v>228</v>
      </c>
      <c r="B124" s="5" t="s">
        <v>229</v>
      </c>
      <c r="C124" s="28">
        <v>8952</v>
      </c>
      <c r="D124" s="28">
        <v>8008</v>
      </c>
      <c r="E124" s="28">
        <v>208</v>
      </c>
      <c r="F124" s="28">
        <f>SUM(C124-D124-E124)</f>
        <v>736</v>
      </c>
      <c r="G124" s="28">
        <v>28278</v>
      </c>
      <c r="H124" s="28">
        <v>21065</v>
      </c>
      <c r="I124" s="28">
        <v>1903</v>
      </c>
      <c r="J124" s="28">
        <f>SUM(G124-H124-I124)</f>
        <v>5310</v>
      </c>
      <c r="K124" s="28">
        <v>307</v>
      </c>
      <c r="L124" s="28">
        <v>0</v>
      </c>
      <c r="M124" s="28">
        <v>101</v>
      </c>
      <c r="N124" s="28">
        <v>353</v>
      </c>
      <c r="O124" s="28">
        <v>353</v>
      </c>
    </row>
    <row r="125" spans="1:15" ht="12.75" customHeight="1">
      <c r="A125" s="8"/>
      <c r="B125" s="9" t="s">
        <v>230</v>
      </c>
      <c r="C125" s="29">
        <f t="shared" ref="C125:O125" si="29">SUM(C120:C124)</f>
        <v>84683</v>
      </c>
      <c r="D125" s="29">
        <f t="shared" si="29"/>
        <v>74344</v>
      </c>
      <c r="E125" s="29">
        <f t="shared" si="29"/>
        <v>1307</v>
      </c>
      <c r="F125" s="29">
        <f t="shared" si="29"/>
        <v>9032</v>
      </c>
      <c r="G125" s="29">
        <f t="shared" si="29"/>
        <v>304304</v>
      </c>
      <c r="H125" s="29">
        <f t="shared" si="29"/>
        <v>210684</v>
      </c>
      <c r="I125" s="29">
        <f t="shared" si="29"/>
        <v>11302</v>
      </c>
      <c r="J125" s="29">
        <f t="shared" si="29"/>
        <v>82318</v>
      </c>
      <c r="K125" s="29">
        <f t="shared" si="29"/>
        <v>4608</v>
      </c>
      <c r="L125" s="29">
        <f t="shared" si="29"/>
        <v>0</v>
      </c>
      <c r="M125" s="29">
        <f t="shared" si="29"/>
        <v>21140</v>
      </c>
      <c r="N125" s="29">
        <f t="shared" si="29"/>
        <v>4496</v>
      </c>
      <c r="O125" s="29">
        <f t="shared" si="29"/>
        <v>4496</v>
      </c>
    </row>
    <row r="126" spans="1:15" ht="12.75" customHeight="1">
      <c r="A126" s="4" t="s">
        <v>231</v>
      </c>
      <c r="B126" s="5" t="s">
        <v>232</v>
      </c>
      <c r="C126" s="28">
        <v>17693</v>
      </c>
      <c r="D126" s="28">
        <v>12951</v>
      </c>
      <c r="E126" s="28">
        <v>0</v>
      </c>
      <c r="F126" s="28">
        <f t="shared" ref="F126:F134" si="30">SUM(C126-D126-E126)</f>
        <v>4742</v>
      </c>
      <c r="G126" s="28">
        <v>53383</v>
      </c>
      <c r="H126" s="28">
        <v>30256</v>
      </c>
      <c r="I126" s="28">
        <v>0</v>
      </c>
      <c r="J126" s="28">
        <f t="shared" ref="J126:J134" si="31">SUM(G126-H126-I126)</f>
        <v>23127</v>
      </c>
      <c r="K126" s="28">
        <v>355</v>
      </c>
      <c r="L126" s="28">
        <v>0</v>
      </c>
      <c r="M126" s="28">
        <v>5301</v>
      </c>
      <c r="N126" s="28">
        <v>231</v>
      </c>
      <c r="O126" s="28">
        <v>231</v>
      </c>
    </row>
    <row r="127" spans="1:15" ht="12.75" customHeight="1">
      <c r="A127" s="4" t="s">
        <v>233</v>
      </c>
      <c r="B127" s="5" t="s">
        <v>234</v>
      </c>
      <c r="C127" s="28">
        <v>8409</v>
      </c>
      <c r="D127" s="28">
        <v>7006</v>
      </c>
      <c r="E127" s="28">
        <v>0</v>
      </c>
      <c r="F127" s="28">
        <f t="shared" si="30"/>
        <v>1403</v>
      </c>
      <c r="G127" s="28">
        <v>30481</v>
      </c>
      <c r="H127" s="28">
        <v>24087</v>
      </c>
      <c r="I127" s="28">
        <v>0</v>
      </c>
      <c r="J127" s="28">
        <f t="shared" si="31"/>
        <v>6394</v>
      </c>
      <c r="K127" s="28">
        <v>76</v>
      </c>
      <c r="L127" s="28">
        <v>0</v>
      </c>
      <c r="M127" s="28">
        <v>1741</v>
      </c>
      <c r="N127" s="28">
        <v>184</v>
      </c>
      <c r="O127" s="28">
        <v>184</v>
      </c>
    </row>
    <row r="128" spans="1:15" ht="12.75" customHeight="1">
      <c r="A128" s="4" t="s">
        <v>235</v>
      </c>
      <c r="B128" s="5" t="s">
        <v>236</v>
      </c>
      <c r="C128" s="28">
        <v>57056</v>
      </c>
      <c r="D128" s="28">
        <v>44026</v>
      </c>
      <c r="E128" s="28">
        <v>1075</v>
      </c>
      <c r="F128" s="28">
        <f t="shared" si="30"/>
        <v>11955</v>
      </c>
      <c r="G128" s="28">
        <v>144029</v>
      </c>
      <c r="H128" s="28">
        <v>95181</v>
      </c>
      <c r="I128" s="28">
        <v>5011</v>
      </c>
      <c r="J128" s="28">
        <f t="shared" si="31"/>
        <v>43837</v>
      </c>
      <c r="K128" s="28">
        <v>2273</v>
      </c>
      <c r="L128" s="28">
        <v>0</v>
      </c>
      <c r="M128" s="28">
        <v>9009</v>
      </c>
      <c r="N128" s="28">
        <v>1179</v>
      </c>
      <c r="O128" s="28">
        <v>1179</v>
      </c>
    </row>
    <row r="129" spans="1:15" ht="12.75" customHeight="1">
      <c r="A129" s="4" t="s">
        <v>237</v>
      </c>
      <c r="B129" s="5" t="s">
        <v>238</v>
      </c>
      <c r="C129" s="28">
        <v>6190</v>
      </c>
      <c r="D129" s="28">
        <v>4704</v>
      </c>
      <c r="E129" s="28">
        <v>277</v>
      </c>
      <c r="F129" s="28">
        <f t="shared" si="30"/>
        <v>1209</v>
      </c>
      <c r="G129" s="28">
        <v>24825</v>
      </c>
      <c r="H129" s="28">
        <v>11559</v>
      </c>
      <c r="I129" s="28">
        <v>2646</v>
      </c>
      <c r="J129" s="28">
        <f t="shared" si="31"/>
        <v>10620</v>
      </c>
      <c r="K129" s="28">
        <v>247</v>
      </c>
      <c r="L129" s="28">
        <v>0</v>
      </c>
      <c r="M129" s="28">
        <v>5804</v>
      </c>
      <c r="N129" s="28">
        <v>107</v>
      </c>
      <c r="O129" s="28">
        <v>107</v>
      </c>
    </row>
    <row r="130" spans="1:15" ht="12.75" customHeight="1">
      <c r="A130" s="4" t="s">
        <v>239</v>
      </c>
      <c r="B130" s="5" t="s">
        <v>240</v>
      </c>
      <c r="C130" s="28">
        <v>35756</v>
      </c>
      <c r="D130" s="28">
        <v>29645</v>
      </c>
      <c r="E130" s="28">
        <v>1786</v>
      </c>
      <c r="F130" s="28">
        <f t="shared" si="30"/>
        <v>4325</v>
      </c>
      <c r="G130" s="28">
        <v>95570</v>
      </c>
      <c r="H130" s="28">
        <v>50816</v>
      </c>
      <c r="I130" s="28">
        <v>8602</v>
      </c>
      <c r="J130" s="28">
        <f t="shared" si="31"/>
        <v>36152</v>
      </c>
      <c r="K130" s="28">
        <v>1659</v>
      </c>
      <c r="L130" s="28">
        <v>0</v>
      </c>
      <c r="M130" s="28">
        <v>915</v>
      </c>
      <c r="N130" s="28">
        <v>4549</v>
      </c>
      <c r="O130" s="28">
        <v>4549</v>
      </c>
    </row>
    <row r="131" spans="1:15" ht="12.75" customHeight="1">
      <c r="A131" s="4" t="s">
        <v>241</v>
      </c>
      <c r="B131" s="5" t="s">
        <v>242</v>
      </c>
      <c r="C131" s="28">
        <v>64650</v>
      </c>
      <c r="D131" s="28">
        <v>55551</v>
      </c>
      <c r="E131" s="28">
        <v>450</v>
      </c>
      <c r="F131" s="28">
        <f t="shared" si="30"/>
        <v>8649</v>
      </c>
      <c r="G131" s="28">
        <v>178425</v>
      </c>
      <c r="H131" s="28">
        <v>91487</v>
      </c>
      <c r="I131" s="28">
        <v>2721</v>
      </c>
      <c r="J131" s="28">
        <f t="shared" si="31"/>
        <v>84217</v>
      </c>
      <c r="K131" s="28">
        <v>2275</v>
      </c>
      <c r="L131" s="28">
        <v>0</v>
      </c>
      <c r="M131" s="28">
        <v>3597</v>
      </c>
      <c r="N131" s="28">
        <v>1615</v>
      </c>
      <c r="O131" s="28">
        <v>1615</v>
      </c>
    </row>
    <row r="132" spans="1:15" ht="12.75" customHeight="1">
      <c r="A132" s="4" t="s">
        <v>243</v>
      </c>
      <c r="B132" s="5" t="s">
        <v>244</v>
      </c>
      <c r="C132" s="28">
        <v>31236</v>
      </c>
      <c r="D132" s="28">
        <v>25921</v>
      </c>
      <c r="E132" s="28">
        <v>0</v>
      </c>
      <c r="F132" s="28">
        <f t="shared" si="30"/>
        <v>5315</v>
      </c>
      <c r="G132" s="28">
        <v>93911</v>
      </c>
      <c r="H132" s="28">
        <v>54322</v>
      </c>
      <c r="I132" s="28">
        <v>0</v>
      </c>
      <c r="J132" s="28">
        <f t="shared" si="31"/>
        <v>39589</v>
      </c>
      <c r="K132" s="28">
        <v>2934</v>
      </c>
      <c r="L132" s="28">
        <v>0</v>
      </c>
      <c r="M132" s="28">
        <v>6498</v>
      </c>
      <c r="N132" s="28">
        <v>310</v>
      </c>
      <c r="O132" s="28">
        <v>310</v>
      </c>
    </row>
    <row r="133" spans="1:15" ht="12.75" customHeight="1">
      <c r="A133" s="4" t="s">
        <v>245</v>
      </c>
      <c r="B133" s="5" t="s">
        <v>246</v>
      </c>
      <c r="C133" s="28">
        <v>28910</v>
      </c>
      <c r="D133" s="28">
        <v>25277</v>
      </c>
      <c r="E133" s="28">
        <v>0</v>
      </c>
      <c r="F133" s="28">
        <f t="shared" si="30"/>
        <v>3633</v>
      </c>
      <c r="G133" s="28">
        <v>70891</v>
      </c>
      <c r="H133" s="28">
        <v>56378</v>
      </c>
      <c r="I133" s="28">
        <v>0</v>
      </c>
      <c r="J133" s="28">
        <f t="shared" si="31"/>
        <v>14513</v>
      </c>
      <c r="K133" s="28">
        <v>7602</v>
      </c>
      <c r="L133" s="28">
        <v>0</v>
      </c>
      <c r="M133" s="28">
        <v>4881</v>
      </c>
      <c r="N133" s="28">
        <v>620</v>
      </c>
      <c r="O133" s="28">
        <v>620</v>
      </c>
    </row>
    <row r="134" spans="1:15" ht="12.75" customHeight="1">
      <c r="A134" s="4" t="s">
        <v>247</v>
      </c>
      <c r="B134" s="5" t="s">
        <v>248</v>
      </c>
      <c r="C134" s="28">
        <v>17087</v>
      </c>
      <c r="D134" s="28">
        <v>13364</v>
      </c>
      <c r="E134" s="28">
        <v>0</v>
      </c>
      <c r="F134" s="28">
        <f t="shared" si="30"/>
        <v>3723</v>
      </c>
      <c r="G134" s="28">
        <v>41910</v>
      </c>
      <c r="H134" s="28">
        <v>28751</v>
      </c>
      <c r="I134" s="28">
        <v>0</v>
      </c>
      <c r="J134" s="28">
        <f t="shared" si="31"/>
        <v>13159</v>
      </c>
      <c r="K134" s="28">
        <v>148</v>
      </c>
      <c r="L134" s="28">
        <v>0</v>
      </c>
      <c r="M134" s="28">
        <v>5795</v>
      </c>
      <c r="N134" s="28">
        <v>112</v>
      </c>
      <c r="O134" s="28">
        <v>112</v>
      </c>
    </row>
    <row r="135" spans="1:15" ht="12.75" customHeight="1">
      <c r="A135" s="10"/>
      <c r="B135" s="9" t="s">
        <v>249</v>
      </c>
      <c r="C135" s="29">
        <f t="shared" ref="C135:O135" si="32">SUM(C126:C134)</f>
        <v>266987</v>
      </c>
      <c r="D135" s="29">
        <f t="shared" si="32"/>
        <v>218445</v>
      </c>
      <c r="E135" s="29">
        <f t="shared" si="32"/>
        <v>3588</v>
      </c>
      <c r="F135" s="29">
        <f t="shared" si="32"/>
        <v>44954</v>
      </c>
      <c r="G135" s="29">
        <f t="shared" si="32"/>
        <v>733425</v>
      </c>
      <c r="H135" s="29">
        <f t="shared" si="32"/>
        <v>442837</v>
      </c>
      <c r="I135" s="29">
        <f t="shared" si="32"/>
        <v>18980</v>
      </c>
      <c r="J135" s="29">
        <f t="shared" si="32"/>
        <v>271608</v>
      </c>
      <c r="K135" s="29">
        <f t="shared" si="32"/>
        <v>17569</v>
      </c>
      <c r="L135" s="29">
        <f t="shared" si="32"/>
        <v>0</v>
      </c>
      <c r="M135" s="29">
        <f t="shared" si="32"/>
        <v>43541</v>
      </c>
      <c r="N135" s="29">
        <f t="shared" si="32"/>
        <v>8907</v>
      </c>
      <c r="O135" s="29">
        <f t="shared" si="32"/>
        <v>8907</v>
      </c>
    </row>
    <row r="136" spans="1:15" ht="12.75" customHeight="1">
      <c r="A136" s="4" t="s">
        <v>250</v>
      </c>
      <c r="B136" s="5" t="s">
        <v>251</v>
      </c>
      <c r="C136" s="28">
        <v>40204</v>
      </c>
      <c r="D136" s="28">
        <v>37304</v>
      </c>
      <c r="E136" s="28">
        <v>0</v>
      </c>
      <c r="F136" s="28">
        <f t="shared" ref="F136:F143" si="33">SUM(C136-D136-E136)</f>
        <v>2900</v>
      </c>
      <c r="G136" s="28">
        <v>100591</v>
      </c>
      <c r="H136" s="28">
        <v>76782</v>
      </c>
      <c r="I136" s="28">
        <v>0</v>
      </c>
      <c r="J136" s="28">
        <f t="shared" ref="J136:J143" si="34">SUM(G136-H136-I136)</f>
        <v>23809</v>
      </c>
      <c r="K136" s="28">
        <v>9396</v>
      </c>
      <c r="L136" s="28">
        <v>4734</v>
      </c>
      <c r="M136" s="28">
        <v>4569</v>
      </c>
      <c r="N136" s="28">
        <v>13800</v>
      </c>
      <c r="O136" s="28">
        <v>13800</v>
      </c>
    </row>
    <row r="137" spans="1:15" ht="12.75" customHeight="1">
      <c r="A137" s="4" t="s">
        <v>252</v>
      </c>
      <c r="B137" s="5" t="s">
        <v>253</v>
      </c>
      <c r="C137" s="28">
        <v>5737</v>
      </c>
      <c r="D137" s="28">
        <v>5733</v>
      </c>
      <c r="E137" s="28">
        <v>0</v>
      </c>
      <c r="F137" s="28">
        <f t="shared" si="33"/>
        <v>4</v>
      </c>
      <c r="G137" s="28">
        <v>12894</v>
      </c>
      <c r="H137" s="28">
        <v>12751</v>
      </c>
      <c r="I137" s="28">
        <v>0</v>
      </c>
      <c r="J137" s="28">
        <f t="shared" si="34"/>
        <v>143</v>
      </c>
      <c r="K137" s="28">
        <v>312</v>
      </c>
      <c r="L137" s="28">
        <v>0</v>
      </c>
      <c r="M137" s="28">
        <v>0</v>
      </c>
      <c r="N137" s="28">
        <v>1022</v>
      </c>
      <c r="O137" s="28">
        <v>1022</v>
      </c>
    </row>
    <row r="138" spans="1:15" ht="12.75" customHeight="1">
      <c r="A138" s="4" t="s">
        <v>254</v>
      </c>
      <c r="B138" s="5" t="s">
        <v>255</v>
      </c>
      <c r="C138" s="28">
        <v>3707</v>
      </c>
      <c r="D138" s="28">
        <v>3669</v>
      </c>
      <c r="E138" s="28">
        <v>0</v>
      </c>
      <c r="F138" s="28">
        <f t="shared" si="33"/>
        <v>38</v>
      </c>
      <c r="G138" s="28">
        <v>13662</v>
      </c>
      <c r="H138" s="28">
        <v>11783</v>
      </c>
      <c r="I138" s="28">
        <v>0</v>
      </c>
      <c r="J138" s="28">
        <f t="shared" si="34"/>
        <v>1879</v>
      </c>
      <c r="K138" s="28">
        <v>1229</v>
      </c>
      <c r="L138" s="28">
        <v>0</v>
      </c>
      <c r="M138" s="28">
        <v>1651</v>
      </c>
      <c r="N138" s="28">
        <v>2188</v>
      </c>
      <c r="O138" s="28">
        <v>2188</v>
      </c>
    </row>
    <row r="139" spans="1:15" ht="12.75" customHeight="1">
      <c r="A139" s="4" t="s">
        <v>256</v>
      </c>
      <c r="B139" s="5" t="s">
        <v>257</v>
      </c>
      <c r="C139" s="28">
        <v>10008</v>
      </c>
      <c r="D139" s="28">
        <v>9096</v>
      </c>
      <c r="E139" s="28">
        <v>0</v>
      </c>
      <c r="F139" s="28">
        <f t="shared" si="33"/>
        <v>912</v>
      </c>
      <c r="G139" s="28">
        <v>30158</v>
      </c>
      <c r="H139" s="28">
        <v>25115</v>
      </c>
      <c r="I139" s="28">
        <v>0</v>
      </c>
      <c r="J139" s="28">
        <f t="shared" si="34"/>
        <v>5043</v>
      </c>
      <c r="K139" s="28">
        <v>5997</v>
      </c>
      <c r="L139" s="28">
        <v>633</v>
      </c>
      <c r="M139" s="28">
        <v>3872</v>
      </c>
      <c r="N139" s="28">
        <v>1697</v>
      </c>
      <c r="O139" s="28">
        <v>1697</v>
      </c>
    </row>
    <row r="140" spans="1:15" ht="12.75" customHeight="1">
      <c r="A140" s="4" t="s">
        <v>258</v>
      </c>
      <c r="B140" s="5" t="s">
        <v>259</v>
      </c>
      <c r="C140" s="28">
        <v>2131</v>
      </c>
      <c r="D140" s="28">
        <v>2116</v>
      </c>
      <c r="E140" s="28">
        <v>0</v>
      </c>
      <c r="F140" s="28">
        <f t="shared" si="33"/>
        <v>15</v>
      </c>
      <c r="G140" s="28">
        <v>4519</v>
      </c>
      <c r="H140" s="28">
        <v>4430</v>
      </c>
      <c r="I140" s="28">
        <v>0</v>
      </c>
      <c r="J140" s="28">
        <f t="shared" si="34"/>
        <v>89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11983</v>
      </c>
      <c r="D141" s="28">
        <v>11409</v>
      </c>
      <c r="E141" s="28">
        <v>0</v>
      </c>
      <c r="F141" s="28">
        <f t="shared" si="33"/>
        <v>574</v>
      </c>
      <c r="G141" s="28">
        <v>24943</v>
      </c>
      <c r="H141" s="28">
        <v>22579</v>
      </c>
      <c r="I141" s="28">
        <v>0</v>
      </c>
      <c r="J141" s="28">
        <f t="shared" si="34"/>
        <v>2364</v>
      </c>
      <c r="K141" s="28">
        <v>146</v>
      </c>
      <c r="L141" s="28">
        <v>0</v>
      </c>
      <c r="M141" s="28">
        <v>13</v>
      </c>
      <c r="N141" s="28">
        <v>1569</v>
      </c>
      <c r="O141" s="28">
        <v>1569</v>
      </c>
    </row>
    <row r="142" spans="1:15" ht="12.75" customHeight="1">
      <c r="A142" s="4" t="s">
        <v>262</v>
      </c>
      <c r="B142" s="5" t="s">
        <v>263</v>
      </c>
      <c r="C142" s="28">
        <v>9801</v>
      </c>
      <c r="D142" s="28">
        <v>7189</v>
      </c>
      <c r="E142" s="28">
        <v>0</v>
      </c>
      <c r="F142" s="28">
        <f t="shared" si="33"/>
        <v>2612</v>
      </c>
      <c r="G142" s="28">
        <v>31175</v>
      </c>
      <c r="H142" s="28">
        <v>24209</v>
      </c>
      <c r="I142" s="28">
        <v>0</v>
      </c>
      <c r="J142" s="28">
        <f t="shared" si="34"/>
        <v>6966</v>
      </c>
      <c r="K142" s="28">
        <v>3965</v>
      </c>
      <c r="L142" s="28">
        <v>0</v>
      </c>
      <c r="M142" s="28">
        <v>4939</v>
      </c>
      <c r="N142" s="28">
        <v>3677</v>
      </c>
      <c r="O142" s="28">
        <v>3677</v>
      </c>
    </row>
    <row r="143" spans="1:15" ht="12.75" customHeight="1">
      <c r="A143" s="4" t="s">
        <v>264</v>
      </c>
      <c r="B143" s="5" t="s">
        <v>265</v>
      </c>
      <c r="C143" s="28">
        <v>25175</v>
      </c>
      <c r="D143" s="28">
        <v>20642</v>
      </c>
      <c r="E143" s="28">
        <v>0</v>
      </c>
      <c r="F143" s="28">
        <f t="shared" si="33"/>
        <v>4533</v>
      </c>
      <c r="G143" s="28">
        <v>84607</v>
      </c>
      <c r="H143" s="28">
        <v>38336</v>
      </c>
      <c r="I143" s="28">
        <v>0</v>
      </c>
      <c r="J143" s="28">
        <f t="shared" si="34"/>
        <v>46271</v>
      </c>
      <c r="K143" s="28">
        <v>24606</v>
      </c>
      <c r="L143" s="28">
        <v>452</v>
      </c>
      <c r="M143" s="28">
        <v>7382</v>
      </c>
      <c r="N143" s="28">
        <v>5315</v>
      </c>
      <c r="O143" s="28">
        <v>5315</v>
      </c>
    </row>
    <row r="144" spans="1:15" ht="12.75" customHeight="1">
      <c r="A144" s="10"/>
      <c r="B144" s="9" t="s">
        <v>266</v>
      </c>
      <c r="C144" s="30">
        <f t="shared" ref="C144:O144" si="35">SUM(C136:C143)</f>
        <v>108746</v>
      </c>
      <c r="D144" s="30">
        <f t="shared" si="35"/>
        <v>97158</v>
      </c>
      <c r="E144" s="30">
        <f t="shared" si="35"/>
        <v>0</v>
      </c>
      <c r="F144" s="30">
        <f t="shared" si="35"/>
        <v>11588</v>
      </c>
      <c r="G144" s="30">
        <f t="shared" si="35"/>
        <v>302549</v>
      </c>
      <c r="H144" s="30">
        <f t="shared" si="35"/>
        <v>215985</v>
      </c>
      <c r="I144" s="30">
        <f t="shared" si="35"/>
        <v>0</v>
      </c>
      <c r="J144" s="30">
        <f t="shared" si="35"/>
        <v>86564</v>
      </c>
      <c r="K144" s="30">
        <f t="shared" si="35"/>
        <v>45651</v>
      </c>
      <c r="L144" s="30">
        <f t="shared" si="35"/>
        <v>5819</v>
      </c>
      <c r="M144" s="30">
        <f t="shared" si="35"/>
        <v>22426</v>
      </c>
      <c r="N144" s="30">
        <f t="shared" si="35"/>
        <v>29268</v>
      </c>
      <c r="O144" s="30">
        <f t="shared" si="35"/>
        <v>29268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3599828</v>
      </c>
      <c r="D145" s="31">
        <f t="shared" si="36"/>
        <v>2585613</v>
      </c>
      <c r="E145" s="31">
        <f t="shared" si="36"/>
        <v>90670</v>
      </c>
      <c r="F145" s="31">
        <f t="shared" si="36"/>
        <v>923545</v>
      </c>
      <c r="G145" s="31">
        <f t="shared" si="36"/>
        <v>11452876</v>
      </c>
      <c r="H145" s="31">
        <f t="shared" si="36"/>
        <v>5859573</v>
      </c>
      <c r="I145" s="31">
        <f t="shared" si="36"/>
        <v>467499</v>
      </c>
      <c r="J145" s="31">
        <f t="shared" si="36"/>
        <v>5125804</v>
      </c>
      <c r="K145" s="31">
        <f t="shared" si="36"/>
        <v>484696</v>
      </c>
      <c r="L145" s="31">
        <f t="shared" si="36"/>
        <v>10058</v>
      </c>
      <c r="M145" s="31">
        <f t="shared" si="36"/>
        <v>854225</v>
      </c>
      <c r="N145" s="31">
        <f t="shared" si="36"/>
        <v>398870</v>
      </c>
      <c r="O145" s="31">
        <f t="shared" si="36"/>
        <v>235658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2017-10-04T13:40:56Z</dcterms:modified>
</cp:coreProperties>
</file>