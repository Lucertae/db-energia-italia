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D145" s="1"/>
  <c r="E125"/>
  <c r="F125"/>
  <c r="G125"/>
  <c r="H125"/>
  <c r="H145" s="1"/>
  <c r="I125"/>
  <c r="C135"/>
  <c r="D135"/>
  <c r="E135"/>
  <c r="E145" s="1"/>
  <c r="F135"/>
  <c r="G135"/>
  <c r="H135"/>
  <c r="I135"/>
  <c r="I145" s="1"/>
  <c r="C144"/>
  <c r="D144"/>
  <c r="E144"/>
  <c r="F144"/>
  <c r="F145" s="1"/>
  <c r="G144"/>
  <c r="H144"/>
  <c r="I144"/>
  <c r="C145"/>
  <c r="G145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E145" s="1"/>
  <c r="F125"/>
  <c r="G125"/>
  <c r="H125"/>
  <c r="I125"/>
  <c r="I145" s="1"/>
  <c r="C135"/>
  <c r="D135"/>
  <c r="E135"/>
  <c r="F135"/>
  <c r="F145" s="1"/>
  <c r="G135"/>
  <c r="H135"/>
  <c r="I135"/>
  <c r="C144"/>
  <c r="C145" s="1"/>
  <c r="D144"/>
  <c r="E144"/>
  <c r="F144"/>
  <c r="G144"/>
  <c r="G145" s="1"/>
  <c r="H144"/>
  <c r="I144"/>
  <c r="D145"/>
  <c r="H145"/>
</calcChain>
</file>

<file path=xl/sharedStrings.xml><?xml version="1.0" encoding="utf-8"?>
<sst xmlns="http://schemas.openxmlformats.org/spreadsheetml/2006/main" count="526" uniqueCount="264">
  <si>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</si>
  <si>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</si>
  <si>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</si>
  <si>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</si>
  <si>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</si>
  <si>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</si>
  <si>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provvisori</t>
  </si>
  <si>
    <t>Periodo: febbraio 2017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</si>
  <si>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</si>
  <si>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</si>
  <si>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</si>
  <si>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</si>
  <si>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</si>
  <si>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</si>
  <si>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</si>
  <si>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</si>
  <si>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</si>
  <si>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</si>
  <si>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</si>
  <si>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</si>
  <si>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</si>
  <si>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</si>
  <si>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</si>
  <si>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</si>
  <si>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</si>
  <si>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</si>
  <si>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</si>
  <si>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</si>
  <si>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</si>
  <si>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</si>
  <si>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</si>
  <si>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</si>
  <si>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</si>
  <si>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</si>
  <si>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</si>
  <si>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</si>
  <si>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</si>
  <si>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</si>
  <si>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</si>
  <si>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</si>
  <si>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</si>
  <si>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</si>
  <si>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</si>
  <si>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</si>
  <si>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</si>
  <si>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</si>
  <si>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</si>
  <si>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</si>
  <si>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</si>
  <si>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</si>
  <si>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</si>
  <si>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</si>
  <si>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</si>
  <si>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</si>
  <si>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</si>
  <si>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</si>
  <si>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</si>
  <si>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</si>
  <si>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</si>
  <si>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</si>
  <si>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</si>
  <si>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</si>
  <si>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</si>
  <si>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</si>
  <si>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</si>
  <si>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</si>
  <si>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</si>
  <si>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</si>
  <si>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</si>
  <si>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</si>
  <si>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</si>
  <si>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</si>
  <si>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</si>
  <si>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</si>
  <si>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</si>
  <si>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</si>
  <si>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</si>
  <si>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</si>
  <si>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</si>
  <si>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</si>
  <si>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</si>
  <si>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</si>
  <si>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</si>
  <si>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</si>
  <si>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</si>
  <si>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</si>
  <si>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</si>
  <si>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</si>
  <si>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</si>
  <si>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</si>
  <si>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</si>
  <si>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</si>
  <si>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</si>
  <si>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</si>
  <si>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</si>
  <si>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</si>
  <si>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</si>
  <si>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</si>
  <si>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</si>
  <si>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</si>
  <si>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</si>
  <si>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</si>
  <si>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</si>
  <si>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</si>
  <si>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</si>
  <si>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</si>
  <si>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</si>
  <si>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</si>
  <si>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</si>
  <si>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</si>
  <si>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</si>
  <si>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</si>
  <si>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</si>
  <si>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</si>
  <si>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</si>
  <si>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</si>
  <si>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</si>
  <si>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</si>
  <si>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</si>
  <si>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</si>
  <si>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</si>
  <si>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</si>
  <si>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</si>
  <si>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</si>
  <si>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</si>
  <si>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</si>
  <si>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</si>
  <si>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</si>
  <si>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</si>
  <si>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</si>
  <si>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</si>
  <si>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</si>
  <si>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</si>
  <si>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</si>
  <si>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</si>
  <si>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</si>
  <si>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</si>
  <si>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</si>
  <si>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</si>
  <si>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</si>
  <si>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</si>
  <si>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</si>
  <si>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</si>
  <si>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</si>
  <si>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</si>
  <si>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</si>
  <si>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</si>
  <si>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</si>
  <si>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</si>
  <si>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</si>
  <si>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</si>
  <si>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</si>
  <si>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</si>
  <si>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</si>
  <si>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</si>
  <si>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</si>
  <si>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</si>
  <si>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</si>
  <si>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</si>
  <si>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</si>
  <si>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</si>
  <si>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</si>
  <si>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</si>
  <si>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</si>
  <si>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</si>
  <si>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</si>
  <si>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</si>
  <si>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</si>
  <si>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</si>
  <si>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</si>
  <si>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</si>
  <si>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</si>
  <si>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</si>
  <si>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</si>
  <si>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</si>
  <si>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</si>
  <si>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</si>
  <si>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</si>
  <si>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</si>
  <si>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</si>
  <si>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</si>
  <si>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</si>
  <si>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</si>
  <si>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</si>
  <si>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</si>
  <si>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</si>
  <si>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</si>
  <si>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</si>
  <si>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</si>
  <si>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</si>
  <si>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</si>
  <si>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</si>
  <si>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</si>
  <si>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</si>
  <si>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</si>
  <si>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</si>
  <si>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</si>
  <si>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</si>
  <si>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</si>
  <si>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</si>
  <si>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</si>
  <si>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</si>
  <si>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</si>
  <si>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</si>
  <si>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</si>
  <si>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</si>
  <si>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</si>
  <si>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</si>
  <si>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</si>
  <si>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</si>
  <si>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</si>
  <si>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</si>
  <si>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</si>
  <si>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</si>
  <si>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</si>
  <si>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</si>
  <si>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</si>
  <si>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</si>
  <si>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</si>
  <si>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</si>
  <si>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</si>
  <si>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</si>
  <si>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</si>
  <si>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</si>
  <si>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</si>
  <si>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</si>
  <si>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</si>
  <si>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</si>
  <si>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</si>
  <si>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</si>
  <si>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</si>
  <si>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</si>
  <si>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</si>
  <si>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</si>
  <si>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</si>
  <si>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</si>
  <si>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</si>
  <si>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</si>
  <si>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</si>
  <si>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</si>
  <si>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</si>
  <si>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</si>
  <si>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</si>
  <si>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</si>
  <si>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</si>
  <si>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</si>
  <si>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</si>
  <si>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</si>
  <si>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</si>
  <si>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</si>
  <si>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</si>
  <si>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</si>
  <si>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</si>
  <si>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</si>
  <si>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</si>
  <si>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</si>
  <si>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</si>
  <si>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</si>
  <si>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</si>
  <si>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</si>
  <si>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</si>
  <si>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</si>
  <si>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</si>
  <si>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gennaio-febbraio 2017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</si>
</sst>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workbookViewId="0">
      <selection activeCell="L51" sqref="L5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1859</v>
      </c>
      <c r="D15" s="29">
        <v>844</v>
      </c>
      <c r="E15" s="29">
        <v>804</v>
      </c>
      <c r="F15" s="29">
        <v>56</v>
      </c>
      <c r="G15" s="29">
        <v>765</v>
      </c>
      <c r="H15" s="29">
        <v>475</v>
      </c>
      <c r="I15" s="29">
        <v>0</v>
      </c>
    </row>
    <row r="16" spans="1:19" ht="12.75" customHeight="1">
      <c r="A16" s="3" t="s">
        <v>22</v>
      </c>
      <c r="B16" s="4" t="s">
        <v>23</v>
      </c>
      <c r="C16" s="30">
        <v>1177</v>
      </c>
      <c r="D16" s="30">
        <v>357</v>
      </c>
      <c r="E16" s="30">
        <v>349</v>
      </c>
      <c r="F16" s="30">
        <v>55</v>
      </c>
      <c r="G16" s="30">
        <v>721</v>
      </c>
      <c r="H16" s="30">
        <v>43</v>
      </c>
      <c r="I16" s="30">
        <v>1</v>
      </c>
    </row>
    <row r="17" spans="1:9" ht="12.75" customHeight="1">
      <c r="A17" s="3" t="s">
        <v>24</v>
      </c>
      <c r="B17" s="4" t="s">
        <v>25</v>
      </c>
      <c r="C17" s="30">
        <v>579</v>
      </c>
      <c r="D17" s="30">
        <v>237</v>
      </c>
      <c r="E17" s="30">
        <v>237</v>
      </c>
      <c r="F17" s="30">
        <v>45</v>
      </c>
      <c r="G17" s="30">
        <v>297</v>
      </c>
      <c r="H17" s="30">
        <v>43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4303</v>
      </c>
      <c r="D18" s="30">
        <v>1134</v>
      </c>
      <c r="E18" s="30">
        <v>385</v>
      </c>
      <c r="F18" s="30">
        <v>206</v>
      </c>
      <c r="G18" s="30">
        <v>2430</v>
      </c>
      <c r="H18" s="30">
        <v>819</v>
      </c>
      <c r="I18" s="30">
        <v>1</v>
      </c>
    </row>
    <row r="19" spans="1:9" ht="12.75" customHeight="1">
      <c r="A19" s="3" t="s">
        <v>28</v>
      </c>
      <c r="B19" s="4" t="s">
        <v>29</v>
      </c>
      <c r="C19" s="30">
        <v>2236</v>
      </c>
      <c r="D19" s="30">
        <v>647</v>
      </c>
      <c r="E19" s="30">
        <v>585</v>
      </c>
      <c r="F19" s="30">
        <v>21</v>
      </c>
      <c r="G19" s="30">
        <v>1339</v>
      </c>
      <c r="H19" s="30">
        <v>121</v>
      </c>
      <c r="I19" s="30">
        <v>1</v>
      </c>
    </row>
    <row r="20" spans="1:9" ht="12.75" customHeight="1">
      <c r="A20" s="3" t="s">
        <v>30</v>
      </c>
      <c r="B20" s="4" t="s">
        <v>31</v>
      </c>
      <c r="C20" s="30">
        <v>10044</v>
      </c>
      <c r="D20" s="30">
        <v>4229</v>
      </c>
      <c r="E20" s="30">
        <v>3957</v>
      </c>
      <c r="F20" s="30">
        <v>358</v>
      </c>
      <c r="G20" s="30">
        <v>4291</v>
      </c>
      <c r="H20" s="30">
        <v>1899</v>
      </c>
      <c r="I20" s="30">
        <v>4</v>
      </c>
    </row>
    <row r="21" spans="1:9" ht="12.75" customHeight="1">
      <c r="A21" s="3" t="s">
        <v>32</v>
      </c>
      <c r="B21" s="4" t="s">
        <v>33</v>
      </c>
      <c r="C21" s="30">
        <v>499</v>
      </c>
      <c r="D21" s="30">
        <v>159</v>
      </c>
      <c r="E21" s="30">
        <v>159</v>
      </c>
      <c r="F21" s="30">
        <v>19</v>
      </c>
      <c r="G21" s="30">
        <v>321</v>
      </c>
      <c r="H21" s="30">
        <v>30</v>
      </c>
      <c r="I21" s="30">
        <v>1</v>
      </c>
    </row>
    <row r="22" spans="1:9" ht="12.75" customHeight="1">
      <c r="A22" s="3" t="s">
        <v>34</v>
      </c>
      <c r="B22" s="4" t="s">
        <v>35</v>
      </c>
      <c r="C22" s="30">
        <v>640</v>
      </c>
      <c r="D22" s="30">
        <v>273</v>
      </c>
      <c r="E22" s="30">
        <v>273</v>
      </c>
      <c r="F22" s="30">
        <v>26</v>
      </c>
      <c r="G22" s="30">
        <v>341</v>
      </c>
      <c r="H22" s="30">
        <v>60</v>
      </c>
      <c r="I22" s="30">
        <v>1</v>
      </c>
    </row>
    <row r="23" spans="1:9" ht="12.75" customHeight="1">
      <c r="A23" s="5"/>
      <c r="B23" s="6" t="s">
        <v>36</v>
      </c>
      <c r="C23" s="31">
        <f t="shared" ref="C23:I23" si="0">SUM(C15:C22)</f>
        <v>21337</v>
      </c>
      <c r="D23" s="31">
        <f t="shared" si="0"/>
        <v>7880</v>
      </c>
      <c r="E23" s="31">
        <f t="shared" si="0"/>
        <v>6749</v>
      </c>
      <c r="F23" s="31">
        <f t="shared" si="0"/>
        <v>786</v>
      </c>
      <c r="G23" s="31">
        <f t="shared" si="0"/>
        <v>10505</v>
      </c>
      <c r="H23" s="31">
        <f t="shared" si="0"/>
        <v>3490</v>
      </c>
      <c r="I23" s="31">
        <f t="shared" si="0"/>
        <v>9</v>
      </c>
    </row>
    <row r="24" spans="1:9" ht="14.25" customHeight="1">
      <c r="A24" s="3" t="s">
        <v>37</v>
      </c>
      <c r="B24" s="4" t="s">
        <v>38</v>
      </c>
      <c r="C24" s="32">
        <v>1297</v>
      </c>
      <c r="D24" s="32">
        <v>117</v>
      </c>
      <c r="E24" s="32">
        <v>84</v>
      </c>
      <c r="F24" s="32">
        <v>72</v>
      </c>
      <c r="G24" s="32">
        <v>577</v>
      </c>
      <c r="H24" s="32">
        <v>36</v>
      </c>
      <c r="I24" s="32">
        <v>0</v>
      </c>
    </row>
    <row r="25" spans="1:9" ht="14.25" customHeight="1">
      <c r="A25" s="7"/>
      <c r="B25" s="6" t="s">
        <v>39</v>
      </c>
      <c r="C25" s="31">
        <f t="shared" ref="C25:I25" si="1">SUM(C24)</f>
        <v>1297</v>
      </c>
      <c r="D25" s="31">
        <f t="shared" si="1"/>
        <v>117</v>
      </c>
      <c r="E25" s="31">
        <f t="shared" si="1"/>
        <v>84</v>
      </c>
      <c r="F25" s="31">
        <f t="shared" si="1"/>
        <v>72</v>
      </c>
      <c r="G25" s="31">
        <f t="shared" si="1"/>
        <v>577</v>
      </c>
      <c r="H25" s="31">
        <f t="shared" si="1"/>
        <v>36</v>
      </c>
      <c r="I25" s="31">
        <f t="shared" si="1"/>
        <v>0</v>
      </c>
    </row>
    <row r="26" spans="1:9" ht="12.75" customHeight="1">
      <c r="A26" s="3" t="s">
        <v>40</v>
      </c>
      <c r="B26" s="4" t="s">
        <v>41</v>
      </c>
      <c r="C26" s="32">
        <v>2362</v>
      </c>
      <c r="D26" s="32">
        <v>1070</v>
      </c>
      <c r="E26" s="32">
        <v>148</v>
      </c>
      <c r="F26" s="32">
        <v>144</v>
      </c>
      <c r="G26" s="32">
        <v>484</v>
      </c>
      <c r="H26" s="32">
        <v>237</v>
      </c>
      <c r="I26" s="32">
        <v>2</v>
      </c>
    </row>
    <row r="27" spans="1:9" ht="12.75" customHeight="1">
      <c r="A27" s="3" t="s">
        <v>42</v>
      </c>
      <c r="B27" s="4" t="s">
        <v>43</v>
      </c>
      <c r="C27" s="32">
        <v>1431</v>
      </c>
      <c r="D27" s="32">
        <v>11</v>
      </c>
      <c r="E27" s="32">
        <v>11</v>
      </c>
      <c r="F27" s="32">
        <v>156</v>
      </c>
      <c r="G27" s="32">
        <v>890</v>
      </c>
      <c r="H27" s="32">
        <v>15</v>
      </c>
      <c r="I27" s="32">
        <v>0</v>
      </c>
    </row>
    <row r="28" spans="1:9" ht="12.75" customHeight="1">
      <c r="A28" s="3" t="s">
        <v>44</v>
      </c>
      <c r="B28" s="4" t="s">
        <v>45</v>
      </c>
      <c r="C28" s="32">
        <v>315</v>
      </c>
      <c r="D28" s="32">
        <v>138</v>
      </c>
      <c r="E28" s="32">
        <v>138</v>
      </c>
      <c r="F28" s="32">
        <v>10</v>
      </c>
      <c r="G28" s="32">
        <v>44</v>
      </c>
      <c r="H28" s="32">
        <v>41</v>
      </c>
      <c r="I28" s="32">
        <v>1</v>
      </c>
    </row>
    <row r="29" spans="1:9" ht="12.75" customHeight="1">
      <c r="A29" s="3" t="s">
        <v>46</v>
      </c>
      <c r="B29" s="4" t="s">
        <v>47</v>
      </c>
      <c r="C29" s="32">
        <v>777</v>
      </c>
      <c r="D29" s="32">
        <v>39</v>
      </c>
      <c r="E29" s="32">
        <v>39</v>
      </c>
      <c r="F29" s="32">
        <v>60</v>
      </c>
      <c r="G29" s="32">
        <v>598</v>
      </c>
      <c r="H29" s="32">
        <v>95</v>
      </c>
      <c r="I29" s="32">
        <v>2</v>
      </c>
    </row>
    <row r="30" spans="1:9" ht="12.75" customHeight="1">
      <c r="A30" s="5"/>
      <c r="B30" s="6" t="s">
        <v>48</v>
      </c>
      <c r="C30" s="31">
        <f t="shared" ref="C30:I30" si="2">SUM(C26:C29)</f>
        <v>4885</v>
      </c>
      <c r="D30" s="31">
        <f t="shared" si="2"/>
        <v>1258</v>
      </c>
      <c r="E30" s="31">
        <f t="shared" si="2"/>
        <v>336</v>
      </c>
      <c r="F30" s="31">
        <f t="shared" si="2"/>
        <v>370</v>
      </c>
      <c r="G30" s="31">
        <f t="shared" si="2"/>
        <v>2016</v>
      </c>
      <c r="H30" s="31">
        <f t="shared" si="2"/>
        <v>388</v>
      </c>
      <c r="I30" s="31">
        <f t="shared" si="2"/>
        <v>5</v>
      </c>
    </row>
    <row r="31" spans="1:9" ht="12.75" customHeight="1">
      <c r="A31" s="3" t="s">
        <v>49</v>
      </c>
      <c r="B31" s="4" t="s">
        <v>50</v>
      </c>
      <c r="C31" s="32">
        <v>3658</v>
      </c>
      <c r="D31" s="32">
        <v>835</v>
      </c>
      <c r="E31" s="32">
        <v>705</v>
      </c>
      <c r="F31" s="32">
        <v>132</v>
      </c>
      <c r="G31" s="32">
        <v>2454</v>
      </c>
      <c r="H31" s="32">
        <v>728</v>
      </c>
      <c r="I31" s="32">
        <v>2</v>
      </c>
    </row>
    <row r="32" spans="1:9" ht="12.75" customHeight="1">
      <c r="A32" s="3" t="s">
        <v>51</v>
      </c>
      <c r="B32" s="4" t="s">
        <v>52</v>
      </c>
      <c r="C32" s="32">
        <v>5644</v>
      </c>
      <c r="D32" s="32">
        <v>2450</v>
      </c>
      <c r="E32" s="32">
        <v>1669</v>
      </c>
      <c r="F32" s="32">
        <v>165</v>
      </c>
      <c r="G32" s="32">
        <v>2415</v>
      </c>
      <c r="H32" s="32">
        <v>1590</v>
      </c>
      <c r="I32" s="32">
        <v>2</v>
      </c>
    </row>
    <row r="33" spans="1:9" ht="12.75" customHeight="1">
      <c r="A33" s="3" t="s">
        <v>53</v>
      </c>
      <c r="B33" s="4" t="s">
        <v>54</v>
      </c>
      <c r="C33" s="32">
        <v>1286</v>
      </c>
      <c r="D33" s="32">
        <v>200</v>
      </c>
      <c r="E33" s="32">
        <v>200</v>
      </c>
      <c r="F33" s="32">
        <v>65</v>
      </c>
      <c r="G33" s="32">
        <v>735</v>
      </c>
      <c r="H33" s="32">
        <v>258</v>
      </c>
      <c r="I33" s="32">
        <v>1</v>
      </c>
    </row>
    <row r="34" spans="1:9" ht="12.75" customHeight="1">
      <c r="A34" s="3" t="s">
        <v>55</v>
      </c>
      <c r="B34" s="4" t="s">
        <v>56</v>
      </c>
      <c r="C34" s="32">
        <v>1662</v>
      </c>
      <c r="D34" s="32">
        <v>785</v>
      </c>
      <c r="E34" s="32">
        <v>350</v>
      </c>
      <c r="F34" s="32">
        <v>27</v>
      </c>
      <c r="G34" s="32">
        <v>248</v>
      </c>
      <c r="H34" s="32">
        <v>347</v>
      </c>
      <c r="I34" s="32">
        <v>1</v>
      </c>
    </row>
    <row r="35" spans="1:9" ht="12.75" customHeight="1">
      <c r="A35" s="3" t="s">
        <v>57</v>
      </c>
      <c r="B35" s="4" t="s">
        <v>58</v>
      </c>
      <c r="C35" s="32">
        <v>752</v>
      </c>
      <c r="D35" s="32">
        <v>182</v>
      </c>
      <c r="E35" s="32">
        <v>182</v>
      </c>
      <c r="F35" s="32">
        <v>30</v>
      </c>
      <c r="G35" s="32">
        <v>540</v>
      </c>
      <c r="H35" s="32">
        <v>268</v>
      </c>
      <c r="I35" s="32">
        <v>1</v>
      </c>
    </row>
    <row r="36" spans="1:9" ht="12.75" customHeight="1">
      <c r="A36" s="3" t="s">
        <v>59</v>
      </c>
      <c r="B36" s="4" t="s">
        <v>60</v>
      </c>
      <c r="C36" s="32">
        <v>344</v>
      </c>
      <c r="D36" s="32">
        <v>224</v>
      </c>
      <c r="E36" s="32">
        <v>224</v>
      </c>
      <c r="F36" s="32">
        <v>9</v>
      </c>
      <c r="G36" s="32">
        <v>89</v>
      </c>
      <c r="H36" s="32">
        <v>301</v>
      </c>
      <c r="I36" s="32">
        <v>0</v>
      </c>
    </row>
    <row r="37" spans="1:9" ht="12.75" customHeight="1">
      <c r="A37" s="3" t="s">
        <v>61</v>
      </c>
      <c r="B37" s="4" t="s">
        <v>62</v>
      </c>
      <c r="C37" s="32">
        <v>2932</v>
      </c>
      <c r="D37" s="32">
        <v>1232</v>
      </c>
      <c r="E37" s="32">
        <v>430</v>
      </c>
      <c r="F37" s="32">
        <v>67</v>
      </c>
      <c r="G37" s="32">
        <v>940</v>
      </c>
      <c r="H37" s="32">
        <v>549</v>
      </c>
      <c r="I37" s="32">
        <v>0</v>
      </c>
    </row>
    <row r="38" spans="1:9" ht="12.75" customHeight="1">
      <c r="A38" s="3" t="s">
        <v>63</v>
      </c>
      <c r="B38" s="4" t="s">
        <v>64</v>
      </c>
      <c r="C38" s="32">
        <v>5820</v>
      </c>
      <c r="D38" s="32">
        <v>3761</v>
      </c>
      <c r="E38" s="32">
        <v>2453</v>
      </c>
      <c r="F38" s="32">
        <v>139</v>
      </c>
      <c r="G38" s="32">
        <v>1011</v>
      </c>
      <c r="H38" s="32">
        <v>3066</v>
      </c>
      <c r="I38" s="32">
        <v>6</v>
      </c>
    </row>
    <row r="39" spans="1:9" ht="12.75" customHeight="1">
      <c r="A39" s="3" t="s">
        <v>65</v>
      </c>
      <c r="B39" s="4" t="s">
        <v>66</v>
      </c>
      <c r="C39" s="32">
        <v>957</v>
      </c>
      <c r="D39" s="32">
        <v>709</v>
      </c>
      <c r="E39" s="32">
        <v>709</v>
      </c>
      <c r="F39" s="32">
        <v>42</v>
      </c>
      <c r="G39" s="32">
        <v>206</v>
      </c>
      <c r="H39" s="32">
        <v>585</v>
      </c>
      <c r="I39" s="32">
        <v>1</v>
      </c>
    </row>
    <row r="40" spans="1:9" ht="12.75" customHeight="1">
      <c r="A40" s="3" t="s">
        <v>67</v>
      </c>
      <c r="B40" s="4" t="s">
        <v>68</v>
      </c>
      <c r="C40" s="32">
        <v>981</v>
      </c>
      <c r="D40" s="32">
        <v>510</v>
      </c>
      <c r="E40" s="32">
        <v>396</v>
      </c>
      <c r="F40" s="32">
        <v>43</v>
      </c>
      <c r="G40" s="32">
        <v>322</v>
      </c>
      <c r="H40" s="32">
        <v>278</v>
      </c>
      <c r="I40" s="32">
        <v>1</v>
      </c>
    </row>
    <row r="41" spans="1:9" ht="12.75" customHeight="1">
      <c r="A41" s="3" t="s">
        <v>69</v>
      </c>
      <c r="B41" s="4" t="s">
        <v>70</v>
      </c>
      <c r="C41" s="32">
        <v>930</v>
      </c>
      <c r="D41" s="32">
        <v>91</v>
      </c>
      <c r="E41" s="32">
        <v>78</v>
      </c>
      <c r="F41" s="32">
        <v>104</v>
      </c>
      <c r="G41" s="32">
        <v>452</v>
      </c>
      <c r="H41" s="32">
        <v>61</v>
      </c>
      <c r="I41" s="32">
        <v>0</v>
      </c>
    </row>
    <row r="42" spans="1:9" ht="12.75" customHeight="1">
      <c r="A42" s="3" t="s">
        <v>71</v>
      </c>
      <c r="B42" s="4" t="s">
        <v>72</v>
      </c>
      <c r="C42" s="32">
        <v>1193</v>
      </c>
      <c r="D42" s="32">
        <v>547</v>
      </c>
      <c r="E42" s="32">
        <v>508</v>
      </c>
      <c r="F42" s="32">
        <v>63</v>
      </c>
      <c r="G42" s="32">
        <v>582</v>
      </c>
      <c r="H42" s="32">
        <v>241</v>
      </c>
      <c r="I42" s="32">
        <v>2</v>
      </c>
    </row>
    <row r="43" spans="1:9" ht="12.75" customHeight="1">
      <c r="A43" s="5"/>
      <c r="B43" s="6" t="s">
        <v>73</v>
      </c>
      <c r="C43" s="31">
        <f t="shared" ref="C43:I43" si="3">SUM(C31:C42)</f>
        <v>26159</v>
      </c>
      <c r="D43" s="31">
        <f t="shared" si="3"/>
        <v>11526</v>
      </c>
      <c r="E43" s="31">
        <f t="shared" si="3"/>
        <v>7904</v>
      </c>
      <c r="F43" s="31">
        <f t="shared" si="3"/>
        <v>886</v>
      </c>
      <c r="G43" s="31">
        <f t="shared" si="3"/>
        <v>9994</v>
      </c>
      <c r="H43" s="31">
        <f t="shared" si="3"/>
        <v>8272</v>
      </c>
      <c r="I43" s="31">
        <f t="shared" si="3"/>
        <v>17</v>
      </c>
    </row>
    <row r="44" spans="1:9" ht="12.75" customHeight="1">
      <c r="A44" s="3" t="s">
        <v>74</v>
      </c>
      <c r="B44" s="4" t="s">
        <v>75</v>
      </c>
      <c r="C44" s="32">
        <v>1552</v>
      </c>
      <c r="D44" s="32">
        <v>238</v>
      </c>
      <c r="E44" s="32">
        <v>178</v>
      </c>
      <c r="F44" s="32">
        <v>183</v>
      </c>
      <c r="G44" s="32">
        <v>948</v>
      </c>
      <c r="H44" s="32">
        <v>189</v>
      </c>
      <c r="I44" s="32">
        <v>2</v>
      </c>
    </row>
    <row r="45" spans="1:9" ht="12.75" customHeight="1">
      <c r="A45" s="3" t="s">
        <v>76</v>
      </c>
      <c r="B45" s="4" t="s">
        <v>77</v>
      </c>
      <c r="C45" s="32">
        <v>2527</v>
      </c>
      <c r="D45" s="32">
        <v>594</v>
      </c>
      <c r="E45" s="32">
        <v>543</v>
      </c>
      <c r="F45" s="32">
        <v>171</v>
      </c>
      <c r="G45" s="32">
        <v>1762</v>
      </c>
      <c r="H45" s="32">
        <v>394</v>
      </c>
      <c r="I45" s="32">
        <v>1</v>
      </c>
    </row>
    <row r="46" spans="1:9" ht="12.75" customHeight="1">
      <c r="A46" s="5"/>
      <c r="B46" s="6" t="s">
        <v>78</v>
      </c>
      <c r="C46" s="31">
        <f t="shared" ref="C46:I46" si="4">SUM(C44:C45)</f>
        <v>4079</v>
      </c>
      <c r="D46" s="31">
        <f t="shared" si="4"/>
        <v>832</v>
      </c>
      <c r="E46" s="31">
        <f t="shared" si="4"/>
        <v>721</v>
      </c>
      <c r="F46" s="31">
        <f t="shared" si="4"/>
        <v>354</v>
      </c>
      <c r="G46" s="31">
        <f t="shared" si="4"/>
        <v>2710</v>
      </c>
      <c r="H46" s="31">
        <f t="shared" si="4"/>
        <v>583</v>
      </c>
      <c r="I46" s="31">
        <f t="shared" si="4"/>
        <v>3</v>
      </c>
    </row>
    <row r="47" spans="1:9" ht="12.75" customHeight="1">
      <c r="A47" s="8" t="s">
        <v>79</v>
      </c>
      <c r="B47" s="4" t="s">
        <v>80</v>
      </c>
      <c r="C47" s="33">
        <v>261</v>
      </c>
      <c r="D47" s="33">
        <v>16</v>
      </c>
      <c r="E47" s="33">
        <v>16</v>
      </c>
      <c r="F47" s="32">
        <v>16</v>
      </c>
      <c r="G47" s="32">
        <v>229</v>
      </c>
      <c r="H47" s="32">
        <v>39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1799</v>
      </c>
      <c r="D48" s="33">
        <v>173</v>
      </c>
      <c r="E48" s="33">
        <v>168</v>
      </c>
      <c r="F48" s="32">
        <v>86</v>
      </c>
      <c r="G48" s="32">
        <v>1443</v>
      </c>
      <c r="H48" s="32">
        <v>226</v>
      </c>
      <c r="I48" s="32">
        <v>0</v>
      </c>
    </row>
    <row r="49" spans="1:9" ht="12.75" customHeight="1">
      <c r="A49" s="8" t="s">
        <v>83</v>
      </c>
      <c r="B49" s="4" t="s">
        <v>84</v>
      </c>
      <c r="C49" s="33">
        <v>230</v>
      </c>
      <c r="D49" s="33">
        <v>0</v>
      </c>
      <c r="E49" s="33">
        <v>0</v>
      </c>
      <c r="F49" s="32">
        <v>63</v>
      </c>
      <c r="G49" s="32">
        <v>168</v>
      </c>
      <c r="H49" s="32">
        <v>71</v>
      </c>
      <c r="I49" s="32">
        <v>0</v>
      </c>
    </row>
    <row r="50" spans="1:9" ht="12.75" customHeight="1">
      <c r="A50" s="8" t="s">
        <v>85</v>
      </c>
      <c r="B50" s="4" t="s">
        <v>86</v>
      </c>
      <c r="C50" s="33">
        <v>5172</v>
      </c>
      <c r="D50" s="33">
        <v>341</v>
      </c>
      <c r="E50" s="33">
        <v>137</v>
      </c>
      <c r="F50" s="32">
        <v>256</v>
      </c>
      <c r="G50" s="32">
        <v>4472</v>
      </c>
      <c r="H50" s="32">
        <v>293</v>
      </c>
      <c r="I50" s="32">
        <v>1</v>
      </c>
    </row>
    <row r="51" spans="1:9" ht="12.75" customHeight="1">
      <c r="A51" s="9"/>
      <c r="B51" s="6" t="s">
        <v>87</v>
      </c>
      <c r="C51" s="31">
        <f t="shared" ref="C51:I51" si="5">SUM(C47:C50)</f>
        <v>7462</v>
      </c>
      <c r="D51" s="31">
        <f t="shared" si="5"/>
        <v>530</v>
      </c>
      <c r="E51" s="31">
        <f t="shared" si="5"/>
        <v>321</v>
      </c>
      <c r="F51" s="31">
        <f t="shared" si="5"/>
        <v>421</v>
      </c>
      <c r="G51" s="31">
        <f t="shared" si="5"/>
        <v>6312</v>
      </c>
      <c r="H51" s="31">
        <f t="shared" si="5"/>
        <v>629</v>
      </c>
      <c r="I51" s="31">
        <f t="shared" si="5"/>
        <v>1</v>
      </c>
    </row>
    <row r="52" spans="1:9" ht="12.75" customHeight="1">
      <c r="A52" s="8" t="s">
        <v>88</v>
      </c>
      <c r="B52" s="4" t="s">
        <v>89</v>
      </c>
      <c r="C52" s="33">
        <v>2215</v>
      </c>
      <c r="D52" s="33">
        <v>159</v>
      </c>
      <c r="E52" s="33">
        <v>77</v>
      </c>
      <c r="F52" s="32">
        <v>111</v>
      </c>
      <c r="G52" s="32">
        <v>1900</v>
      </c>
      <c r="H52" s="32">
        <v>25</v>
      </c>
      <c r="I52" s="32">
        <v>0</v>
      </c>
    </row>
    <row r="53" spans="1:9" ht="12.75" customHeight="1">
      <c r="A53" s="8" t="s">
        <v>90</v>
      </c>
      <c r="B53" s="4" t="s">
        <v>91</v>
      </c>
      <c r="C53" s="33">
        <v>4994</v>
      </c>
      <c r="D53" s="33">
        <v>2200</v>
      </c>
      <c r="E53" s="33">
        <v>1509</v>
      </c>
      <c r="F53" s="32">
        <v>163</v>
      </c>
      <c r="G53" s="32">
        <v>1893</v>
      </c>
      <c r="H53" s="32">
        <v>423</v>
      </c>
      <c r="I53" s="32">
        <v>1</v>
      </c>
    </row>
    <row r="54" spans="1:9" ht="12.75" customHeight="1">
      <c r="A54" s="8" t="s">
        <v>92</v>
      </c>
      <c r="B54" s="4" t="s">
        <v>93</v>
      </c>
      <c r="C54" s="33">
        <v>1313</v>
      </c>
      <c r="D54" s="33">
        <v>523</v>
      </c>
      <c r="E54" s="33">
        <v>241</v>
      </c>
      <c r="F54" s="32">
        <v>49</v>
      </c>
      <c r="G54" s="32">
        <v>543</v>
      </c>
      <c r="H54" s="32">
        <v>511</v>
      </c>
      <c r="I54" s="32">
        <v>0</v>
      </c>
    </row>
    <row r="55" spans="1:9" ht="12.75" customHeight="1">
      <c r="A55" s="8" t="s">
        <v>94</v>
      </c>
      <c r="B55" s="4" t="s">
        <v>95</v>
      </c>
      <c r="C55" s="33">
        <v>3744</v>
      </c>
      <c r="D55" s="33">
        <v>974</v>
      </c>
      <c r="E55" s="33">
        <v>742</v>
      </c>
      <c r="F55" s="32">
        <v>224</v>
      </c>
      <c r="G55" s="32">
        <v>2539</v>
      </c>
      <c r="H55" s="32">
        <v>372</v>
      </c>
      <c r="I55" s="32">
        <v>2</v>
      </c>
    </row>
    <row r="56" spans="1:9" ht="12.75" customHeight="1">
      <c r="A56" s="8" t="s">
        <v>96</v>
      </c>
      <c r="B56" s="4" t="s">
        <v>97</v>
      </c>
      <c r="C56" s="33">
        <v>5565</v>
      </c>
      <c r="D56" s="33">
        <v>2994</v>
      </c>
      <c r="E56" s="33">
        <v>849</v>
      </c>
      <c r="F56" s="32">
        <v>80</v>
      </c>
      <c r="G56" s="32">
        <v>1909</v>
      </c>
      <c r="H56" s="32">
        <v>240</v>
      </c>
      <c r="I56" s="32">
        <v>1</v>
      </c>
    </row>
    <row r="57" spans="1:9" ht="12.75" customHeight="1">
      <c r="A57" s="8" t="s">
        <v>98</v>
      </c>
      <c r="B57" s="4" t="s">
        <v>99</v>
      </c>
      <c r="C57" s="33">
        <v>7003</v>
      </c>
      <c r="D57" s="33">
        <v>3650</v>
      </c>
      <c r="E57" s="33">
        <v>1290</v>
      </c>
      <c r="F57" s="32">
        <v>161</v>
      </c>
      <c r="G57" s="32">
        <v>2494</v>
      </c>
      <c r="H57" s="32">
        <v>268</v>
      </c>
      <c r="I57" s="32">
        <v>2</v>
      </c>
    </row>
    <row r="58" spans="1:9" ht="12.75" customHeight="1">
      <c r="A58" s="8" t="s">
        <v>100</v>
      </c>
      <c r="B58" s="4" t="s">
        <v>101</v>
      </c>
      <c r="C58" s="33">
        <v>2903</v>
      </c>
      <c r="D58" s="33">
        <v>1132</v>
      </c>
      <c r="E58" s="33">
        <v>922</v>
      </c>
      <c r="F58" s="32">
        <v>121</v>
      </c>
      <c r="G58" s="32">
        <v>1106</v>
      </c>
      <c r="H58" s="32">
        <v>975</v>
      </c>
      <c r="I58" s="32">
        <v>1</v>
      </c>
    </row>
    <row r="59" spans="1:9" ht="12.75" customHeight="1">
      <c r="A59" s="9"/>
      <c r="B59" s="6" t="s">
        <v>102</v>
      </c>
      <c r="C59" s="31">
        <f t="shared" ref="C59:I59" si="6">SUM(C52:C58)</f>
        <v>27737</v>
      </c>
      <c r="D59" s="31">
        <f t="shared" si="6"/>
        <v>11632</v>
      </c>
      <c r="E59" s="31">
        <f t="shared" si="6"/>
        <v>5630</v>
      </c>
      <c r="F59" s="31">
        <f t="shared" si="6"/>
        <v>909</v>
      </c>
      <c r="G59" s="31">
        <f t="shared" si="6"/>
        <v>12384</v>
      </c>
      <c r="H59" s="31">
        <f t="shared" si="6"/>
        <v>2814</v>
      </c>
      <c r="I59" s="31">
        <f t="shared" si="6"/>
        <v>7</v>
      </c>
    </row>
    <row r="60" spans="1:9" ht="12.75" customHeight="1">
      <c r="A60" s="8" t="s">
        <v>103</v>
      </c>
      <c r="B60" s="4" t="s">
        <v>104</v>
      </c>
      <c r="C60" s="33">
        <v>5369</v>
      </c>
      <c r="D60" s="33">
        <v>2161</v>
      </c>
      <c r="E60" s="33">
        <v>816</v>
      </c>
      <c r="F60" s="32">
        <v>86</v>
      </c>
      <c r="G60" s="32">
        <v>2825</v>
      </c>
      <c r="H60" s="32">
        <v>567</v>
      </c>
      <c r="I60" s="32">
        <v>3</v>
      </c>
    </row>
    <row r="61" spans="1:9" ht="12.75" customHeight="1">
      <c r="A61" s="8" t="s">
        <v>105</v>
      </c>
      <c r="B61" s="4" t="s">
        <v>106</v>
      </c>
      <c r="C61" s="33">
        <v>1871</v>
      </c>
      <c r="D61" s="33">
        <v>778</v>
      </c>
      <c r="E61" s="33">
        <v>731</v>
      </c>
      <c r="F61" s="32">
        <v>64</v>
      </c>
      <c r="G61" s="32">
        <v>1006</v>
      </c>
      <c r="H61" s="32">
        <v>178</v>
      </c>
      <c r="I61" s="32">
        <v>1</v>
      </c>
    </row>
    <row r="62" spans="1:9" ht="12.75" customHeight="1">
      <c r="A62" s="8" t="s">
        <v>107</v>
      </c>
      <c r="B62" s="4" t="s">
        <v>108</v>
      </c>
      <c r="C62" s="33">
        <v>3721</v>
      </c>
      <c r="D62" s="33">
        <v>1914</v>
      </c>
      <c r="E62" s="33">
        <v>581</v>
      </c>
      <c r="F62" s="32">
        <v>110</v>
      </c>
      <c r="G62" s="32">
        <v>1469</v>
      </c>
      <c r="H62" s="32">
        <v>534</v>
      </c>
      <c r="I62" s="32">
        <v>1</v>
      </c>
    </row>
    <row r="63" spans="1:9" ht="12.75" customHeight="1">
      <c r="A63" s="8" t="s">
        <v>109</v>
      </c>
      <c r="B63" s="4" t="s">
        <v>110</v>
      </c>
      <c r="C63" s="33">
        <v>2121</v>
      </c>
      <c r="D63" s="33">
        <v>1163</v>
      </c>
      <c r="E63" s="33">
        <v>901</v>
      </c>
      <c r="F63" s="32">
        <v>61</v>
      </c>
      <c r="G63" s="32">
        <v>897</v>
      </c>
      <c r="H63" s="32">
        <v>705</v>
      </c>
      <c r="I63" s="32">
        <v>2</v>
      </c>
    </row>
    <row r="64" spans="1:9" ht="12.75" customHeight="1">
      <c r="A64" s="8" t="s">
        <v>111</v>
      </c>
      <c r="B64" s="4" t="s">
        <v>112</v>
      </c>
      <c r="C64" s="33">
        <v>17570</v>
      </c>
      <c r="D64" s="33">
        <v>12655</v>
      </c>
      <c r="E64" s="33">
        <v>455</v>
      </c>
      <c r="F64" s="32">
        <v>26</v>
      </c>
      <c r="G64" s="32">
        <v>2844</v>
      </c>
      <c r="H64" s="32">
        <v>261</v>
      </c>
      <c r="I64" s="32">
        <v>2</v>
      </c>
    </row>
    <row r="65" spans="1:9" ht="12.75" customHeight="1">
      <c r="A65" s="8" t="s">
        <v>113</v>
      </c>
      <c r="B65" s="4" t="s">
        <v>114</v>
      </c>
      <c r="C65" s="33">
        <v>1212</v>
      </c>
      <c r="D65" s="33">
        <v>633</v>
      </c>
      <c r="E65" s="33">
        <v>545</v>
      </c>
      <c r="F65" s="32">
        <v>22</v>
      </c>
      <c r="G65" s="32">
        <v>551</v>
      </c>
      <c r="H65" s="32">
        <v>164</v>
      </c>
      <c r="I65" s="32">
        <v>1</v>
      </c>
    </row>
    <row r="66" spans="1:9" ht="12.75" customHeight="1">
      <c r="A66" s="8" t="s">
        <v>115</v>
      </c>
      <c r="B66" s="4" t="s">
        <v>116</v>
      </c>
      <c r="C66" s="33">
        <v>1353</v>
      </c>
      <c r="D66" s="33">
        <v>657</v>
      </c>
      <c r="E66" s="33">
        <v>521</v>
      </c>
      <c r="F66" s="32">
        <v>35</v>
      </c>
      <c r="G66" s="32">
        <v>387</v>
      </c>
      <c r="H66" s="32">
        <v>563</v>
      </c>
      <c r="I66" s="32">
        <v>1</v>
      </c>
    </row>
    <row r="67" spans="1:9" ht="12.75" customHeight="1">
      <c r="A67" s="8" t="s">
        <v>117</v>
      </c>
      <c r="B67" s="4" t="s">
        <v>118</v>
      </c>
      <c r="C67" s="33">
        <v>2739</v>
      </c>
      <c r="D67" s="33">
        <v>1567</v>
      </c>
      <c r="E67" s="33">
        <v>609</v>
      </c>
      <c r="F67" s="32">
        <v>54</v>
      </c>
      <c r="G67" s="32">
        <v>963</v>
      </c>
      <c r="H67" s="32">
        <v>404</v>
      </c>
      <c r="I67" s="32">
        <v>1</v>
      </c>
    </row>
    <row r="68" spans="1:9" ht="12.75" customHeight="1">
      <c r="A68" s="8" t="s">
        <v>119</v>
      </c>
      <c r="B68" s="4" t="s">
        <v>120</v>
      </c>
      <c r="C68" s="33">
        <v>1452</v>
      </c>
      <c r="D68" s="33">
        <v>787</v>
      </c>
      <c r="E68" s="33">
        <v>371</v>
      </c>
      <c r="F68" s="32">
        <v>40</v>
      </c>
      <c r="G68" s="32">
        <v>368</v>
      </c>
      <c r="H68" s="32">
        <v>50</v>
      </c>
      <c r="I68" s="32">
        <v>1</v>
      </c>
    </row>
    <row r="69" spans="1:9" ht="12.75" customHeight="1">
      <c r="A69" s="5"/>
      <c r="B69" s="6" t="s">
        <v>121</v>
      </c>
      <c r="C69" s="31">
        <f t="shared" ref="C69:I69" si="7">SUM(C60:C68)</f>
        <v>37408</v>
      </c>
      <c r="D69" s="31">
        <f t="shared" si="7"/>
        <v>22315</v>
      </c>
      <c r="E69" s="31">
        <f t="shared" si="7"/>
        <v>5530</v>
      </c>
      <c r="F69" s="31">
        <f t="shared" si="7"/>
        <v>498</v>
      </c>
      <c r="G69" s="31">
        <f t="shared" si="7"/>
        <v>11310</v>
      </c>
      <c r="H69" s="31">
        <f t="shared" si="7"/>
        <v>3426</v>
      </c>
      <c r="I69" s="31">
        <f t="shared" si="7"/>
        <v>13</v>
      </c>
    </row>
    <row r="70" spans="1:9" ht="12.75" customHeight="1">
      <c r="A70" s="8" t="s">
        <v>122</v>
      </c>
      <c r="B70" s="4" t="s">
        <v>123</v>
      </c>
      <c r="C70" s="33">
        <v>2130</v>
      </c>
      <c r="D70" s="33">
        <v>916</v>
      </c>
      <c r="E70" s="33">
        <v>633</v>
      </c>
      <c r="F70" s="32">
        <v>111</v>
      </c>
      <c r="G70" s="32">
        <v>954</v>
      </c>
      <c r="H70" s="32">
        <v>254</v>
      </c>
      <c r="I70" s="32">
        <v>1</v>
      </c>
    </row>
    <row r="71" spans="1:9" ht="12.75" customHeight="1">
      <c r="A71" s="8" t="s">
        <v>124</v>
      </c>
      <c r="B71" s="4" t="s">
        <v>125</v>
      </c>
      <c r="C71" s="33">
        <v>3934</v>
      </c>
      <c r="D71" s="33">
        <v>1631</v>
      </c>
      <c r="E71" s="33">
        <v>1513</v>
      </c>
      <c r="F71" s="32">
        <v>175</v>
      </c>
      <c r="G71" s="32">
        <v>1206</v>
      </c>
      <c r="H71" s="32">
        <v>343</v>
      </c>
      <c r="I71" s="32">
        <v>2</v>
      </c>
    </row>
    <row r="72" spans="1:9" ht="12.75" customHeight="1">
      <c r="A72" s="8" t="s">
        <v>126</v>
      </c>
      <c r="B72" s="4" t="s">
        <v>127</v>
      </c>
      <c r="C72" s="33">
        <v>1210</v>
      </c>
      <c r="D72" s="33">
        <v>273</v>
      </c>
      <c r="E72" s="33">
        <v>260</v>
      </c>
      <c r="F72" s="32">
        <v>132</v>
      </c>
      <c r="G72" s="32">
        <v>805</v>
      </c>
      <c r="H72" s="32">
        <v>52</v>
      </c>
      <c r="I72" s="32">
        <v>1</v>
      </c>
    </row>
    <row r="73" spans="1:9" ht="12.75" customHeight="1">
      <c r="A73" s="8" t="s">
        <v>128</v>
      </c>
      <c r="B73" s="4" t="s">
        <v>129</v>
      </c>
      <c r="C73" s="33">
        <v>1321</v>
      </c>
      <c r="D73" s="33">
        <v>283</v>
      </c>
      <c r="E73" s="33">
        <v>278</v>
      </c>
      <c r="F73" s="32">
        <v>101</v>
      </c>
      <c r="G73" s="32">
        <v>935</v>
      </c>
      <c r="H73" s="32">
        <v>94</v>
      </c>
      <c r="I73" s="32">
        <v>1</v>
      </c>
    </row>
    <row r="74" spans="1:9" ht="12.75" customHeight="1">
      <c r="A74" s="8" t="s">
        <v>130</v>
      </c>
      <c r="B74" s="4" t="s">
        <v>131</v>
      </c>
      <c r="C74" s="33">
        <v>1533</v>
      </c>
      <c r="D74" s="33">
        <v>475</v>
      </c>
      <c r="E74" s="33">
        <v>433</v>
      </c>
      <c r="F74" s="32">
        <v>119</v>
      </c>
      <c r="G74" s="32">
        <v>606</v>
      </c>
      <c r="H74" s="32">
        <v>189</v>
      </c>
      <c r="I74" s="32">
        <v>2</v>
      </c>
    </row>
    <row r="75" spans="1:9" ht="12.75" customHeight="1">
      <c r="A75" s="8" t="s">
        <v>132</v>
      </c>
      <c r="B75" s="4" t="s">
        <v>133</v>
      </c>
      <c r="C75" s="33">
        <v>710</v>
      </c>
      <c r="D75" s="33">
        <v>134</v>
      </c>
      <c r="E75" s="33">
        <v>104</v>
      </c>
      <c r="F75" s="32">
        <v>86</v>
      </c>
      <c r="G75" s="32">
        <v>218</v>
      </c>
      <c r="H75" s="32">
        <v>646</v>
      </c>
      <c r="I75" s="32">
        <v>1</v>
      </c>
    </row>
    <row r="76" spans="1:9" ht="12.75" customHeight="1">
      <c r="A76" s="10" t="s">
        <v>134</v>
      </c>
      <c r="B76" s="4" t="s">
        <v>135</v>
      </c>
      <c r="C76" s="33">
        <v>1315</v>
      </c>
      <c r="D76" s="33">
        <v>775</v>
      </c>
      <c r="E76" s="33">
        <v>659</v>
      </c>
      <c r="F76" s="32">
        <v>77</v>
      </c>
      <c r="G76" s="32">
        <v>462</v>
      </c>
      <c r="H76" s="32">
        <v>122</v>
      </c>
      <c r="I76" s="32">
        <v>1</v>
      </c>
    </row>
    <row r="77" spans="1:9" ht="12.75" customHeight="1">
      <c r="A77" s="10" t="s">
        <v>136</v>
      </c>
      <c r="B77" s="4" t="s">
        <v>137</v>
      </c>
      <c r="C77" s="33">
        <v>2390</v>
      </c>
      <c r="D77" s="33">
        <v>397</v>
      </c>
      <c r="E77" s="33">
        <v>286</v>
      </c>
      <c r="F77" s="32">
        <v>117</v>
      </c>
      <c r="G77" s="32">
        <v>1076</v>
      </c>
      <c r="H77" s="32">
        <v>111</v>
      </c>
      <c r="I77" s="32">
        <v>1</v>
      </c>
    </row>
    <row r="78" spans="1:9" ht="12.75" customHeight="1">
      <c r="A78" s="10" t="s">
        <v>138</v>
      </c>
      <c r="B78" s="4" t="s">
        <v>139</v>
      </c>
      <c r="C78" s="33">
        <v>491</v>
      </c>
      <c r="D78" s="33">
        <v>287</v>
      </c>
      <c r="E78" s="33">
        <v>286</v>
      </c>
      <c r="F78" s="32">
        <v>47</v>
      </c>
      <c r="G78" s="32">
        <v>157</v>
      </c>
      <c r="H78" s="32">
        <v>46</v>
      </c>
      <c r="I78" s="32">
        <v>1</v>
      </c>
    </row>
    <row r="79" spans="1:9" ht="12.75" customHeight="1">
      <c r="A79" s="10" t="s">
        <v>140</v>
      </c>
      <c r="B79" s="4" t="s">
        <v>141</v>
      </c>
      <c r="C79" s="33">
        <v>1873</v>
      </c>
      <c r="D79" s="33">
        <v>273</v>
      </c>
      <c r="E79" s="33">
        <v>245</v>
      </c>
      <c r="F79" s="32">
        <v>63</v>
      </c>
      <c r="G79" s="32">
        <v>1193</v>
      </c>
      <c r="H79" s="32">
        <v>105</v>
      </c>
      <c r="I79" s="32">
        <v>1</v>
      </c>
    </row>
    <row r="80" spans="1:9" ht="12.75" customHeight="1">
      <c r="A80" s="11"/>
      <c r="B80" s="6" t="s">
        <v>142</v>
      </c>
      <c r="C80" s="31">
        <f t="shared" ref="C80:I80" si="8">SUM(C70:C79)</f>
        <v>16907</v>
      </c>
      <c r="D80" s="31">
        <f t="shared" si="8"/>
        <v>5444</v>
      </c>
      <c r="E80" s="31">
        <f t="shared" si="8"/>
        <v>4697</v>
      </c>
      <c r="F80" s="31">
        <f t="shared" si="8"/>
        <v>1028</v>
      </c>
      <c r="G80" s="31">
        <f t="shared" si="8"/>
        <v>7612</v>
      </c>
      <c r="H80" s="31">
        <f t="shared" si="8"/>
        <v>1962</v>
      </c>
      <c r="I80" s="31">
        <f t="shared" si="8"/>
        <v>12</v>
      </c>
    </row>
    <row r="81" spans="1:9" ht="12.75" customHeight="1">
      <c r="A81" s="10" t="s">
        <v>143</v>
      </c>
      <c r="B81" s="4" t="s">
        <v>144</v>
      </c>
      <c r="C81" s="30">
        <v>2706</v>
      </c>
      <c r="D81" s="30">
        <v>1379</v>
      </c>
      <c r="E81" s="30">
        <v>530</v>
      </c>
      <c r="F81" s="32">
        <v>61</v>
      </c>
      <c r="G81" s="32">
        <v>1075</v>
      </c>
      <c r="H81" s="32">
        <v>308</v>
      </c>
      <c r="I81" s="32">
        <v>0</v>
      </c>
    </row>
    <row r="82" spans="1:9" ht="12.75" customHeight="1">
      <c r="A82" s="10" t="s">
        <v>145</v>
      </c>
      <c r="B82" s="4" t="s">
        <v>146</v>
      </c>
      <c r="C82" s="30">
        <v>1009</v>
      </c>
      <c r="D82" s="30">
        <v>611</v>
      </c>
      <c r="E82" s="30">
        <v>411</v>
      </c>
      <c r="F82" s="32">
        <v>35</v>
      </c>
      <c r="G82" s="32">
        <v>318</v>
      </c>
      <c r="H82" s="32">
        <v>256</v>
      </c>
      <c r="I82" s="32">
        <v>0</v>
      </c>
    </row>
    <row r="83" spans="1:9" ht="12.75" customHeight="1">
      <c r="A83" s="10" t="s">
        <v>147</v>
      </c>
      <c r="B83" s="4" t="s">
        <v>148</v>
      </c>
      <c r="C83" s="30">
        <v>470</v>
      </c>
      <c r="D83" s="30">
        <v>65</v>
      </c>
      <c r="E83" s="30">
        <v>59</v>
      </c>
      <c r="F83" s="32">
        <v>29</v>
      </c>
      <c r="G83" s="32">
        <v>110</v>
      </c>
      <c r="H83" s="32">
        <v>51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1618</v>
      </c>
      <c r="D84" s="30">
        <v>528</v>
      </c>
      <c r="E84" s="30">
        <v>271</v>
      </c>
      <c r="F84" s="32">
        <v>136</v>
      </c>
      <c r="G84" s="32">
        <v>955</v>
      </c>
      <c r="H84" s="32">
        <v>121</v>
      </c>
      <c r="I84" s="32">
        <v>0</v>
      </c>
    </row>
    <row r="85" spans="1:9" ht="12.75" customHeight="1">
      <c r="A85" s="10" t="s">
        <v>151</v>
      </c>
      <c r="B85" s="4" t="s">
        <v>152</v>
      </c>
      <c r="C85" s="30">
        <v>1582</v>
      </c>
      <c r="D85" s="30">
        <v>565</v>
      </c>
      <c r="E85" s="30">
        <v>381</v>
      </c>
      <c r="F85" s="32">
        <v>56</v>
      </c>
      <c r="G85" s="32">
        <v>732</v>
      </c>
      <c r="H85" s="32">
        <v>95</v>
      </c>
      <c r="I85" s="32">
        <v>0</v>
      </c>
    </row>
    <row r="86" spans="1:9" ht="12.75" customHeight="1">
      <c r="A86" s="11"/>
      <c r="B86" s="6" t="s">
        <v>153</v>
      </c>
      <c r="C86" s="31">
        <f t="shared" ref="C86:I86" si="9">SUM(C81:C85)</f>
        <v>7385</v>
      </c>
      <c r="D86" s="31">
        <f t="shared" si="9"/>
        <v>3148</v>
      </c>
      <c r="E86" s="31">
        <f t="shared" si="9"/>
        <v>1652</v>
      </c>
      <c r="F86" s="31">
        <f t="shared" si="9"/>
        <v>317</v>
      </c>
      <c r="G86" s="31">
        <f t="shared" si="9"/>
        <v>3190</v>
      </c>
      <c r="H86" s="31">
        <f t="shared" si="9"/>
        <v>831</v>
      </c>
      <c r="I86" s="31">
        <f t="shared" si="9"/>
        <v>0</v>
      </c>
    </row>
    <row r="87" spans="1:9" ht="12.75" customHeight="1">
      <c r="A87" s="10" t="s">
        <v>154</v>
      </c>
      <c r="B87" s="4" t="s">
        <v>155</v>
      </c>
      <c r="C87" s="30">
        <v>3547</v>
      </c>
      <c r="D87" s="30">
        <v>1112</v>
      </c>
      <c r="E87" s="30">
        <v>1023</v>
      </c>
      <c r="F87" s="32">
        <v>143</v>
      </c>
      <c r="G87" s="32">
        <v>1840</v>
      </c>
      <c r="H87" s="32">
        <v>359</v>
      </c>
      <c r="I87" s="32">
        <v>2</v>
      </c>
    </row>
    <row r="88" spans="1:9" ht="12.75" customHeight="1">
      <c r="A88" s="10" t="s">
        <v>156</v>
      </c>
      <c r="B88" s="4" t="s">
        <v>157</v>
      </c>
      <c r="C88" s="30">
        <v>2478</v>
      </c>
      <c r="D88" s="30">
        <v>714</v>
      </c>
      <c r="E88" s="30">
        <v>655</v>
      </c>
      <c r="F88" s="32">
        <v>54</v>
      </c>
      <c r="G88" s="32">
        <v>619</v>
      </c>
      <c r="H88" s="32">
        <v>174</v>
      </c>
      <c r="I88" s="32">
        <v>1</v>
      </c>
    </row>
    <row r="89" spans="1:9" ht="12.75" customHeight="1">
      <c r="A89" s="11"/>
      <c r="B89" s="6" t="s">
        <v>158</v>
      </c>
      <c r="C89" s="31">
        <f t="shared" ref="C89:I89" si="10">SUM(C87:C88)</f>
        <v>6025</v>
      </c>
      <c r="D89" s="31">
        <f t="shared" si="10"/>
        <v>1826</v>
      </c>
      <c r="E89" s="31">
        <f t="shared" si="10"/>
        <v>1678</v>
      </c>
      <c r="F89" s="31">
        <f t="shared" si="10"/>
        <v>197</v>
      </c>
      <c r="G89" s="31">
        <f t="shared" si="10"/>
        <v>2459</v>
      </c>
      <c r="H89" s="31">
        <f t="shared" si="10"/>
        <v>533</v>
      </c>
      <c r="I89" s="31">
        <f t="shared" si="10"/>
        <v>3</v>
      </c>
    </row>
    <row r="90" spans="1:9" ht="12.75" customHeight="1">
      <c r="A90" s="10" t="s">
        <v>159</v>
      </c>
      <c r="B90" s="4" t="s">
        <v>160</v>
      </c>
      <c r="C90" s="30">
        <v>4745</v>
      </c>
      <c r="D90" s="30">
        <v>1372</v>
      </c>
      <c r="E90" s="30">
        <v>935</v>
      </c>
      <c r="F90" s="32">
        <v>122</v>
      </c>
      <c r="G90" s="32">
        <v>1853</v>
      </c>
      <c r="H90" s="32">
        <v>159</v>
      </c>
      <c r="I90" s="32">
        <v>1</v>
      </c>
    </row>
    <row r="91" spans="1:9" ht="12.75" customHeight="1">
      <c r="A91" s="10" t="s">
        <v>161</v>
      </c>
      <c r="B91" s="4" t="s">
        <v>162</v>
      </c>
      <c r="C91" s="30">
        <v>2465</v>
      </c>
      <c r="D91" s="30">
        <v>590</v>
      </c>
      <c r="E91" s="30">
        <v>584</v>
      </c>
      <c r="F91" s="32">
        <v>208</v>
      </c>
      <c r="G91" s="32">
        <v>965</v>
      </c>
      <c r="H91" s="32">
        <v>139</v>
      </c>
      <c r="I91" s="32">
        <v>1</v>
      </c>
    </row>
    <row r="92" spans="1:9" ht="12.75" customHeight="1">
      <c r="A92" s="10" t="s">
        <v>163</v>
      </c>
      <c r="B92" s="4" t="s">
        <v>164</v>
      </c>
      <c r="C92" s="30">
        <v>980</v>
      </c>
      <c r="D92" s="30">
        <v>265</v>
      </c>
      <c r="E92" s="30">
        <v>265</v>
      </c>
      <c r="F92" s="32">
        <v>73</v>
      </c>
      <c r="G92" s="32">
        <v>643</v>
      </c>
      <c r="H92" s="32">
        <v>13</v>
      </c>
      <c r="I92" s="32">
        <v>0</v>
      </c>
    </row>
    <row r="93" spans="1:9" ht="12.75" customHeight="1">
      <c r="A93" s="10" t="s">
        <v>165</v>
      </c>
      <c r="B93" s="4" t="s">
        <v>166</v>
      </c>
      <c r="C93" s="30">
        <v>35919</v>
      </c>
      <c r="D93" s="30">
        <v>22996</v>
      </c>
      <c r="E93" s="30">
        <v>9290</v>
      </c>
      <c r="F93" s="32">
        <v>513</v>
      </c>
      <c r="G93" s="32">
        <v>5189</v>
      </c>
      <c r="H93" s="32">
        <v>1918</v>
      </c>
      <c r="I93" s="32">
        <v>11</v>
      </c>
    </row>
    <row r="94" spans="1:9" ht="12.75" customHeight="1">
      <c r="A94" s="10" t="s">
        <v>167</v>
      </c>
      <c r="B94" s="4" t="s">
        <v>168</v>
      </c>
      <c r="C94" s="30">
        <v>1935</v>
      </c>
      <c r="D94" s="30">
        <v>444</v>
      </c>
      <c r="E94" s="30">
        <v>378</v>
      </c>
      <c r="F94" s="32">
        <v>115</v>
      </c>
      <c r="G94" s="32">
        <v>882</v>
      </c>
      <c r="H94" s="32">
        <v>70</v>
      </c>
      <c r="I94" s="32">
        <v>1</v>
      </c>
    </row>
    <row r="95" spans="1:9" ht="12.75" customHeight="1">
      <c r="A95" s="11"/>
      <c r="B95" s="6" t="s">
        <v>169</v>
      </c>
      <c r="C95" s="31">
        <f t="shared" ref="C95:I95" si="11">SUM(C90:C94)</f>
        <v>46044</v>
      </c>
      <c r="D95" s="31">
        <f t="shared" si="11"/>
        <v>25667</v>
      </c>
      <c r="E95" s="31">
        <f t="shared" si="11"/>
        <v>11452</v>
      </c>
      <c r="F95" s="31">
        <f t="shared" si="11"/>
        <v>1031</v>
      </c>
      <c r="G95" s="31">
        <f t="shared" si="11"/>
        <v>9532</v>
      </c>
      <c r="H95" s="31">
        <f t="shared" si="11"/>
        <v>2299</v>
      </c>
      <c r="I95" s="31">
        <f t="shared" si="11"/>
        <v>14</v>
      </c>
    </row>
    <row r="96" spans="1:9" ht="12.75" customHeight="1">
      <c r="A96" s="10" t="s">
        <v>170</v>
      </c>
      <c r="B96" s="4" t="s">
        <v>171</v>
      </c>
      <c r="C96" s="30">
        <v>505</v>
      </c>
      <c r="D96" s="30">
        <v>195</v>
      </c>
      <c r="E96" s="30">
        <v>195</v>
      </c>
      <c r="F96" s="32">
        <v>16</v>
      </c>
      <c r="G96" s="32">
        <v>294</v>
      </c>
      <c r="H96" s="32">
        <v>397</v>
      </c>
      <c r="I96" s="32">
        <v>1</v>
      </c>
    </row>
    <row r="97" spans="1:9" ht="12.75" customHeight="1">
      <c r="A97" s="10" t="s">
        <v>172</v>
      </c>
      <c r="B97" s="4" t="s">
        <v>173</v>
      </c>
      <c r="C97" s="30">
        <v>348</v>
      </c>
      <c r="D97" s="30">
        <v>73</v>
      </c>
      <c r="E97" s="30">
        <v>49</v>
      </c>
      <c r="F97" s="32">
        <v>8</v>
      </c>
      <c r="G97" s="32">
        <v>130</v>
      </c>
      <c r="H97" s="32">
        <v>14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853</v>
      </c>
      <c r="D98" s="31">
        <f t="shared" si="12"/>
        <v>268</v>
      </c>
      <c r="E98" s="31">
        <f t="shared" si="12"/>
        <v>244</v>
      </c>
      <c r="F98" s="31">
        <f t="shared" si="12"/>
        <v>24</v>
      </c>
      <c r="G98" s="31">
        <f t="shared" si="12"/>
        <v>424</v>
      </c>
      <c r="H98" s="31">
        <f t="shared" si="12"/>
        <v>411</v>
      </c>
      <c r="I98" s="31">
        <f t="shared" si="12"/>
        <v>1</v>
      </c>
    </row>
    <row r="99" spans="1:9" ht="12.75" customHeight="1">
      <c r="A99" s="10" t="s">
        <v>175</v>
      </c>
      <c r="B99" s="4" t="s">
        <v>176</v>
      </c>
      <c r="C99" s="30">
        <v>1594</v>
      </c>
      <c r="D99" s="30">
        <v>780</v>
      </c>
      <c r="E99" s="30">
        <v>279</v>
      </c>
      <c r="F99" s="32">
        <v>94</v>
      </c>
      <c r="G99" s="32">
        <v>678</v>
      </c>
      <c r="H99" s="32">
        <v>218</v>
      </c>
      <c r="I99" s="32">
        <v>1</v>
      </c>
    </row>
    <row r="100" spans="1:9" ht="12.75" customHeight="1">
      <c r="A100" s="10" t="s">
        <v>177</v>
      </c>
      <c r="B100" s="4" t="s">
        <v>178</v>
      </c>
      <c r="C100" s="30">
        <v>743</v>
      </c>
      <c r="D100" s="30">
        <v>342</v>
      </c>
      <c r="E100" s="30">
        <v>233</v>
      </c>
      <c r="F100" s="32">
        <v>46</v>
      </c>
      <c r="G100" s="32">
        <v>355</v>
      </c>
      <c r="H100" s="32">
        <v>115</v>
      </c>
      <c r="I100" s="32">
        <v>0</v>
      </c>
    </row>
    <row r="101" spans="1:9" ht="12.75" customHeight="1">
      <c r="A101" s="10" t="s">
        <v>179</v>
      </c>
      <c r="B101" s="4" t="s">
        <v>180</v>
      </c>
      <c r="C101" s="30">
        <v>2250</v>
      </c>
      <c r="D101" s="30">
        <v>1030</v>
      </c>
      <c r="E101" s="30">
        <v>209</v>
      </c>
      <c r="F101" s="32">
        <v>140</v>
      </c>
      <c r="G101" s="32">
        <v>861</v>
      </c>
      <c r="H101" s="32">
        <v>136</v>
      </c>
      <c r="I101" s="32">
        <v>0</v>
      </c>
    </row>
    <row r="102" spans="1:9" ht="12.75" customHeight="1">
      <c r="A102" s="10" t="s">
        <v>181</v>
      </c>
      <c r="B102" s="4" t="s">
        <v>182</v>
      </c>
      <c r="C102" s="30">
        <v>952</v>
      </c>
      <c r="D102" s="30">
        <v>487</v>
      </c>
      <c r="E102" s="30">
        <v>403</v>
      </c>
      <c r="F102" s="32">
        <v>54</v>
      </c>
      <c r="G102" s="32">
        <v>411</v>
      </c>
      <c r="H102" s="32">
        <v>277</v>
      </c>
      <c r="I102" s="32">
        <v>0</v>
      </c>
    </row>
    <row r="103" spans="1:9" ht="12.75" customHeight="1">
      <c r="A103" s="11"/>
      <c r="B103" s="6" t="s">
        <v>183</v>
      </c>
      <c r="C103" s="31">
        <f t="shared" ref="C103:I103" si="13">SUM(C99:C102)</f>
        <v>5539</v>
      </c>
      <c r="D103" s="31">
        <f t="shared" si="13"/>
        <v>2639</v>
      </c>
      <c r="E103" s="31">
        <f t="shared" si="13"/>
        <v>1124</v>
      </c>
      <c r="F103" s="31">
        <f t="shared" si="13"/>
        <v>334</v>
      </c>
      <c r="G103" s="31">
        <f t="shared" si="13"/>
        <v>2305</v>
      </c>
      <c r="H103" s="31">
        <f t="shared" si="13"/>
        <v>746</v>
      </c>
      <c r="I103" s="31">
        <f t="shared" si="13"/>
        <v>1</v>
      </c>
    </row>
    <row r="104" spans="1:9" ht="12.75" customHeight="1">
      <c r="A104" s="10" t="s">
        <v>184</v>
      </c>
      <c r="B104" s="4" t="s">
        <v>185</v>
      </c>
      <c r="C104" s="30">
        <v>1346</v>
      </c>
      <c r="D104" s="30">
        <v>373</v>
      </c>
      <c r="E104" s="30">
        <v>85</v>
      </c>
      <c r="F104" s="32">
        <v>33</v>
      </c>
      <c r="G104" s="32">
        <v>267</v>
      </c>
      <c r="H104" s="32">
        <v>370</v>
      </c>
      <c r="I104" s="32">
        <v>1</v>
      </c>
    </row>
    <row r="105" spans="1:9" ht="12.75" customHeight="1">
      <c r="A105" s="10" t="s">
        <v>186</v>
      </c>
      <c r="B105" s="4" t="s">
        <v>187</v>
      </c>
      <c r="C105" s="30">
        <v>1381</v>
      </c>
      <c r="D105" s="30">
        <v>261</v>
      </c>
      <c r="E105" s="30">
        <v>108</v>
      </c>
      <c r="F105" s="32">
        <v>105</v>
      </c>
      <c r="G105" s="32">
        <v>381</v>
      </c>
      <c r="H105" s="32">
        <v>57</v>
      </c>
      <c r="I105" s="32">
        <v>1</v>
      </c>
    </row>
    <row r="106" spans="1:9" ht="12.75" customHeight="1">
      <c r="A106" s="10" t="s">
        <v>188</v>
      </c>
      <c r="B106" s="4" t="s">
        <v>189</v>
      </c>
      <c r="C106" s="30">
        <v>5831</v>
      </c>
      <c r="D106" s="30">
        <v>2949</v>
      </c>
      <c r="E106" s="30">
        <v>931</v>
      </c>
      <c r="F106" s="32">
        <v>105</v>
      </c>
      <c r="G106" s="32">
        <v>1041</v>
      </c>
      <c r="H106" s="32">
        <v>252</v>
      </c>
      <c r="I106" s="32">
        <v>3</v>
      </c>
    </row>
    <row r="107" spans="1:9" ht="12.75" customHeight="1">
      <c r="A107" s="10" t="s">
        <v>190</v>
      </c>
      <c r="B107" s="4" t="s">
        <v>191</v>
      </c>
      <c r="C107" s="30">
        <v>21085</v>
      </c>
      <c r="D107" s="30">
        <v>9811</v>
      </c>
      <c r="E107" s="30">
        <v>1335</v>
      </c>
      <c r="F107" s="32">
        <v>1059</v>
      </c>
      <c r="G107" s="32">
        <v>1607</v>
      </c>
      <c r="H107" s="32">
        <v>777</v>
      </c>
      <c r="I107" s="32">
        <v>6</v>
      </c>
    </row>
    <row r="108" spans="1:9" ht="12.75" customHeight="1">
      <c r="A108" s="10" t="s">
        <v>192</v>
      </c>
      <c r="B108" s="4" t="s">
        <v>193</v>
      </c>
      <c r="C108" s="30">
        <v>7196</v>
      </c>
      <c r="D108" s="30">
        <v>2042</v>
      </c>
      <c r="E108" s="30">
        <v>516</v>
      </c>
      <c r="F108" s="32">
        <v>498</v>
      </c>
      <c r="G108" s="32">
        <v>1374</v>
      </c>
      <c r="H108" s="32">
        <v>571</v>
      </c>
      <c r="I108" s="32">
        <v>2</v>
      </c>
    </row>
    <row r="109" spans="1:9" ht="12.75" customHeight="1">
      <c r="A109" s="11"/>
      <c r="B109" s="6" t="s">
        <v>194</v>
      </c>
      <c r="C109" s="31">
        <f t="shared" ref="C109:I109" si="14">SUM(C104:C108)</f>
        <v>36839</v>
      </c>
      <c r="D109" s="31">
        <f t="shared" si="14"/>
        <v>15436</v>
      </c>
      <c r="E109" s="31">
        <f t="shared" si="14"/>
        <v>2975</v>
      </c>
      <c r="F109" s="31">
        <f t="shared" si="14"/>
        <v>1800</v>
      </c>
      <c r="G109" s="31">
        <f t="shared" si="14"/>
        <v>4670</v>
      </c>
      <c r="H109" s="31">
        <f t="shared" si="14"/>
        <v>2027</v>
      </c>
      <c r="I109" s="31">
        <f t="shared" si="14"/>
        <v>13</v>
      </c>
    </row>
    <row r="110" spans="1:9" ht="12.75" customHeight="1">
      <c r="A110" s="3" t="s">
        <v>195</v>
      </c>
      <c r="B110" s="4" t="s">
        <v>196</v>
      </c>
      <c r="C110" s="30">
        <v>4481</v>
      </c>
      <c r="D110" s="30">
        <v>1911</v>
      </c>
      <c r="E110" s="30">
        <v>1323</v>
      </c>
      <c r="F110" s="32">
        <v>402</v>
      </c>
      <c r="G110" s="32">
        <v>1154</v>
      </c>
      <c r="H110" s="32">
        <v>627</v>
      </c>
      <c r="I110" s="32">
        <v>3</v>
      </c>
    </row>
    <row r="111" spans="1:9" ht="12.75" customHeight="1">
      <c r="A111" s="3" t="s">
        <v>197</v>
      </c>
      <c r="B111" s="4" t="s">
        <v>198</v>
      </c>
      <c r="C111" s="30">
        <v>448</v>
      </c>
      <c r="D111" s="30">
        <v>211</v>
      </c>
      <c r="E111" s="30">
        <v>204</v>
      </c>
      <c r="F111" s="32">
        <v>56</v>
      </c>
      <c r="G111" s="32">
        <v>181</v>
      </c>
      <c r="H111" s="32">
        <v>21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1187</v>
      </c>
      <c r="D112" s="30">
        <v>484</v>
      </c>
      <c r="E112" s="30">
        <v>328</v>
      </c>
      <c r="F112" s="32">
        <v>172</v>
      </c>
      <c r="G112" s="32">
        <v>397</v>
      </c>
      <c r="H112" s="32">
        <v>131</v>
      </c>
      <c r="I112" s="32">
        <v>1</v>
      </c>
    </row>
    <row r="113" spans="1:9" ht="12.75" customHeight="1">
      <c r="A113" s="3" t="s">
        <v>201</v>
      </c>
      <c r="B113" s="4" t="s">
        <v>202</v>
      </c>
      <c r="C113" s="30">
        <v>3272</v>
      </c>
      <c r="D113" s="30">
        <v>1395</v>
      </c>
      <c r="E113" s="30">
        <v>284</v>
      </c>
      <c r="F113" s="32">
        <v>213</v>
      </c>
      <c r="G113" s="32">
        <v>679</v>
      </c>
      <c r="H113" s="32">
        <v>376</v>
      </c>
      <c r="I113" s="32">
        <v>0</v>
      </c>
    </row>
    <row r="114" spans="1:9" ht="12.75" customHeight="1">
      <c r="A114" s="3" t="s">
        <v>203</v>
      </c>
      <c r="B114" s="4" t="s">
        <v>204</v>
      </c>
      <c r="C114" s="30">
        <v>3542</v>
      </c>
      <c r="D114" s="30">
        <v>1448</v>
      </c>
      <c r="E114" s="30">
        <v>709</v>
      </c>
      <c r="F114" s="32">
        <v>393</v>
      </c>
      <c r="G114" s="32">
        <v>403</v>
      </c>
      <c r="H114" s="32">
        <v>164</v>
      </c>
      <c r="I114" s="32">
        <v>3</v>
      </c>
    </row>
    <row r="115" spans="1:9" ht="12.75" customHeight="1">
      <c r="A115" s="3" t="s">
        <v>205</v>
      </c>
      <c r="B115" s="4" t="s">
        <v>206</v>
      </c>
      <c r="C115" s="30">
        <v>1208</v>
      </c>
      <c r="D115" s="30">
        <v>629</v>
      </c>
      <c r="E115" s="30">
        <v>462</v>
      </c>
      <c r="F115" s="32">
        <v>188</v>
      </c>
      <c r="G115" s="32">
        <v>363</v>
      </c>
      <c r="H115" s="32">
        <v>839</v>
      </c>
      <c r="I115" s="32">
        <v>0</v>
      </c>
    </row>
    <row r="116" spans="1:9" ht="12.75" customHeight="1">
      <c r="A116" s="5"/>
      <c r="B116" s="6" t="s">
        <v>207</v>
      </c>
      <c r="C116" s="31">
        <f t="shared" ref="C116:I116" si="15">SUM(C110:C115)</f>
        <v>14138</v>
      </c>
      <c r="D116" s="31">
        <f t="shared" si="15"/>
        <v>6078</v>
      </c>
      <c r="E116" s="31">
        <f t="shared" si="15"/>
        <v>3310</v>
      </c>
      <c r="F116" s="31">
        <f t="shared" si="15"/>
        <v>1424</v>
      </c>
      <c r="G116" s="31">
        <f t="shared" si="15"/>
        <v>3177</v>
      </c>
      <c r="H116" s="31">
        <f t="shared" si="15"/>
        <v>2158</v>
      </c>
      <c r="I116" s="31">
        <f t="shared" si="15"/>
        <v>7</v>
      </c>
    </row>
    <row r="117" spans="1:9" ht="12.75" customHeight="1">
      <c r="A117" s="3" t="s">
        <v>208</v>
      </c>
      <c r="B117" s="4" t="s">
        <v>209</v>
      </c>
      <c r="C117" s="30">
        <v>380</v>
      </c>
      <c r="D117" s="30">
        <v>155</v>
      </c>
      <c r="E117" s="30">
        <v>107</v>
      </c>
      <c r="F117" s="32">
        <v>27</v>
      </c>
      <c r="G117" s="32">
        <v>198</v>
      </c>
      <c r="H117" s="32">
        <v>53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1256</v>
      </c>
      <c r="D118" s="34">
        <v>326</v>
      </c>
      <c r="E118" s="30">
        <v>265</v>
      </c>
      <c r="F118" s="32">
        <v>188</v>
      </c>
      <c r="G118" s="32">
        <v>604</v>
      </c>
      <c r="H118" s="32">
        <v>121</v>
      </c>
      <c r="I118" s="32">
        <v>1</v>
      </c>
    </row>
    <row r="119" spans="1:9" ht="12.75" customHeight="1">
      <c r="A119" s="5"/>
      <c r="B119" s="6" t="s">
        <v>212</v>
      </c>
      <c r="C119" s="31">
        <f t="shared" ref="C119:I119" si="16">SUM(C117:C118)</f>
        <v>1636</v>
      </c>
      <c r="D119" s="31">
        <f t="shared" si="16"/>
        <v>481</v>
      </c>
      <c r="E119" s="31">
        <f t="shared" si="16"/>
        <v>372</v>
      </c>
      <c r="F119" s="31">
        <f t="shared" si="16"/>
        <v>215</v>
      </c>
      <c r="G119" s="31">
        <f t="shared" si="16"/>
        <v>802</v>
      </c>
      <c r="H119" s="31">
        <f t="shared" si="16"/>
        <v>174</v>
      </c>
      <c r="I119" s="31">
        <f t="shared" si="16"/>
        <v>1</v>
      </c>
    </row>
    <row r="120" spans="1:9" ht="12.75" customHeight="1">
      <c r="A120" s="3" t="s">
        <v>213</v>
      </c>
      <c r="B120" s="4" t="s">
        <v>214</v>
      </c>
      <c r="C120" s="30">
        <v>1780</v>
      </c>
      <c r="D120" s="30">
        <v>318</v>
      </c>
      <c r="E120" s="30">
        <v>237</v>
      </c>
      <c r="F120" s="32">
        <v>335</v>
      </c>
      <c r="G120" s="32">
        <v>562</v>
      </c>
      <c r="H120" s="32">
        <v>44</v>
      </c>
      <c r="I120" s="32">
        <v>0</v>
      </c>
    </row>
    <row r="121" spans="1:9" ht="12.75" customHeight="1">
      <c r="A121" s="3" t="s">
        <v>215</v>
      </c>
      <c r="B121" s="4" t="s">
        <v>216</v>
      </c>
      <c r="C121" s="30">
        <v>2652</v>
      </c>
      <c r="D121" s="30">
        <v>460</v>
      </c>
      <c r="E121" s="30">
        <v>263</v>
      </c>
      <c r="F121" s="32">
        <v>552</v>
      </c>
      <c r="G121" s="32">
        <v>1130</v>
      </c>
      <c r="H121" s="32">
        <v>107</v>
      </c>
      <c r="I121" s="32">
        <v>1</v>
      </c>
    </row>
    <row r="122" spans="1:9" ht="12.75" customHeight="1">
      <c r="A122" s="3" t="s">
        <v>217</v>
      </c>
      <c r="B122" s="4" t="s">
        <v>218</v>
      </c>
      <c r="C122" s="30">
        <v>793</v>
      </c>
      <c r="D122" s="30">
        <v>144</v>
      </c>
      <c r="E122" s="30">
        <v>51</v>
      </c>
      <c r="F122" s="32">
        <v>105</v>
      </c>
      <c r="G122" s="32">
        <v>256</v>
      </c>
      <c r="H122" s="32">
        <v>17</v>
      </c>
      <c r="I122" s="32">
        <v>0</v>
      </c>
    </row>
    <row r="123" spans="1:9" ht="12.75" customHeight="1">
      <c r="A123" s="3" t="s">
        <v>219</v>
      </c>
      <c r="B123" s="4" t="s">
        <v>220</v>
      </c>
      <c r="C123" s="30">
        <v>1931</v>
      </c>
      <c r="D123" s="30">
        <v>402</v>
      </c>
      <c r="E123" s="30">
        <v>256</v>
      </c>
      <c r="F123" s="32">
        <v>702</v>
      </c>
      <c r="G123" s="32">
        <v>665</v>
      </c>
      <c r="H123" s="32">
        <v>87</v>
      </c>
      <c r="I123" s="32">
        <v>1</v>
      </c>
    </row>
    <row r="124" spans="1:9" ht="12.75" customHeight="1">
      <c r="A124" s="3" t="s">
        <v>221</v>
      </c>
      <c r="B124" s="4" t="s">
        <v>222</v>
      </c>
      <c r="C124" s="30">
        <v>707</v>
      </c>
      <c r="D124" s="30">
        <v>54</v>
      </c>
      <c r="E124" s="30">
        <v>54</v>
      </c>
      <c r="F124" s="32">
        <v>47</v>
      </c>
      <c r="G124" s="32">
        <v>187</v>
      </c>
      <c r="H124" s="32">
        <v>15</v>
      </c>
      <c r="I124" s="32">
        <v>0</v>
      </c>
    </row>
    <row r="125" spans="1:9" ht="12.75" customHeight="1">
      <c r="A125" s="5"/>
      <c r="B125" s="6" t="s">
        <v>223</v>
      </c>
      <c r="C125" s="31">
        <f t="shared" ref="C125:I125" si="17">SUM(C120:C124)</f>
        <v>7863</v>
      </c>
      <c r="D125" s="31">
        <f t="shared" si="17"/>
        <v>1378</v>
      </c>
      <c r="E125" s="31">
        <f t="shared" si="17"/>
        <v>861</v>
      </c>
      <c r="F125" s="31">
        <f t="shared" si="17"/>
        <v>1741</v>
      </c>
      <c r="G125" s="31">
        <f t="shared" si="17"/>
        <v>2800</v>
      </c>
      <c r="H125" s="31">
        <f t="shared" si="17"/>
        <v>270</v>
      </c>
      <c r="I125" s="31">
        <f t="shared" si="17"/>
        <v>2</v>
      </c>
    </row>
    <row r="126" spans="1:9" ht="12.75" customHeight="1">
      <c r="A126" s="3" t="s">
        <v>224</v>
      </c>
      <c r="B126" s="4" t="s">
        <v>225</v>
      </c>
      <c r="C126" s="30">
        <v>1063</v>
      </c>
      <c r="D126" s="30">
        <v>28</v>
      </c>
      <c r="E126" s="30">
        <v>28</v>
      </c>
      <c r="F126" s="32">
        <v>653</v>
      </c>
      <c r="G126" s="32">
        <v>295</v>
      </c>
      <c r="H126" s="32">
        <v>99</v>
      </c>
      <c r="I126" s="32">
        <v>2</v>
      </c>
    </row>
    <row r="127" spans="1:9" ht="12.75" customHeight="1">
      <c r="A127" s="3" t="s">
        <v>226</v>
      </c>
      <c r="B127" s="4" t="s">
        <v>227</v>
      </c>
      <c r="C127" s="30">
        <v>619</v>
      </c>
      <c r="D127" s="30">
        <v>344</v>
      </c>
      <c r="E127" s="30">
        <v>21</v>
      </c>
      <c r="F127" s="32">
        <v>157</v>
      </c>
      <c r="G127" s="32">
        <v>118</v>
      </c>
      <c r="H127" s="32">
        <v>38</v>
      </c>
      <c r="I127" s="32">
        <v>0</v>
      </c>
    </row>
    <row r="128" spans="1:9" ht="12.75" customHeight="1">
      <c r="A128" s="3" t="s">
        <v>228</v>
      </c>
      <c r="B128" s="4" t="s">
        <v>229</v>
      </c>
      <c r="C128" s="30">
        <v>5798</v>
      </c>
      <c r="D128" s="30">
        <v>1575</v>
      </c>
      <c r="E128" s="30">
        <v>151</v>
      </c>
      <c r="F128" s="32">
        <v>3048</v>
      </c>
      <c r="G128" s="32">
        <v>655</v>
      </c>
      <c r="H128" s="32">
        <v>158</v>
      </c>
      <c r="I128" s="32">
        <v>3</v>
      </c>
    </row>
    <row r="129" spans="1:9" ht="12.75" customHeight="1">
      <c r="A129" s="3" t="s">
        <v>230</v>
      </c>
      <c r="B129" s="4" t="s">
        <v>231</v>
      </c>
      <c r="C129" s="30">
        <v>2364</v>
      </c>
      <c r="D129" s="30">
        <v>359</v>
      </c>
      <c r="E129" s="30">
        <v>51</v>
      </c>
      <c r="F129" s="32">
        <v>241</v>
      </c>
      <c r="G129" s="32">
        <v>73</v>
      </c>
      <c r="H129" s="32">
        <v>27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1971</v>
      </c>
      <c r="D130" s="30">
        <v>878</v>
      </c>
      <c r="E130" s="30">
        <v>697</v>
      </c>
      <c r="F130" s="32">
        <v>546</v>
      </c>
      <c r="G130" s="32">
        <v>546</v>
      </c>
      <c r="H130" s="32">
        <v>138</v>
      </c>
      <c r="I130" s="32">
        <v>2</v>
      </c>
    </row>
    <row r="131" spans="1:9" ht="12.75" customHeight="1">
      <c r="A131" s="3" t="s">
        <v>234</v>
      </c>
      <c r="B131" s="4" t="s">
        <v>235</v>
      </c>
      <c r="C131" s="30">
        <v>4744</v>
      </c>
      <c r="D131" s="30">
        <v>1313</v>
      </c>
      <c r="E131" s="30">
        <v>839</v>
      </c>
      <c r="F131" s="32">
        <v>2513</v>
      </c>
      <c r="G131" s="32">
        <v>737</v>
      </c>
      <c r="H131" s="32">
        <v>99</v>
      </c>
      <c r="I131" s="32">
        <v>0</v>
      </c>
    </row>
    <row r="132" spans="1:9" ht="12.75" customHeight="1">
      <c r="A132" s="3" t="s">
        <v>236</v>
      </c>
      <c r="B132" s="4" t="s">
        <v>237</v>
      </c>
      <c r="C132" s="30">
        <v>2619</v>
      </c>
      <c r="D132" s="30">
        <v>722</v>
      </c>
      <c r="E132" s="30">
        <v>82</v>
      </c>
      <c r="F132" s="32">
        <v>1431</v>
      </c>
      <c r="G132" s="32">
        <v>221</v>
      </c>
      <c r="H132" s="32">
        <v>117</v>
      </c>
      <c r="I132" s="32">
        <v>1</v>
      </c>
    </row>
    <row r="133" spans="1:9" ht="12.75" customHeight="1">
      <c r="A133" s="3" t="s">
        <v>238</v>
      </c>
      <c r="B133" s="4" t="s">
        <v>239</v>
      </c>
      <c r="C133" s="30">
        <v>1728</v>
      </c>
      <c r="D133" s="30">
        <v>986</v>
      </c>
      <c r="E133" s="30">
        <v>255</v>
      </c>
      <c r="F133" s="32">
        <v>379</v>
      </c>
      <c r="G133" s="32">
        <v>363</v>
      </c>
      <c r="H133" s="32">
        <v>109</v>
      </c>
      <c r="I133" s="32">
        <v>1</v>
      </c>
    </row>
    <row r="134" spans="1:9" ht="12.75" customHeight="1">
      <c r="A134" s="3" t="s">
        <v>240</v>
      </c>
      <c r="B134" s="4" t="s">
        <v>241</v>
      </c>
      <c r="C134" s="30">
        <v>1160</v>
      </c>
      <c r="D134" s="30">
        <v>88</v>
      </c>
      <c r="E134" s="30">
        <v>88</v>
      </c>
      <c r="F134" s="32">
        <v>759</v>
      </c>
      <c r="G134" s="32">
        <v>313</v>
      </c>
      <c r="H134" s="32">
        <v>80</v>
      </c>
      <c r="I134" s="32">
        <v>2</v>
      </c>
    </row>
    <row r="135" spans="1:9" ht="12.75" customHeight="1">
      <c r="A135" s="7"/>
      <c r="B135" s="6" t="s">
        <v>242</v>
      </c>
      <c r="C135" s="31">
        <f t="shared" ref="C135:I135" si="18">SUM(C126:C134)</f>
        <v>22066</v>
      </c>
      <c r="D135" s="31">
        <f t="shared" si="18"/>
        <v>6293</v>
      </c>
      <c r="E135" s="31">
        <f t="shared" si="18"/>
        <v>2212</v>
      </c>
      <c r="F135" s="31">
        <f t="shared" si="18"/>
        <v>9727</v>
      </c>
      <c r="G135" s="31">
        <f t="shared" si="18"/>
        <v>3321</v>
      </c>
      <c r="H135" s="31">
        <f t="shared" si="18"/>
        <v>865</v>
      </c>
      <c r="I135" s="31">
        <f t="shared" si="18"/>
        <v>11</v>
      </c>
    </row>
    <row r="136" spans="1:9" ht="12.75" customHeight="1">
      <c r="A136" s="3" t="s">
        <v>243</v>
      </c>
      <c r="B136" s="4" t="s">
        <v>244</v>
      </c>
      <c r="C136" s="30">
        <v>6912</v>
      </c>
      <c r="D136" s="30">
        <v>470</v>
      </c>
      <c r="E136" s="30">
        <v>321</v>
      </c>
      <c r="F136" s="32">
        <v>2639</v>
      </c>
      <c r="G136" s="32">
        <v>1366</v>
      </c>
      <c r="H136" s="32">
        <v>365</v>
      </c>
      <c r="I136" s="32">
        <v>2</v>
      </c>
    </row>
    <row r="137" spans="1:9" ht="12.75" customHeight="1">
      <c r="A137" s="3" t="s">
        <v>245</v>
      </c>
      <c r="B137" s="4" t="s">
        <v>246</v>
      </c>
      <c r="C137" s="30">
        <v>866</v>
      </c>
      <c r="D137" s="30">
        <v>37</v>
      </c>
      <c r="E137" s="30">
        <v>37</v>
      </c>
      <c r="F137" s="32">
        <v>226</v>
      </c>
      <c r="G137" s="32">
        <v>604</v>
      </c>
      <c r="H137" s="32">
        <v>3</v>
      </c>
      <c r="I137" s="32">
        <v>0</v>
      </c>
    </row>
    <row r="138" spans="1:9" ht="12.75" customHeight="1">
      <c r="A138" s="3" t="s">
        <v>247</v>
      </c>
      <c r="B138" s="4" t="s">
        <v>248</v>
      </c>
      <c r="C138" s="30">
        <v>812</v>
      </c>
      <c r="D138" s="30">
        <v>11</v>
      </c>
      <c r="E138" s="30">
        <v>11</v>
      </c>
      <c r="F138" s="32">
        <v>162</v>
      </c>
      <c r="G138" s="32">
        <v>639</v>
      </c>
      <c r="H138" s="32">
        <v>2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1613</v>
      </c>
      <c r="D139" s="30">
        <v>75</v>
      </c>
      <c r="E139" s="30">
        <v>28</v>
      </c>
      <c r="F139" s="32">
        <v>326</v>
      </c>
      <c r="G139" s="32">
        <v>437</v>
      </c>
      <c r="H139" s="32">
        <v>15</v>
      </c>
      <c r="I139" s="32">
        <v>1</v>
      </c>
    </row>
    <row r="140" spans="1:9" ht="12.75" customHeight="1">
      <c r="A140" s="3" t="s">
        <v>251</v>
      </c>
      <c r="B140" s="4" t="s">
        <v>252</v>
      </c>
      <c r="C140" s="30">
        <v>391</v>
      </c>
      <c r="D140" s="30">
        <v>0</v>
      </c>
      <c r="E140" s="30">
        <v>0</v>
      </c>
      <c r="F140" s="32">
        <v>108</v>
      </c>
      <c r="G140" s="32">
        <v>109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1342</v>
      </c>
      <c r="D141" s="30">
        <v>64</v>
      </c>
      <c r="E141" s="30">
        <v>64</v>
      </c>
      <c r="F141" s="32">
        <v>271</v>
      </c>
      <c r="G141" s="32">
        <v>1007</v>
      </c>
      <c r="H141" s="32">
        <v>9</v>
      </c>
      <c r="I141" s="32">
        <v>1</v>
      </c>
    </row>
    <row r="142" spans="1:9" ht="12.75" customHeight="1">
      <c r="A142" s="3" t="s">
        <v>255</v>
      </c>
      <c r="B142" s="4" t="s">
        <v>256</v>
      </c>
      <c r="C142" s="30">
        <v>1358</v>
      </c>
      <c r="D142" s="30">
        <v>117</v>
      </c>
      <c r="E142" s="30">
        <v>13</v>
      </c>
      <c r="F142" s="32">
        <v>300</v>
      </c>
      <c r="G142" s="32">
        <v>528</v>
      </c>
      <c r="H142" s="32">
        <v>17</v>
      </c>
      <c r="I142" s="32">
        <v>0</v>
      </c>
    </row>
    <row r="143" spans="1:9" ht="12.75" customHeight="1">
      <c r="A143" s="3" t="s">
        <v>257</v>
      </c>
      <c r="B143" s="4" t="s">
        <v>258</v>
      </c>
      <c r="C143" s="30">
        <v>3186</v>
      </c>
      <c r="D143" s="30">
        <v>365</v>
      </c>
      <c r="E143" s="30">
        <v>96</v>
      </c>
      <c r="F143" s="32">
        <v>928</v>
      </c>
      <c r="G143" s="32">
        <v>925</v>
      </c>
      <c r="H143" s="32">
        <v>104</v>
      </c>
      <c r="I143" s="32">
        <v>2</v>
      </c>
    </row>
    <row r="144" spans="1:9" ht="12.75" customHeight="1">
      <c r="A144" s="7"/>
      <c r="B144" s="6" t="s">
        <v>259</v>
      </c>
      <c r="C144" s="35">
        <f t="shared" ref="C144:I144" si="19">SUM(C136:C143)</f>
        <v>16480</v>
      </c>
      <c r="D144" s="35">
        <f t="shared" si="19"/>
        <v>1139</v>
      </c>
      <c r="E144" s="35">
        <f t="shared" si="19"/>
        <v>570</v>
      </c>
      <c r="F144" s="35">
        <f t="shared" si="19"/>
        <v>4960</v>
      </c>
      <c r="G144" s="35">
        <f t="shared" si="19"/>
        <v>5615</v>
      </c>
      <c r="H144" s="35">
        <f t="shared" si="19"/>
        <v>515</v>
      </c>
      <c r="I144" s="35">
        <f t="shared" si="19"/>
        <v>6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312139</v>
      </c>
      <c r="D145" s="32">
        <f t="shared" si="20"/>
        <v>125887</v>
      </c>
      <c r="E145" s="32">
        <f t="shared" si="20"/>
        <v>58422</v>
      </c>
      <c r="F145" s="32">
        <f t="shared" si="20"/>
        <v>27094</v>
      </c>
      <c r="G145" s="32">
        <f t="shared" si="20"/>
        <v>101715</v>
      </c>
      <c r="H145" s="32">
        <f t="shared" si="20"/>
        <v>32429</v>
      </c>
      <c r="I145" s="32">
        <f t="shared" si="20"/>
        <v>126</v>
      </c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>
      <selection activeCell="N136" sqref="N136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262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263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3759</v>
      </c>
      <c r="D15" s="29">
        <v>1737</v>
      </c>
      <c r="E15" s="29">
        <v>1682</v>
      </c>
      <c r="F15" s="29">
        <v>128</v>
      </c>
      <c r="G15" s="29">
        <v>1619</v>
      </c>
      <c r="H15" s="29">
        <v>688</v>
      </c>
      <c r="I15" s="29">
        <v>1</v>
      </c>
    </row>
    <row r="16" spans="1:19" ht="12.75" customHeight="1">
      <c r="A16" s="3" t="s">
        <v>22</v>
      </c>
      <c r="B16" s="4" t="s">
        <v>23</v>
      </c>
      <c r="C16" s="30">
        <v>2297</v>
      </c>
      <c r="D16" s="30">
        <v>708</v>
      </c>
      <c r="E16" s="30">
        <v>700</v>
      </c>
      <c r="F16" s="30">
        <v>123</v>
      </c>
      <c r="G16" s="30">
        <v>1378</v>
      </c>
      <c r="H16" s="30">
        <v>79</v>
      </c>
      <c r="I16" s="30">
        <v>1</v>
      </c>
    </row>
    <row r="17" spans="1:9" ht="12.75" customHeight="1">
      <c r="A17" s="3" t="s">
        <v>24</v>
      </c>
      <c r="B17" s="4" t="s">
        <v>25</v>
      </c>
      <c r="C17" s="30">
        <v>1107</v>
      </c>
      <c r="D17" s="30">
        <v>493</v>
      </c>
      <c r="E17" s="30">
        <v>493</v>
      </c>
      <c r="F17" s="30">
        <v>100</v>
      </c>
      <c r="G17" s="30">
        <v>514</v>
      </c>
      <c r="H17" s="30">
        <v>87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9259</v>
      </c>
      <c r="D18" s="30">
        <v>2353</v>
      </c>
      <c r="E18" s="30">
        <v>811</v>
      </c>
      <c r="F18" s="30">
        <v>472</v>
      </c>
      <c r="G18" s="30">
        <v>5316</v>
      </c>
      <c r="H18" s="30">
        <v>1384</v>
      </c>
      <c r="I18" s="30">
        <v>1</v>
      </c>
    </row>
    <row r="19" spans="1:9" ht="12.75" customHeight="1">
      <c r="A19" s="3" t="s">
        <v>28</v>
      </c>
      <c r="B19" s="4" t="s">
        <v>29</v>
      </c>
      <c r="C19" s="30">
        <v>4421</v>
      </c>
      <c r="D19" s="30">
        <v>1250</v>
      </c>
      <c r="E19" s="30">
        <v>1189</v>
      </c>
      <c r="F19" s="30">
        <v>43</v>
      </c>
      <c r="G19" s="30">
        <v>2723</v>
      </c>
      <c r="H19" s="30">
        <v>213</v>
      </c>
      <c r="I19" s="30">
        <v>1</v>
      </c>
    </row>
    <row r="20" spans="1:9" ht="12.75" customHeight="1">
      <c r="A20" s="3" t="s">
        <v>30</v>
      </c>
      <c r="B20" s="4" t="s">
        <v>31</v>
      </c>
      <c r="C20" s="30">
        <v>20961</v>
      </c>
      <c r="D20" s="30">
        <v>8628</v>
      </c>
      <c r="E20" s="30">
        <v>8088</v>
      </c>
      <c r="F20" s="30">
        <v>852</v>
      </c>
      <c r="G20" s="30">
        <v>8519</v>
      </c>
      <c r="H20" s="30">
        <v>3548</v>
      </c>
      <c r="I20" s="30">
        <v>7</v>
      </c>
    </row>
    <row r="21" spans="1:9" ht="12.75" customHeight="1">
      <c r="A21" s="3" t="s">
        <v>32</v>
      </c>
      <c r="B21" s="4" t="s">
        <v>33</v>
      </c>
      <c r="C21" s="30">
        <v>833</v>
      </c>
      <c r="D21" s="30">
        <v>317</v>
      </c>
      <c r="E21" s="30">
        <v>317</v>
      </c>
      <c r="F21" s="30">
        <v>44</v>
      </c>
      <c r="G21" s="30">
        <v>470</v>
      </c>
      <c r="H21" s="30">
        <v>55</v>
      </c>
      <c r="I21" s="30">
        <v>1</v>
      </c>
    </row>
    <row r="22" spans="1:9" ht="12.75" customHeight="1">
      <c r="A22" s="3" t="s">
        <v>34</v>
      </c>
      <c r="B22" s="4" t="s">
        <v>35</v>
      </c>
      <c r="C22" s="30">
        <v>1258</v>
      </c>
      <c r="D22" s="30">
        <v>554</v>
      </c>
      <c r="E22" s="30">
        <v>554</v>
      </c>
      <c r="F22" s="30">
        <v>59</v>
      </c>
      <c r="G22" s="30">
        <v>644</v>
      </c>
      <c r="H22" s="30">
        <v>116</v>
      </c>
      <c r="I22" s="30">
        <v>2</v>
      </c>
    </row>
    <row r="23" spans="1:9" ht="12.75" customHeight="1">
      <c r="A23" s="5"/>
      <c r="B23" s="6" t="s">
        <v>36</v>
      </c>
      <c r="C23" s="31">
        <f t="shared" ref="C23:I23" si="0">SUM(C15:C22)</f>
        <v>43895</v>
      </c>
      <c r="D23" s="31">
        <f t="shared" si="0"/>
        <v>16040</v>
      </c>
      <c r="E23" s="31">
        <f t="shared" si="0"/>
        <v>13834</v>
      </c>
      <c r="F23" s="31">
        <f t="shared" si="0"/>
        <v>1821</v>
      </c>
      <c r="G23" s="31">
        <f t="shared" si="0"/>
        <v>21183</v>
      </c>
      <c r="H23" s="31">
        <f t="shared" si="0"/>
        <v>6170</v>
      </c>
      <c r="I23" s="31">
        <f t="shared" si="0"/>
        <v>14</v>
      </c>
    </row>
    <row r="24" spans="1:9" ht="14.25" customHeight="1">
      <c r="A24" s="3" t="s">
        <v>37</v>
      </c>
      <c r="B24" s="4" t="s">
        <v>38</v>
      </c>
      <c r="C24" s="32">
        <v>2678</v>
      </c>
      <c r="D24" s="32">
        <v>239</v>
      </c>
      <c r="E24" s="32">
        <v>163</v>
      </c>
      <c r="F24" s="32">
        <v>170</v>
      </c>
      <c r="G24" s="32">
        <v>986</v>
      </c>
      <c r="H24" s="32">
        <v>60</v>
      </c>
      <c r="I24" s="32">
        <v>1</v>
      </c>
    </row>
    <row r="25" spans="1:9" ht="14.25" customHeight="1">
      <c r="A25" s="7"/>
      <c r="B25" s="6" t="s">
        <v>39</v>
      </c>
      <c r="C25" s="31">
        <f t="shared" ref="C25:I25" si="1">SUM(C24)</f>
        <v>2678</v>
      </c>
      <c r="D25" s="31">
        <f t="shared" si="1"/>
        <v>239</v>
      </c>
      <c r="E25" s="31">
        <f t="shared" si="1"/>
        <v>163</v>
      </c>
      <c r="F25" s="31">
        <f t="shared" si="1"/>
        <v>170</v>
      </c>
      <c r="G25" s="31">
        <f t="shared" si="1"/>
        <v>986</v>
      </c>
      <c r="H25" s="31">
        <f t="shared" si="1"/>
        <v>60</v>
      </c>
      <c r="I25" s="31">
        <f t="shared" si="1"/>
        <v>1</v>
      </c>
    </row>
    <row r="26" spans="1:9" ht="12.75" customHeight="1">
      <c r="A26" s="3" t="s">
        <v>40</v>
      </c>
      <c r="B26" s="4" t="s">
        <v>41</v>
      </c>
      <c r="C26" s="32">
        <v>5037</v>
      </c>
      <c r="D26" s="32">
        <v>2092</v>
      </c>
      <c r="E26" s="32">
        <v>305</v>
      </c>
      <c r="F26" s="32">
        <v>328</v>
      </c>
      <c r="G26" s="32">
        <v>1083</v>
      </c>
      <c r="H26" s="32">
        <v>476</v>
      </c>
      <c r="I26" s="32">
        <v>4</v>
      </c>
    </row>
    <row r="27" spans="1:9" ht="12.75" customHeight="1">
      <c r="A27" s="3" t="s">
        <v>42</v>
      </c>
      <c r="B27" s="4" t="s">
        <v>43</v>
      </c>
      <c r="C27" s="32">
        <v>3092</v>
      </c>
      <c r="D27" s="32">
        <v>59</v>
      </c>
      <c r="E27" s="32">
        <v>59</v>
      </c>
      <c r="F27" s="32">
        <v>377</v>
      </c>
      <c r="G27" s="32">
        <v>1857</v>
      </c>
      <c r="H27" s="32">
        <v>33</v>
      </c>
      <c r="I27" s="32">
        <v>1</v>
      </c>
    </row>
    <row r="28" spans="1:9" ht="12.75" customHeight="1">
      <c r="A28" s="3" t="s">
        <v>44</v>
      </c>
      <c r="B28" s="4" t="s">
        <v>45</v>
      </c>
      <c r="C28" s="32">
        <v>635</v>
      </c>
      <c r="D28" s="32">
        <v>284</v>
      </c>
      <c r="E28" s="32">
        <v>284</v>
      </c>
      <c r="F28" s="32">
        <v>25</v>
      </c>
      <c r="G28" s="32">
        <v>99</v>
      </c>
      <c r="H28" s="32">
        <v>141</v>
      </c>
      <c r="I28" s="32">
        <v>1</v>
      </c>
    </row>
    <row r="29" spans="1:9" ht="12.75" customHeight="1">
      <c r="A29" s="3" t="s">
        <v>46</v>
      </c>
      <c r="B29" s="4" t="s">
        <v>47</v>
      </c>
      <c r="C29" s="32">
        <v>1456</v>
      </c>
      <c r="D29" s="32">
        <v>79</v>
      </c>
      <c r="E29" s="32">
        <v>79</v>
      </c>
      <c r="F29" s="32">
        <v>150</v>
      </c>
      <c r="G29" s="32">
        <v>1059</v>
      </c>
      <c r="H29" s="32">
        <v>147</v>
      </c>
      <c r="I29" s="32">
        <v>2</v>
      </c>
    </row>
    <row r="30" spans="1:9" ht="12.75" customHeight="1">
      <c r="A30" s="5"/>
      <c r="B30" s="6" t="s">
        <v>48</v>
      </c>
      <c r="C30" s="31">
        <f t="shared" ref="C30:I30" si="2">SUM(C26:C29)</f>
        <v>10220</v>
      </c>
      <c r="D30" s="31">
        <f t="shared" si="2"/>
        <v>2514</v>
      </c>
      <c r="E30" s="31">
        <f t="shared" si="2"/>
        <v>727</v>
      </c>
      <c r="F30" s="31">
        <f t="shared" si="2"/>
        <v>880</v>
      </c>
      <c r="G30" s="31">
        <f t="shared" si="2"/>
        <v>4098</v>
      </c>
      <c r="H30" s="31">
        <f t="shared" si="2"/>
        <v>797</v>
      </c>
      <c r="I30" s="31">
        <f t="shared" si="2"/>
        <v>8</v>
      </c>
    </row>
    <row r="31" spans="1:9" ht="12.75" customHeight="1">
      <c r="A31" s="3" t="s">
        <v>49</v>
      </c>
      <c r="B31" s="4" t="s">
        <v>50</v>
      </c>
      <c r="C31" s="32">
        <v>8481</v>
      </c>
      <c r="D31" s="32">
        <v>1636</v>
      </c>
      <c r="E31" s="32">
        <v>1443</v>
      </c>
      <c r="F31" s="32">
        <v>295</v>
      </c>
      <c r="G31" s="32">
        <v>5888</v>
      </c>
      <c r="H31" s="32">
        <v>1380</v>
      </c>
      <c r="I31" s="32">
        <v>4</v>
      </c>
    </row>
    <row r="32" spans="1:9" ht="12.75" customHeight="1">
      <c r="A32" s="3" t="s">
        <v>51</v>
      </c>
      <c r="B32" s="4" t="s">
        <v>52</v>
      </c>
      <c r="C32" s="32">
        <v>11430</v>
      </c>
      <c r="D32" s="32">
        <v>5398</v>
      </c>
      <c r="E32" s="32">
        <v>3451</v>
      </c>
      <c r="F32" s="32">
        <v>394</v>
      </c>
      <c r="G32" s="32">
        <v>4326</v>
      </c>
      <c r="H32" s="32">
        <v>3115</v>
      </c>
      <c r="I32" s="32">
        <v>3</v>
      </c>
    </row>
    <row r="33" spans="1:9" ht="12.75" customHeight="1">
      <c r="A33" s="3" t="s">
        <v>53</v>
      </c>
      <c r="B33" s="4" t="s">
        <v>54</v>
      </c>
      <c r="C33" s="32">
        <v>2310</v>
      </c>
      <c r="D33" s="32">
        <v>401</v>
      </c>
      <c r="E33" s="32">
        <v>401</v>
      </c>
      <c r="F33" s="32">
        <v>147</v>
      </c>
      <c r="G33" s="32">
        <v>1370</v>
      </c>
      <c r="H33" s="32">
        <v>495</v>
      </c>
      <c r="I33" s="32">
        <v>1</v>
      </c>
    </row>
    <row r="34" spans="1:9" ht="12.75" customHeight="1">
      <c r="A34" s="3" t="s">
        <v>55</v>
      </c>
      <c r="B34" s="4" t="s">
        <v>56</v>
      </c>
      <c r="C34" s="32">
        <v>4222</v>
      </c>
      <c r="D34" s="32">
        <v>1811</v>
      </c>
      <c r="E34" s="32">
        <v>727</v>
      </c>
      <c r="F34" s="32">
        <v>66</v>
      </c>
      <c r="G34" s="32">
        <v>555</v>
      </c>
      <c r="H34" s="32">
        <v>621</v>
      </c>
      <c r="I34" s="32">
        <v>1</v>
      </c>
    </row>
    <row r="35" spans="1:9" ht="12.75" customHeight="1">
      <c r="A35" s="3" t="s">
        <v>57</v>
      </c>
      <c r="B35" s="4" t="s">
        <v>58</v>
      </c>
      <c r="C35" s="32">
        <v>1407</v>
      </c>
      <c r="D35" s="32">
        <v>360</v>
      </c>
      <c r="E35" s="32">
        <v>360</v>
      </c>
      <c r="F35" s="32">
        <v>66</v>
      </c>
      <c r="G35" s="32">
        <v>961</v>
      </c>
      <c r="H35" s="32">
        <v>463</v>
      </c>
      <c r="I35" s="32">
        <v>1</v>
      </c>
    </row>
    <row r="36" spans="1:9" ht="12.75" customHeight="1">
      <c r="A36" s="3" t="s">
        <v>59</v>
      </c>
      <c r="B36" s="4" t="s">
        <v>60</v>
      </c>
      <c r="C36" s="32">
        <v>741</v>
      </c>
      <c r="D36" s="32">
        <v>478</v>
      </c>
      <c r="E36" s="32">
        <v>478</v>
      </c>
      <c r="F36" s="32">
        <v>23</v>
      </c>
      <c r="G36" s="32">
        <v>192</v>
      </c>
      <c r="H36" s="32">
        <v>598</v>
      </c>
      <c r="I36" s="32">
        <v>0</v>
      </c>
    </row>
    <row r="37" spans="1:9" ht="12.75" customHeight="1">
      <c r="A37" s="3" t="s">
        <v>61</v>
      </c>
      <c r="B37" s="4" t="s">
        <v>62</v>
      </c>
      <c r="C37" s="32">
        <v>6626</v>
      </c>
      <c r="D37" s="32">
        <v>2956</v>
      </c>
      <c r="E37" s="32">
        <v>823</v>
      </c>
      <c r="F37" s="32">
        <v>148</v>
      </c>
      <c r="G37" s="32">
        <v>2039</v>
      </c>
      <c r="H37" s="32">
        <v>938</v>
      </c>
      <c r="I37" s="32">
        <v>0</v>
      </c>
    </row>
    <row r="38" spans="1:9" ht="12.75" customHeight="1">
      <c r="A38" s="3" t="s">
        <v>63</v>
      </c>
      <c r="B38" s="4" t="s">
        <v>64</v>
      </c>
      <c r="C38" s="32">
        <v>12287</v>
      </c>
      <c r="D38" s="32">
        <v>7723</v>
      </c>
      <c r="E38" s="32">
        <v>5189</v>
      </c>
      <c r="F38" s="32">
        <v>309</v>
      </c>
      <c r="G38" s="32">
        <v>2092</v>
      </c>
      <c r="H38" s="32">
        <v>6180</v>
      </c>
      <c r="I38" s="32">
        <v>12</v>
      </c>
    </row>
    <row r="39" spans="1:9" ht="12.75" customHeight="1">
      <c r="A39" s="3" t="s">
        <v>65</v>
      </c>
      <c r="B39" s="4" t="s">
        <v>66</v>
      </c>
      <c r="C39" s="32">
        <v>1861</v>
      </c>
      <c r="D39" s="32">
        <v>1339</v>
      </c>
      <c r="E39" s="32">
        <v>1339</v>
      </c>
      <c r="F39" s="32">
        <v>100</v>
      </c>
      <c r="G39" s="32">
        <v>422</v>
      </c>
      <c r="H39" s="32">
        <v>1052</v>
      </c>
      <c r="I39" s="32">
        <v>1</v>
      </c>
    </row>
    <row r="40" spans="1:9" ht="12.75" customHeight="1">
      <c r="A40" s="3" t="s">
        <v>67</v>
      </c>
      <c r="B40" s="4" t="s">
        <v>68</v>
      </c>
      <c r="C40" s="32">
        <v>1946</v>
      </c>
      <c r="D40" s="32">
        <v>1088</v>
      </c>
      <c r="E40" s="32">
        <v>848</v>
      </c>
      <c r="F40" s="32">
        <v>88</v>
      </c>
      <c r="G40" s="32">
        <v>656</v>
      </c>
      <c r="H40" s="32">
        <v>583</v>
      </c>
      <c r="I40" s="32">
        <v>1</v>
      </c>
    </row>
    <row r="41" spans="1:9" ht="12.75" customHeight="1">
      <c r="A41" s="3" t="s">
        <v>69</v>
      </c>
      <c r="B41" s="4" t="s">
        <v>70</v>
      </c>
      <c r="C41" s="32">
        <v>2318</v>
      </c>
      <c r="D41" s="32">
        <v>168</v>
      </c>
      <c r="E41" s="32">
        <v>142</v>
      </c>
      <c r="F41" s="32">
        <v>277</v>
      </c>
      <c r="G41" s="32">
        <v>1193</v>
      </c>
      <c r="H41" s="32">
        <v>124</v>
      </c>
      <c r="I41" s="32">
        <v>0</v>
      </c>
    </row>
    <row r="42" spans="1:9" ht="12.75" customHeight="1">
      <c r="A42" s="3" t="s">
        <v>71</v>
      </c>
      <c r="B42" s="4" t="s">
        <v>72</v>
      </c>
      <c r="C42" s="32">
        <v>2260</v>
      </c>
      <c r="D42" s="32">
        <v>1078</v>
      </c>
      <c r="E42" s="32">
        <v>995</v>
      </c>
      <c r="F42" s="32">
        <v>141</v>
      </c>
      <c r="G42" s="32">
        <v>1040</v>
      </c>
      <c r="H42" s="32">
        <v>570</v>
      </c>
      <c r="I42" s="32">
        <v>2</v>
      </c>
    </row>
    <row r="43" spans="1:9" ht="12.75" customHeight="1">
      <c r="A43" s="5"/>
      <c r="B43" s="6" t="s">
        <v>73</v>
      </c>
      <c r="C43" s="31">
        <f t="shared" ref="C43:I43" si="3">SUM(C31:C42)</f>
        <v>55889</v>
      </c>
      <c r="D43" s="31">
        <f t="shared" si="3"/>
        <v>24436</v>
      </c>
      <c r="E43" s="31">
        <f t="shared" si="3"/>
        <v>16196</v>
      </c>
      <c r="F43" s="31">
        <f t="shared" si="3"/>
        <v>2054</v>
      </c>
      <c r="G43" s="31">
        <f t="shared" si="3"/>
        <v>20734</v>
      </c>
      <c r="H43" s="31">
        <f t="shared" si="3"/>
        <v>16119</v>
      </c>
      <c r="I43" s="31">
        <f t="shared" si="3"/>
        <v>26</v>
      </c>
    </row>
    <row r="44" spans="1:9" ht="12.75" customHeight="1">
      <c r="A44" s="3" t="s">
        <v>74</v>
      </c>
      <c r="B44" s="4" t="s">
        <v>75</v>
      </c>
      <c r="C44" s="32">
        <v>3474</v>
      </c>
      <c r="D44" s="32">
        <v>522</v>
      </c>
      <c r="E44" s="32">
        <v>384</v>
      </c>
      <c r="F44" s="32">
        <v>447</v>
      </c>
      <c r="G44" s="32">
        <v>2046</v>
      </c>
      <c r="H44" s="32">
        <v>332</v>
      </c>
      <c r="I44" s="32">
        <v>3</v>
      </c>
    </row>
    <row r="45" spans="1:9" ht="12.75" customHeight="1">
      <c r="A45" s="3" t="s">
        <v>76</v>
      </c>
      <c r="B45" s="4" t="s">
        <v>77</v>
      </c>
      <c r="C45" s="32">
        <v>5068</v>
      </c>
      <c r="D45" s="32">
        <v>1312</v>
      </c>
      <c r="E45" s="32">
        <v>1197</v>
      </c>
      <c r="F45" s="32">
        <v>426</v>
      </c>
      <c r="G45" s="32">
        <v>3330</v>
      </c>
      <c r="H45" s="32">
        <v>748</v>
      </c>
      <c r="I45" s="32">
        <v>2</v>
      </c>
    </row>
    <row r="46" spans="1:9" ht="12.75" customHeight="1">
      <c r="A46" s="5"/>
      <c r="B46" s="6" t="s">
        <v>78</v>
      </c>
      <c r="C46" s="31">
        <f t="shared" ref="C46:I46" si="4">SUM(C44:C45)</f>
        <v>8542</v>
      </c>
      <c r="D46" s="31">
        <f t="shared" si="4"/>
        <v>1834</v>
      </c>
      <c r="E46" s="31">
        <f t="shared" si="4"/>
        <v>1581</v>
      </c>
      <c r="F46" s="31">
        <f t="shared" si="4"/>
        <v>873</v>
      </c>
      <c r="G46" s="31">
        <f t="shared" si="4"/>
        <v>5376</v>
      </c>
      <c r="H46" s="31">
        <f t="shared" si="4"/>
        <v>1080</v>
      </c>
      <c r="I46" s="31">
        <f t="shared" si="4"/>
        <v>5</v>
      </c>
    </row>
    <row r="47" spans="1:9" ht="12.75" customHeight="1">
      <c r="A47" s="8" t="s">
        <v>79</v>
      </c>
      <c r="B47" s="4" t="s">
        <v>80</v>
      </c>
      <c r="C47" s="33">
        <v>392</v>
      </c>
      <c r="D47" s="33">
        <v>35</v>
      </c>
      <c r="E47" s="33">
        <v>35</v>
      </c>
      <c r="F47" s="32">
        <v>39</v>
      </c>
      <c r="G47" s="32">
        <v>318</v>
      </c>
      <c r="H47" s="32">
        <v>81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3861</v>
      </c>
      <c r="D48" s="33">
        <v>357</v>
      </c>
      <c r="E48" s="33">
        <v>352</v>
      </c>
      <c r="F48" s="32">
        <v>204</v>
      </c>
      <c r="G48" s="32">
        <v>3077</v>
      </c>
      <c r="H48" s="32">
        <v>374</v>
      </c>
      <c r="I48" s="32">
        <v>0</v>
      </c>
    </row>
    <row r="49" spans="1:9" ht="12.75" customHeight="1">
      <c r="A49" s="8" t="s">
        <v>83</v>
      </c>
      <c r="B49" s="4" t="s">
        <v>84</v>
      </c>
      <c r="C49" s="33">
        <v>500</v>
      </c>
      <c r="D49" s="33">
        <v>0</v>
      </c>
      <c r="E49" s="33">
        <v>0</v>
      </c>
      <c r="F49" s="32">
        <v>158</v>
      </c>
      <c r="G49" s="32">
        <v>342</v>
      </c>
      <c r="H49" s="32">
        <v>115</v>
      </c>
      <c r="I49" s="32">
        <v>0</v>
      </c>
    </row>
    <row r="50" spans="1:9" ht="12.75" customHeight="1">
      <c r="A50" s="8" t="s">
        <v>85</v>
      </c>
      <c r="B50" s="4" t="s">
        <v>86</v>
      </c>
      <c r="C50" s="33">
        <v>11932</v>
      </c>
      <c r="D50" s="33">
        <v>740</v>
      </c>
      <c r="E50" s="33">
        <v>293</v>
      </c>
      <c r="F50" s="32">
        <v>618</v>
      </c>
      <c r="G50" s="32">
        <v>7884</v>
      </c>
      <c r="H50" s="32">
        <v>568</v>
      </c>
      <c r="I50" s="32">
        <v>2</v>
      </c>
    </row>
    <row r="51" spans="1:9" ht="12.75" customHeight="1">
      <c r="A51" s="9"/>
      <c r="B51" s="6" t="s">
        <v>87</v>
      </c>
      <c r="C51" s="31">
        <f t="shared" ref="C51:I51" si="5">SUM(C47:C50)</f>
        <v>16685</v>
      </c>
      <c r="D51" s="31">
        <f t="shared" si="5"/>
        <v>1132</v>
      </c>
      <c r="E51" s="31">
        <f t="shared" si="5"/>
        <v>680</v>
      </c>
      <c r="F51" s="31">
        <f t="shared" si="5"/>
        <v>1019</v>
      </c>
      <c r="G51" s="31">
        <f t="shared" si="5"/>
        <v>11621</v>
      </c>
      <c r="H51" s="31">
        <f t="shared" si="5"/>
        <v>1138</v>
      </c>
      <c r="I51" s="31">
        <f t="shared" si="5"/>
        <v>2</v>
      </c>
    </row>
    <row r="52" spans="1:9" ht="12.75" customHeight="1">
      <c r="A52" s="8" t="s">
        <v>88</v>
      </c>
      <c r="B52" s="4" t="s">
        <v>89</v>
      </c>
      <c r="C52" s="33">
        <v>4427</v>
      </c>
      <c r="D52" s="33">
        <v>358</v>
      </c>
      <c r="E52" s="33">
        <v>167</v>
      </c>
      <c r="F52" s="32">
        <v>273</v>
      </c>
      <c r="G52" s="32">
        <v>3706</v>
      </c>
      <c r="H52" s="32">
        <v>55</v>
      </c>
      <c r="I52" s="32">
        <v>0</v>
      </c>
    </row>
    <row r="53" spans="1:9" ht="12.75" customHeight="1">
      <c r="A53" s="8" t="s">
        <v>90</v>
      </c>
      <c r="B53" s="4" t="s">
        <v>91</v>
      </c>
      <c r="C53" s="33">
        <v>11101</v>
      </c>
      <c r="D53" s="33">
        <v>4311</v>
      </c>
      <c r="E53" s="33">
        <v>2958</v>
      </c>
      <c r="F53" s="32">
        <v>382</v>
      </c>
      <c r="G53" s="32">
        <v>4244</v>
      </c>
      <c r="H53" s="32">
        <v>1146</v>
      </c>
      <c r="I53" s="32">
        <v>3</v>
      </c>
    </row>
    <row r="54" spans="1:9" ht="12.75" customHeight="1">
      <c r="A54" s="8" t="s">
        <v>92</v>
      </c>
      <c r="B54" s="4" t="s">
        <v>93</v>
      </c>
      <c r="C54" s="33">
        <v>3029</v>
      </c>
      <c r="D54" s="33">
        <v>1431</v>
      </c>
      <c r="E54" s="33">
        <v>476</v>
      </c>
      <c r="F54" s="32">
        <v>116</v>
      </c>
      <c r="G54" s="32">
        <v>1137</v>
      </c>
      <c r="H54" s="32">
        <v>580</v>
      </c>
      <c r="I54" s="32">
        <v>0</v>
      </c>
    </row>
    <row r="55" spans="1:9" ht="12.75" customHeight="1">
      <c r="A55" s="8" t="s">
        <v>94</v>
      </c>
      <c r="B55" s="4" t="s">
        <v>95</v>
      </c>
      <c r="C55" s="33">
        <v>7907</v>
      </c>
      <c r="D55" s="33">
        <v>1969</v>
      </c>
      <c r="E55" s="33">
        <v>1476</v>
      </c>
      <c r="F55" s="32">
        <v>540</v>
      </c>
      <c r="G55" s="32">
        <v>5378</v>
      </c>
      <c r="H55" s="32">
        <v>760</v>
      </c>
      <c r="I55" s="32">
        <v>2</v>
      </c>
    </row>
    <row r="56" spans="1:9" ht="12.75" customHeight="1">
      <c r="A56" s="8" t="s">
        <v>96</v>
      </c>
      <c r="B56" s="4" t="s">
        <v>97</v>
      </c>
      <c r="C56" s="33">
        <v>12082</v>
      </c>
      <c r="D56" s="33">
        <v>5945</v>
      </c>
      <c r="E56" s="33">
        <v>1705</v>
      </c>
      <c r="F56" s="32">
        <v>187</v>
      </c>
      <c r="G56" s="32">
        <v>4559</v>
      </c>
      <c r="H56" s="32">
        <v>460</v>
      </c>
      <c r="I56" s="32">
        <v>1</v>
      </c>
    </row>
    <row r="57" spans="1:9" ht="12.75" customHeight="1">
      <c r="A57" s="8" t="s">
        <v>98</v>
      </c>
      <c r="B57" s="4" t="s">
        <v>99</v>
      </c>
      <c r="C57" s="33">
        <v>15651</v>
      </c>
      <c r="D57" s="33">
        <v>7949</v>
      </c>
      <c r="E57" s="33">
        <v>2716</v>
      </c>
      <c r="F57" s="32">
        <v>403</v>
      </c>
      <c r="G57" s="32">
        <v>5339</v>
      </c>
      <c r="H57" s="32">
        <v>547</v>
      </c>
      <c r="I57" s="32">
        <v>3</v>
      </c>
    </row>
    <row r="58" spans="1:9" ht="12.75" customHeight="1">
      <c r="A58" s="8" t="s">
        <v>100</v>
      </c>
      <c r="B58" s="4" t="s">
        <v>101</v>
      </c>
      <c r="C58" s="33">
        <v>6317</v>
      </c>
      <c r="D58" s="33">
        <v>2479</v>
      </c>
      <c r="E58" s="33">
        <v>1911</v>
      </c>
      <c r="F58" s="32">
        <v>289</v>
      </c>
      <c r="G58" s="32">
        <v>2305</v>
      </c>
      <c r="H58" s="32">
        <v>1758</v>
      </c>
      <c r="I58" s="32">
        <v>1</v>
      </c>
    </row>
    <row r="59" spans="1:9" ht="12.75" customHeight="1">
      <c r="A59" s="9"/>
      <c r="B59" s="6" t="s">
        <v>102</v>
      </c>
      <c r="C59" s="31">
        <f t="shared" ref="C59:I59" si="6">SUM(C52:C58)</f>
        <v>60514</v>
      </c>
      <c r="D59" s="31">
        <f t="shared" si="6"/>
        <v>24442</v>
      </c>
      <c r="E59" s="31">
        <f t="shared" si="6"/>
        <v>11409</v>
      </c>
      <c r="F59" s="31">
        <f t="shared" si="6"/>
        <v>2190</v>
      </c>
      <c r="G59" s="31">
        <f t="shared" si="6"/>
        <v>26668</v>
      </c>
      <c r="H59" s="31">
        <f t="shared" si="6"/>
        <v>5306</v>
      </c>
      <c r="I59" s="31">
        <f t="shared" si="6"/>
        <v>10</v>
      </c>
    </row>
    <row r="60" spans="1:9" ht="12.75" customHeight="1">
      <c r="A60" s="8" t="s">
        <v>103</v>
      </c>
      <c r="B60" s="4" t="s">
        <v>104</v>
      </c>
      <c r="C60" s="33">
        <v>10680</v>
      </c>
      <c r="D60" s="33">
        <v>4371</v>
      </c>
      <c r="E60" s="33">
        <v>1624</v>
      </c>
      <c r="F60" s="32">
        <v>218</v>
      </c>
      <c r="G60" s="32">
        <v>5503</v>
      </c>
      <c r="H60" s="32">
        <v>1033</v>
      </c>
      <c r="I60" s="32">
        <v>5</v>
      </c>
    </row>
    <row r="61" spans="1:9" ht="12.75" customHeight="1">
      <c r="A61" s="8" t="s">
        <v>105</v>
      </c>
      <c r="B61" s="4" t="s">
        <v>106</v>
      </c>
      <c r="C61" s="33">
        <v>4266</v>
      </c>
      <c r="D61" s="33">
        <v>1583</v>
      </c>
      <c r="E61" s="33">
        <v>1432</v>
      </c>
      <c r="F61" s="32">
        <v>149</v>
      </c>
      <c r="G61" s="32">
        <v>2491</v>
      </c>
      <c r="H61" s="32">
        <v>320</v>
      </c>
      <c r="I61" s="32">
        <v>2</v>
      </c>
    </row>
    <row r="62" spans="1:9" ht="12.75" customHeight="1">
      <c r="A62" s="8" t="s">
        <v>107</v>
      </c>
      <c r="B62" s="4" t="s">
        <v>108</v>
      </c>
      <c r="C62" s="33">
        <v>8396</v>
      </c>
      <c r="D62" s="33">
        <v>4288</v>
      </c>
      <c r="E62" s="33">
        <v>1215</v>
      </c>
      <c r="F62" s="32">
        <v>259</v>
      </c>
      <c r="G62" s="32">
        <v>3368</v>
      </c>
      <c r="H62" s="32">
        <v>1090</v>
      </c>
      <c r="I62" s="32">
        <v>3</v>
      </c>
    </row>
    <row r="63" spans="1:9" ht="12.75" customHeight="1">
      <c r="A63" s="8" t="s">
        <v>109</v>
      </c>
      <c r="B63" s="4" t="s">
        <v>110</v>
      </c>
      <c r="C63" s="33">
        <v>4139</v>
      </c>
      <c r="D63" s="33">
        <v>2316</v>
      </c>
      <c r="E63" s="33">
        <v>1848</v>
      </c>
      <c r="F63" s="32">
        <v>152</v>
      </c>
      <c r="G63" s="32">
        <v>1672</v>
      </c>
      <c r="H63" s="32">
        <v>1281</v>
      </c>
      <c r="I63" s="32">
        <v>2</v>
      </c>
    </row>
    <row r="64" spans="1:9" ht="12.75" customHeight="1">
      <c r="A64" s="8" t="s">
        <v>111</v>
      </c>
      <c r="B64" s="4" t="s">
        <v>112</v>
      </c>
      <c r="C64" s="33">
        <v>39442</v>
      </c>
      <c r="D64" s="33">
        <v>26259</v>
      </c>
      <c r="E64" s="33">
        <v>935</v>
      </c>
      <c r="F64" s="32">
        <v>66</v>
      </c>
      <c r="G64" s="32">
        <v>7244</v>
      </c>
      <c r="H64" s="32">
        <v>553</v>
      </c>
      <c r="I64" s="32">
        <v>2</v>
      </c>
    </row>
    <row r="65" spans="1:9" ht="12.75" customHeight="1">
      <c r="A65" s="8" t="s">
        <v>113</v>
      </c>
      <c r="B65" s="4" t="s">
        <v>114</v>
      </c>
      <c r="C65" s="33">
        <v>2465</v>
      </c>
      <c r="D65" s="33">
        <v>1331</v>
      </c>
      <c r="E65" s="33">
        <v>1081</v>
      </c>
      <c r="F65" s="32">
        <v>48</v>
      </c>
      <c r="G65" s="32">
        <v>1074</v>
      </c>
      <c r="H65" s="32">
        <v>282</v>
      </c>
      <c r="I65" s="32">
        <v>2</v>
      </c>
    </row>
    <row r="66" spans="1:9" ht="12.75" customHeight="1">
      <c r="A66" s="8" t="s">
        <v>115</v>
      </c>
      <c r="B66" s="4" t="s">
        <v>116</v>
      </c>
      <c r="C66" s="33">
        <v>3013</v>
      </c>
      <c r="D66" s="33">
        <v>1493</v>
      </c>
      <c r="E66" s="33">
        <v>1086</v>
      </c>
      <c r="F66" s="32">
        <v>81</v>
      </c>
      <c r="G66" s="32">
        <v>782</v>
      </c>
      <c r="H66" s="32">
        <v>1104</v>
      </c>
      <c r="I66" s="32">
        <v>1</v>
      </c>
    </row>
    <row r="67" spans="1:9" ht="12.75" customHeight="1">
      <c r="A67" s="8" t="s">
        <v>117</v>
      </c>
      <c r="B67" s="4" t="s">
        <v>118</v>
      </c>
      <c r="C67" s="33">
        <v>5644</v>
      </c>
      <c r="D67" s="33">
        <v>3239</v>
      </c>
      <c r="E67" s="33">
        <v>1288</v>
      </c>
      <c r="F67" s="32">
        <v>133</v>
      </c>
      <c r="G67" s="32">
        <v>1906</v>
      </c>
      <c r="H67" s="32">
        <v>690</v>
      </c>
      <c r="I67" s="32">
        <v>1</v>
      </c>
    </row>
    <row r="68" spans="1:9" ht="12.75" customHeight="1">
      <c r="A68" s="8" t="s">
        <v>119</v>
      </c>
      <c r="B68" s="4" t="s">
        <v>120</v>
      </c>
      <c r="C68" s="33">
        <v>3091</v>
      </c>
      <c r="D68" s="33">
        <v>1548</v>
      </c>
      <c r="E68" s="33">
        <v>760</v>
      </c>
      <c r="F68" s="32">
        <v>91</v>
      </c>
      <c r="G68" s="32">
        <v>947</v>
      </c>
      <c r="H68" s="32">
        <v>104</v>
      </c>
      <c r="I68" s="32">
        <v>2</v>
      </c>
    </row>
    <row r="69" spans="1:9" ht="12.75" customHeight="1">
      <c r="A69" s="5"/>
      <c r="B69" s="6" t="s">
        <v>121</v>
      </c>
      <c r="C69" s="31">
        <f t="shared" ref="C69:I69" si="7">SUM(C60:C68)</f>
        <v>81136</v>
      </c>
      <c r="D69" s="31">
        <f t="shared" si="7"/>
        <v>46428</v>
      </c>
      <c r="E69" s="31">
        <f t="shared" si="7"/>
        <v>11269</v>
      </c>
      <c r="F69" s="31">
        <f t="shared" si="7"/>
        <v>1197</v>
      </c>
      <c r="G69" s="31">
        <f t="shared" si="7"/>
        <v>24987</v>
      </c>
      <c r="H69" s="31">
        <f t="shared" si="7"/>
        <v>6457</v>
      </c>
      <c r="I69" s="31">
        <f t="shared" si="7"/>
        <v>20</v>
      </c>
    </row>
    <row r="70" spans="1:9" ht="12.75" customHeight="1">
      <c r="A70" s="8" t="s">
        <v>122</v>
      </c>
      <c r="B70" s="4" t="s">
        <v>123</v>
      </c>
      <c r="C70" s="33">
        <v>4619</v>
      </c>
      <c r="D70" s="33">
        <v>1880</v>
      </c>
      <c r="E70" s="33">
        <v>1314</v>
      </c>
      <c r="F70" s="32">
        <v>276</v>
      </c>
      <c r="G70" s="32">
        <v>2027</v>
      </c>
      <c r="H70" s="32">
        <v>566</v>
      </c>
      <c r="I70" s="32">
        <v>2</v>
      </c>
    </row>
    <row r="71" spans="1:9" ht="12.75" customHeight="1">
      <c r="A71" s="8" t="s">
        <v>124</v>
      </c>
      <c r="B71" s="4" t="s">
        <v>125</v>
      </c>
      <c r="C71" s="33">
        <v>8926</v>
      </c>
      <c r="D71" s="33">
        <v>3335</v>
      </c>
      <c r="E71" s="33">
        <v>3115</v>
      </c>
      <c r="F71" s="32">
        <v>452</v>
      </c>
      <c r="G71" s="32">
        <v>2763</v>
      </c>
      <c r="H71" s="32">
        <v>631</v>
      </c>
      <c r="I71" s="32">
        <v>4</v>
      </c>
    </row>
    <row r="72" spans="1:9" ht="12.75" customHeight="1">
      <c r="A72" s="8" t="s">
        <v>126</v>
      </c>
      <c r="B72" s="4" t="s">
        <v>127</v>
      </c>
      <c r="C72" s="33">
        <v>2621</v>
      </c>
      <c r="D72" s="33">
        <v>556</v>
      </c>
      <c r="E72" s="33">
        <v>539</v>
      </c>
      <c r="F72" s="32">
        <v>297</v>
      </c>
      <c r="G72" s="32">
        <v>1769</v>
      </c>
      <c r="H72" s="32">
        <v>102</v>
      </c>
      <c r="I72" s="32">
        <v>1</v>
      </c>
    </row>
    <row r="73" spans="1:9" ht="12.75" customHeight="1">
      <c r="A73" s="8" t="s">
        <v>128</v>
      </c>
      <c r="B73" s="4" t="s">
        <v>129</v>
      </c>
      <c r="C73" s="33">
        <v>3020</v>
      </c>
      <c r="D73" s="33">
        <v>585</v>
      </c>
      <c r="E73" s="33">
        <v>574</v>
      </c>
      <c r="F73" s="32">
        <v>236</v>
      </c>
      <c r="G73" s="32">
        <v>2182</v>
      </c>
      <c r="H73" s="32">
        <v>190</v>
      </c>
      <c r="I73" s="32">
        <v>1</v>
      </c>
    </row>
    <row r="74" spans="1:9" ht="12.75" customHeight="1">
      <c r="A74" s="8" t="s">
        <v>130</v>
      </c>
      <c r="B74" s="4" t="s">
        <v>131</v>
      </c>
      <c r="C74" s="33">
        <v>3775</v>
      </c>
      <c r="D74" s="33">
        <v>945</v>
      </c>
      <c r="E74" s="33">
        <v>862</v>
      </c>
      <c r="F74" s="32">
        <v>299</v>
      </c>
      <c r="G74" s="32">
        <v>1557</v>
      </c>
      <c r="H74" s="32">
        <v>350</v>
      </c>
      <c r="I74" s="32">
        <v>2</v>
      </c>
    </row>
    <row r="75" spans="1:9" ht="12.75" customHeight="1">
      <c r="A75" s="8" t="s">
        <v>132</v>
      </c>
      <c r="B75" s="4" t="s">
        <v>133</v>
      </c>
      <c r="C75" s="33">
        <v>1656</v>
      </c>
      <c r="D75" s="33">
        <v>275</v>
      </c>
      <c r="E75" s="33">
        <v>211</v>
      </c>
      <c r="F75" s="32">
        <v>245</v>
      </c>
      <c r="G75" s="32">
        <v>431</v>
      </c>
      <c r="H75" s="32">
        <v>1673</v>
      </c>
      <c r="I75" s="32">
        <v>1</v>
      </c>
    </row>
    <row r="76" spans="1:9" ht="12.75" customHeight="1">
      <c r="A76" s="10" t="s">
        <v>134</v>
      </c>
      <c r="B76" s="4" t="s">
        <v>135</v>
      </c>
      <c r="C76" s="33">
        <v>2869</v>
      </c>
      <c r="D76" s="33">
        <v>1568</v>
      </c>
      <c r="E76" s="33">
        <v>1340</v>
      </c>
      <c r="F76" s="32">
        <v>191</v>
      </c>
      <c r="G76" s="32">
        <v>1076</v>
      </c>
      <c r="H76" s="32">
        <v>205</v>
      </c>
      <c r="I76" s="32">
        <v>2</v>
      </c>
    </row>
    <row r="77" spans="1:9" ht="12.75" customHeight="1">
      <c r="A77" s="10" t="s">
        <v>136</v>
      </c>
      <c r="B77" s="4" t="s">
        <v>137</v>
      </c>
      <c r="C77" s="33">
        <v>5330</v>
      </c>
      <c r="D77" s="33">
        <v>841</v>
      </c>
      <c r="E77" s="33">
        <v>594</v>
      </c>
      <c r="F77" s="32">
        <v>283</v>
      </c>
      <c r="G77" s="32">
        <v>2356</v>
      </c>
      <c r="H77" s="32">
        <v>167</v>
      </c>
      <c r="I77" s="32">
        <v>3</v>
      </c>
    </row>
    <row r="78" spans="1:9" ht="12.75" customHeight="1">
      <c r="A78" s="10" t="s">
        <v>138</v>
      </c>
      <c r="B78" s="4" t="s">
        <v>139</v>
      </c>
      <c r="C78" s="33">
        <v>1004</v>
      </c>
      <c r="D78" s="33">
        <v>591</v>
      </c>
      <c r="E78" s="33">
        <v>591</v>
      </c>
      <c r="F78" s="32">
        <v>116</v>
      </c>
      <c r="G78" s="32">
        <v>297</v>
      </c>
      <c r="H78" s="32">
        <v>110</v>
      </c>
      <c r="I78" s="32">
        <v>2</v>
      </c>
    </row>
    <row r="79" spans="1:9" ht="12.75" customHeight="1">
      <c r="A79" s="10" t="s">
        <v>140</v>
      </c>
      <c r="B79" s="4" t="s">
        <v>141</v>
      </c>
      <c r="C79" s="33">
        <v>3590</v>
      </c>
      <c r="D79" s="33">
        <v>602</v>
      </c>
      <c r="E79" s="33">
        <v>538</v>
      </c>
      <c r="F79" s="32">
        <v>153</v>
      </c>
      <c r="G79" s="32">
        <v>2123</v>
      </c>
      <c r="H79" s="32">
        <v>174</v>
      </c>
      <c r="I79" s="32">
        <v>1</v>
      </c>
    </row>
    <row r="80" spans="1:9" ht="12.75" customHeight="1">
      <c r="A80" s="11"/>
      <c r="B80" s="6" t="s">
        <v>142</v>
      </c>
      <c r="C80" s="31">
        <f t="shared" ref="C80:I80" si="8">SUM(C70:C79)</f>
        <v>37410</v>
      </c>
      <c r="D80" s="31">
        <f t="shared" si="8"/>
        <v>11178</v>
      </c>
      <c r="E80" s="31">
        <f t="shared" si="8"/>
        <v>9678</v>
      </c>
      <c r="F80" s="31">
        <f t="shared" si="8"/>
        <v>2548</v>
      </c>
      <c r="G80" s="31">
        <f t="shared" si="8"/>
        <v>16581</v>
      </c>
      <c r="H80" s="31">
        <f t="shared" si="8"/>
        <v>4168</v>
      </c>
      <c r="I80" s="31">
        <f t="shared" si="8"/>
        <v>19</v>
      </c>
    </row>
    <row r="81" spans="1:9" ht="12.75" customHeight="1">
      <c r="A81" s="10" t="s">
        <v>143</v>
      </c>
      <c r="B81" s="4" t="s">
        <v>144</v>
      </c>
      <c r="C81" s="30">
        <v>6461</v>
      </c>
      <c r="D81" s="30">
        <v>2884</v>
      </c>
      <c r="E81" s="30">
        <v>1069</v>
      </c>
      <c r="F81" s="32">
        <v>149</v>
      </c>
      <c r="G81" s="32">
        <v>2413</v>
      </c>
      <c r="H81" s="32">
        <v>523</v>
      </c>
      <c r="I81" s="32">
        <v>1</v>
      </c>
    </row>
    <row r="82" spans="1:9" ht="12.75" customHeight="1">
      <c r="A82" s="10" t="s">
        <v>145</v>
      </c>
      <c r="B82" s="4" t="s">
        <v>146</v>
      </c>
      <c r="C82" s="30">
        <v>2084</v>
      </c>
      <c r="D82" s="30">
        <v>1145</v>
      </c>
      <c r="E82" s="30">
        <v>808</v>
      </c>
      <c r="F82" s="32">
        <v>71</v>
      </c>
      <c r="G82" s="32">
        <v>707</v>
      </c>
      <c r="H82" s="32">
        <v>438</v>
      </c>
      <c r="I82" s="32">
        <v>1</v>
      </c>
    </row>
    <row r="83" spans="1:9" ht="12.75" customHeight="1">
      <c r="A83" s="10" t="s">
        <v>147</v>
      </c>
      <c r="B83" s="4" t="s">
        <v>148</v>
      </c>
      <c r="C83" s="30">
        <v>1200</v>
      </c>
      <c r="D83" s="30">
        <v>115</v>
      </c>
      <c r="E83" s="30">
        <v>109</v>
      </c>
      <c r="F83" s="32">
        <v>52</v>
      </c>
      <c r="G83" s="32">
        <v>262</v>
      </c>
      <c r="H83" s="32">
        <v>62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4082</v>
      </c>
      <c r="D84" s="30">
        <v>1394</v>
      </c>
      <c r="E84" s="30">
        <v>563</v>
      </c>
      <c r="F84" s="32">
        <v>337</v>
      </c>
      <c r="G84" s="32">
        <v>2238</v>
      </c>
      <c r="H84" s="32">
        <v>207</v>
      </c>
      <c r="I84" s="32">
        <v>1</v>
      </c>
    </row>
    <row r="85" spans="1:9" ht="12.75" customHeight="1">
      <c r="A85" s="10" t="s">
        <v>151</v>
      </c>
      <c r="B85" s="4" t="s">
        <v>152</v>
      </c>
      <c r="C85" s="30">
        <v>3636</v>
      </c>
      <c r="D85" s="30">
        <v>1115</v>
      </c>
      <c r="E85" s="30">
        <v>798</v>
      </c>
      <c r="F85" s="32">
        <v>139</v>
      </c>
      <c r="G85" s="32">
        <v>1687</v>
      </c>
      <c r="H85" s="32">
        <v>157</v>
      </c>
      <c r="I85" s="32">
        <v>1</v>
      </c>
    </row>
    <row r="86" spans="1:9" ht="12.75" customHeight="1">
      <c r="A86" s="11"/>
      <c r="B86" s="6" t="s">
        <v>153</v>
      </c>
      <c r="C86" s="31">
        <f t="shared" ref="C86:I86" si="9">SUM(C81:C85)</f>
        <v>17463</v>
      </c>
      <c r="D86" s="31">
        <f t="shared" si="9"/>
        <v>6653</v>
      </c>
      <c r="E86" s="31">
        <f t="shared" si="9"/>
        <v>3347</v>
      </c>
      <c r="F86" s="31">
        <f t="shared" si="9"/>
        <v>748</v>
      </c>
      <c r="G86" s="31">
        <f t="shared" si="9"/>
        <v>7307</v>
      </c>
      <c r="H86" s="31">
        <f t="shared" si="9"/>
        <v>1387</v>
      </c>
      <c r="I86" s="31">
        <f t="shared" si="9"/>
        <v>4</v>
      </c>
    </row>
    <row r="87" spans="1:9" ht="12.75" customHeight="1">
      <c r="A87" s="10" t="s">
        <v>154</v>
      </c>
      <c r="B87" s="4" t="s">
        <v>155</v>
      </c>
      <c r="C87" s="30">
        <v>8284</v>
      </c>
      <c r="D87" s="30">
        <v>2360</v>
      </c>
      <c r="E87" s="30">
        <v>2186</v>
      </c>
      <c r="F87" s="32">
        <v>385</v>
      </c>
      <c r="G87" s="32">
        <v>4182</v>
      </c>
      <c r="H87" s="32">
        <v>731</v>
      </c>
      <c r="I87" s="32">
        <v>3</v>
      </c>
    </row>
    <row r="88" spans="1:9" ht="12.75" customHeight="1">
      <c r="A88" s="10" t="s">
        <v>156</v>
      </c>
      <c r="B88" s="4" t="s">
        <v>157</v>
      </c>
      <c r="C88" s="30">
        <v>6597</v>
      </c>
      <c r="D88" s="30">
        <v>1488</v>
      </c>
      <c r="E88" s="30">
        <v>1412</v>
      </c>
      <c r="F88" s="32">
        <v>169</v>
      </c>
      <c r="G88" s="32">
        <v>1092</v>
      </c>
      <c r="H88" s="32">
        <v>299</v>
      </c>
      <c r="I88" s="32">
        <v>1</v>
      </c>
    </row>
    <row r="89" spans="1:9" ht="12.75" customHeight="1">
      <c r="A89" s="11"/>
      <c r="B89" s="6" t="s">
        <v>158</v>
      </c>
      <c r="C89" s="31">
        <f t="shared" ref="C89:I89" si="10">SUM(C87:C88)</f>
        <v>14881</v>
      </c>
      <c r="D89" s="31">
        <f t="shared" si="10"/>
        <v>3848</v>
      </c>
      <c r="E89" s="31">
        <f t="shared" si="10"/>
        <v>3598</v>
      </c>
      <c r="F89" s="31">
        <f t="shared" si="10"/>
        <v>554</v>
      </c>
      <c r="G89" s="31">
        <f t="shared" si="10"/>
        <v>5274</v>
      </c>
      <c r="H89" s="31">
        <f t="shared" si="10"/>
        <v>1030</v>
      </c>
      <c r="I89" s="31">
        <f t="shared" si="10"/>
        <v>4</v>
      </c>
    </row>
    <row r="90" spans="1:9" ht="12.75" customHeight="1">
      <c r="A90" s="10" t="s">
        <v>159</v>
      </c>
      <c r="B90" s="4" t="s">
        <v>160</v>
      </c>
      <c r="C90" s="30">
        <v>10531</v>
      </c>
      <c r="D90" s="30">
        <v>3127</v>
      </c>
      <c r="E90" s="30">
        <v>1877</v>
      </c>
      <c r="F90" s="32">
        <v>340</v>
      </c>
      <c r="G90" s="32">
        <v>4190</v>
      </c>
      <c r="H90" s="32">
        <v>335</v>
      </c>
      <c r="I90" s="32">
        <v>2</v>
      </c>
    </row>
    <row r="91" spans="1:9" ht="12.75" customHeight="1">
      <c r="A91" s="10" t="s">
        <v>161</v>
      </c>
      <c r="B91" s="4" t="s">
        <v>162</v>
      </c>
      <c r="C91" s="30">
        <v>5639</v>
      </c>
      <c r="D91" s="30">
        <v>1260</v>
      </c>
      <c r="E91" s="30">
        <v>1248</v>
      </c>
      <c r="F91" s="32">
        <v>481</v>
      </c>
      <c r="G91" s="32">
        <v>2067</v>
      </c>
      <c r="H91" s="32">
        <v>296</v>
      </c>
      <c r="I91" s="32">
        <v>2</v>
      </c>
    </row>
    <row r="92" spans="1:9" ht="12.75" customHeight="1">
      <c r="A92" s="10" t="s">
        <v>163</v>
      </c>
      <c r="B92" s="4" t="s">
        <v>164</v>
      </c>
      <c r="C92" s="30">
        <v>2130</v>
      </c>
      <c r="D92" s="30">
        <v>558</v>
      </c>
      <c r="E92" s="30">
        <v>554</v>
      </c>
      <c r="F92" s="32">
        <v>195</v>
      </c>
      <c r="G92" s="32">
        <v>1377</v>
      </c>
      <c r="H92" s="32">
        <v>29</v>
      </c>
      <c r="I92" s="32">
        <v>0</v>
      </c>
    </row>
    <row r="93" spans="1:9" ht="12.75" customHeight="1">
      <c r="A93" s="10" t="s">
        <v>165</v>
      </c>
      <c r="B93" s="4" t="s">
        <v>166</v>
      </c>
      <c r="C93" s="30">
        <v>75280</v>
      </c>
      <c r="D93" s="30">
        <v>47251</v>
      </c>
      <c r="E93" s="30">
        <v>20277</v>
      </c>
      <c r="F93" s="32">
        <v>1317</v>
      </c>
      <c r="G93" s="32">
        <v>11747</v>
      </c>
      <c r="H93" s="32">
        <v>3480</v>
      </c>
      <c r="I93" s="32">
        <v>18</v>
      </c>
    </row>
    <row r="94" spans="1:9" ht="12.75" customHeight="1">
      <c r="A94" s="10" t="s">
        <v>167</v>
      </c>
      <c r="B94" s="4" t="s">
        <v>168</v>
      </c>
      <c r="C94" s="30">
        <v>4528</v>
      </c>
      <c r="D94" s="30">
        <v>876</v>
      </c>
      <c r="E94" s="30">
        <v>800</v>
      </c>
      <c r="F94" s="32">
        <v>303</v>
      </c>
      <c r="G94" s="32">
        <v>1923</v>
      </c>
      <c r="H94" s="32">
        <v>134</v>
      </c>
      <c r="I94" s="32">
        <v>1</v>
      </c>
    </row>
    <row r="95" spans="1:9" ht="12.75" customHeight="1">
      <c r="A95" s="11"/>
      <c r="B95" s="6" t="s">
        <v>169</v>
      </c>
      <c r="C95" s="31">
        <f t="shared" ref="C95:I95" si="11">SUM(C90:C94)</f>
        <v>98108</v>
      </c>
      <c r="D95" s="31">
        <f t="shared" si="11"/>
        <v>53072</v>
      </c>
      <c r="E95" s="31">
        <f t="shared" si="11"/>
        <v>24756</v>
      </c>
      <c r="F95" s="31">
        <f t="shared" si="11"/>
        <v>2636</v>
      </c>
      <c r="G95" s="31">
        <f t="shared" si="11"/>
        <v>21304</v>
      </c>
      <c r="H95" s="31">
        <f t="shared" si="11"/>
        <v>4274</v>
      </c>
      <c r="I95" s="31">
        <f t="shared" si="11"/>
        <v>23</v>
      </c>
    </row>
    <row r="96" spans="1:9" ht="12.75" customHeight="1">
      <c r="A96" s="10" t="s">
        <v>170</v>
      </c>
      <c r="B96" s="4" t="s">
        <v>171</v>
      </c>
      <c r="C96" s="30">
        <v>1090</v>
      </c>
      <c r="D96" s="30">
        <v>390</v>
      </c>
      <c r="E96" s="30">
        <v>390</v>
      </c>
      <c r="F96" s="32">
        <v>36</v>
      </c>
      <c r="G96" s="32">
        <v>664</v>
      </c>
      <c r="H96" s="32">
        <v>678</v>
      </c>
      <c r="I96" s="32">
        <v>1</v>
      </c>
    </row>
    <row r="97" spans="1:9" ht="12.75" customHeight="1">
      <c r="A97" s="10" t="s">
        <v>172</v>
      </c>
      <c r="B97" s="4" t="s">
        <v>173</v>
      </c>
      <c r="C97" s="30">
        <v>740</v>
      </c>
      <c r="D97" s="30">
        <v>147</v>
      </c>
      <c r="E97" s="30">
        <v>99</v>
      </c>
      <c r="F97" s="32">
        <v>19</v>
      </c>
      <c r="G97" s="32">
        <v>253</v>
      </c>
      <c r="H97" s="32">
        <v>29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1830</v>
      </c>
      <c r="D98" s="31">
        <f t="shared" si="12"/>
        <v>537</v>
      </c>
      <c r="E98" s="31">
        <f t="shared" si="12"/>
        <v>489</v>
      </c>
      <c r="F98" s="31">
        <f t="shared" si="12"/>
        <v>55</v>
      </c>
      <c r="G98" s="31">
        <f t="shared" si="12"/>
        <v>917</v>
      </c>
      <c r="H98" s="31">
        <f t="shared" si="12"/>
        <v>707</v>
      </c>
      <c r="I98" s="31">
        <f t="shared" si="12"/>
        <v>1</v>
      </c>
    </row>
    <row r="99" spans="1:9" ht="12.75" customHeight="1">
      <c r="A99" s="10" t="s">
        <v>175</v>
      </c>
      <c r="B99" s="4" t="s">
        <v>176</v>
      </c>
      <c r="C99" s="30">
        <v>3384</v>
      </c>
      <c r="D99" s="30">
        <v>1422</v>
      </c>
      <c r="E99" s="30">
        <v>546</v>
      </c>
      <c r="F99" s="32">
        <v>218</v>
      </c>
      <c r="G99" s="32">
        <v>1395</v>
      </c>
      <c r="H99" s="32">
        <v>358</v>
      </c>
      <c r="I99" s="32">
        <v>1</v>
      </c>
    </row>
    <row r="100" spans="1:9" ht="12.75" customHeight="1">
      <c r="A100" s="10" t="s">
        <v>177</v>
      </c>
      <c r="B100" s="4" t="s">
        <v>178</v>
      </c>
      <c r="C100" s="30">
        <v>1510</v>
      </c>
      <c r="D100" s="30">
        <v>661</v>
      </c>
      <c r="E100" s="30">
        <v>489</v>
      </c>
      <c r="F100" s="32">
        <v>107</v>
      </c>
      <c r="G100" s="32">
        <v>738</v>
      </c>
      <c r="H100" s="32">
        <v>171</v>
      </c>
      <c r="I100" s="32">
        <v>1</v>
      </c>
    </row>
    <row r="101" spans="1:9" ht="12.75" customHeight="1">
      <c r="A101" s="10" t="s">
        <v>179</v>
      </c>
      <c r="B101" s="4" t="s">
        <v>180</v>
      </c>
      <c r="C101" s="30">
        <v>4491</v>
      </c>
      <c r="D101" s="30">
        <v>1794</v>
      </c>
      <c r="E101" s="30">
        <v>389</v>
      </c>
      <c r="F101" s="32">
        <v>344</v>
      </c>
      <c r="G101" s="32">
        <v>1901</v>
      </c>
      <c r="H101" s="32">
        <v>245</v>
      </c>
      <c r="I101" s="32">
        <v>0</v>
      </c>
    </row>
    <row r="102" spans="1:9" ht="12.75" customHeight="1">
      <c r="A102" s="10" t="s">
        <v>181</v>
      </c>
      <c r="B102" s="4" t="s">
        <v>182</v>
      </c>
      <c r="C102" s="30">
        <v>2022</v>
      </c>
      <c r="D102" s="30">
        <v>973</v>
      </c>
      <c r="E102" s="30">
        <v>833</v>
      </c>
      <c r="F102" s="32">
        <v>114</v>
      </c>
      <c r="G102" s="32">
        <v>936</v>
      </c>
      <c r="H102" s="32">
        <v>310</v>
      </c>
      <c r="I102" s="32">
        <v>1</v>
      </c>
    </row>
    <row r="103" spans="1:9" ht="12.75" customHeight="1">
      <c r="A103" s="11"/>
      <c r="B103" s="6" t="s">
        <v>183</v>
      </c>
      <c r="C103" s="31">
        <f t="shared" ref="C103:I103" si="13">SUM(C99:C102)</f>
        <v>11407</v>
      </c>
      <c r="D103" s="31">
        <f t="shared" si="13"/>
        <v>4850</v>
      </c>
      <c r="E103" s="31">
        <f t="shared" si="13"/>
        <v>2257</v>
      </c>
      <c r="F103" s="31">
        <f t="shared" si="13"/>
        <v>783</v>
      </c>
      <c r="G103" s="31">
        <f t="shared" si="13"/>
        <v>4970</v>
      </c>
      <c r="H103" s="31">
        <f t="shared" si="13"/>
        <v>1084</v>
      </c>
      <c r="I103" s="31">
        <f t="shared" si="13"/>
        <v>3</v>
      </c>
    </row>
    <row r="104" spans="1:9" ht="12.75" customHeight="1">
      <c r="A104" s="10" t="s">
        <v>184</v>
      </c>
      <c r="B104" s="4" t="s">
        <v>185</v>
      </c>
      <c r="C104" s="30">
        <v>3042</v>
      </c>
      <c r="D104" s="30">
        <v>761</v>
      </c>
      <c r="E104" s="30">
        <v>172</v>
      </c>
      <c r="F104" s="32">
        <v>94</v>
      </c>
      <c r="G104" s="32">
        <v>583</v>
      </c>
      <c r="H104" s="32">
        <v>653</v>
      </c>
      <c r="I104" s="32">
        <v>3</v>
      </c>
    </row>
    <row r="105" spans="1:9" ht="12.75" customHeight="1">
      <c r="A105" s="10" t="s">
        <v>186</v>
      </c>
      <c r="B105" s="4" t="s">
        <v>187</v>
      </c>
      <c r="C105" s="30">
        <v>3268</v>
      </c>
      <c r="D105" s="30">
        <v>524</v>
      </c>
      <c r="E105" s="30">
        <v>202</v>
      </c>
      <c r="F105" s="32">
        <v>272</v>
      </c>
      <c r="G105" s="32">
        <v>812</v>
      </c>
      <c r="H105" s="32">
        <v>103</v>
      </c>
      <c r="I105" s="32">
        <v>1</v>
      </c>
    </row>
    <row r="106" spans="1:9" ht="12.75" customHeight="1">
      <c r="A106" s="10" t="s">
        <v>188</v>
      </c>
      <c r="B106" s="4" t="s">
        <v>189</v>
      </c>
      <c r="C106" s="30">
        <v>16715</v>
      </c>
      <c r="D106" s="30">
        <v>6508</v>
      </c>
      <c r="E106" s="30">
        <v>1933</v>
      </c>
      <c r="F106" s="32">
        <v>477</v>
      </c>
      <c r="G106" s="32">
        <v>2457</v>
      </c>
      <c r="H106" s="32">
        <v>471</v>
      </c>
      <c r="I106" s="32">
        <v>3</v>
      </c>
    </row>
    <row r="107" spans="1:9" ht="12.75" customHeight="1">
      <c r="A107" s="10" t="s">
        <v>190</v>
      </c>
      <c r="B107" s="4" t="s">
        <v>191</v>
      </c>
      <c r="C107" s="30">
        <v>50957</v>
      </c>
      <c r="D107" s="30">
        <v>19914</v>
      </c>
      <c r="E107" s="30">
        <v>2804</v>
      </c>
      <c r="F107" s="32">
        <v>4116</v>
      </c>
      <c r="G107" s="32">
        <v>4244</v>
      </c>
      <c r="H107" s="32">
        <v>1574</v>
      </c>
      <c r="I107" s="32">
        <v>7</v>
      </c>
    </row>
    <row r="108" spans="1:9" ht="12.75" customHeight="1">
      <c r="A108" s="10" t="s">
        <v>192</v>
      </c>
      <c r="B108" s="4" t="s">
        <v>193</v>
      </c>
      <c r="C108" s="30">
        <v>16845</v>
      </c>
      <c r="D108" s="30">
        <v>3840</v>
      </c>
      <c r="E108" s="30">
        <v>1064</v>
      </c>
      <c r="F108" s="32">
        <v>1173</v>
      </c>
      <c r="G108" s="32">
        <v>2565</v>
      </c>
      <c r="H108" s="32">
        <v>950</v>
      </c>
      <c r="I108" s="32">
        <v>3</v>
      </c>
    </row>
    <row r="109" spans="1:9" ht="12.75" customHeight="1">
      <c r="A109" s="11"/>
      <c r="B109" s="6" t="s">
        <v>194</v>
      </c>
      <c r="C109" s="31">
        <f t="shared" ref="C109:I109" si="14">SUM(C104:C108)</f>
        <v>90827</v>
      </c>
      <c r="D109" s="31">
        <f t="shared" si="14"/>
        <v>31547</v>
      </c>
      <c r="E109" s="31">
        <f t="shared" si="14"/>
        <v>6175</v>
      </c>
      <c r="F109" s="31">
        <f t="shared" si="14"/>
        <v>6132</v>
      </c>
      <c r="G109" s="31">
        <f t="shared" si="14"/>
        <v>10661</v>
      </c>
      <c r="H109" s="31">
        <f t="shared" si="14"/>
        <v>3751</v>
      </c>
      <c r="I109" s="31">
        <f t="shared" si="14"/>
        <v>17</v>
      </c>
    </row>
    <row r="110" spans="1:9" ht="12.75" customHeight="1">
      <c r="A110" s="3" t="s">
        <v>195</v>
      </c>
      <c r="B110" s="4" t="s">
        <v>196</v>
      </c>
      <c r="C110" s="30">
        <v>9795</v>
      </c>
      <c r="D110" s="30">
        <v>3688</v>
      </c>
      <c r="E110" s="30">
        <v>2556</v>
      </c>
      <c r="F110" s="32">
        <v>990</v>
      </c>
      <c r="G110" s="32">
        <v>2514</v>
      </c>
      <c r="H110" s="32">
        <v>1123</v>
      </c>
      <c r="I110" s="32">
        <v>4</v>
      </c>
    </row>
    <row r="111" spans="1:9" ht="12.75" customHeight="1">
      <c r="A111" s="3" t="s">
        <v>197</v>
      </c>
      <c r="B111" s="4" t="s">
        <v>198</v>
      </c>
      <c r="C111" s="30">
        <v>906</v>
      </c>
      <c r="D111" s="30">
        <v>418</v>
      </c>
      <c r="E111" s="30">
        <v>412</v>
      </c>
      <c r="F111" s="32">
        <v>140</v>
      </c>
      <c r="G111" s="32">
        <v>348</v>
      </c>
      <c r="H111" s="32">
        <v>43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2900</v>
      </c>
      <c r="D112" s="30">
        <v>1113</v>
      </c>
      <c r="E112" s="30">
        <v>651</v>
      </c>
      <c r="F112" s="32">
        <v>411</v>
      </c>
      <c r="G112" s="32">
        <v>767</v>
      </c>
      <c r="H112" s="32">
        <v>227</v>
      </c>
      <c r="I112" s="32">
        <v>1</v>
      </c>
    </row>
    <row r="113" spans="1:9" ht="12.75" customHeight="1">
      <c r="A113" s="3" t="s">
        <v>201</v>
      </c>
      <c r="B113" s="4" t="s">
        <v>202</v>
      </c>
      <c r="C113" s="30">
        <v>6921</v>
      </c>
      <c r="D113" s="30">
        <v>2570</v>
      </c>
      <c r="E113" s="30">
        <v>573</v>
      </c>
      <c r="F113" s="32">
        <v>548</v>
      </c>
      <c r="G113" s="32">
        <v>1375</v>
      </c>
      <c r="H113" s="32">
        <v>704</v>
      </c>
      <c r="I113" s="32">
        <v>1</v>
      </c>
    </row>
    <row r="114" spans="1:9" ht="12.75" customHeight="1">
      <c r="A114" s="3" t="s">
        <v>203</v>
      </c>
      <c r="B114" s="4" t="s">
        <v>204</v>
      </c>
      <c r="C114" s="30">
        <v>8335</v>
      </c>
      <c r="D114" s="30">
        <v>3226</v>
      </c>
      <c r="E114" s="30">
        <v>1453</v>
      </c>
      <c r="F114" s="32">
        <v>862</v>
      </c>
      <c r="G114" s="32">
        <v>787</v>
      </c>
      <c r="H114" s="32">
        <v>277</v>
      </c>
      <c r="I114" s="32">
        <v>5</v>
      </c>
    </row>
    <row r="115" spans="1:9" ht="12.75" customHeight="1">
      <c r="A115" s="3" t="s">
        <v>205</v>
      </c>
      <c r="B115" s="4" t="s">
        <v>206</v>
      </c>
      <c r="C115" s="30">
        <v>2575</v>
      </c>
      <c r="D115" s="30">
        <v>1316</v>
      </c>
      <c r="E115" s="30">
        <v>970</v>
      </c>
      <c r="F115" s="32">
        <v>481</v>
      </c>
      <c r="G115" s="32">
        <v>679</v>
      </c>
      <c r="H115" s="32">
        <v>1752</v>
      </c>
      <c r="I115" s="32">
        <v>0</v>
      </c>
    </row>
    <row r="116" spans="1:9" ht="12.75" customHeight="1">
      <c r="A116" s="5"/>
      <c r="B116" s="6" t="s">
        <v>207</v>
      </c>
      <c r="C116" s="31">
        <f t="shared" ref="C116:I116" si="15">SUM(C110:C115)</f>
        <v>31432</v>
      </c>
      <c r="D116" s="31">
        <f t="shared" si="15"/>
        <v>12331</v>
      </c>
      <c r="E116" s="31">
        <f t="shared" si="15"/>
        <v>6615</v>
      </c>
      <c r="F116" s="31">
        <f t="shared" si="15"/>
        <v>3432</v>
      </c>
      <c r="G116" s="31">
        <f t="shared" si="15"/>
        <v>6470</v>
      </c>
      <c r="H116" s="31">
        <f t="shared" si="15"/>
        <v>4126</v>
      </c>
      <c r="I116" s="31">
        <f t="shared" si="15"/>
        <v>11</v>
      </c>
    </row>
    <row r="117" spans="1:9" ht="12.75" customHeight="1">
      <c r="A117" s="3" t="s">
        <v>208</v>
      </c>
      <c r="B117" s="4" t="s">
        <v>209</v>
      </c>
      <c r="C117" s="30">
        <v>740</v>
      </c>
      <c r="D117" s="30">
        <v>257</v>
      </c>
      <c r="E117" s="30">
        <v>175</v>
      </c>
      <c r="F117" s="32">
        <v>56</v>
      </c>
      <c r="G117" s="32">
        <v>427</v>
      </c>
      <c r="H117" s="32">
        <v>117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3020</v>
      </c>
      <c r="D118" s="34">
        <v>611</v>
      </c>
      <c r="E118" s="30">
        <v>491</v>
      </c>
      <c r="F118" s="32">
        <v>471</v>
      </c>
      <c r="G118" s="32">
        <v>1424</v>
      </c>
      <c r="H118" s="32">
        <v>263</v>
      </c>
      <c r="I118" s="32">
        <v>1</v>
      </c>
    </row>
    <row r="119" spans="1:9" ht="12.75" customHeight="1">
      <c r="A119" s="5"/>
      <c r="B119" s="6" t="s">
        <v>212</v>
      </c>
      <c r="C119" s="31">
        <f t="shared" ref="C119:I119" si="16">SUM(C117:C118)</f>
        <v>3760</v>
      </c>
      <c r="D119" s="31">
        <f t="shared" si="16"/>
        <v>868</v>
      </c>
      <c r="E119" s="31">
        <f t="shared" si="16"/>
        <v>666</v>
      </c>
      <c r="F119" s="31">
        <f t="shared" si="16"/>
        <v>527</v>
      </c>
      <c r="G119" s="31">
        <f t="shared" si="16"/>
        <v>1851</v>
      </c>
      <c r="H119" s="31">
        <f t="shared" si="16"/>
        <v>380</v>
      </c>
      <c r="I119" s="31">
        <f t="shared" si="16"/>
        <v>1</v>
      </c>
    </row>
    <row r="120" spans="1:9" ht="12.75" customHeight="1">
      <c r="A120" s="3" t="s">
        <v>213</v>
      </c>
      <c r="B120" s="4" t="s">
        <v>214</v>
      </c>
      <c r="C120" s="30">
        <v>3628</v>
      </c>
      <c r="D120" s="30">
        <v>733</v>
      </c>
      <c r="E120" s="30">
        <v>496</v>
      </c>
      <c r="F120" s="32">
        <v>751</v>
      </c>
      <c r="G120" s="32">
        <v>1210</v>
      </c>
      <c r="H120" s="32">
        <v>75</v>
      </c>
      <c r="I120" s="32">
        <v>1</v>
      </c>
    </row>
    <row r="121" spans="1:9" ht="12.75" customHeight="1">
      <c r="A121" s="3" t="s">
        <v>215</v>
      </c>
      <c r="B121" s="4" t="s">
        <v>216</v>
      </c>
      <c r="C121" s="30">
        <v>5589</v>
      </c>
      <c r="D121" s="30">
        <v>859</v>
      </c>
      <c r="E121" s="30">
        <v>564</v>
      </c>
      <c r="F121" s="32">
        <v>1355</v>
      </c>
      <c r="G121" s="32">
        <v>2281</v>
      </c>
      <c r="H121" s="32">
        <v>193</v>
      </c>
      <c r="I121" s="32">
        <v>2</v>
      </c>
    </row>
    <row r="122" spans="1:9" ht="12.75" customHeight="1">
      <c r="A122" s="3" t="s">
        <v>217</v>
      </c>
      <c r="B122" s="4" t="s">
        <v>218</v>
      </c>
      <c r="C122" s="30">
        <v>1750</v>
      </c>
      <c r="D122" s="30">
        <v>317</v>
      </c>
      <c r="E122" s="30">
        <v>130</v>
      </c>
      <c r="F122" s="32">
        <v>250</v>
      </c>
      <c r="G122" s="32">
        <v>479</v>
      </c>
      <c r="H122" s="32">
        <v>43</v>
      </c>
      <c r="I122" s="32">
        <v>0</v>
      </c>
    </row>
    <row r="123" spans="1:9" ht="12.75" customHeight="1">
      <c r="A123" s="3" t="s">
        <v>219</v>
      </c>
      <c r="B123" s="4" t="s">
        <v>220</v>
      </c>
      <c r="C123" s="30">
        <v>4546</v>
      </c>
      <c r="D123" s="30">
        <v>809</v>
      </c>
      <c r="E123" s="30">
        <v>505</v>
      </c>
      <c r="F123" s="32">
        <v>1806</v>
      </c>
      <c r="G123" s="32">
        <v>1562</v>
      </c>
      <c r="H123" s="32">
        <v>156</v>
      </c>
      <c r="I123" s="32">
        <v>2</v>
      </c>
    </row>
    <row r="124" spans="1:9" ht="12.75" customHeight="1">
      <c r="A124" s="3" t="s">
        <v>221</v>
      </c>
      <c r="B124" s="4" t="s">
        <v>222</v>
      </c>
      <c r="C124" s="30">
        <v>1387</v>
      </c>
      <c r="D124" s="30">
        <v>111</v>
      </c>
      <c r="E124" s="30">
        <v>111</v>
      </c>
      <c r="F124" s="32">
        <v>108</v>
      </c>
      <c r="G124" s="32">
        <v>400</v>
      </c>
      <c r="H124" s="32">
        <v>23</v>
      </c>
      <c r="I124" s="32">
        <v>1</v>
      </c>
    </row>
    <row r="125" spans="1:9" ht="12.75" customHeight="1">
      <c r="A125" s="5"/>
      <c r="B125" s="6" t="s">
        <v>223</v>
      </c>
      <c r="C125" s="31">
        <f t="shared" ref="C125:I125" si="17">SUM(C120:C124)</f>
        <v>16900</v>
      </c>
      <c r="D125" s="31">
        <f t="shared" si="17"/>
        <v>2829</v>
      </c>
      <c r="E125" s="31">
        <f t="shared" si="17"/>
        <v>1806</v>
      </c>
      <c r="F125" s="31">
        <f t="shared" si="17"/>
        <v>4270</v>
      </c>
      <c r="G125" s="31">
        <f t="shared" si="17"/>
        <v>5932</v>
      </c>
      <c r="H125" s="31">
        <f t="shared" si="17"/>
        <v>490</v>
      </c>
      <c r="I125" s="31">
        <f t="shared" si="17"/>
        <v>6</v>
      </c>
    </row>
    <row r="126" spans="1:9" ht="12.75" customHeight="1">
      <c r="A126" s="3" t="s">
        <v>224</v>
      </c>
      <c r="B126" s="4" t="s">
        <v>225</v>
      </c>
      <c r="C126" s="30">
        <v>2682</v>
      </c>
      <c r="D126" s="30">
        <v>187</v>
      </c>
      <c r="E126" s="30">
        <v>54</v>
      </c>
      <c r="F126" s="32">
        <v>1608</v>
      </c>
      <c r="G126" s="32">
        <v>704</v>
      </c>
      <c r="H126" s="32">
        <v>191</v>
      </c>
      <c r="I126" s="32">
        <v>2</v>
      </c>
    </row>
    <row r="127" spans="1:9" ht="12.75" customHeight="1">
      <c r="A127" s="3" t="s">
        <v>226</v>
      </c>
      <c r="B127" s="4" t="s">
        <v>227</v>
      </c>
      <c r="C127" s="30">
        <v>964</v>
      </c>
      <c r="D127" s="30">
        <v>375</v>
      </c>
      <c r="E127" s="30">
        <v>46</v>
      </c>
      <c r="F127" s="32">
        <v>363</v>
      </c>
      <c r="G127" s="32">
        <v>227</v>
      </c>
      <c r="H127" s="32">
        <v>71</v>
      </c>
      <c r="I127" s="32">
        <v>0</v>
      </c>
    </row>
    <row r="128" spans="1:9" ht="12.75" customHeight="1">
      <c r="A128" s="3" t="s">
        <v>228</v>
      </c>
      <c r="B128" s="4" t="s">
        <v>229</v>
      </c>
      <c r="C128" s="30">
        <v>13761</v>
      </c>
      <c r="D128" s="30">
        <v>5106</v>
      </c>
      <c r="E128" s="30">
        <v>375</v>
      </c>
      <c r="F128" s="32">
        <v>5937</v>
      </c>
      <c r="G128" s="32">
        <v>1373</v>
      </c>
      <c r="H128" s="32">
        <v>285</v>
      </c>
      <c r="I128" s="32">
        <v>4</v>
      </c>
    </row>
    <row r="129" spans="1:9" ht="12.75" customHeight="1">
      <c r="A129" s="3" t="s">
        <v>230</v>
      </c>
      <c r="B129" s="4" t="s">
        <v>231</v>
      </c>
      <c r="C129" s="30">
        <v>5494</v>
      </c>
      <c r="D129" s="30">
        <v>993</v>
      </c>
      <c r="E129" s="30">
        <v>121</v>
      </c>
      <c r="F129" s="32">
        <v>396</v>
      </c>
      <c r="G129" s="32">
        <v>166</v>
      </c>
      <c r="H129" s="32">
        <v>65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4475</v>
      </c>
      <c r="D130" s="30">
        <v>1863</v>
      </c>
      <c r="E130" s="30">
        <v>1432</v>
      </c>
      <c r="F130" s="32">
        <v>1472</v>
      </c>
      <c r="G130" s="32">
        <v>1140</v>
      </c>
      <c r="H130" s="32">
        <v>243</v>
      </c>
      <c r="I130" s="32">
        <v>3</v>
      </c>
    </row>
    <row r="131" spans="1:9" ht="12.75" customHeight="1">
      <c r="A131" s="3" t="s">
        <v>234</v>
      </c>
      <c r="B131" s="4" t="s">
        <v>235</v>
      </c>
      <c r="C131" s="30">
        <v>11689</v>
      </c>
      <c r="D131" s="30">
        <v>3653</v>
      </c>
      <c r="E131" s="30">
        <v>1779</v>
      </c>
      <c r="F131" s="32">
        <v>5822</v>
      </c>
      <c r="G131" s="32">
        <v>1823</v>
      </c>
      <c r="H131" s="32">
        <v>207</v>
      </c>
      <c r="I131" s="32">
        <v>0</v>
      </c>
    </row>
    <row r="132" spans="1:9" ht="12.75" customHeight="1">
      <c r="A132" s="3" t="s">
        <v>236</v>
      </c>
      <c r="B132" s="4" t="s">
        <v>237</v>
      </c>
      <c r="C132" s="30">
        <v>5812</v>
      </c>
      <c r="D132" s="30">
        <v>1435</v>
      </c>
      <c r="E132" s="30">
        <v>163</v>
      </c>
      <c r="F132" s="32">
        <v>3193</v>
      </c>
      <c r="G132" s="32">
        <v>470</v>
      </c>
      <c r="H132" s="32">
        <v>245</v>
      </c>
      <c r="I132" s="32">
        <v>1</v>
      </c>
    </row>
    <row r="133" spans="1:9" ht="12.75" customHeight="1">
      <c r="A133" s="3" t="s">
        <v>238</v>
      </c>
      <c r="B133" s="4" t="s">
        <v>239</v>
      </c>
      <c r="C133" s="30">
        <v>3469</v>
      </c>
      <c r="D133" s="30">
        <v>1620</v>
      </c>
      <c r="E133" s="30">
        <v>503</v>
      </c>
      <c r="F133" s="32">
        <v>1064</v>
      </c>
      <c r="G133" s="32">
        <v>784</v>
      </c>
      <c r="H133" s="32">
        <v>196</v>
      </c>
      <c r="I133" s="32">
        <v>2</v>
      </c>
    </row>
    <row r="134" spans="1:9" ht="12.75" customHeight="1">
      <c r="A134" s="3" t="s">
        <v>240</v>
      </c>
      <c r="B134" s="4" t="s">
        <v>241</v>
      </c>
      <c r="C134" s="30">
        <v>2975</v>
      </c>
      <c r="D134" s="30">
        <v>290</v>
      </c>
      <c r="E134" s="30">
        <v>209</v>
      </c>
      <c r="F134" s="32">
        <v>1936</v>
      </c>
      <c r="G134" s="32">
        <v>749</v>
      </c>
      <c r="H134" s="32">
        <v>152</v>
      </c>
      <c r="I134" s="32">
        <v>2</v>
      </c>
    </row>
    <row r="135" spans="1:9" ht="12.75" customHeight="1">
      <c r="A135" s="7"/>
      <c r="B135" s="6" t="s">
        <v>242</v>
      </c>
      <c r="C135" s="31">
        <f t="shared" ref="C135:I135" si="18">SUM(C126:C134)</f>
        <v>51321</v>
      </c>
      <c r="D135" s="31">
        <f t="shared" si="18"/>
        <v>15522</v>
      </c>
      <c r="E135" s="31">
        <f t="shared" si="18"/>
        <v>4682</v>
      </c>
      <c r="F135" s="31">
        <f t="shared" si="18"/>
        <v>21791</v>
      </c>
      <c r="G135" s="31">
        <f t="shared" si="18"/>
        <v>7436</v>
      </c>
      <c r="H135" s="31">
        <f t="shared" si="18"/>
        <v>1655</v>
      </c>
      <c r="I135" s="31">
        <f t="shared" si="18"/>
        <v>14</v>
      </c>
    </row>
    <row r="136" spans="1:9" ht="12.75" customHeight="1">
      <c r="A136" s="3" t="s">
        <v>243</v>
      </c>
      <c r="B136" s="4" t="s">
        <v>244</v>
      </c>
      <c r="C136" s="30">
        <v>14808</v>
      </c>
      <c r="D136" s="30">
        <v>967</v>
      </c>
      <c r="E136" s="30">
        <v>654</v>
      </c>
      <c r="F136" s="32">
        <v>6249</v>
      </c>
      <c r="G136" s="32">
        <v>2458</v>
      </c>
      <c r="H136" s="32">
        <v>765</v>
      </c>
      <c r="I136" s="32">
        <v>3</v>
      </c>
    </row>
    <row r="137" spans="1:9" ht="12.75" customHeight="1">
      <c r="A137" s="3" t="s">
        <v>245</v>
      </c>
      <c r="B137" s="4" t="s">
        <v>246</v>
      </c>
      <c r="C137" s="30">
        <v>1756</v>
      </c>
      <c r="D137" s="30">
        <v>78</v>
      </c>
      <c r="E137" s="30">
        <v>78</v>
      </c>
      <c r="F137" s="32">
        <v>451</v>
      </c>
      <c r="G137" s="32">
        <v>1227</v>
      </c>
      <c r="H137" s="32">
        <v>7</v>
      </c>
      <c r="I137" s="32">
        <v>0</v>
      </c>
    </row>
    <row r="138" spans="1:9" ht="12.75" customHeight="1">
      <c r="A138" s="3" t="s">
        <v>247</v>
      </c>
      <c r="B138" s="4" t="s">
        <v>248</v>
      </c>
      <c r="C138" s="30">
        <v>1369</v>
      </c>
      <c r="D138" s="30">
        <v>22</v>
      </c>
      <c r="E138" s="30">
        <v>22</v>
      </c>
      <c r="F138" s="32">
        <v>390</v>
      </c>
      <c r="G138" s="32">
        <v>957</v>
      </c>
      <c r="H138" s="32">
        <v>11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3515</v>
      </c>
      <c r="D139" s="30">
        <v>182</v>
      </c>
      <c r="E139" s="30">
        <v>72</v>
      </c>
      <c r="F139" s="32">
        <v>774</v>
      </c>
      <c r="G139" s="32">
        <v>634</v>
      </c>
      <c r="H139" s="32">
        <v>25</v>
      </c>
      <c r="I139" s="32">
        <v>1</v>
      </c>
    </row>
    <row r="140" spans="1:9" ht="12.75" customHeight="1">
      <c r="A140" s="3" t="s">
        <v>251</v>
      </c>
      <c r="B140" s="4" t="s">
        <v>252</v>
      </c>
      <c r="C140" s="30">
        <v>874</v>
      </c>
      <c r="D140" s="30">
        <v>0</v>
      </c>
      <c r="E140" s="30">
        <v>0</v>
      </c>
      <c r="F140" s="32">
        <v>246</v>
      </c>
      <c r="G140" s="32">
        <v>194</v>
      </c>
      <c r="H140" s="32">
        <v>1</v>
      </c>
      <c r="I140" s="32">
        <v>1</v>
      </c>
    </row>
    <row r="141" spans="1:9" ht="12.75" customHeight="1">
      <c r="A141" s="3" t="s">
        <v>253</v>
      </c>
      <c r="B141" s="4" t="s">
        <v>254</v>
      </c>
      <c r="C141" s="30">
        <v>2249</v>
      </c>
      <c r="D141" s="30">
        <v>92</v>
      </c>
      <c r="E141" s="30">
        <v>92</v>
      </c>
      <c r="F141" s="32">
        <v>606</v>
      </c>
      <c r="G141" s="32">
        <v>1551</v>
      </c>
      <c r="H141" s="32">
        <v>15</v>
      </c>
      <c r="I141" s="32">
        <v>1</v>
      </c>
    </row>
    <row r="142" spans="1:9" ht="12.75" customHeight="1">
      <c r="A142" s="3" t="s">
        <v>255</v>
      </c>
      <c r="B142" s="4" t="s">
        <v>256</v>
      </c>
      <c r="C142" s="30">
        <v>2746</v>
      </c>
      <c r="D142" s="30">
        <v>213</v>
      </c>
      <c r="E142" s="30">
        <v>30</v>
      </c>
      <c r="F142" s="32">
        <v>707</v>
      </c>
      <c r="G142" s="32">
        <v>812</v>
      </c>
      <c r="H142" s="32">
        <v>53</v>
      </c>
      <c r="I142" s="32">
        <v>1</v>
      </c>
    </row>
    <row r="143" spans="1:9" ht="12.75" customHeight="1">
      <c r="A143" s="3" t="s">
        <v>257</v>
      </c>
      <c r="B143" s="4" t="s">
        <v>258</v>
      </c>
      <c r="C143" s="30">
        <v>6641</v>
      </c>
      <c r="D143" s="30">
        <v>773</v>
      </c>
      <c r="E143" s="30">
        <v>248</v>
      </c>
      <c r="F143" s="32">
        <v>2157</v>
      </c>
      <c r="G143" s="32">
        <v>1686</v>
      </c>
      <c r="H143" s="32">
        <v>171</v>
      </c>
      <c r="I143" s="32">
        <v>2</v>
      </c>
    </row>
    <row r="144" spans="1:9" ht="12.75" customHeight="1">
      <c r="A144" s="7"/>
      <c r="B144" s="6" t="s">
        <v>259</v>
      </c>
      <c r="C144" s="35">
        <f t="shared" ref="C144:I144" si="19">SUM(C136:C143)</f>
        <v>33958</v>
      </c>
      <c r="D144" s="35">
        <f t="shared" si="19"/>
        <v>2327</v>
      </c>
      <c r="E144" s="35">
        <f t="shared" si="19"/>
        <v>1196</v>
      </c>
      <c r="F144" s="35">
        <f t="shared" si="19"/>
        <v>11580</v>
      </c>
      <c r="G144" s="35">
        <f t="shared" si="19"/>
        <v>9519</v>
      </c>
      <c r="H144" s="35">
        <f t="shared" si="19"/>
        <v>1048</v>
      </c>
      <c r="I144" s="35">
        <f t="shared" si="19"/>
        <v>9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688856</v>
      </c>
      <c r="D145" s="32">
        <f t="shared" si="20"/>
        <v>262627</v>
      </c>
      <c r="E145" s="32">
        <f t="shared" si="20"/>
        <v>121124</v>
      </c>
      <c r="F145" s="32">
        <f t="shared" si="20"/>
        <v>65260</v>
      </c>
      <c r="G145" s="32">
        <f t="shared" si="20"/>
        <v>213875</v>
      </c>
      <c r="H145" s="32">
        <f t="shared" si="20"/>
        <v>61227</v>
      </c>
      <c r="I145" s="32">
        <f t="shared" si="20"/>
        <v>198</v>
      </c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2017-06-07T11:38:35Z</dcterms:modified>
</cp:coreProperties>
</file>