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i="1" l="1"/>
  <c r="P43" i="2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<sst xmlns="http://schemas.openxmlformats.org/spreadsheetml/2006/main" count="182" uniqueCount="91">
  <si>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</si>
  <si>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</si>
  <si>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</si>
  <si>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</si>
  <si>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</si>
  <si>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</si>
  <si>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</si>
  <si>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novembre 2017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</si>
  <si>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</si>
  <si>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</si>
  <si>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</si>
  <si>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</si>
  <si>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</si>
  <si>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</si>
  <si>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</si>
  <si>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</si>
  <si>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</si>
  <si>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</si>
  <si>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</si>
  <si>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</si>
  <si>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</si>
  <si>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</si>
  <si>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</si>
  <si>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</si>
  <si>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</si>
  <si>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</si>
  <si>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</si>
  <si>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</si>
  <si>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</si>
  <si>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</si>
  <si>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</si>
  <si>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</si>
  <si>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</si>
  <si>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</si>
  <si>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</si>
  <si>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</si>
  <si>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</si>
  <si>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</si>
  <si>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</si>
  <si>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</si>
  <si>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</si>
  <si>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</si>
  <si>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</si>
  <si>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</si>
  <si>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</si>
  <si>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</si>
  <si>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</si>
  <si>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</si>
  <si>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</si>
  <si>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</si>
  <si>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</si>
  <si>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</si>
  <si>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</si>
  <si>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</si>
  <si>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</si>
  <si>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</si>
  <si>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</si>
  <si>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</si>
  <si>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</si>
  <si>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</si>
  <si>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</si>
  <si>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</si>
  <si>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</si>
  <si>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</si>
  <si>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</si>
  <si>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</si>
  <si>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</si>
  <si>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</si>
  <si>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</si>
  <si>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</si>
  <si>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</si>
  <si>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</si>
  <si>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</si>
  <si>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</si>
  <si>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</si>
  <si>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</si>
  <si>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</si>
  <si>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</si>
  <si>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</si>
  <si>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</si>
  <si>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</si>
  <si>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</si>
  <si>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</si>
  <si>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</si>
  <si>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</si>
  <si>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</si>
  <si>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</si>
  <si>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</si>
  <si>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</si>
  <si>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</si>
  <si>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gennaio-novembre 2017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</si>
</sst>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73155</v>
      </c>
      <c r="E10" s="29">
        <v>1887</v>
      </c>
      <c r="F10" s="29">
        <v>0</v>
      </c>
      <c r="G10" s="29">
        <v>0</v>
      </c>
      <c r="H10" s="29">
        <v>0</v>
      </c>
      <c r="I10" s="29">
        <v>0</v>
      </c>
      <c r="J10" s="29">
        <v>6390</v>
      </c>
      <c r="K10" s="29">
        <v>401</v>
      </c>
      <c r="L10" s="29">
        <v>75619</v>
      </c>
      <c r="M10" s="29">
        <v>224</v>
      </c>
      <c r="N10" s="30">
        <f t="shared" ref="N10:N42" si="0">SUM(C10:M10)</f>
        <v>157676</v>
      </c>
      <c r="O10" s="29">
        <v>0</v>
      </c>
      <c r="P10" s="30">
        <f t="shared" ref="P10:P42" si="1">SUM(N10:O10)</f>
        <v>157676</v>
      </c>
    </row>
    <row r="11" spans="1:16" ht="15" customHeight="1">
      <c r="A11" s="11" t="s">
        <v>26</v>
      </c>
      <c r="B11" s="12" t="s">
        <v>27</v>
      </c>
      <c r="C11" s="29">
        <v>61449</v>
      </c>
      <c r="D11" s="29">
        <v>4742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67139</v>
      </c>
      <c r="M11" s="29">
        <v>1170</v>
      </c>
      <c r="N11" s="30">
        <f t="shared" si="0"/>
        <v>134500</v>
      </c>
      <c r="O11" s="29">
        <v>0</v>
      </c>
      <c r="P11" s="30">
        <f t="shared" si="1"/>
        <v>134500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1967</v>
      </c>
      <c r="K12" s="29">
        <v>0</v>
      </c>
      <c r="L12" s="29">
        <v>0</v>
      </c>
      <c r="M12" s="29">
        <v>0</v>
      </c>
      <c r="N12" s="30">
        <f t="shared" si="0"/>
        <v>1967</v>
      </c>
      <c r="O12" s="29">
        <v>0</v>
      </c>
      <c r="P12" s="30">
        <f t="shared" si="1"/>
        <v>1967</v>
      </c>
    </row>
    <row r="13" spans="1:16" ht="15" customHeight="1">
      <c r="A13" s="11" t="s">
        <v>30</v>
      </c>
      <c r="B13" s="12" t="s">
        <v>31</v>
      </c>
      <c r="C13" s="29">
        <v>409755</v>
      </c>
      <c r="D13" s="29">
        <v>2594</v>
      </c>
      <c r="E13" s="29">
        <v>44</v>
      </c>
      <c r="F13" s="29">
        <v>0</v>
      </c>
      <c r="G13" s="29">
        <v>34</v>
      </c>
      <c r="H13" s="29">
        <v>0</v>
      </c>
      <c r="I13" s="29">
        <v>0</v>
      </c>
      <c r="J13" s="29">
        <v>328</v>
      </c>
      <c r="K13" s="29">
        <v>100</v>
      </c>
      <c r="L13" s="29">
        <v>137465</v>
      </c>
      <c r="M13" s="29">
        <v>7954</v>
      </c>
      <c r="N13" s="30">
        <f t="shared" si="0"/>
        <v>558274</v>
      </c>
      <c r="O13" s="29">
        <v>0</v>
      </c>
      <c r="P13" s="30">
        <f t="shared" si="1"/>
        <v>558274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102</v>
      </c>
      <c r="I14" s="29">
        <v>0</v>
      </c>
      <c r="J14" s="29">
        <v>0</v>
      </c>
      <c r="K14" s="29">
        <v>5</v>
      </c>
      <c r="L14" s="29">
        <v>0</v>
      </c>
      <c r="M14" s="29">
        <v>0</v>
      </c>
      <c r="N14" s="30">
        <f t="shared" si="0"/>
        <v>107</v>
      </c>
      <c r="O14" s="29">
        <v>0</v>
      </c>
      <c r="P14" s="30">
        <f t="shared" si="1"/>
        <v>107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75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75</v>
      </c>
      <c r="O15" s="29">
        <v>0</v>
      </c>
      <c r="P15" s="30">
        <f t="shared" si="1"/>
        <v>75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249</v>
      </c>
      <c r="F16" s="29">
        <v>0</v>
      </c>
      <c r="G16" s="29">
        <v>0</v>
      </c>
      <c r="H16" s="29">
        <v>0</v>
      </c>
      <c r="I16" s="29">
        <v>0</v>
      </c>
      <c r="J16" s="29">
        <v>272</v>
      </c>
      <c r="K16" s="29">
        <v>0</v>
      </c>
      <c r="L16" s="29">
        <v>313</v>
      </c>
      <c r="M16" s="29">
        <v>0</v>
      </c>
      <c r="N16" s="30">
        <f t="shared" si="0"/>
        <v>834</v>
      </c>
      <c r="O16" s="29">
        <v>0</v>
      </c>
      <c r="P16" s="30">
        <f t="shared" si="1"/>
        <v>834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5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532</v>
      </c>
      <c r="M17" s="29">
        <v>0</v>
      </c>
      <c r="N17" s="30">
        <f t="shared" si="0"/>
        <v>537</v>
      </c>
      <c r="O17" s="29">
        <v>0</v>
      </c>
      <c r="P17" s="30">
        <f t="shared" si="1"/>
        <v>537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296662</v>
      </c>
      <c r="I18" s="29">
        <v>0</v>
      </c>
      <c r="J18" s="29">
        <v>54</v>
      </c>
      <c r="K18" s="29">
        <v>16901</v>
      </c>
      <c r="L18" s="29">
        <v>33</v>
      </c>
      <c r="M18" s="29">
        <v>4310</v>
      </c>
      <c r="N18" s="30">
        <f t="shared" si="0"/>
        <v>317960</v>
      </c>
      <c r="O18" s="29">
        <v>0</v>
      </c>
      <c r="P18" s="30">
        <f t="shared" si="1"/>
        <v>317960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5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31</v>
      </c>
      <c r="M19" s="29">
        <v>0</v>
      </c>
      <c r="N19" s="30">
        <f t="shared" si="0"/>
        <v>36</v>
      </c>
      <c r="O19" s="29">
        <v>0</v>
      </c>
      <c r="P19" s="30">
        <f t="shared" si="1"/>
        <v>36</v>
      </c>
    </row>
    <row r="20" spans="1:16" ht="15" customHeight="1">
      <c r="A20" s="11" t="s">
        <v>44</v>
      </c>
      <c r="B20" s="12" t="s">
        <v>45</v>
      </c>
      <c r="C20" s="29">
        <v>1017583</v>
      </c>
      <c r="D20" s="29">
        <v>82101</v>
      </c>
      <c r="E20" s="29">
        <v>184107</v>
      </c>
      <c r="F20" s="29">
        <v>3127</v>
      </c>
      <c r="G20" s="29">
        <v>18215</v>
      </c>
      <c r="H20" s="29">
        <v>0</v>
      </c>
      <c r="I20" s="29">
        <v>915</v>
      </c>
      <c r="J20" s="29">
        <v>3402</v>
      </c>
      <c r="K20" s="29">
        <v>1605</v>
      </c>
      <c r="L20" s="29">
        <v>711377</v>
      </c>
      <c r="M20" s="29">
        <v>56123</v>
      </c>
      <c r="N20" s="30">
        <f t="shared" si="0"/>
        <v>2078555</v>
      </c>
      <c r="O20" s="29">
        <v>24715</v>
      </c>
      <c r="P20" s="30">
        <f t="shared" si="1"/>
        <v>2103270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5369</v>
      </c>
      <c r="E21" s="29">
        <v>6</v>
      </c>
      <c r="F21" s="29">
        <v>4</v>
      </c>
      <c r="G21" s="29">
        <v>147</v>
      </c>
      <c r="H21" s="29">
        <v>0</v>
      </c>
      <c r="I21" s="29">
        <v>0</v>
      </c>
      <c r="J21" s="29">
        <v>293</v>
      </c>
      <c r="K21" s="29">
        <v>845</v>
      </c>
      <c r="L21" s="29">
        <v>123082</v>
      </c>
      <c r="M21" s="29">
        <v>1077</v>
      </c>
      <c r="N21" s="30">
        <f t="shared" si="0"/>
        <v>130823</v>
      </c>
      <c r="O21" s="29">
        <v>7409</v>
      </c>
      <c r="P21" s="30">
        <f t="shared" si="1"/>
        <v>138232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623</v>
      </c>
      <c r="E22" s="29">
        <v>0</v>
      </c>
      <c r="F22" s="29">
        <v>0</v>
      </c>
      <c r="G22" s="29">
        <v>0</v>
      </c>
      <c r="H22" s="29">
        <v>0</v>
      </c>
      <c r="I22" s="29">
        <v>1632</v>
      </c>
      <c r="J22" s="29">
        <v>0</v>
      </c>
      <c r="K22" s="29">
        <v>0</v>
      </c>
      <c r="L22" s="29">
        <v>0</v>
      </c>
      <c r="M22" s="29">
        <v>4707</v>
      </c>
      <c r="N22" s="30">
        <f t="shared" si="0"/>
        <v>6962</v>
      </c>
      <c r="O22" s="29">
        <v>0</v>
      </c>
      <c r="P22" s="30">
        <f t="shared" si="1"/>
        <v>6962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36867</v>
      </c>
      <c r="J23" s="29">
        <v>0</v>
      </c>
      <c r="K23" s="29">
        <v>0</v>
      </c>
      <c r="L23" s="29">
        <v>6556</v>
      </c>
      <c r="M23" s="29">
        <v>0</v>
      </c>
      <c r="N23" s="30">
        <f t="shared" si="0"/>
        <v>43423</v>
      </c>
      <c r="O23" s="29">
        <v>124797</v>
      </c>
      <c r="P23" s="30">
        <f t="shared" si="1"/>
        <v>168220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1814</v>
      </c>
      <c r="E24" s="29">
        <v>369</v>
      </c>
      <c r="F24" s="29">
        <v>0</v>
      </c>
      <c r="G24" s="29">
        <v>0</v>
      </c>
      <c r="H24" s="29">
        <v>0</v>
      </c>
      <c r="I24" s="29">
        <v>0</v>
      </c>
      <c r="J24" s="29">
        <v>1281</v>
      </c>
      <c r="K24" s="29">
        <v>28</v>
      </c>
      <c r="L24" s="29">
        <v>23093</v>
      </c>
      <c r="M24" s="29">
        <v>9393</v>
      </c>
      <c r="N24" s="30">
        <f t="shared" si="0"/>
        <v>35978</v>
      </c>
      <c r="O24" s="29">
        <v>68150</v>
      </c>
      <c r="P24" s="30">
        <f t="shared" si="1"/>
        <v>104128</v>
      </c>
    </row>
    <row r="25" spans="1:16" ht="15" customHeight="1">
      <c r="A25" s="11" t="s">
        <v>54</v>
      </c>
      <c r="B25" s="12" t="s">
        <v>55</v>
      </c>
      <c r="C25" s="29">
        <v>400</v>
      </c>
      <c r="D25" s="29">
        <v>6537</v>
      </c>
      <c r="E25" s="29">
        <v>619</v>
      </c>
      <c r="F25" s="29">
        <v>33</v>
      </c>
      <c r="G25" s="29">
        <v>172</v>
      </c>
      <c r="H25" s="29">
        <v>5</v>
      </c>
      <c r="I25" s="29">
        <v>74</v>
      </c>
      <c r="J25" s="29">
        <v>2764</v>
      </c>
      <c r="K25" s="29">
        <v>47</v>
      </c>
      <c r="L25" s="29">
        <v>5530</v>
      </c>
      <c r="M25" s="29">
        <v>967</v>
      </c>
      <c r="N25" s="30">
        <f t="shared" si="0"/>
        <v>17148</v>
      </c>
      <c r="O25" s="29">
        <v>3265</v>
      </c>
      <c r="P25" s="30">
        <f t="shared" si="1"/>
        <v>20413</v>
      </c>
    </row>
    <row r="26" spans="1:16" ht="15" customHeight="1">
      <c r="A26" s="11" t="s">
        <v>56</v>
      </c>
      <c r="B26" s="12" t="s">
        <v>57</v>
      </c>
      <c r="C26" s="29">
        <v>6</v>
      </c>
      <c r="D26" s="29">
        <v>3645</v>
      </c>
      <c r="E26" s="29">
        <v>136</v>
      </c>
      <c r="F26" s="29">
        <v>11</v>
      </c>
      <c r="G26" s="29">
        <v>90</v>
      </c>
      <c r="H26" s="29">
        <v>6</v>
      </c>
      <c r="I26" s="29">
        <v>35</v>
      </c>
      <c r="J26" s="29">
        <v>10045</v>
      </c>
      <c r="K26" s="29">
        <v>4</v>
      </c>
      <c r="L26" s="29">
        <v>3250</v>
      </c>
      <c r="M26" s="29">
        <v>1013</v>
      </c>
      <c r="N26" s="30">
        <f t="shared" si="0"/>
        <v>18241</v>
      </c>
      <c r="O26" s="29">
        <v>243</v>
      </c>
      <c r="P26" s="30">
        <f t="shared" si="1"/>
        <v>18484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34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138</v>
      </c>
      <c r="K27" s="29">
        <v>0</v>
      </c>
      <c r="L27" s="29">
        <v>7</v>
      </c>
      <c r="M27" s="29">
        <v>0</v>
      </c>
      <c r="N27" s="30">
        <f t="shared" si="0"/>
        <v>179</v>
      </c>
      <c r="O27" s="29">
        <v>0</v>
      </c>
      <c r="P27" s="30">
        <f t="shared" si="1"/>
        <v>179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11</v>
      </c>
      <c r="E28" s="29">
        <v>0</v>
      </c>
      <c r="F28" s="29">
        <v>0</v>
      </c>
      <c r="G28" s="29">
        <v>0</v>
      </c>
      <c r="H28" s="29">
        <v>0</v>
      </c>
      <c r="I28" s="29">
        <v>12</v>
      </c>
      <c r="J28" s="29">
        <v>97</v>
      </c>
      <c r="K28" s="29">
        <v>0</v>
      </c>
      <c r="L28" s="29">
        <v>40</v>
      </c>
      <c r="M28" s="29">
        <v>0</v>
      </c>
      <c r="N28" s="30">
        <f t="shared" si="0"/>
        <v>160</v>
      </c>
      <c r="O28" s="29">
        <v>0</v>
      </c>
      <c r="P28" s="30">
        <f t="shared" si="1"/>
        <v>160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148</v>
      </c>
      <c r="K29" s="29">
        <v>0</v>
      </c>
      <c r="L29" s="29">
        <v>11</v>
      </c>
      <c r="M29" s="29">
        <v>8424</v>
      </c>
      <c r="N29" s="30">
        <f t="shared" si="0"/>
        <v>8583</v>
      </c>
      <c r="O29" s="29">
        <v>0</v>
      </c>
      <c r="P29" s="30">
        <f t="shared" si="1"/>
        <v>8583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30">
        <f t="shared" si="0"/>
        <v>0</v>
      </c>
      <c r="O30" s="29">
        <v>0</v>
      </c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7275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56952</v>
      </c>
      <c r="K32" s="29">
        <v>0</v>
      </c>
      <c r="L32" s="29">
        <v>50833</v>
      </c>
      <c r="M32" s="29">
        <v>5994</v>
      </c>
      <c r="N32" s="30">
        <f t="shared" si="0"/>
        <v>121054</v>
      </c>
      <c r="O32" s="29">
        <v>0</v>
      </c>
      <c r="P32" s="30">
        <f t="shared" si="1"/>
        <v>121054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15985</v>
      </c>
      <c r="K33" s="29">
        <v>0</v>
      </c>
      <c r="L33" s="29">
        <v>0</v>
      </c>
      <c r="M33" s="29">
        <v>0</v>
      </c>
      <c r="N33" s="30">
        <f t="shared" si="0"/>
        <v>15985</v>
      </c>
      <c r="O33" s="29">
        <v>0</v>
      </c>
      <c r="P33" s="30">
        <f t="shared" si="1"/>
        <v>15985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4</v>
      </c>
      <c r="D35" s="29">
        <v>132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4343</v>
      </c>
      <c r="K35" s="29">
        <v>0</v>
      </c>
      <c r="L35" s="29">
        <v>135</v>
      </c>
      <c r="M35" s="29">
        <v>0</v>
      </c>
      <c r="N35" s="30">
        <f t="shared" si="0"/>
        <v>4614</v>
      </c>
      <c r="O35" s="29">
        <v>0</v>
      </c>
      <c r="P35" s="30">
        <f t="shared" si="1"/>
        <v>4614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3931</v>
      </c>
      <c r="K36" s="29">
        <v>0</v>
      </c>
      <c r="L36" s="29">
        <v>15083</v>
      </c>
      <c r="M36" s="29">
        <v>36453</v>
      </c>
      <c r="N36" s="30">
        <f t="shared" si="0"/>
        <v>55467</v>
      </c>
      <c r="O36" s="29">
        <v>0</v>
      </c>
      <c r="P36" s="30">
        <f t="shared" si="1"/>
        <v>55467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1276</v>
      </c>
      <c r="K37" s="29">
        <v>0</v>
      </c>
      <c r="L37" s="29">
        <v>330</v>
      </c>
      <c r="M37" s="29">
        <v>3125</v>
      </c>
      <c r="N37" s="30">
        <f t="shared" si="0"/>
        <v>4731</v>
      </c>
      <c r="O37" s="29">
        <v>0</v>
      </c>
      <c r="P37" s="30">
        <f t="shared" si="1"/>
        <v>4731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27</v>
      </c>
      <c r="K38" s="29">
        <v>0</v>
      </c>
      <c r="L38" s="29">
        <v>0</v>
      </c>
      <c r="M38" s="29">
        <v>0</v>
      </c>
      <c r="N38" s="30">
        <f t="shared" si="0"/>
        <v>27</v>
      </c>
      <c r="O38" s="29">
        <v>0</v>
      </c>
      <c r="P38" s="30">
        <f t="shared" si="1"/>
        <v>27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3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4</v>
      </c>
      <c r="K39" s="29">
        <v>0</v>
      </c>
      <c r="L39" s="29">
        <v>7285</v>
      </c>
      <c r="M39" s="29">
        <v>0</v>
      </c>
      <c r="N39" s="30">
        <f t="shared" si="0"/>
        <v>7292</v>
      </c>
      <c r="O39" s="29">
        <v>0</v>
      </c>
      <c r="P39" s="30">
        <f t="shared" si="1"/>
        <v>7292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1489197</v>
      </c>
      <c r="D43" s="31">
        <f t="shared" si="2"/>
        <v>188045</v>
      </c>
      <c r="E43" s="31">
        <f t="shared" si="2"/>
        <v>187417</v>
      </c>
      <c r="F43" s="31">
        <f t="shared" si="2"/>
        <v>3175</v>
      </c>
      <c r="G43" s="31">
        <f t="shared" si="2"/>
        <v>18658</v>
      </c>
      <c r="H43" s="31">
        <f t="shared" si="2"/>
        <v>296850</v>
      </c>
      <c r="I43" s="31">
        <f t="shared" si="2"/>
        <v>39535</v>
      </c>
      <c r="J43" s="31">
        <f t="shared" si="2"/>
        <v>109697</v>
      </c>
      <c r="K43" s="31">
        <f t="shared" si="2"/>
        <v>19936</v>
      </c>
      <c r="L43" s="31">
        <f t="shared" si="2"/>
        <v>1227744</v>
      </c>
      <c r="M43" s="31">
        <f t="shared" si="2"/>
        <v>140934</v>
      </c>
      <c r="N43" s="31">
        <f t="shared" si="2"/>
        <v>3721188</v>
      </c>
      <c r="O43" s="31">
        <f t="shared" si="2"/>
        <v>228579</v>
      </c>
      <c r="P43" s="31">
        <f t="shared" si="2"/>
        <v>3949767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695812</v>
      </c>
      <c r="E10" s="29">
        <v>16934</v>
      </c>
      <c r="F10" s="29">
        <v>0</v>
      </c>
      <c r="G10" s="29">
        <v>0</v>
      </c>
      <c r="H10" s="29">
        <v>0</v>
      </c>
      <c r="I10" s="29">
        <v>0</v>
      </c>
      <c r="J10" s="29">
        <v>67883</v>
      </c>
      <c r="K10" s="29">
        <v>4016</v>
      </c>
      <c r="L10" s="29">
        <v>677542</v>
      </c>
      <c r="M10" s="29">
        <v>2026</v>
      </c>
      <c r="N10" s="30">
        <f t="shared" ref="N10:N42" si="0">SUM(C10:M10)</f>
        <v>1464213</v>
      </c>
      <c r="O10" s="29">
        <v>0</v>
      </c>
      <c r="P10" s="30">
        <f t="shared" ref="P10:P42" si="1">SUM(N10:O10)</f>
        <v>1464213</v>
      </c>
    </row>
    <row r="11" spans="1:16" ht="15" customHeight="1">
      <c r="A11" s="11" t="s">
        <v>26</v>
      </c>
      <c r="B11" s="12" t="s">
        <v>27</v>
      </c>
      <c r="C11" s="29">
        <v>714351</v>
      </c>
      <c r="D11" s="29">
        <v>46383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758601</v>
      </c>
      <c r="M11" s="29">
        <v>11883</v>
      </c>
      <c r="N11" s="30">
        <f t="shared" si="0"/>
        <v>1531218</v>
      </c>
      <c r="O11" s="29">
        <v>0</v>
      </c>
      <c r="P11" s="30">
        <f t="shared" si="1"/>
        <v>1531218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19167</v>
      </c>
      <c r="K12" s="29">
        <v>0</v>
      </c>
      <c r="L12" s="29">
        <v>0</v>
      </c>
      <c r="M12" s="29">
        <v>0</v>
      </c>
      <c r="N12" s="30">
        <f t="shared" si="0"/>
        <v>19167</v>
      </c>
      <c r="O12" s="29">
        <v>0</v>
      </c>
      <c r="P12" s="30">
        <f t="shared" si="1"/>
        <v>19167</v>
      </c>
    </row>
    <row r="13" spans="1:16" ht="15" customHeight="1">
      <c r="A13" s="11" t="s">
        <v>30</v>
      </c>
      <c r="B13" s="12" t="s">
        <v>31</v>
      </c>
      <c r="C13" s="29">
        <v>4967757</v>
      </c>
      <c r="D13" s="29">
        <v>29945</v>
      </c>
      <c r="E13" s="29">
        <v>861</v>
      </c>
      <c r="F13" s="29">
        <v>0</v>
      </c>
      <c r="G13" s="29">
        <v>843</v>
      </c>
      <c r="H13" s="29">
        <v>0</v>
      </c>
      <c r="I13" s="29">
        <v>0</v>
      </c>
      <c r="J13" s="29">
        <v>7857</v>
      </c>
      <c r="K13" s="29">
        <v>1139</v>
      </c>
      <c r="L13" s="29">
        <v>1604739</v>
      </c>
      <c r="M13" s="29">
        <v>94642</v>
      </c>
      <c r="N13" s="30">
        <f t="shared" si="0"/>
        <v>6707783</v>
      </c>
      <c r="O13" s="29">
        <v>0</v>
      </c>
      <c r="P13" s="30">
        <f t="shared" si="1"/>
        <v>6707783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1288</v>
      </c>
      <c r="I14" s="29">
        <v>0</v>
      </c>
      <c r="J14" s="29">
        <v>0</v>
      </c>
      <c r="K14" s="29">
        <v>36</v>
      </c>
      <c r="L14" s="29">
        <v>0</v>
      </c>
      <c r="M14" s="29">
        <v>0</v>
      </c>
      <c r="N14" s="30">
        <f t="shared" si="0"/>
        <v>1324</v>
      </c>
      <c r="O14" s="29">
        <v>0</v>
      </c>
      <c r="P14" s="30">
        <f t="shared" si="1"/>
        <v>1324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1077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1077</v>
      </c>
      <c r="O15" s="29">
        <v>0</v>
      </c>
      <c r="P15" s="30">
        <f t="shared" si="1"/>
        <v>1077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1129</v>
      </c>
      <c r="F16" s="29">
        <v>0</v>
      </c>
      <c r="G16" s="29">
        <v>0</v>
      </c>
      <c r="H16" s="29">
        <v>0</v>
      </c>
      <c r="I16" s="29">
        <v>0</v>
      </c>
      <c r="J16" s="29">
        <v>5475</v>
      </c>
      <c r="K16" s="29">
        <v>0</v>
      </c>
      <c r="L16" s="29">
        <v>1757</v>
      </c>
      <c r="M16" s="29">
        <v>0</v>
      </c>
      <c r="N16" s="30">
        <f t="shared" si="0"/>
        <v>8361</v>
      </c>
      <c r="O16" s="29">
        <v>0</v>
      </c>
      <c r="P16" s="30">
        <f t="shared" si="1"/>
        <v>8361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33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16</v>
      </c>
      <c r="K17" s="29">
        <v>0</v>
      </c>
      <c r="L17" s="29">
        <v>3346</v>
      </c>
      <c r="M17" s="29">
        <v>0</v>
      </c>
      <c r="N17" s="30">
        <f t="shared" si="0"/>
        <v>3395</v>
      </c>
      <c r="O17" s="29">
        <v>0</v>
      </c>
      <c r="P17" s="30">
        <f t="shared" si="1"/>
        <v>3395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3911788</v>
      </c>
      <c r="I18" s="29">
        <v>0</v>
      </c>
      <c r="J18" s="29">
        <v>2005</v>
      </c>
      <c r="K18" s="29">
        <v>80795</v>
      </c>
      <c r="L18" s="29">
        <v>317</v>
      </c>
      <c r="M18" s="29">
        <v>72517</v>
      </c>
      <c r="N18" s="30">
        <f t="shared" si="0"/>
        <v>4067422</v>
      </c>
      <c r="O18" s="29">
        <v>0</v>
      </c>
      <c r="P18" s="30">
        <f t="shared" si="1"/>
        <v>4067422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50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55</v>
      </c>
      <c r="M19" s="29">
        <v>0</v>
      </c>
      <c r="N19" s="30">
        <f t="shared" si="0"/>
        <v>105</v>
      </c>
      <c r="O19" s="29">
        <v>0</v>
      </c>
      <c r="P19" s="30">
        <f t="shared" si="1"/>
        <v>105</v>
      </c>
    </row>
    <row r="20" spans="1:16" ht="15" customHeight="1">
      <c r="A20" s="11" t="s">
        <v>44</v>
      </c>
      <c r="B20" s="12" t="s">
        <v>45</v>
      </c>
      <c r="C20" s="29">
        <v>11715599</v>
      </c>
      <c r="D20" s="29">
        <v>837834</v>
      </c>
      <c r="E20" s="29">
        <v>1875543</v>
      </c>
      <c r="F20" s="29">
        <v>32188</v>
      </c>
      <c r="G20" s="29">
        <v>266291</v>
      </c>
      <c r="H20" s="29">
        <v>0</v>
      </c>
      <c r="I20" s="29">
        <v>14023</v>
      </c>
      <c r="J20" s="29">
        <v>52587</v>
      </c>
      <c r="K20" s="29">
        <v>17664</v>
      </c>
      <c r="L20" s="29">
        <v>7970629</v>
      </c>
      <c r="M20" s="29">
        <v>569040</v>
      </c>
      <c r="N20" s="30">
        <f t="shared" si="0"/>
        <v>23351398</v>
      </c>
      <c r="O20" s="29">
        <v>352311</v>
      </c>
      <c r="P20" s="30">
        <f t="shared" si="1"/>
        <v>23703709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33646</v>
      </c>
      <c r="E21" s="29">
        <v>145</v>
      </c>
      <c r="F21" s="29">
        <v>4</v>
      </c>
      <c r="G21" s="29">
        <v>14696</v>
      </c>
      <c r="H21" s="29">
        <v>0</v>
      </c>
      <c r="I21" s="29">
        <v>14004</v>
      </c>
      <c r="J21" s="29">
        <v>1668</v>
      </c>
      <c r="K21" s="29">
        <v>29475</v>
      </c>
      <c r="L21" s="29">
        <v>765171</v>
      </c>
      <c r="M21" s="29">
        <v>13579</v>
      </c>
      <c r="N21" s="30">
        <f t="shared" si="0"/>
        <v>872388</v>
      </c>
      <c r="O21" s="29">
        <v>87329</v>
      </c>
      <c r="P21" s="30">
        <f t="shared" si="1"/>
        <v>959717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2088</v>
      </c>
      <c r="E22" s="29">
        <v>0</v>
      </c>
      <c r="F22" s="29">
        <v>0</v>
      </c>
      <c r="G22" s="29">
        <v>0</v>
      </c>
      <c r="H22" s="29">
        <v>0</v>
      </c>
      <c r="I22" s="29">
        <v>10358</v>
      </c>
      <c r="J22" s="29">
        <v>0</v>
      </c>
      <c r="K22" s="29">
        <v>0</v>
      </c>
      <c r="L22" s="29">
        <v>0</v>
      </c>
      <c r="M22" s="29">
        <v>41160</v>
      </c>
      <c r="N22" s="30">
        <f t="shared" si="0"/>
        <v>53606</v>
      </c>
      <c r="O22" s="29">
        <v>0</v>
      </c>
      <c r="P22" s="30">
        <f t="shared" si="1"/>
        <v>53606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349119</v>
      </c>
      <c r="J23" s="29">
        <v>0</v>
      </c>
      <c r="K23" s="29">
        <v>0</v>
      </c>
      <c r="L23" s="29">
        <v>69605</v>
      </c>
      <c r="M23" s="29">
        <v>0</v>
      </c>
      <c r="N23" s="30">
        <f t="shared" si="0"/>
        <v>418724</v>
      </c>
      <c r="O23" s="29">
        <v>1400152</v>
      </c>
      <c r="P23" s="30">
        <f t="shared" si="1"/>
        <v>1818876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16545</v>
      </c>
      <c r="E24" s="29">
        <v>5765</v>
      </c>
      <c r="F24" s="29">
        <v>0</v>
      </c>
      <c r="G24" s="29">
        <v>0</v>
      </c>
      <c r="H24" s="29">
        <v>0</v>
      </c>
      <c r="I24" s="29">
        <v>0</v>
      </c>
      <c r="J24" s="29">
        <v>15615</v>
      </c>
      <c r="K24" s="29">
        <v>1008</v>
      </c>
      <c r="L24" s="29">
        <v>251825</v>
      </c>
      <c r="M24" s="29">
        <v>138107</v>
      </c>
      <c r="N24" s="30">
        <f t="shared" si="0"/>
        <v>428865</v>
      </c>
      <c r="O24" s="29">
        <v>1051963</v>
      </c>
      <c r="P24" s="30">
        <f t="shared" si="1"/>
        <v>1480828</v>
      </c>
    </row>
    <row r="25" spans="1:16" ht="15" customHeight="1">
      <c r="A25" s="11" t="s">
        <v>54</v>
      </c>
      <c r="B25" s="12" t="s">
        <v>55</v>
      </c>
      <c r="C25" s="29">
        <v>2064</v>
      </c>
      <c r="D25" s="29">
        <v>70976</v>
      </c>
      <c r="E25" s="29">
        <v>7502</v>
      </c>
      <c r="F25" s="29">
        <v>349</v>
      </c>
      <c r="G25" s="29">
        <v>2306</v>
      </c>
      <c r="H25" s="29">
        <v>47</v>
      </c>
      <c r="I25" s="29">
        <v>673</v>
      </c>
      <c r="J25" s="29">
        <v>28744</v>
      </c>
      <c r="K25" s="29">
        <v>430</v>
      </c>
      <c r="L25" s="29">
        <v>58399</v>
      </c>
      <c r="M25" s="29">
        <v>8769</v>
      </c>
      <c r="N25" s="30">
        <f t="shared" si="0"/>
        <v>180259</v>
      </c>
      <c r="O25" s="29">
        <v>27922</v>
      </c>
      <c r="P25" s="30">
        <f t="shared" si="1"/>
        <v>208181</v>
      </c>
    </row>
    <row r="26" spans="1:16" ht="15" customHeight="1">
      <c r="A26" s="11" t="s">
        <v>56</v>
      </c>
      <c r="B26" s="12" t="s">
        <v>57</v>
      </c>
      <c r="C26" s="29">
        <v>602</v>
      </c>
      <c r="D26" s="29">
        <v>39883</v>
      </c>
      <c r="E26" s="29">
        <v>1557</v>
      </c>
      <c r="F26" s="29">
        <v>55</v>
      </c>
      <c r="G26" s="29">
        <v>831</v>
      </c>
      <c r="H26" s="29">
        <v>215</v>
      </c>
      <c r="I26" s="29">
        <v>451</v>
      </c>
      <c r="J26" s="29">
        <v>103079</v>
      </c>
      <c r="K26" s="29">
        <v>226</v>
      </c>
      <c r="L26" s="29">
        <v>30094</v>
      </c>
      <c r="M26" s="29">
        <v>7945</v>
      </c>
      <c r="N26" s="30">
        <f t="shared" si="0"/>
        <v>184938</v>
      </c>
      <c r="O26" s="29">
        <v>2558</v>
      </c>
      <c r="P26" s="30">
        <f t="shared" si="1"/>
        <v>187496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348</v>
      </c>
      <c r="E27" s="29">
        <v>7</v>
      </c>
      <c r="F27" s="29">
        <v>0</v>
      </c>
      <c r="G27" s="29">
        <v>0</v>
      </c>
      <c r="H27" s="29">
        <v>0</v>
      </c>
      <c r="I27" s="29">
        <v>0</v>
      </c>
      <c r="J27" s="29">
        <v>2158</v>
      </c>
      <c r="K27" s="29">
        <v>0</v>
      </c>
      <c r="L27" s="29">
        <v>130</v>
      </c>
      <c r="M27" s="29">
        <v>0</v>
      </c>
      <c r="N27" s="30">
        <f t="shared" si="0"/>
        <v>2643</v>
      </c>
      <c r="O27" s="29">
        <v>0</v>
      </c>
      <c r="P27" s="30">
        <f t="shared" si="1"/>
        <v>2643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37</v>
      </c>
      <c r="E28" s="29">
        <v>1</v>
      </c>
      <c r="F28" s="29">
        <v>0</v>
      </c>
      <c r="G28" s="29">
        <v>0</v>
      </c>
      <c r="H28" s="29">
        <v>0</v>
      </c>
      <c r="I28" s="29">
        <v>148</v>
      </c>
      <c r="J28" s="29">
        <v>1628</v>
      </c>
      <c r="K28" s="29">
        <v>0</v>
      </c>
      <c r="L28" s="29">
        <v>409</v>
      </c>
      <c r="M28" s="29">
        <v>1</v>
      </c>
      <c r="N28" s="30">
        <f t="shared" si="0"/>
        <v>2224</v>
      </c>
      <c r="O28" s="29">
        <v>0</v>
      </c>
      <c r="P28" s="30">
        <f t="shared" si="1"/>
        <v>2224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1236</v>
      </c>
      <c r="K29" s="29">
        <v>0</v>
      </c>
      <c r="L29" s="29">
        <v>518</v>
      </c>
      <c r="M29" s="29">
        <v>98112</v>
      </c>
      <c r="N29" s="30">
        <f t="shared" si="0"/>
        <v>99866</v>
      </c>
      <c r="O29" s="29">
        <v>0</v>
      </c>
      <c r="P29" s="30">
        <f t="shared" si="1"/>
        <v>99866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7</v>
      </c>
      <c r="M30" s="29">
        <v>0</v>
      </c>
      <c r="N30" s="30">
        <f t="shared" si="0"/>
        <v>7</v>
      </c>
      <c r="O30" s="29">
        <v>0</v>
      </c>
      <c r="P30" s="30">
        <f t="shared" si="1"/>
        <v>7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30">
        <f t="shared" si="0"/>
        <v>0</v>
      </c>
      <c r="O31" s="29">
        <v>0</v>
      </c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79088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607789</v>
      </c>
      <c r="K32" s="29">
        <v>0</v>
      </c>
      <c r="L32" s="29">
        <v>591428</v>
      </c>
      <c r="M32" s="29">
        <v>49658</v>
      </c>
      <c r="N32" s="30">
        <f t="shared" si="0"/>
        <v>1327963</v>
      </c>
      <c r="O32" s="29">
        <v>0</v>
      </c>
      <c r="P32" s="30">
        <f t="shared" si="1"/>
        <v>1327963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96122</v>
      </c>
      <c r="K33" s="29">
        <v>0</v>
      </c>
      <c r="L33" s="29">
        <v>0</v>
      </c>
      <c r="M33" s="29">
        <v>0</v>
      </c>
      <c r="N33" s="30">
        <f t="shared" si="0"/>
        <v>96122</v>
      </c>
      <c r="O33" s="29">
        <v>0</v>
      </c>
      <c r="P33" s="30">
        <f t="shared" si="1"/>
        <v>96122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62</v>
      </c>
      <c r="D35" s="29">
        <v>919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42678</v>
      </c>
      <c r="K35" s="29">
        <v>0</v>
      </c>
      <c r="L35" s="29">
        <v>1077</v>
      </c>
      <c r="M35" s="29">
        <v>0</v>
      </c>
      <c r="N35" s="30">
        <f t="shared" si="0"/>
        <v>44736</v>
      </c>
      <c r="O35" s="29">
        <v>0</v>
      </c>
      <c r="P35" s="30">
        <f t="shared" si="1"/>
        <v>44736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51211</v>
      </c>
      <c r="K36" s="29">
        <v>0</v>
      </c>
      <c r="L36" s="29">
        <v>152002</v>
      </c>
      <c r="M36" s="29">
        <v>322269</v>
      </c>
      <c r="N36" s="30">
        <f t="shared" si="0"/>
        <v>525482</v>
      </c>
      <c r="O36" s="29">
        <v>0</v>
      </c>
      <c r="P36" s="30">
        <f t="shared" si="1"/>
        <v>525482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17024</v>
      </c>
      <c r="K37" s="29">
        <v>0</v>
      </c>
      <c r="L37" s="29">
        <v>3520</v>
      </c>
      <c r="M37" s="29">
        <v>12365</v>
      </c>
      <c r="N37" s="30">
        <f t="shared" si="0"/>
        <v>32909</v>
      </c>
      <c r="O37" s="29">
        <v>0</v>
      </c>
      <c r="P37" s="30">
        <f t="shared" si="1"/>
        <v>32909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204</v>
      </c>
      <c r="K38" s="29">
        <v>0</v>
      </c>
      <c r="L38" s="29">
        <v>0</v>
      </c>
      <c r="M38" s="29">
        <v>0</v>
      </c>
      <c r="N38" s="30">
        <f t="shared" si="0"/>
        <v>204</v>
      </c>
      <c r="O38" s="29">
        <v>0</v>
      </c>
      <c r="P38" s="30">
        <f t="shared" si="1"/>
        <v>204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20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117</v>
      </c>
      <c r="K39" s="29">
        <v>0</v>
      </c>
      <c r="L39" s="29">
        <v>75847</v>
      </c>
      <c r="M39" s="29">
        <v>0</v>
      </c>
      <c r="N39" s="30">
        <f t="shared" si="0"/>
        <v>75984</v>
      </c>
      <c r="O39" s="29">
        <v>0</v>
      </c>
      <c r="P39" s="30">
        <f t="shared" si="1"/>
        <v>75984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17400435</v>
      </c>
      <c r="D43" s="31">
        <f t="shared" si="2"/>
        <v>1853607</v>
      </c>
      <c r="E43" s="31">
        <f t="shared" si="2"/>
        <v>1909444</v>
      </c>
      <c r="F43" s="31">
        <f t="shared" si="2"/>
        <v>32596</v>
      </c>
      <c r="G43" s="31">
        <f t="shared" si="2"/>
        <v>284967</v>
      </c>
      <c r="H43" s="31">
        <f t="shared" si="2"/>
        <v>3914415</v>
      </c>
      <c r="I43" s="31">
        <f t="shared" si="2"/>
        <v>388776</v>
      </c>
      <c r="J43" s="31">
        <f t="shared" si="2"/>
        <v>1124263</v>
      </c>
      <c r="K43" s="31">
        <f t="shared" si="2"/>
        <v>134789</v>
      </c>
      <c r="L43" s="31">
        <f t="shared" si="2"/>
        <v>13017018</v>
      </c>
      <c r="M43" s="31">
        <f t="shared" si="2"/>
        <v>1442073</v>
      </c>
      <c r="N43" s="31">
        <f t="shared" si="2"/>
        <v>41502383</v>
      </c>
      <c r="O43" s="31">
        <f t="shared" si="2"/>
        <v>2922235</v>
      </c>
      <c r="P43" s="31">
        <f t="shared" si="2"/>
        <v>44424618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2018-05-23T12:08:19Z</dcterms:modified>
</cp:coreProperties>
</file>