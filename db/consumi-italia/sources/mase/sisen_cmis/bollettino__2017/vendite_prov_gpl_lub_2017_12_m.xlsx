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9660" windowHeight="5496" activeTab="1"/>
  </bookViews>
  <sheets>
    <sheet name="Mensile" sheetId="1" r:id="rId1"/>
    <sheet name="Aggregato" sheetId="2" r:id="rId2"/>
  </sheets>
  <calcPr calcId="125725"/>
</workbook>
</file>

<file path=xl/calcChain.xml><?xml version="1.0" encoding="utf-8"?>
<calcChain xmlns="http://schemas.openxmlformats.org/spreadsheetml/2006/main">
  <c r="C23" i="1"/>
  <c r="D23"/>
  <c r="E23"/>
  <c r="F23"/>
  <c r="G23"/>
  <c r="H23"/>
  <c r="I23"/>
  <c r="C25"/>
  <c r="D25"/>
  <c r="E25"/>
  <c r="F25"/>
  <c r="G25"/>
  <c r="H25"/>
  <c r="I25"/>
  <c r="C30"/>
  <c r="D30"/>
  <c r="E30"/>
  <c r="F30"/>
  <c r="G30"/>
  <c r="H30"/>
  <c r="I30"/>
  <c r="C43"/>
  <c r="D43"/>
  <c r="E43"/>
  <c r="F43"/>
  <c r="G43"/>
  <c r="H43"/>
  <c r="I43"/>
  <c r="C46"/>
  <c r="D46"/>
  <c r="E46"/>
  <c r="F46"/>
  <c r="G46"/>
  <c r="H46"/>
  <c r="I46"/>
  <c r="C51"/>
  <c r="D51"/>
  <c r="E51"/>
  <c r="F51"/>
  <c r="G51"/>
  <c r="H51"/>
  <c r="I51"/>
  <c r="C59"/>
  <c r="D59"/>
  <c r="E59"/>
  <c r="F59"/>
  <c r="G59"/>
  <c r="H59"/>
  <c r="I59"/>
  <c r="C69"/>
  <c r="D69"/>
  <c r="E69"/>
  <c r="F69"/>
  <c r="G69"/>
  <c r="H69"/>
  <c r="I69"/>
  <c r="C80"/>
  <c r="D80"/>
  <c r="E80"/>
  <c r="F80"/>
  <c r="G80"/>
  <c r="H80"/>
  <c r="I80"/>
  <c r="C86"/>
  <c r="D86"/>
  <c r="E86"/>
  <c r="F86"/>
  <c r="G86"/>
  <c r="H86"/>
  <c r="I86"/>
  <c r="C89"/>
  <c r="D89"/>
  <c r="E89"/>
  <c r="F89"/>
  <c r="G89"/>
  <c r="H89"/>
  <c r="I89"/>
  <c r="C95"/>
  <c r="D95"/>
  <c r="E95"/>
  <c r="F95"/>
  <c r="G95"/>
  <c r="H95"/>
  <c r="I95"/>
  <c r="C98"/>
  <c r="D98"/>
  <c r="E98"/>
  <c r="F98"/>
  <c r="G98"/>
  <c r="H98"/>
  <c r="I98"/>
  <c r="C103"/>
  <c r="D103"/>
  <c r="E103"/>
  <c r="F103"/>
  <c r="G103"/>
  <c r="H103"/>
  <c r="I103"/>
  <c r="C109"/>
  <c r="D109"/>
  <c r="E109"/>
  <c r="F109"/>
  <c r="G109"/>
  <c r="H109"/>
  <c r="I109"/>
  <c r="C116"/>
  <c r="D116"/>
  <c r="E116"/>
  <c r="F116"/>
  <c r="G116"/>
  <c r="H116"/>
  <c r="I116"/>
  <c r="C119"/>
  <c r="D119"/>
  <c r="E119"/>
  <c r="F119"/>
  <c r="G119"/>
  <c r="H119"/>
  <c r="I119"/>
  <c r="C125"/>
  <c r="D125"/>
  <c r="E125"/>
  <c r="E146" s="1"/>
  <c r="F125"/>
  <c r="G125"/>
  <c r="H125"/>
  <c r="I125"/>
  <c r="I146" s="1"/>
  <c r="C135"/>
  <c r="D135"/>
  <c r="E135"/>
  <c r="F135"/>
  <c r="F146" s="1"/>
  <c r="G135"/>
  <c r="H135"/>
  <c r="I135"/>
  <c r="C145"/>
  <c r="C146" s="1"/>
  <c r="D145"/>
  <c r="E145"/>
  <c r="F145"/>
  <c r="G145"/>
  <c r="G146" s="1"/>
  <c r="H145"/>
  <c r="I145"/>
  <c r="D146"/>
  <c r="H146"/>
  <c r="C23" i="2"/>
  <c r="D23"/>
  <c r="E23"/>
  <c r="F23"/>
  <c r="G23"/>
  <c r="H23"/>
  <c r="I23"/>
  <c r="C25"/>
  <c r="D25"/>
  <c r="E25"/>
  <c r="F25"/>
  <c r="G25"/>
  <c r="H25"/>
  <c r="I25"/>
  <c r="C30"/>
  <c r="D30"/>
  <c r="E30"/>
  <c r="F30"/>
  <c r="G30"/>
  <c r="H30"/>
  <c r="I30"/>
  <c r="C43"/>
  <c r="D43"/>
  <c r="E43"/>
  <c r="F43"/>
  <c r="G43"/>
  <c r="H43"/>
  <c r="I43"/>
  <c r="C46"/>
  <c r="D46"/>
  <c r="E46"/>
  <c r="F46"/>
  <c r="G46"/>
  <c r="H46"/>
  <c r="I46"/>
  <c r="C51"/>
  <c r="D51"/>
  <c r="E51"/>
  <c r="F51"/>
  <c r="G51"/>
  <c r="H51"/>
  <c r="I51"/>
  <c r="C59"/>
  <c r="D59"/>
  <c r="E59"/>
  <c r="F59"/>
  <c r="G59"/>
  <c r="H59"/>
  <c r="I59"/>
  <c r="C69"/>
  <c r="D69"/>
  <c r="E69"/>
  <c r="F69"/>
  <c r="G69"/>
  <c r="H69"/>
  <c r="I69"/>
  <c r="C80"/>
  <c r="D80"/>
  <c r="E80"/>
  <c r="F80"/>
  <c r="G80"/>
  <c r="H80"/>
  <c r="I80"/>
  <c r="C86"/>
  <c r="D86"/>
  <c r="E86"/>
  <c r="F86"/>
  <c r="G86"/>
  <c r="H86"/>
  <c r="I86"/>
  <c r="C89"/>
  <c r="D89"/>
  <c r="E89"/>
  <c r="F89"/>
  <c r="G89"/>
  <c r="H89"/>
  <c r="I89"/>
  <c r="C95"/>
  <c r="D95"/>
  <c r="E95"/>
  <c r="F95"/>
  <c r="G95"/>
  <c r="H95"/>
  <c r="I95"/>
  <c r="C98"/>
  <c r="D98"/>
  <c r="E98"/>
  <c r="F98"/>
  <c r="G98"/>
  <c r="H98"/>
  <c r="I98"/>
  <c r="C103"/>
  <c r="D103"/>
  <c r="E103"/>
  <c r="F103"/>
  <c r="G103"/>
  <c r="H103"/>
  <c r="I103"/>
  <c r="C109"/>
  <c r="D109"/>
  <c r="E109"/>
  <c r="F109"/>
  <c r="G109"/>
  <c r="H109"/>
  <c r="I109"/>
  <c r="C116"/>
  <c r="D116"/>
  <c r="E116"/>
  <c r="F116"/>
  <c r="G116"/>
  <c r="H116"/>
  <c r="I116"/>
  <c r="C119"/>
  <c r="D119"/>
  <c r="E119"/>
  <c r="F119"/>
  <c r="G119"/>
  <c r="H119"/>
  <c r="I119"/>
  <c r="C125"/>
  <c r="D125"/>
  <c r="E125"/>
  <c r="F125"/>
  <c r="F146" s="1"/>
  <c r="G125"/>
  <c r="H125"/>
  <c r="I125"/>
  <c r="C135"/>
  <c r="C146" s="1"/>
  <c r="D135"/>
  <c r="E135"/>
  <c r="F135"/>
  <c r="G135"/>
  <c r="G146" s="1"/>
  <c r="H135"/>
  <c r="I135"/>
  <c r="C145"/>
  <c r="D145"/>
  <c r="D146" s="1"/>
  <c r="E145"/>
  <c r="F145"/>
  <c r="G145"/>
  <c r="H145"/>
  <c r="H146" s="1"/>
  <c r="I145"/>
  <c r="E146"/>
  <c r="I146"/>
</calcChain>
</file>

<file path=xl/sharedStrings.xml><?xml version="1.0" encoding="utf-8"?>
<sst xmlns="http://schemas.openxmlformats.org/spreadsheetml/2006/main" count="530" uniqueCount="266">
  <si>
    <t>Ministero dello Sviluppo Economico</t>
  </si>
  <si>
    <t>BOLLETTINO PETROLIFERO</t>
  </si>
  <si>
    <t>DGSAIE DIV.7</t>
  </si>
  <si>
    <t>VENDITE  PROVINCIALI</t>
  </si>
  <si>
    <t>la materia è espressa in TONNELLATE intere</t>
  </si>
  <si>
    <t>DI GPL e LUBRIFICANTI</t>
  </si>
  <si>
    <t>Report costruito su dati provvisori</t>
  </si>
  <si>
    <t>Periodo: dicembre 2017</t>
  </si>
  <si>
    <t>Provincia</t>
  </si>
  <si>
    <t>G.P.L.</t>
  </si>
  <si>
    <t>GPL Autotrazione Rete</t>
  </si>
  <si>
    <t>GPL Combustione</t>
  </si>
  <si>
    <t>Lubrificanti</t>
  </si>
  <si>
    <t>Codice</t>
  </si>
  <si>
    <t>Nome</t>
  </si>
  <si>
    <t>Totale</t>
  </si>
  <si>
    <t>Autotraz.</t>
  </si>
  <si>
    <t>Bombole</t>
  </si>
  <si>
    <t>Serbatoi</t>
  </si>
  <si>
    <t>Rete</t>
  </si>
  <si>
    <t>AL</t>
  </si>
  <si>
    <t>ALESSANDRIA</t>
  </si>
  <si>
    <t>AT</t>
  </si>
  <si>
    <t>ASTI</t>
  </si>
  <si>
    <t>BI</t>
  </si>
  <si>
    <t>BIELLA</t>
  </si>
  <si>
    <t>CN</t>
  </si>
  <si>
    <t>CUNEO</t>
  </si>
  <si>
    <t>NO</t>
  </si>
  <si>
    <t>NOVARA</t>
  </si>
  <si>
    <t>TO</t>
  </si>
  <si>
    <t>TORINO</t>
  </si>
  <si>
    <t>VB</t>
  </si>
  <si>
    <t>VERBANIA-CUSIO-OSSOLA</t>
  </si>
  <si>
    <t>VC</t>
  </si>
  <si>
    <t>VERCELLI</t>
  </si>
  <si>
    <t>PIEMONTE</t>
  </si>
  <si>
    <t>AO</t>
  </si>
  <si>
    <t>AOSTA</t>
  </si>
  <si>
    <t>VALLE D'AOSTA</t>
  </si>
  <si>
    <t>GE</t>
  </si>
  <si>
    <t>GENOVA</t>
  </si>
  <si>
    <t>IM</t>
  </si>
  <si>
    <t>IMPERIA</t>
  </si>
  <si>
    <t>SP</t>
  </si>
  <si>
    <t>LA SPEZIA</t>
  </si>
  <si>
    <t>SV</t>
  </si>
  <si>
    <t>SAVONA</t>
  </si>
  <si>
    <t>LIGURIA</t>
  </si>
  <si>
    <t>BG</t>
  </si>
  <si>
    <t>BERGAMO</t>
  </si>
  <si>
    <t>BS</t>
  </si>
  <si>
    <t>BRESCIA</t>
  </si>
  <si>
    <t>CO</t>
  </si>
  <si>
    <t>COMO</t>
  </si>
  <si>
    <t>CR</t>
  </si>
  <si>
    <t>CREMONA</t>
  </si>
  <si>
    <t>LC</t>
  </si>
  <si>
    <t>LECCO</t>
  </si>
  <si>
    <t>LO</t>
  </si>
  <si>
    <t>LODI</t>
  </si>
  <si>
    <t>MN</t>
  </si>
  <si>
    <t>MANTOVA</t>
  </si>
  <si>
    <t>MI</t>
  </si>
  <si>
    <t>MILANO</t>
  </si>
  <si>
    <t>MB</t>
  </si>
  <si>
    <t>MONZA E BRIANZA</t>
  </si>
  <si>
    <t>PV</t>
  </si>
  <si>
    <t>PAVIA</t>
  </si>
  <si>
    <t>SO</t>
  </si>
  <si>
    <t>SONDRIO</t>
  </si>
  <si>
    <t>VA</t>
  </si>
  <si>
    <t>VARESE</t>
  </si>
  <si>
    <t>LOMBARDIA</t>
  </si>
  <si>
    <t>BZ</t>
  </si>
  <si>
    <t>BOLZANO</t>
  </si>
  <si>
    <t>TN</t>
  </si>
  <si>
    <t>TRENTO</t>
  </si>
  <si>
    <t>TRENTINO-ALTO ADIGE</t>
  </si>
  <si>
    <t>GO</t>
  </si>
  <si>
    <t>GORIZIA</t>
  </si>
  <si>
    <t>PN</t>
  </si>
  <si>
    <t>PORDENONE</t>
  </si>
  <si>
    <t>TS</t>
  </si>
  <si>
    <t>TRIESTE</t>
  </si>
  <si>
    <t>UD</t>
  </si>
  <si>
    <t>UDINE</t>
  </si>
  <si>
    <t>FRIULI-VENEZIA GIULIA</t>
  </si>
  <si>
    <t>BL</t>
  </si>
  <si>
    <t>BELLUNO</t>
  </si>
  <si>
    <t>PD</t>
  </si>
  <si>
    <t>PADOVA</t>
  </si>
  <si>
    <t>RO</t>
  </si>
  <si>
    <t>ROVIGO</t>
  </si>
  <si>
    <t>TV</t>
  </si>
  <si>
    <t>TREVISO</t>
  </si>
  <si>
    <t>VE</t>
  </si>
  <si>
    <t>VENEZIA</t>
  </si>
  <si>
    <t>VR</t>
  </si>
  <si>
    <t>VERONA</t>
  </si>
  <si>
    <t>VI</t>
  </si>
  <si>
    <t>VICENZA</t>
  </si>
  <si>
    <t>VENETO</t>
  </si>
  <si>
    <t>BO</t>
  </si>
  <si>
    <t>BOLOGNA</t>
  </si>
  <si>
    <t>FE</t>
  </si>
  <si>
    <t>FERRARA</t>
  </si>
  <si>
    <t>FC</t>
  </si>
  <si>
    <t>FORLI'-CESENA</t>
  </si>
  <si>
    <t>MO</t>
  </si>
  <si>
    <t>MODENA</t>
  </si>
  <si>
    <t>PR</t>
  </si>
  <si>
    <t>PARMA</t>
  </si>
  <si>
    <t>PC</t>
  </si>
  <si>
    <t>PIACENZA</t>
  </si>
  <si>
    <t>RA</t>
  </si>
  <si>
    <t>RAVENNA</t>
  </si>
  <si>
    <t>RE</t>
  </si>
  <si>
    <t>REGGIO EMILIA</t>
  </si>
  <si>
    <t>RN</t>
  </si>
  <si>
    <t>RIMINI</t>
  </si>
  <si>
    <t>EMILIA-ROMAGNA</t>
  </si>
  <si>
    <t>AR</t>
  </si>
  <si>
    <t>AREZZO</t>
  </si>
  <si>
    <t>FI</t>
  </si>
  <si>
    <t>FIRENZE</t>
  </si>
  <si>
    <t>GR</t>
  </si>
  <si>
    <t>GROSSETO</t>
  </si>
  <si>
    <t>LI</t>
  </si>
  <si>
    <t>LIVORNO</t>
  </si>
  <si>
    <t>LU</t>
  </si>
  <si>
    <t>LUCCA</t>
  </si>
  <si>
    <t>MS</t>
  </si>
  <si>
    <t>MASSA CARRARA</t>
  </si>
  <si>
    <t>PI</t>
  </si>
  <si>
    <t>PISA</t>
  </si>
  <si>
    <t>PT</t>
  </si>
  <si>
    <t>PISTOIA</t>
  </si>
  <si>
    <t>PO</t>
  </si>
  <si>
    <t>PRATO</t>
  </si>
  <si>
    <t>SI</t>
  </si>
  <si>
    <t>SIENA</t>
  </si>
  <si>
    <t>TOSCANA</t>
  </si>
  <si>
    <t>AN</t>
  </si>
  <si>
    <t>ANCONA</t>
  </si>
  <si>
    <t>AP</t>
  </si>
  <si>
    <t>ASCOLI PICENO</t>
  </si>
  <si>
    <t>FM</t>
  </si>
  <si>
    <t>FERMO</t>
  </si>
  <si>
    <t>MC</t>
  </si>
  <si>
    <t>MACERATA</t>
  </si>
  <si>
    <t>PU</t>
  </si>
  <si>
    <t>PESARO URBINO</t>
  </si>
  <si>
    <t>MARCHE</t>
  </si>
  <si>
    <t>PG</t>
  </si>
  <si>
    <t>PERUGIA</t>
  </si>
  <si>
    <t>TR</t>
  </si>
  <si>
    <t>TERNI</t>
  </si>
  <si>
    <t>UMBRIA</t>
  </si>
  <si>
    <t>FR</t>
  </si>
  <si>
    <t>FROSINONE</t>
  </si>
  <si>
    <t>LT</t>
  </si>
  <si>
    <t>LATINA</t>
  </si>
  <si>
    <t>RI</t>
  </si>
  <si>
    <t>RIETI</t>
  </si>
  <si>
    <t>RM</t>
  </si>
  <si>
    <t>ROMA</t>
  </si>
  <si>
    <t>VT</t>
  </si>
  <si>
    <t>VITERBO</t>
  </si>
  <si>
    <t>LAZIO</t>
  </si>
  <si>
    <t>CB</t>
  </si>
  <si>
    <t>CAMPOBASSO</t>
  </si>
  <si>
    <t>IS</t>
  </si>
  <si>
    <t>ISERNIA</t>
  </si>
  <si>
    <t>MOLISE</t>
  </si>
  <si>
    <t>CH</t>
  </si>
  <si>
    <t>CHIETI</t>
  </si>
  <si>
    <t>AQ</t>
  </si>
  <si>
    <t>L'AQUILA</t>
  </si>
  <si>
    <t>PE</t>
  </si>
  <si>
    <t>PESCARA</t>
  </si>
  <si>
    <t>TE</t>
  </si>
  <si>
    <t>TERAMO</t>
  </si>
  <si>
    <t>ABRUZZO</t>
  </si>
  <si>
    <t>AV</t>
  </si>
  <si>
    <t>AVELLINO</t>
  </si>
  <si>
    <t>BN</t>
  </si>
  <si>
    <t>BENEVENTO</t>
  </si>
  <si>
    <t>CE</t>
  </si>
  <si>
    <t>CASERTA</t>
  </si>
  <si>
    <t>NA</t>
  </si>
  <si>
    <t>NAPOLI</t>
  </si>
  <si>
    <t>SA</t>
  </si>
  <si>
    <t>SALERNO</t>
  </si>
  <si>
    <t>CAMPANIA</t>
  </si>
  <si>
    <t>BA</t>
  </si>
  <si>
    <t>BARI</t>
  </si>
  <si>
    <t>BT</t>
  </si>
  <si>
    <t>BARLETTA-ANDRIA-TRANI</t>
  </si>
  <si>
    <t>BR</t>
  </si>
  <si>
    <t>BRINDISI</t>
  </si>
  <si>
    <t>FG</t>
  </si>
  <si>
    <t>FOGGIA</t>
  </si>
  <si>
    <t>LE</t>
  </si>
  <si>
    <t>LECCE</t>
  </si>
  <si>
    <t>TA</t>
  </si>
  <si>
    <t>TARANTO</t>
  </si>
  <si>
    <t>PUGLIA</t>
  </si>
  <si>
    <t>MT</t>
  </si>
  <si>
    <t>MATERA</t>
  </si>
  <si>
    <t>PZ</t>
  </si>
  <si>
    <t>POTENZA</t>
  </si>
  <si>
    <t>BASILICATA</t>
  </si>
  <si>
    <t>CZ</t>
  </si>
  <si>
    <t>CATANZARO</t>
  </si>
  <si>
    <t>CS</t>
  </si>
  <si>
    <t>COSENZA</t>
  </si>
  <si>
    <t>KR</t>
  </si>
  <si>
    <t>CROTONE</t>
  </si>
  <si>
    <t>RC</t>
  </si>
  <si>
    <t>REGGIO CALABRIA</t>
  </si>
  <si>
    <t>VV</t>
  </si>
  <si>
    <t>VIBO VALENTIA</t>
  </si>
  <si>
    <t>CALABRIA</t>
  </si>
  <si>
    <t>AG</t>
  </si>
  <si>
    <t>AGRIGENTO</t>
  </si>
  <si>
    <t>CL</t>
  </si>
  <si>
    <t>CALTANISSETTA</t>
  </si>
  <si>
    <t>CT</t>
  </si>
  <si>
    <t>CATANIA</t>
  </si>
  <si>
    <t>EN</t>
  </si>
  <si>
    <t>ENNA</t>
  </si>
  <si>
    <t>ME</t>
  </si>
  <si>
    <t>MESSINA</t>
  </si>
  <si>
    <t>PA</t>
  </si>
  <si>
    <t>PALERMO</t>
  </si>
  <si>
    <t>RG</t>
  </si>
  <si>
    <t>RAGUSA</t>
  </si>
  <si>
    <t>SR</t>
  </si>
  <si>
    <t>SIRACUSA</t>
  </si>
  <si>
    <t>TP</t>
  </si>
  <si>
    <t>TRAPANI</t>
  </si>
  <si>
    <t>SICILIA</t>
  </si>
  <si>
    <t>CA</t>
  </si>
  <si>
    <t>CAGLIARI</t>
  </si>
  <si>
    <t>CI</t>
  </si>
  <si>
    <t>CARBONIA-IGLESIAS</t>
  </si>
  <si>
    <t>VS</t>
  </si>
  <si>
    <t>MEDIO CAMPIDANO</t>
  </si>
  <si>
    <t>NU</t>
  </si>
  <si>
    <t>NUORO</t>
  </si>
  <si>
    <t>OG</t>
  </si>
  <si>
    <t>OGLIASTRA</t>
  </si>
  <si>
    <t>OT</t>
  </si>
  <si>
    <t>OLBIA-TEMPIO</t>
  </si>
  <si>
    <t>OR</t>
  </si>
  <si>
    <t>ORISTANO</t>
  </si>
  <si>
    <t>SS</t>
  </si>
  <si>
    <t>SASSARI</t>
  </si>
  <si>
    <t>SU</t>
  </si>
  <si>
    <t>SUD SARDEGNA</t>
  </si>
  <si>
    <t>SARDEGNA</t>
  </si>
  <si>
    <t>TT</t>
  </si>
  <si>
    <t>TOTALE  ITALIA</t>
  </si>
  <si>
    <t>DGSAIE DIV.6</t>
  </si>
  <si>
    <t>Periodo: gennaio-dicembre 2017</t>
  </si>
</sst>
</file>

<file path=xl/styles.xml><?xml version="1.0" encoding="utf-8"?>
<styleSheet xmlns="http://schemas.openxmlformats.org/spreadsheetml/2006/main">
  <fonts count="15">
    <font>
      <sz val="10"/>
      <color indexed="8"/>
      <name val="Times New Roman"/>
    </font>
    <font>
      <sz val="10"/>
      <color indexed="8"/>
      <name val="Calibri"/>
    </font>
    <font>
      <b/>
      <sz val="10"/>
      <color indexed="10"/>
      <name val="Calibri"/>
    </font>
    <font>
      <b/>
      <sz val="12"/>
      <color indexed="10"/>
      <name val="Calibri"/>
    </font>
    <font>
      <sz val="10"/>
      <color indexed="10"/>
      <name val="Calibri"/>
    </font>
    <font>
      <sz val="8"/>
      <color indexed="13"/>
      <name val="Calibri"/>
    </font>
    <font>
      <b/>
      <sz val="11"/>
      <color indexed="10"/>
      <name val="Calibri"/>
    </font>
    <font>
      <b/>
      <sz val="9"/>
      <color indexed="10"/>
      <name val="Calibri"/>
    </font>
    <font>
      <b/>
      <sz val="8"/>
      <color indexed="10"/>
      <name val="Calibri"/>
    </font>
    <font>
      <sz val="9"/>
      <color indexed="8"/>
      <name val="Calibri"/>
    </font>
    <font>
      <sz val="9"/>
      <color indexed="9"/>
      <name val="Calibri"/>
    </font>
    <font>
      <b/>
      <sz val="9"/>
      <color indexed="9"/>
      <name val="Calibri"/>
    </font>
    <font>
      <sz val="10"/>
      <color indexed="9"/>
      <name val="Calibri"/>
    </font>
    <font>
      <b/>
      <sz val="10"/>
      <color indexed="9"/>
      <name val="Calibri"/>
    </font>
    <font>
      <b/>
      <sz val="10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12"/>
      </patternFill>
    </fill>
    <fill>
      <patternFill patternType="solid">
        <fgColor indexed="10"/>
        <bgColor indexed="16"/>
      </patternFill>
    </fill>
  </fills>
  <borders count="21">
    <border>
      <left/>
      <right/>
      <top/>
      <bottom/>
      <diagonal/>
    </border>
    <border>
      <left style="double">
        <color indexed="15"/>
      </left>
      <right style="thin">
        <color indexed="15"/>
      </right>
      <top style="double">
        <color indexed="15"/>
      </top>
      <bottom style="thin">
        <color indexed="14"/>
      </bottom>
      <diagonal/>
    </border>
    <border>
      <left style="thin">
        <color indexed="15"/>
      </left>
      <right style="thin">
        <color indexed="14"/>
      </right>
      <top style="double">
        <color indexed="15"/>
      </top>
      <bottom style="thin">
        <color indexed="14"/>
      </bottom>
      <diagonal/>
    </border>
    <border>
      <left/>
      <right/>
      <top style="double">
        <color indexed="15"/>
      </top>
      <bottom style="thin">
        <color indexed="14"/>
      </bottom>
      <diagonal/>
    </border>
    <border>
      <left style="thin">
        <color indexed="14"/>
      </left>
      <right style="thin">
        <color indexed="15"/>
      </right>
      <top style="double">
        <color indexed="15"/>
      </top>
      <bottom style="thin">
        <color indexed="14"/>
      </bottom>
      <diagonal/>
    </border>
    <border>
      <left style="thin">
        <color indexed="15"/>
      </left>
      <right style="thin">
        <color indexed="15"/>
      </right>
      <top style="double">
        <color indexed="15"/>
      </top>
      <bottom style="thin">
        <color indexed="14"/>
      </bottom>
      <diagonal/>
    </border>
    <border>
      <left style="double">
        <color indexed="15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/>
      <right style="thin">
        <color indexed="15"/>
      </right>
      <top/>
      <bottom style="thin">
        <color indexed="14"/>
      </bottom>
      <diagonal/>
    </border>
    <border>
      <left style="thin">
        <color indexed="15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double">
        <color indexed="15"/>
      </left>
      <right/>
      <top style="thin">
        <color indexed="14"/>
      </top>
      <bottom style="double">
        <color indexed="14"/>
      </bottom>
      <diagonal/>
    </border>
    <border>
      <left style="thin">
        <color indexed="14"/>
      </left>
      <right style="thin">
        <color indexed="15"/>
      </right>
      <top style="thin">
        <color indexed="14"/>
      </top>
      <bottom style="double">
        <color indexed="14"/>
      </bottom>
      <diagonal/>
    </border>
    <border>
      <left style="thin">
        <color indexed="15"/>
      </left>
      <right style="thin">
        <color indexed="14"/>
      </right>
      <top style="thin">
        <color indexed="14"/>
      </top>
      <bottom style="double">
        <color indexed="14"/>
      </bottom>
      <diagonal/>
    </border>
    <border>
      <left/>
      <right/>
      <top style="thin">
        <color indexed="14"/>
      </top>
      <bottom style="double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double">
        <color indexed="14"/>
      </bottom>
      <diagonal/>
    </border>
    <border>
      <left/>
      <right style="thin">
        <color indexed="15"/>
      </right>
      <top style="thin">
        <color indexed="14"/>
      </top>
      <bottom style="double">
        <color indexed="14"/>
      </bottom>
      <diagonal/>
    </border>
    <border>
      <left style="hair">
        <color indexed="15"/>
      </left>
      <right style="thin">
        <color indexed="15"/>
      </right>
      <top style="thin">
        <color indexed="14"/>
      </top>
      <bottom style="double">
        <color indexed="14"/>
      </bottom>
      <diagonal/>
    </border>
    <border>
      <left style="thin">
        <color indexed="15"/>
      </left>
      <right style="thin">
        <color indexed="15"/>
      </right>
      <top/>
      <bottom style="thin">
        <color indexed="15"/>
      </bottom>
      <diagonal/>
    </border>
    <border>
      <left style="thin">
        <color indexed="15"/>
      </left>
      <right/>
      <top/>
      <bottom style="thin">
        <color indexed="15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15"/>
      </left>
      <right/>
      <top style="thin">
        <color indexed="15"/>
      </top>
      <bottom style="thin">
        <color indexed="15"/>
      </bottom>
      <diagonal/>
    </border>
    <border>
      <left style="thin">
        <color indexed="15"/>
      </left>
      <right/>
      <top style="hair">
        <color indexed="15"/>
      </top>
      <bottom style="thin">
        <color indexed="15"/>
      </bottom>
      <diagonal/>
    </border>
  </borders>
  <cellStyleXfs count="1">
    <xf numFmtId="0" fontId="0" fillId="0" borderId="0" applyFill="0" applyProtection="0"/>
  </cellStyleXfs>
  <cellXfs count="48">
    <xf numFmtId="0" fontId="0" fillId="0" borderId="0" xfId="0" applyFill="1" applyProtection="1"/>
    <xf numFmtId="0" fontId="1" fillId="0" borderId="0" xfId="0" applyFont="1" applyFill="1" applyProtection="1"/>
    <xf numFmtId="0" fontId="2" fillId="2" borderId="0" xfId="0" applyFont="1" applyFill="1" applyAlignment="1" applyProtection="1">
      <alignment horizontal="center"/>
    </xf>
    <xf numFmtId="0" fontId="3" fillId="2" borderId="0" xfId="0" applyFont="1" applyFill="1" applyAlignment="1" applyProtection="1">
      <alignment horizontal="center"/>
    </xf>
    <xf numFmtId="0" fontId="4" fillId="2" borderId="0" xfId="0" applyFont="1" applyFill="1" applyAlignment="1" applyProtection="1">
      <alignment horizontal="center"/>
    </xf>
    <xf numFmtId="0" fontId="4" fillId="2" borderId="0" xfId="0" applyFont="1" applyFill="1" applyProtection="1"/>
    <xf numFmtId="0" fontId="2" fillId="2" borderId="0" xfId="0" applyFont="1" applyFill="1" applyProtection="1"/>
    <xf numFmtId="0" fontId="0" fillId="0" borderId="0" xfId="0" applyFill="1" applyAlignment="1" applyProtection="1">
      <alignment vertical="center"/>
    </xf>
    <xf numFmtId="0" fontId="8" fillId="2" borderId="9" xfId="0" applyFont="1" applyFill="1" applyBorder="1" applyAlignment="1" applyProtection="1">
      <alignment horizontal="center" vertical="center"/>
    </xf>
    <xf numFmtId="0" fontId="8" fillId="2" borderId="10" xfId="0" applyFont="1" applyFill="1" applyBorder="1" applyAlignment="1" applyProtection="1">
      <alignment horizontal="center" vertical="center"/>
    </xf>
    <xf numFmtId="0" fontId="8" fillId="2" borderId="11" xfId="0" applyFont="1" applyFill="1" applyBorder="1" applyAlignment="1" applyProtection="1">
      <alignment horizontal="center" vertical="center"/>
    </xf>
    <xf numFmtId="0" fontId="8" fillId="2" borderId="12" xfId="0" applyFont="1" applyFill="1" applyBorder="1" applyAlignment="1" applyProtection="1">
      <alignment horizontal="center" vertical="center"/>
    </xf>
    <xf numFmtId="0" fontId="8" fillId="2" borderId="13" xfId="0" applyFont="1" applyFill="1" applyBorder="1" applyAlignment="1" applyProtection="1">
      <alignment horizontal="center" vertical="center"/>
    </xf>
    <xf numFmtId="0" fontId="8" fillId="2" borderId="14" xfId="0" applyFont="1" applyFill="1" applyBorder="1" applyAlignment="1" applyProtection="1">
      <alignment horizontal="center" vertical="center"/>
    </xf>
    <xf numFmtId="0" fontId="8" fillId="2" borderId="15" xfId="0" applyFont="1" applyFill="1" applyBorder="1" applyAlignment="1" applyProtection="1">
      <alignment horizontal="center" vertical="center"/>
    </xf>
    <xf numFmtId="0" fontId="0" fillId="0" borderId="0" xfId="0" applyFill="1" applyAlignment="1" applyProtection="1">
      <alignment horizontal="center" vertical="center"/>
    </xf>
    <xf numFmtId="0" fontId="9" fillId="0" borderId="16" xfId="0" applyFont="1" applyFill="1" applyBorder="1" applyAlignment="1" applyProtection="1">
      <alignment horizontal="center"/>
    </xf>
    <xf numFmtId="0" fontId="9" fillId="0" borderId="17" xfId="0" applyFont="1" applyFill="1" applyBorder="1" applyProtection="1"/>
    <xf numFmtId="2" fontId="1" fillId="0" borderId="16" xfId="0" applyNumberFormat="1" applyFont="1" applyFill="1" applyBorder="1" applyProtection="1">
      <protection locked="0"/>
    </xf>
    <xf numFmtId="0" fontId="9" fillId="0" borderId="18" xfId="0" applyFont="1" applyFill="1" applyBorder="1" applyAlignment="1" applyProtection="1">
      <alignment horizontal="center"/>
    </xf>
    <xf numFmtId="0" fontId="9" fillId="0" borderId="19" xfId="0" applyFont="1" applyFill="1" applyBorder="1" applyProtection="1"/>
    <xf numFmtId="2" fontId="1" fillId="0" borderId="18" xfId="0" applyNumberFormat="1" applyFont="1" applyFill="1" applyBorder="1" applyProtection="1">
      <protection locked="0"/>
    </xf>
    <xf numFmtId="0" fontId="10" fillId="3" borderId="18" xfId="0" applyFont="1" applyFill="1" applyBorder="1" applyAlignment="1" applyProtection="1">
      <alignment horizontal="center"/>
    </xf>
    <xf numFmtId="0" fontId="11" fillId="3" borderId="19" xfId="0" applyFont="1" applyFill="1" applyBorder="1" applyProtection="1"/>
    <xf numFmtId="2" fontId="12" fillId="3" borderId="18" xfId="0" applyNumberFormat="1" applyFont="1" applyFill="1" applyBorder="1" applyProtection="1"/>
    <xf numFmtId="2" fontId="1" fillId="0" borderId="18" xfId="0" applyNumberFormat="1" applyFont="1" applyFill="1" applyBorder="1" applyProtection="1"/>
    <xf numFmtId="0" fontId="11" fillId="3" borderId="18" xfId="0" applyFont="1" applyFill="1" applyBorder="1" applyAlignment="1" applyProtection="1">
      <alignment horizontal="center"/>
    </xf>
    <xf numFmtId="0" fontId="9" fillId="0" borderId="18" xfId="0" applyFont="1" applyFill="1" applyBorder="1" applyAlignment="1" applyProtection="1">
      <alignment horizontal="left"/>
    </xf>
    <xf numFmtId="2" fontId="1" fillId="0" borderId="18" xfId="0" applyNumberFormat="1" applyFont="1" applyFill="1" applyBorder="1" applyAlignment="1" applyProtection="1">
      <alignment horizontal="right"/>
      <protection locked="0"/>
    </xf>
    <xf numFmtId="0" fontId="10" fillId="3" borderId="18" xfId="0" applyFont="1" applyFill="1" applyBorder="1" applyAlignment="1" applyProtection="1">
      <alignment horizontal="left"/>
    </xf>
    <xf numFmtId="0" fontId="9" fillId="0" borderId="18" xfId="0" applyFont="1" applyFill="1" applyBorder="1" applyProtection="1"/>
    <xf numFmtId="0" fontId="10" fillId="3" borderId="18" xfId="0" applyFont="1" applyFill="1" applyBorder="1" applyProtection="1"/>
    <xf numFmtId="2" fontId="1" fillId="0" borderId="20" xfId="0" applyNumberFormat="1" applyFont="1" applyFill="1" applyBorder="1" applyProtection="1">
      <protection locked="0"/>
    </xf>
    <xf numFmtId="2" fontId="13" fillId="3" borderId="18" xfId="0" applyNumberFormat="1" applyFont="1" applyFill="1" applyBorder="1" applyProtection="1"/>
    <xf numFmtId="0" fontId="14" fillId="0" borderId="19" xfId="0" applyFont="1" applyFill="1" applyBorder="1" applyProtection="1"/>
    <xf numFmtId="0" fontId="2" fillId="2" borderId="0" xfId="0" applyFont="1" applyFill="1" applyAlignment="1" applyProtection="1">
      <alignment horizontal="center"/>
    </xf>
    <xf numFmtId="0" fontId="3" fillId="2" borderId="0" xfId="0" applyFont="1" applyFill="1" applyAlignment="1" applyProtection="1">
      <alignment horizontal="center"/>
    </xf>
    <xf numFmtId="0" fontId="4" fillId="2" borderId="0" xfId="0" applyFont="1" applyFill="1" applyAlignment="1" applyProtection="1">
      <alignment horizontal="center"/>
    </xf>
    <xf numFmtId="0" fontId="5" fillId="2" borderId="0" xfId="0" applyFont="1" applyFill="1" applyAlignment="1" applyProtection="1">
      <alignment horizontal="center"/>
    </xf>
    <xf numFmtId="0" fontId="6" fillId="2" borderId="0" xfId="0" applyFont="1" applyFill="1" applyAlignment="1" applyProtection="1">
      <alignment horizontal="center"/>
    </xf>
    <xf numFmtId="0" fontId="2" fillId="2" borderId="1" xfId="0" applyFont="1" applyFill="1" applyBorder="1" applyAlignment="1" applyProtection="1">
      <alignment horizontal="center" vertical="center"/>
    </xf>
    <xf numFmtId="0" fontId="2" fillId="2" borderId="2" xfId="0" applyFont="1" applyFill="1" applyBorder="1" applyAlignment="1" applyProtection="1">
      <alignment horizontal="center" vertical="center"/>
    </xf>
    <xf numFmtId="0" fontId="7" fillId="2" borderId="3" xfId="0" applyFont="1" applyFill="1" applyBorder="1" applyAlignment="1" applyProtection="1">
      <alignment horizontal="center" vertical="center" wrapText="1"/>
    </xf>
    <xf numFmtId="0" fontId="7" fillId="2" borderId="4" xfId="0" applyFont="1" applyFill="1" applyBorder="1" applyAlignment="1" applyProtection="1">
      <alignment horizontal="center" vertical="center"/>
    </xf>
    <xf numFmtId="0" fontId="2" fillId="2" borderId="5" xfId="0" applyFont="1" applyFill="1" applyBorder="1" applyAlignment="1" applyProtection="1">
      <alignment horizontal="center" vertical="center"/>
    </xf>
    <xf numFmtId="0" fontId="7" fillId="2" borderId="6" xfId="0" applyFont="1" applyFill="1" applyBorder="1" applyAlignment="1" applyProtection="1">
      <alignment horizontal="center" vertical="center"/>
    </xf>
    <xf numFmtId="0" fontId="2" fillId="2" borderId="7" xfId="0" applyFont="1" applyFill="1" applyBorder="1" applyAlignment="1" applyProtection="1">
      <alignment horizontal="center" vertical="center"/>
    </xf>
    <xf numFmtId="0" fontId="2" fillId="2" borderId="8" xfId="0" applyFont="1" applyFill="1" applyBorder="1" applyAlignment="1" applyProtection="1">
      <alignment horizontal="center" vertical="center"/>
    </xf>
  </cellXfs>
  <cellStyles count="1">
    <cellStyle name="Normale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33399"/>
      <rgbColor rgb="0099CCFF"/>
      <rgbColor rgb="00CCCCFF"/>
      <rgbColor rgb="00FF0000"/>
      <rgbColor rgb="00212121"/>
      <rgbColor rgb="003A3935"/>
      <rgbColor rgb="00003366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S146"/>
  <sheetViews>
    <sheetView showGridLines="0" workbookViewId="0">
      <selection activeCell="C144" sqref="C144"/>
    </sheetView>
  </sheetViews>
  <sheetFormatPr defaultRowHeight="12.75" customHeight="1"/>
  <cols>
    <col min="1" max="1" width="7.109375" style="1" customWidth="1"/>
    <col min="2" max="2" width="25.6640625" style="1" customWidth="1"/>
    <col min="3" max="3" width="14.33203125" style="1" customWidth="1"/>
    <col min="4" max="4" width="13" style="1" customWidth="1"/>
    <col min="5" max="5" width="16.109375" style="1" customWidth="1"/>
    <col min="6" max="6" width="11.6640625" style="1" customWidth="1"/>
    <col min="7" max="7" width="13.77734375" style="1" customWidth="1"/>
    <col min="8" max="8" width="10.109375" style="1" customWidth="1"/>
    <col min="9" max="9" width="16.6640625" style="1" customWidth="1"/>
    <col min="10" max="19" width="8.77734375" customWidth="1"/>
  </cols>
  <sheetData>
    <row r="1" spans="1:19" ht="15.75" customHeight="1">
      <c r="A1" s="35" t="s">
        <v>0</v>
      </c>
      <c r="B1" s="35"/>
      <c r="C1" s="35"/>
      <c r="D1" s="36" t="s">
        <v>1</v>
      </c>
      <c r="E1" s="36"/>
      <c r="F1" s="36"/>
      <c r="G1" s="36"/>
      <c r="H1" s="36"/>
      <c r="I1" s="3"/>
    </row>
    <row r="2" spans="1:19" ht="12" customHeight="1">
      <c r="A2" s="37" t="s">
        <v>2</v>
      </c>
      <c r="B2" s="37"/>
      <c r="C2" s="37"/>
      <c r="D2" s="4"/>
      <c r="E2" s="3"/>
      <c r="F2" s="4"/>
      <c r="G2" s="4"/>
      <c r="H2" s="4"/>
      <c r="I2" s="5"/>
    </row>
    <row r="3" spans="1:19" ht="10.5" customHeight="1">
      <c r="A3" s="37"/>
      <c r="B3" s="37"/>
      <c r="C3" s="37"/>
      <c r="D3" s="35" t="s">
        <v>3</v>
      </c>
      <c r="E3" s="35"/>
      <c r="F3" s="35"/>
      <c r="G3" s="35"/>
      <c r="H3" s="35"/>
      <c r="I3" s="6"/>
    </row>
    <row r="4" spans="1:19" ht="12.75" customHeight="1">
      <c r="A4" s="38" t="s">
        <v>4</v>
      </c>
      <c r="B4" s="38"/>
      <c r="C4" s="38"/>
      <c r="D4" s="37" t="s">
        <v>5</v>
      </c>
      <c r="E4" s="37"/>
      <c r="F4" s="37"/>
      <c r="G4" s="37"/>
      <c r="H4" s="37"/>
      <c r="I4" s="5"/>
    </row>
    <row r="5" spans="1:19" ht="12.75" customHeight="1">
      <c r="A5" s="4"/>
      <c r="B5" s="4"/>
      <c r="C5" s="4"/>
      <c r="D5" s="2"/>
      <c r="E5" s="4"/>
      <c r="F5" s="4"/>
      <c r="G5" s="4"/>
      <c r="H5" s="4"/>
      <c r="I5" s="4"/>
    </row>
    <row r="6" spans="1:19" ht="12.75" customHeight="1">
      <c r="A6" s="4"/>
      <c r="B6" s="4"/>
      <c r="C6" s="5"/>
      <c r="D6" s="5"/>
      <c r="E6" s="5"/>
      <c r="F6" s="5"/>
      <c r="G6" s="5"/>
      <c r="H6" s="5"/>
      <c r="I6" s="5"/>
    </row>
    <row r="7" spans="1:19" ht="12.75" customHeight="1">
      <c r="A7" s="4"/>
      <c r="B7" s="4"/>
      <c r="C7" s="5"/>
      <c r="D7" s="5"/>
      <c r="E7" s="5"/>
      <c r="F7" s="37" t="s">
        <v>6</v>
      </c>
      <c r="G7" s="37"/>
      <c r="H7" s="37"/>
      <c r="I7" s="37"/>
    </row>
    <row r="8" spans="1:19" ht="15" customHeight="1">
      <c r="A8" s="5"/>
      <c r="B8" s="5"/>
      <c r="C8" s="5"/>
      <c r="D8" s="5"/>
      <c r="E8" s="5"/>
      <c r="F8" s="37" t="s">
        <v>7</v>
      </c>
      <c r="G8" s="37"/>
      <c r="H8" s="37"/>
      <c r="I8" s="37"/>
    </row>
    <row r="9" spans="1:19" ht="15" customHeight="1">
      <c r="A9" s="39"/>
      <c r="B9" s="39"/>
      <c r="C9" s="39"/>
      <c r="D9" s="39"/>
      <c r="E9" s="39"/>
      <c r="F9" s="5"/>
      <c r="G9" s="5"/>
      <c r="H9" s="5"/>
      <c r="I9" s="5"/>
    </row>
    <row r="10" spans="1:19" ht="4.5" customHeight="1">
      <c r="A10" s="5"/>
      <c r="B10" s="5"/>
      <c r="C10" s="5"/>
      <c r="D10" s="5"/>
      <c r="E10" s="5"/>
      <c r="F10" s="5"/>
      <c r="G10" s="5"/>
      <c r="H10" s="5"/>
      <c r="I10" s="5"/>
    </row>
    <row r="11" spans="1:19" s="7" customFormat="1" ht="17.25" customHeight="1">
      <c r="A11" s="40" t="s">
        <v>8</v>
      </c>
      <c r="B11" s="40"/>
      <c r="C11" s="41" t="s">
        <v>9</v>
      </c>
      <c r="D11" s="41"/>
      <c r="E11" s="42" t="s">
        <v>10</v>
      </c>
      <c r="F11" s="43" t="s">
        <v>11</v>
      </c>
      <c r="G11" s="43"/>
      <c r="H11" s="44" t="s">
        <v>12</v>
      </c>
      <c r="I11" s="44"/>
      <c r="K11"/>
      <c r="L11"/>
      <c r="M11"/>
      <c r="N11"/>
      <c r="O11"/>
      <c r="P11"/>
      <c r="Q11"/>
      <c r="R11"/>
      <c r="S11"/>
    </row>
    <row r="12" spans="1:19" ht="12.75" customHeight="1">
      <c r="A12" s="45" t="s">
        <v>13</v>
      </c>
      <c r="B12" s="46" t="s">
        <v>14</v>
      </c>
      <c r="C12" s="47" t="s">
        <v>15</v>
      </c>
      <c r="D12" s="46" t="s">
        <v>16</v>
      </c>
      <c r="E12" s="42"/>
      <c r="F12" s="47" t="s">
        <v>17</v>
      </c>
      <c r="G12" s="46" t="s">
        <v>18</v>
      </c>
      <c r="H12" s="47" t="s">
        <v>15</v>
      </c>
      <c r="I12" s="46" t="s">
        <v>19</v>
      </c>
    </row>
    <row r="13" spans="1:19" ht="12.75" customHeight="1">
      <c r="A13" s="45"/>
      <c r="B13" s="46"/>
      <c r="C13" s="47"/>
      <c r="D13" s="46"/>
      <c r="E13" s="42"/>
      <c r="F13" s="47"/>
      <c r="G13" s="46"/>
      <c r="H13" s="47"/>
      <c r="I13" s="46"/>
    </row>
    <row r="14" spans="1:19" s="15" customFormat="1" ht="10.5" customHeight="1">
      <c r="A14" s="8">
        <v>1</v>
      </c>
      <c r="B14" s="9">
        <v>2</v>
      </c>
      <c r="C14" s="10">
        <v>3</v>
      </c>
      <c r="D14" s="11">
        <v>4</v>
      </c>
      <c r="E14" s="9">
        <v>5</v>
      </c>
      <c r="F14" s="10">
        <v>6</v>
      </c>
      <c r="G14" s="12">
        <v>7</v>
      </c>
      <c r="H14" s="13">
        <v>8</v>
      </c>
      <c r="I14" s="14">
        <v>10</v>
      </c>
    </row>
    <row r="15" spans="1:19" ht="12.75" customHeight="1">
      <c r="A15" s="16" t="s">
        <v>20</v>
      </c>
      <c r="B15" s="17" t="s">
        <v>21</v>
      </c>
      <c r="C15" s="18">
        <v>2627</v>
      </c>
      <c r="D15" s="18">
        <v>1035</v>
      </c>
      <c r="E15" s="18">
        <v>850</v>
      </c>
      <c r="F15" s="18">
        <v>77</v>
      </c>
      <c r="G15" s="18">
        <v>991</v>
      </c>
      <c r="H15" s="18">
        <v>1219</v>
      </c>
      <c r="I15" s="18">
        <v>3</v>
      </c>
    </row>
    <row r="16" spans="1:19" ht="12.75" customHeight="1">
      <c r="A16" s="19" t="s">
        <v>22</v>
      </c>
      <c r="B16" s="20" t="s">
        <v>23</v>
      </c>
      <c r="C16" s="21">
        <v>1421</v>
      </c>
      <c r="D16" s="21">
        <v>348</v>
      </c>
      <c r="E16" s="21">
        <v>348</v>
      </c>
      <c r="F16" s="21">
        <v>90</v>
      </c>
      <c r="G16" s="21">
        <v>983</v>
      </c>
      <c r="H16" s="21">
        <v>46</v>
      </c>
      <c r="I16" s="21">
        <v>2</v>
      </c>
    </row>
    <row r="17" spans="1:9" ht="12.75" customHeight="1">
      <c r="A17" s="19" t="s">
        <v>24</v>
      </c>
      <c r="B17" s="20" t="s">
        <v>25</v>
      </c>
      <c r="C17" s="21">
        <v>596</v>
      </c>
      <c r="D17" s="21">
        <v>193</v>
      </c>
      <c r="E17" s="21">
        <v>193</v>
      </c>
      <c r="F17" s="21">
        <v>64</v>
      </c>
      <c r="G17" s="21">
        <v>338</v>
      </c>
      <c r="H17" s="21">
        <v>60</v>
      </c>
      <c r="I17" s="21">
        <v>0</v>
      </c>
    </row>
    <row r="18" spans="1:9" ht="12.75" customHeight="1">
      <c r="A18" s="19" t="s">
        <v>26</v>
      </c>
      <c r="B18" s="20" t="s">
        <v>27</v>
      </c>
      <c r="C18" s="21">
        <v>5473</v>
      </c>
      <c r="D18" s="21">
        <v>1168</v>
      </c>
      <c r="E18" s="21">
        <v>387</v>
      </c>
      <c r="F18" s="21">
        <v>294</v>
      </c>
      <c r="G18" s="21">
        <v>3500</v>
      </c>
      <c r="H18" s="21">
        <v>698</v>
      </c>
      <c r="I18" s="21">
        <v>1</v>
      </c>
    </row>
    <row r="19" spans="1:9" ht="12.75" customHeight="1">
      <c r="A19" s="19" t="s">
        <v>28</v>
      </c>
      <c r="B19" s="20" t="s">
        <v>29</v>
      </c>
      <c r="C19" s="21">
        <v>2211</v>
      </c>
      <c r="D19" s="21">
        <v>711</v>
      </c>
      <c r="E19" s="21">
        <v>621</v>
      </c>
      <c r="F19" s="21">
        <v>24</v>
      </c>
      <c r="G19" s="21">
        <v>1263</v>
      </c>
      <c r="H19" s="21">
        <v>110</v>
      </c>
      <c r="I19" s="21">
        <v>2</v>
      </c>
    </row>
    <row r="20" spans="1:9" ht="12.75" customHeight="1">
      <c r="A20" s="19" t="s">
        <v>30</v>
      </c>
      <c r="B20" s="20" t="s">
        <v>31</v>
      </c>
      <c r="C20" s="21">
        <v>11775</v>
      </c>
      <c r="D20" s="21">
        <v>4220</v>
      </c>
      <c r="E20" s="21">
        <v>3882</v>
      </c>
      <c r="F20" s="21">
        <v>469</v>
      </c>
      <c r="G20" s="21">
        <v>5182</v>
      </c>
      <c r="H20" s="21">
        <v>1715</v>
      </c>
      <c r="I20" s="21">
        <v>11</v>
      </c>
    </row>
    <row r="21" spans="1:9" ht="12.75" customHeight="1">
      <c r="A21" s="19" t="s">
        <v>32</v>
      </c>
      <c r="B21" s="20" t="s">
        <v>33</v>
      </c>
      <c r="C21" s="21">
        <v>488</v>
      </c>
      <c r="D21" s="21">
        <v>146</v>
      </c>
      <c r="E21" s="21">
        <v>146</v>
      </c>
      <c r="F21" s="21">
        <v>33</v>
      </c>
      <c r="G21" s="21">
        <v>308</v>
      </c>
      <c r="H21" s="21">
        <v>27</v>
      </c>
      <c r="I21" s="21">
        <v>2</v>
      </c>
    </row>
    <row r="22" spans="1:9" ht="12.75" customHeight="1">
      <c r="A22" s="19" t="s">
        <v>34</v>
      </c>
      <c r="B22" s="20" t="s">
        <v>35</v>
      </c>
      <c r="C22" s="21">
        <v>790</v>
      </c>
      <c r="D22" s="21">
        <v>358</v>
      </c>
      <c r="E22" s="21">
        <v>351</v>
      </c>
      <c r="F22" s="21">
        <v>41</v>
      </c>
      <c r="G22" s="21">
        <v>391</v>
      </c>
      <c r="H22" s="21">
        <v>88</v>
      </c>
      <c r="I22" s="21">
        <v>1</v>
      </c>
    </row>
    <row r="23" spans="1:9" ht="12.75" customHeight="1">
      <c r="A23" s="22"/>
      <c r="B23" s="23" t="s">
        <v>36</v>
      </c>
      <c r="C23" s="24">
        <f t="shared" ref="C23:I23" si="0">SUM(C15:C22)</f>
        <v>25381</v>
      </c>
      <c r="D23" s="24">
        <f t="shared" si="0"/>
        <v>8179</v>
      </c>
      <c r="E23" s="24">
        <f t="shared" si="0"/>
        <v>6778</v>
      </c>
      <c r="F23" s="24">
        <f t="shared" si="0"/>
        <v>1092</v>
      </c>
      <c r="G23" s="24">
        <f t="shared" si="0"/>
        <v>12956</v>
      </c>
      <c r="H23" s="24">
        <f t="shared" si="0"/>
        <v>3963</v>
      </c>
      <c r="I23" s="24">
        <f t="shared" si="0"/>
        <v>22</v>
      </c>
    </row>
    <row r="24" spans="1:9" ht="14.25" customHeight="1">
      <c r="A24" s="19" t="s">
        <v>37</v>
      </c>
      <c r="B24" s="20" t="s">
        <v>38</v>
      </c>
      <c r="C24" s="25">
        <v>1309</v>
      </c>
      <c r="D24" s="25">
        <v>45</v>
      </c>
      <c r="E24" s="25">
        <v>28</v>
      </c>
      <c r="F24" s="25">
        <v>107</v>
      </c>
      <c r="G24" s="25">
        <v>480</v>
      </c>
      <c r="H24" s="25">
        <v>50</v>
      </c>
      <c r="I24" s="25">
        <v>2</v>
      </c>
    </row>
    <row r="25" spans="1:9" ht="14.25" customHeight="1">
      <c r="A25" s="26"/>
      <c r="B25" s="23" t="s">
        <v>39</v>
      </c>
      <c r="C25" s="24">
        <f t="shared" ref="C25:I25" si="1">SUM(C24)</f>
        <v>1309</v>
      </c>
      <c r="D25" s="24">
        <f t="shared" si="1"/>
        <v>45</v>
      </c>
      <c r="E25" s="24">
        <f t="shared" si="1"/>
        <v>28</v>
      </c>
      <c r="F25" s="24">
        <f t="shared" si="1"/>
        <v>107</v>
      </c>
      <c r="G25" s="24">
        <f t="shared" si="1"/>
        <v>480</v>
      </c>
      <c r="H25" s="24">
        <f t="shared" si="1"/>
        <v>50</v>
      </c>
      <c r="I25" s="24">
        <f t="shared" si="1"/>
        <v>2</v>
      </c>
    </row>
    <row r="26" spans="1:9" ht="12.75" customHeight="1">
      <c r="A26" s="19" t="s">
        <v>40</v>
      </c>
      <c r="B26" s="20" t="s">
        <v>41</v>
      </c>
      <c r="C26" s="25">
        <v>2518</v>
      </c>
      <c r="D26" s="25">
        <v>1101</v>
      </c>
      <c r="E26" s="25">
        <v>324</v>
      </c>
      <c r="F26" s="25">
        <v>163</v>
      </c>
      <c r="G26" s="25">
        <v>350</v>
      </c>
      <c r="H26" s="25">
        <v>199</v>
      </c>
      <c r="I26" s="25">
        <v>2</v>
      </c>
    </row>
    <row r="27" spans="1:9" ht="12.75" customHeight="1">
      <c r="A27" s="19" t="s">
        <v>42</v>
      </c>
      <c r="B27" s="20" t="s">
        <v>43</v>
      </c>
      <c r="C27" s="25">
        <v>1973</v>
      </c>
      <c r="D27" s="25">
        <v>47</v>
      </c>
      <c r="E27" s="25">
        <v>47</v>
      </c>
      <c r="F27" s="25">
        <v>209</v>
      </c>
      <c r="G27" s="25">
        <v>1112</v>
      </c>
      <c r="H27" s="25">
        <v>11</v>
      </c>
      <c r="I27" s="25">
        <v>1</v>
      </c>
    </row>
    <row r="28" spans="1:9" ht="12.75" customHeight="1">
      <c r="A28" s="19" t="s">
        <v>44</v>
      </c>
      <c r="B28" s="20" t="s">
        <v>45</v>
      </c>
      <c r="C28" s="25">
        <v>459</v>
      </c>
      <c r="D28" s="25">
        <v>208</v>
      </c>
      <c r="E28" s="25">
        <v>208</v>
      </c>
      <c r="F28" s="25">
        <v>14</v>
      </c>
      <c r="G28" s="25">
        <v>140</v>
      </c>
      <c r="H28" s="25">
        <v>28</v>
      </c>
      <c r="I28" s="25">
        <v>0</v>
      </c>
    </row>
    <row r="29" spans="1:9" ht="12.75" customHeight="1">
      <c r="A29" s="19" t="s">
        <v>46</v>
      </c>
      <c r="B29" s="20" t="s">
        <v>47</v>
      </c>
      <c r="C29" s="25">
        <v>1038</v>
      </c>
      <c r="D29" s="25">
        <v>35</v>
      </c>
      <c r="E29" s="25">
        <v>35</v>
      </c>
      <c r="F29" s="25">
        <v>91</v>
      </c>
      <c r="G29" s="25">
        <v>764</v>
      </c>
      <c r="H29" s="25">
        <v>76</v>
      </c>
      <c r="I29" s="25">
        <v>0</v>
      </c>
    </row>
    <row r="30" spans="1:9" ht="12.75" customHeight="1">
      <c r="A30" s="22"/>
      <c r="B30" s="23" t="s">
        <v>48</v>
      </c>
      <c r="C30" s="24">
        <f t="shared" ref="C30:I30" si="2">SUM(C26:C29)</f>
        <v>5988</v>
      </c>
      <c r="D30" s="24">
        <f t="shared" si="2"/>
        <v>1391</v>
      </c>
      <c r="E30" s="24">
        <f t="shared" si="2"/>
        <v>614</v>
      </c>
      <c r="F30" s="24">
        <f t="shared" si="2"/>
        <v>477</v>
      </c>
      <c r="G30" s="24">
        <f t="shared" si="2"/>
        <v>2366</v>
      </c>
      <c r="H30" s="24">
        <f t="shared" si="2"/>
        <v>314</v>
      </c>
      <c r="I30" s="24">
        <f t="shared" si="2"/>
        <v>3</v>
      </c>
    </row>
    <row r="31" spans="1:9" ht="12.75" customHeight="1">
      <c r="A31" s="19" t="s">
        <v>49</v>
      </c>
      <c r="B31" s="20" t="s">
        <v>50</v>
      </c>
      <c r="C31" s="25">
        <v>4017</v>
      </c>
      <c r="D31" s="25">
        <v>694</v>
      </c>
      <c r="E31" s="25">
        <v>686</v>
      </c>
      <c r="F31" s="25">
        <v>173</v>
      </c>
      <c r="G31" s="25">
        <v>2766</v>
      </c>
      <c r="H31" s="25">
        <v>802</v>
      </c>
      <c r="I31" s="25">
        <v>3</v>
      </c>
    </row>
    <row r="32" spans="1:9" ht="12.75" customHeight="1">
      <c r="A32" s="19" t="s">
        <v>51</v>
      </c>
      <c r="B32" s="20" t="s">
        <v>52</v>
      </c>
      <c r="C32" s="25">
        <v>6420</v>
      </c>
      <c r="D32" s="25">
        <v>2844</v>
      </c>
      <c r="E32" s="25">
        <v>1738</v>
      </c>
      <c r="F32" s="25">
        <v>256</v>
      </c>
      <c r="G32" s="25">
        <v>2593</v>
      </c>
      <c r="H32" s="25">
        <v>1275</v>
      </c>
      <c r="I32" s="25">
        <v>4</v>
      </c>
    </row>
    <row r="33" spans="1:9" ht="12.75" customHeight="1">
      <c r="A33" s="19" t="s">
        <v>53</v>
      </c>
      <c r="B33" s="20" t="s">
        <v>54</v>
      </c>
      <c r="C33" s="25">
        <v>1357</v>
      </c>
      <c r="D33" s="25">
        <v>189</v>
      </c>
      <c r="E33" s="25">
        <v>189</v>
      </c>
      <c r="F33" s="25">
        <v>79</v>
      </c>
      <c r="G33" s="25">
        <v>764</v>
      </c>
      <c r="H33" s="25">
        <v>396</v>
      </c>
      <c r="I33" s="25">
        <v>2</v>
      </c>
    </row>
    <row r="34" spans="1:9" ht="12.75" customHeight="1">
      <c r="A34" s="19" t="s">
        <v>55</v>
      </c>
      <c r="B34" s="20" t="s">
        <v>56</v>
      </c>
      <c r="C34" s="25">
        <v>2255</v>
      </c>
      <c r="D34" s="25">
        <v>1263</v>
      </c>
      <c r="E34" s="25">
        <v>326</v>
      </c>
      <c r="F34" s="25">
        <v>26</v>
      </c>
      <c r="G34" s="25">
        <v>277</v>
      </c>
      <c r="H34" s="25">
        <v>417</v>
      </c>
      <c r="I34" s="25">
        <v>1</v>
      </c>
    </row>
    <row r="35" spans="1:9" ht="12.75" customHeight="1">
      <c r="A35" s="19" t="s">
        <v>57</v>
      </c>
      <c r="B35" s="20" t="s">
        <v>58</v>
      </c>
      <c r="C35" s="25">
        <v>759</v>
      </c>
      <c r="D35" s="25">
        <v>212</v>
      </c>
      <c r="E35" s="25">
        <v>212</v>
      </c>
      <c r="F35" s="25">
        <v>38</v>
      </c>
      <c r="G35" s="25">
        <v>509</v>
      </c>
      <c r="H35" s="25">
        <v>183</v>
      </c>
      <c r="I35" s="25">
        <v>0</v>
      </c>
    </row>
    <row r="36" spans="1:9" ht="12.75" customHeight="1">
      <c r="A36" s="19" t="s">
        <v>59</v>
      </c>
      <c r="B36" s="20" t="s">
        <v>60</v>
      </c>
      <c r="C36" s="25">
        <v>374</v>
      </c>
      <c r="D36" s="25">
        <v>228</v>
      </c>
      <c r="E36" s="25">
        <v>228</v>
      </c>
      <c r="F36" s="25">
        <v>15</v>
      </c>
      <c r="G36" s="25">
        <v>106</v>
      </c>
      <c r="H36" s="25">
        <v>273</v>
      </c>
      <c r="I36" s="25">
        <v>1</v>
      </c>
    </row>
    <row r="37" spans="1:9" ht="12.75" customHeight="1">
      <c r="A37" s="19" t="s">
        <v>61</v>
      </c>
      <c r="B37" s="20" t="s">
        <v>62</v>
      </c>
      <c r="C37" s="25">
        <v>2982</v>
      </c>
      <c r="D37" s="25">
        <v>897</v>
      </c>
      <c r="E37" s="25">
        <v>434</v>
      </c>
      <c r="F37" s="25">
        <v>83</v>
      </c>
      <c r="G37" s="25">
        <v>1172</v>
      </c>
      <c r="H37" s="25">
        <v>462</v>
      </c>
      <c r="I37" s="25">
        <v>0</v>
      </c>
    </row>
    <row r="38" spans="1:9" ht="12.75" customHeight="1">
      <c r="A38" s="19" t="s">
        <v>63</v>
      </c>
      <c r="B38" s="20" t="s">
        <v>64</v>
      </c>
      <c r="C38" s="25">
        <v>6839</v>
      </c>
      <c r="D38" s="25">
        <v>4747</v>
      </c>
      <c r="E38" s="25">
        <v>2719</v>
      </c>
      <c r="F38" s="25">
        <v>184</v>
      </c>
      <c r="G38" s="25">
        <v>1161</v>
      </c>
      <c r="H38" s="25">
        <v>3357</v>
      </c>
      <c r="I38" s="25">
        <v>7</v>
      </c>
    </row>
    <row r="39" spans="1:9" ht="12.75" customHeight="1">
      <c r="A39" s="19" t="s">
        <v>65</v>
      </c>
      <c r="B39" s="20" t="s">
        <v>66</v>
      </c>
      <c r="C39" s="25">
        <v>1312</v>
      </c>
      <c r="D39" s="25">
        <v>942</v>
      </c>
      <c r="E39" s="25">
        <v>871</v>
      </c>
      <c r="F39" s="25">
        <v>60</v>
      </c>
      <c r="G39" s="25">
        <v>209</v>
      </c>
      <c r="H39" s="25">
        <v>416</v>
      </c>
      <c r="I39" s="25">
        <v>1</v>
      </c>
    </row>
    <row r="40" spans="1:9" ht="12.75" customHeight="1">
      <c r="A40" s="19" t="s">
        <v>67</v>
      </c>
      <c r="B40" s="20" t="s">
        <v>68</v>
      </c>
      <c r="C40" s="25">
        <v>1262</v>
      </c>
      <c r="D40" s="25">
        <v>633</v>
      </c>
      <c r="E40" s="25">
        <v>427</v>
      </c>
      <c r="F40" s="25">
        <v>64</v>
      </c>
      <c r="G40" s="25">
        <v>368</v>
      </c>
      <c r="H40" s="25">
        <v>526</v>
      </c>
      <c r="I40" s="25">
        <v>1</v>
      </c>
    </row>
    <row r="41" spans="1:9" ht="12.75" customHeight="1">
      <c r="A41" s="19" t="s">
        <v>69</v>
      </c>
      <c r="B41" s="20" t="s">
        <v>70</v>
      </c>
      <c r="C41" s="25">
        <v>1287</v>
      </c>
      <c r="D41" s="25">
        <v>102</v>
      </c>
      <c r="E41" s="25">
        <v>89</v>
      </c>
      <c r="F41" s="25">
        <v>152</v>
      </c>
      <c r="G41" s="25">
        <v>657</v>
      </c>
      <c r="H41" s="25">
        <v>67</v>
      </c>
      <c r="I41" s="25">
        <v>1</v>
      </c>
    </row>
    <row r="42" spans="1:9" ht="12.75" customHeight="1">
      <c r="A42" s="19" t="s">
        <v>71</v>
      </c>
      <c r="B42" s="20" t="s">
        <v>72</v>
      </c>
      <c r="C42" s="25">
        <v>1295</v>
      </c>
      <c r="D42" s="25">
        <v>567</v>
      </c>
      <c r="E42" s="25">
        <v>524</v>
      </c>
      <c r="F42" s="25">
        <v>82</v>
      </c>
      <c r="G42" s="25">
        <v>646</v>
      </c>
      <c r="H42" s="25">
        <v>320</v>
      </c>
      <c r="I42" s="25">
        <v>2</v>
      </c>
    </row>
    <row r="43" spans="1:9" ht="12.75" customHeight="1">
      <c r="A43" s="22"/>
      <c r="B43" s="23" t="s">
        <v>73</v>
      </c>
      <c r="C43" s="24">
        <f t="shared" ref="C43:I43" si="3">SUM(C31:C42)</f>
        <v>30159</v>
      </c>
      <c r="D43" s="24">
        <f t="shared" si="3"/>
        <v>13318</v>
      </c>
      <c r="E43" s="24">
        <f t="shared" si="3"/>
        <v>8443</v>
      </c>
      <c r="F43" s="24">
        <f t="shared" si="3"/>
        <v>1212</v>
      </c>
      <c r="G43" s="24">
        <f t="shared" si="3"/>
        <v>11228</v>
      </c>
      <c r="H43" s="24">
        <f t="shared" si="3"/>
        <v>8494</v>
      </c>
      <c r="I43" s="24">
        <f t="shared" si="3"/>
        <v>23</v>
      </c>
    </row>
    <row r="44" spans="1:9" ht="12.75" customHeight="1">
      <c r="A44" s="19" t="s">
        <v>74</v>
      </c>
      <c r="B44" s="20" t="s">
        <v>75</v>
      </c>
      <c r="C44" s="25">
        <v>1945</v>
      </c>
      <c r="D44" s="25">
        <v>305</v>
      </c>
      <c r="E44" s="25">
        <v>232</v>
      </c>
      <c r="F44" s="25">
        <v>339</v>
      </c>
      <c r="G44" s="25">
        <v>1116</v>
      </c>
      <c r="H44" s="25">
        <v>141</v>
      </c>
      <c r="I44" s="25">
        <v>3</v>
      </c>
    </row>
    <row r="45" spans="1:9" ht="12.75" customHeight="1">
      <c r="A45" s="19" t="s">
        <v>76</v>
      </c>
      <c r="B45" s="20" t="s">
        <v>77</v>
      </c>
      <c r="C45" s="25">
        <v>2924</v>
      </c>
      <c r="D45" s="25">
        <v>662</v>
      </c>
      <c r="E45" s="25">
        <v>604</v>
      </c>
      <c r="F45" s="25">
        <v>270</v>
      </c>
      <c r="G45" s="25">
        <v>1973</v>
      </c>
      <c r="H45" s="25">
        <v>349</v>
      </c>
      <c r="I45" s="25">
        <v>4</v>
      </c>
    </row>
    <row r="46" spans="1:9" ht="12.75" customHeight="1">
      <c r="A46" s="22"/>
      <c r="B46" s="23" t="s">
        <v>78</v>
      </c>
      <c r="C46" s="24">
        <f t="shared" ref="C46:I46" si="4">SUM(C44:C45)</f>
        <v>4869</v>
      </c>
      <c r="D46" s="24">
        <f t="shared" si="4"/>
        <v>967</v>
      </c>
      <c r="E46" s="24">
        <f t="shared" si="4"/>
        <v>836</v>
      </c>
      <c r="F46" s="24">
        <f t="shared" si="4"/>
        <v>609</v>
      </c>
      <c r="G46" s="24">
        <f t="shared" si="4"/>
        <v>3089</v>
      </c>
      <c r="H46" s="24">
        <f t="shared" si="4"/>
        <v>490</v>
      </c>
      <c r="I46" s="24">
        <f t="shared" si="4"/>
        <v>7</v>
      </c>
    </row>
    <row r="47" spans="1:9" ht="12.75" customHeight="1">
      <c r="A47" s="27" t="s">
        <v>79</v>
      </c>
      <c r="B47" s="20" t="s">
        <v>80</v>
      </c>
      <c r="C47" s="28">
        <v>206</v>
      </c>
      <c r="D47" s="28">
        <v>18</v>
      </c>
      <c r="E47" s="28">
        <v>18</v>
      </c>
      <c r="F47" s="25">
        <v>22</v>
      </c>
      <c r="G47" s="25">
        <v>166</v>
      </c>
      <c r="H47" s="25">
        <v>70</v>
      </c>
      <c r="I47" s="25">
        <v>1</v>
      </c>
    </row>
    <row r="48" spans="1:9" ht="12.75" customHeight="1">
      <c r="A48" s="27" t="s">
        <v>81</v>
      </c>
      <c r="B48" s="20" t="s">
        <v>82</v>
      </c>
      <c r="C48" s="28">
        <v>1830</v>
      </c>
      <c r="D48" s="28">
        <v>179</v>
      </c>
      <c r="E48" s="28">
        <v>126</v>
      </c>
      <c r="F48" s="25">
        <v>138</v>
      </c>
      <c r="G48" s="25">
        <v>1416</v>
      </c>
      <c r="H48" s="25">
        <v>166</v>
      </c>
      <c r="I48" s="25">
        <v>2</v>
      </c>
    </row>
    <row r="49" spans="1:9" ht="12.75" customHeight="1">
      <c r="A49" s="27" t="s">
        <v>83</v>
      </c>
      <c r="B49" s="20" t="s">
        <v>84</v>
      </c>
      <c r="C49" s="28">
        <v>263</v>
      </c>
      <c r="D49" s="28">
        <v>4</v>
      </c>
      <c r="E49" s="28">
        <v>0</v>
      </c>
      <c r="F49" s="25">
        <v>87</v>
      </c>
      <c r="G49" s="25">
        <v>172</v>
      </c>
      <c r="H49" s="25">
        <v>66</v>
      </c>
      <c r="I49" s="25">
        <v>1</v>
      </c>
    </row>
    <row r="50" spans="1:9" ht="12.75" customHeight="1">
      <c r="A50" s="27" t="s">
        <v>85</v>
      </c>
      <c r="B50" s="20" t="s">
        <v>86</v>
      </c>
      <c r="C50" s="28">
        <v>6973</v>
      </c>
      <c r="D50" s="28">
        <v>472</v>
      </c>
      <c r="E50" s="28">
        <v>144</v>
      </c>
      <c r="F50" s="25">
        <v>386</v>
      </c>
      <c r="G50" s="25">
        <v>6033</v>
      </c>
      <c r="H50" s="25">
        <v>327</v>
      </c>
      <c r="I50" s="25">
        <v>2</v>
      </c>
    </row>
    <row r="51" spans="1:9" ht="12.75" customHeight="1">
      <c r="A51" s="29"/>
      <c r="B51" s="23" t="s">
        <v>87</v>
      </c>
      <c r="C51" s="24">
        <f t="shared" ref="C51:I51" si="5">SUM(C47:C50)</f>
        <v>9272</v>
      </c>
      <c r="D51" s="24">
        <f t="shared" si="5"/>
        <v>673</v>
      </c>
      <c r="E51" s="24">
        <f t="shared" si="5"/>
        <v>288</v>
      </c>
      <c r="F51" s="24">
        <f t="shared" si="5"/>
        <v>633</v>
      </c>
      <c r="G51" s="24">
        <f t="shared" si="5"/>
        <v>7787</v>
      </c>
      <c r="H51" s="24">
        <f t="shared" si="5"/>
        <v>629</v>
      </c>
      <c r="I51" s="24">
        <f t="shared" si="5"/>
        <v>6</v>
      </c>
    </row>
    <row r="52" spans="1:9" ht="12.75" customHeight="1">
      <c r="A52" s="27" t="s">
        <v>88</v>
      </c>
      <c r="B52" s="20" t="s">
        <v>89</v>
      </c>
      <c r="C52" s="28">
        <v>2654</v>
      </c>
      <c r="D52" s="28">
        <v>199</v>
      </c>
      <c r="E52" s="28">
        <v>88</v>
      </c>
      <c r="F52" s="25">
        <v>179</v>
      </c>
      <c r="G52" s="25">
        <v>2232</v>
      </c>
      <c r="H52" s="25">
        <v>20</v>
      </c>
      <c r="I52" s="25">
        <v>2</v>
      </c>
    </row>
    <row r="53" spans="1:9" ht="12.75" customHeight="1">
      <c r="A53" s="27" t="s">
        <v>90</v>
      </c>
      <c r="B53" s="20" t="s">
        <v>91</v>
      </c>
      <c r="C53" s="28">
        <v>6014</v>
      </c>
      <c r="D53" s="28">
        <v>2698</v>
      </c>
      <c r="E53" s="28">
        <v>1483</v>
      </c>
      <c r="F53" s="25">
        <v>206</v>
      </c>
      <c r="G53" s="25">
        <v>2004</v>
      </c>
      <c r="H53" s="25">
        <v>427</v>
      </c>
      <c r="I53" s="25">
        <v>2</v>
      </c>
    </row>
    <row r="54" spans="1:9" ht="12.75" customHeight="1">
      <c r="A54" s="27" t="s">
        <v>92</v>
      </c>
      <c r="B54" s="20" t="s">
        <v>93</v>
      </c>
      <c r="C54" s="28">
        <v>1408</v>
      </c>
      <c r="D54" s="28">
        <v>590</v>
      </c>
      <c r="E54" s="28">
        <v>284</v>
      </c>
      <c r="F54" s="25">
        <v>77</v>
      </c>
      <c r="G54" s="25">
        <v>507</v>
      </c>
      <c r="H54" s="25">
        <v>270</v>
      </c>
      <c r="I54" s="25">
        <v>0</v>
      </c>
    </row>
    <row r="55" spans="1:9" ht="12.75" customHeight="1">
      <c r="A55" s="27" t="s">
        <v>94</v>
      </c>
      <c r="B55" s="20" t="s">
        <v>95</v>
      </c>
      <c r="C55" s="28">
        <v>4098</v>
      </c>
      <c r="D55" s="28">
        <v>1187</v>
      </c>
      <c r="E55" s="28">
        <v>794</v>
      </c>
      <c r="F55" s="25">
        <v>304</v>
      </c>
      <c r="G55" s="25">
        <v>2582</v>
      </c>
      <c r="H55" s="25">
        <v>323</v>
      </c>
      <c r="I55" s="25">
        <v>5</v>
      </c>
    </row>
    <row r="56" spans="1:9" ht="12.75" customHeight="1">
      <c r="A56" s="27" t="s">
        <v>96</v>
      </c>
      <c r="B56" s="20" t="s">
        <v>97</v>
      </c>
      <c r="C56" s="28">
        <v>5687</v>
      </c>
      <c r="D56" s="28">
        <v>2403</v>
      </c>
      <c r="E56" s="28">
        <v>838</v>
      </c>
      <c r="F56" s="25">
        <v>119</v>
      </c>
      <c r="G56" s="25">
        <v>2408</v>
      </c>
      <c r="H56" s="25">
        <v>200</v>
      </c>
      <c r="I56" s="25">
        <v>1</v>
      </c>
    </row>
    <row r="57" spans="1:9" ht="12.75" customHeight="1">
      <c r="A57" s="27" t="s">
        <v>98</v>
      </c>
      <c r="B57" s="20" t="s">
        <v>99</v>
      </c>
      <c r="C57" s="28">
        <v>8287</v>
      </c>
      <c r="D57" s="28">
        <v>3567</v>
      </c>
      <c r="E57" s="28">
        <v>1320</v>
      </c>
      <c r="F57" s="25">
        <v>236</v>
      </c>
      <c r="G57" s="25">
        <v>2976</v>
      </c>
      <c r="H57" s="25">
        <v>365</v>
      </c>
      <c r="I57" s="25">
        <v>2</v>
      </c>
    </row>
    <row r="58" spans="1:9" ht="12.75" customHeight="1">
      <c r="A58" s="27" t="s">
        <v>100</v>
      </c>
      <c r="B58" s="20" t="s">
        <v>101</v>
      </c>
      <c r="C58" s="28">
        <v>3746</v>
      </c>
      <c r="D58" s="28">
        <v>1352</v>
      </c>
      <c r="E58" s="28">
        <v>1101</v>
      </c>
      <c r="F58" s="25">
        <v>161</v>
      </c>
      <c r="G58" s="25">
        <v>1461</v>
      </c>
      <c r="H58" s="25">
        <v>757</v>
      </c>
      <c r="I58" s="25">
        <v>0</v>
      </c>
    </row>
    <row r="59" spans="1:9" ht="12.75" customHeight="1">
      <c r="A59" s="29"/>
      <c r="B59" s="23" t="s">
        <v>102</v>
      </c>
      <c r="C59" s="24">
        <f t="shared" ref="C59:I59" si="6">SUM(C52:C58)</f>
        <v>31894</v>
      </c>
      <c r="D59" s="24">
        <f t="shared" si="6"/>
        <v>11996</v>
      </c>
      <c r="E59" s="24">
        <f t="shared" si="6"/>
        <v>5908</v>
      </c>
      <c r="F59" s="24">
        <f t="shared" si="6"/>
        <v>1282</v>
      </c>
      <c r="G59" s="24">
        <f t="shared" si="6"/>
        <v>14170</v>
      </c>
      <c r="H59" s="24">
        <f t="shared" si="6"/>
        <v>2362</v>
      </c>
      <c r="I59" s="24">
        <f t="shared" si="6"/>
        <v>12</v>
      </c>
    </row>
    <row r="60" spans="1:9" ht="12.75" customHeight="1">
      <c r="A60" s="27" t="s">
        <v>103</v>
      </c>
      <c r="B60" s="20" t="s">
        <v>104</v>
      </c>
      <c r="C60" s="28">
        <v>5771</v>
      </c>
      <c r="D60" s="28">
        <v>2391</v>
      </c>
      <c r="E60" s="28">
        <v>813</v>
      </c>
      <c r="F60" s="25">
        <v>134</v>
      </c>
      <c r="G60" s="25">
        <v>2941</v>
      </c>
      <c r="H60" s="25">
        <v>509</v>
      </c>
      <c r="I60" s="25">
        <v>9</v>
      </c>
    </row>
    <row r="61" spans="1:9" ht="12.75" customHeight="1">
      <c r="A61" s="27" t="s">
        <v>105</v>
      </c>
      <c r="B61" s="20" t="s">
        <v>106</v>
      </c>
      <c r="C61" s="28">
        <v>2167</v>
      </c>
      <c r="D61" s="28">
        <v>696</v>
      </c>
      <c r="E61" s="28">
        <v>627</v>
      </c>
      <c r="F61" s="25">
        <v>102</v>
      </c>
      <c r="G61" s="25">
        <v>1370</v>
      </c>
      <c r="H61" s="25">
        <v>179</v>
      </c>
      <c r="I61" s="25">
        <v>1</v>
      </c>
    </row>
    <row r="62" spans="1:9" ht="12.75" customHeight="1">
      <c r="A62" s="27" t="s">
        <v>107</v>
      </c>
      <c r="B62" s="20" t="s">
        <v>108</v>
      </c>
      <c r="C62" s="28">
        <v>4756</v>
      </c>
      <c r="D62" s="28">
        <v>2480</v>
      </c>
      <c r="E62" s="28">
        <v>560</v>
      </c>
      <c r="F62" s="25">
        <v>153</v>
      </c>
      <c r="G62" s="25">
        <v>1914</v>
      </c>
      <c r="H62" s="25">
        <v>464</v>
      </c>
      <c r="I62" s="25">
        <v>3</v>
      </c>
    </row>
    <row r="63" spans="1:9" ht="12.75" customHeight="1">
      <c r="A63" s="27" t="s">
        <v>109</v>
      </c>
      <c r="B63" s="20" t="s">
        <v>110</v>
      </c>
      <c r="C63" s="28">
        <v>2224</v>
      </c>
      <c r="D63" s="28">
        <v>1240</v>
      </c>
      <c r="E63" s="28">
        <v>992</v>
      </c>
      <c r="F63" s="25">
        <v>96</v>
      </c>
      <c r="G63" s="25">
        <v>888</v>
      </c>
      <c r="H63" s="25">
        <v>604</v>
      </c>
      <c r="I63" s="25">
        <v>11</v>
      </c>
    </row>
    <row r="64" spans="1:9" ht="12.75" customHeight="1">
      <c r="A64" s="27" t="s">
        <v>111</v>
      </c>
      <c r="B64" s="20" t="s">
        <v>112</v>
      </c>
      <c r="C64" s="28">
        <v>17538</v>
      </c>
      <c r="D64" s="28">
        <v>11852</v>
      </c>
      <c r="E64" s="28">
        <v>667</v>
      </c>
      <c r="F64" s="25">
        <v>39</v>
      </c>
      <c r="G64" s="25">
        <v>3620</v>
      </c>
      <c r="H64" s="25">
        <v>180</v>
      </c>
      <c r="I64" s="25">
        <v>6</v>
      </c>
    </row>
    <row r="65" spans="1:9" ht="12.75" customHeight="1">
      <c r="A65" s="27" t="s">
        <v>113</v>
      </c>
      <c r="B65" s="20" t="s">
        <v>114</v>
      </c>
      <c r="C65" s="28">
        <v>1845</v>
      </c>
      <c r="D65" s="28">
        <v>672</v>
      </c>
      <c r="E65" s="28">
        <v>538</v>
      </c>
      <c r="F65" s="25">
        <v>29</v>
      </c>
      <c r="G65" s="25">
        <v>576</v>
      </c>
      <c r="H65" s="25">
        <v>203</v>
      </c>
      <c r="I65" s="25">
        <v>1</v>
      </c>
    </row>
    <row r="66" spans="1:9" ht="12.75" customHeight="1">
      <c r="A66" s="27" t="s">
        <v>115</v>
      </c>
      <c r="B66" s="20" t="s">
        <v>116</v>
      </c>
      <c r="C66" s="28">
        <v>1726</v>
      </c>
      <c r="D66" s="28">
        <v>899</v>
      </c>
      <c r="E66" s="28">
        <v>616</v>
      </c>
      <c r="F66" s="25">
        <v>51</v>
      </c>
      <c r="G66" s="25">
        <v>346</v>
      </c>
      <c r="H66" s="25">
        <v>433</v>
      </c>
      <c r="I66" s="25">
        <v>1</v>
      </c>
    </row>
    <row r="67" spans="1:9" ht="12.75" customHeight="1">
      <c r="A67" s="27" t="s">
        <v>117</v>
      </c>
      <c r="B67" s="20" t="s">
        <v>118</v>
      </c>
      <c r="C67" s="28">
        <v>2701</v>
      </c>
      <c r="D67" s="28">
        <v>1424</v>
      </c>
      <c r="E67" s="28">
        <v>518</v>
      </c>
      <c r="F67" s="25">
        <v>84</v>
      </c>
      <c r="G67" s="25">
        <v>1041</v>
      </c>
      <c r="H67" s="25">
        <v>326</v>
      </c>
      <c r="I67" s="25">
        <v>6</v>
      </c>
    </row>
    <row r="68" spans="1:9" ht="12.75" customHeight="1">
      <c r="A68" s="27" t="s">
        <v>119</v>
      </c>
      <c r="B68" s="20" t="s">
        <v>120</v>
      </c>
      <c r="C68" s="28">
        <v>1355</v>
      </c>
      <c r="D68" s="28">
        <v>688</v>
      </c>
      <c r="E68" s="28">
        <v>419</v>
      </c>
      <c r="F68" s="25">
        <v>59</v>
      </c>
      <c r="G68" s="25">
        <v>431</v>
      </c>
      <c r="H68" s="25">
        <v>75</v>
      </c>
      <c r="I68" s="25">
        <v>4</v>
      </c>
    </row>
    <row r="69" spans="1:9" ht="12.75" customHeight="1">
      <c r="A69" s="22"/>
      <c r="B69" s="23" t="s">
        <v>121</v>
      </c>
      <c r="C69" s="24">
        <f t="shared" ref="C69:I69" si="7">SUM(C60:C68)</f>
        <v>40083</v>
      </c>
      <c r="D69" s="24">
        <f t="shared" si="7"/>
        <v>22342</v>
      </c>
      <c r="E69" s="24">
        <f t="shared" si="7"/>
        <v>5750</v>
      </c>
      <c r="F69" s="24">
        <f t="shared" si="7"/>
        <v>747</v>
      </c>
      <c r="G69" s="24">
        <f t="shared" si="7"/>
        <v>13127</v>
      </c>
      <c r="H69" s="24">
        <f t="shared" si="7"/>
        <v>2973</v>
      </c>
      <c r="I69" s="24">
        <f t="shared" si="7"/>
        <v>42</v>
      </c>
    </row>
    <row r="70" spans="1:9" ht="12.75" customHeight="1">
      <c r="A70" s="27" t="s">
        <v>122</v>
      </c>
      <c r="B70" s="20" t="s">
        <v>123</v>
      </c>
      <c r="C70" s="28">
        <v>2610</v>
      </c>
      <c r="D70" s="28">
        <v>1063</v>
      </c>
      <c r="E70" s="28">
        <v>758</v>
      </c>
      <c r="F70" s="25">
        <v>184</v>
      </c>
      <c r="G70" s="25">
        <v>1080</v>
      </c>
      <c r="H70" s="25">
        <v>551</v>
      </c>
      <c r="I70" s="25">
        <v>2</v>
      </c>
    </row>
    <row r="71" spans="1:9" ht="12.75" customHeight="1">
      <c r="A71" s="27" t="s">
        <v>124</v>
      </c>
      <c r="B71" s="20" t="s">
        <v>125</v>
      </c>
      <c r="C71" s="28">
        <v>4088</v>
      </c>
      <c r="D71" s="28">
        <v>1857</v>
      </c>
      <c r="E71" s="28">
        <v>1604</v>
      </c>
      <c r="F71" s="25">
        <v>271</v>
      </c>
      <c r="G71" s="25">
        <v>1366</v>
      </c>
      <c r="H71" s="25">
        <v>285</v>
      </c>
      <c r="I71" s="25">
        <v>3</v>
      </c>
    </row>
    <row r="72" spans="1:9" ht="12.75" customHeight="1">
      <c r="A72" s="27" t="s">
        <v>126</v>
      </c>
      <c r="B72" s="20" t="s">
        <v>127</v>
      </c>
      <c r="C72" s="28">
        <v>1802</v>
      </c>
      <c r="D72" s="28">
        <v>292</v>
      </c>
      <c r="E72" s="28">
        <v>292</v>
      </c>
      <c r="F72" s="25">
        <v>212</v>
      </c>
      <c r="G72" s="25">
        <v>886</v>
      </c>
      <c r="H72" s="25">
        <v>39</v>
      </c>
      <c r="I72" s="25">
        <v>1</v>
      </c>
    </row>
    <row r="73" spans="1:9" ht="12.75" customHeight="1">
      <c r="A73" s="27" t="s">
        <v>128</v>
      </c>
      <c r="B73" s="20" t="s">
        <v>129</v>
      </c>
      <c r="C73" s="28">
        <v>1502</v>
      </c>
      <c r="D73" s="28">
        <v>303</v>
      </c>
      <c r="E73" s="28">
        <v>293</v>
      </c>
      <c r="F73" s="25">
        <v>122</v>
      </c>
      <c r="G73" s="25">
        <v>1057</v>
      </c>
      <c r="H73" s="25">
        <v>84</v>
      </c>
      <c r="I73" s="25">
        <v>3</v>
      </c>
    </row>
    <row r="74" spans="1:9" ht="12.75" customHeight="1">
      <c r="A74" s="27" t="s">
        <v>130</v>
      </c>
      <c r="B74" s="20" t="s">
        <v>131</v>
      </c>
      <c r="C74" s="28">
        <v>2214</v>
      </c>
      <c r="D74" s="28">
        <v>579</v>
      </c>
      <c r="E74" s="28">
        <v>533</v>
      </c>
      <c r="F74" s="25">
        <v>182</v>
      </c>
      <c r="G74" s="25">
        <v>914</v>
      </c>
      <c r="H74" s="25">
        <v>282</v>
      </c>
      <c r="I74" s="25">
        <v>2</v>
      </c>
    </row>
    <row r="75" spans="1:9" ht="12.75" customHeight="1">
      <c r="A75" s="27" t="s">
        <v>132</v>
      </c>
      <c r="B75" s="20" t="s">
        <v>133</v>
      </c>
      <c r="C75" s="28">
        <v>820</v>
      </c>
      <c r="D75" s="28">
        <v>122</v>
      </c>
      <c r="E75" s="28">
        <v>112</v>
      </c>
      <c r="F75" s="25">
        <v>151</v>
      </c>
      <c r="G75" s="25">
        <v>206</v>
      </c>
      <c r="H75" s="25">
        <v>135</v>
      </c>
      <c r="I75" s="25">
        <v>0</v>
      </c>
    </row>
    <row r="76" spans="1:9" ht="12.75" customHeight="1">
      <c r="A76" s="30" t="s">
        <v>134</v>
      </c>
      <c r="B76" s="20" t="s">
        <v>135</v>
      </c>
      <c r="C76" s="28">
        <v>1532</v>
      </c>
      <c r="D76" s="28">
        <v>704</v>
      </c>
      <c r="E76" s="28">
        <v>634</v>
      </c>
      <c r="F76" s="25">
        <v>112</v>
      </c>
      <c r="G76" s="25">
        <v>671</v>
      </c>
      <c r="H76" s="25">
        <v>79</v>
      </c>
      <c r="I76" s="25">
        <v>5</v>
      </c>
    </row>
    <row r="77" spans="1:9" ht="12.75" customHeight="1">
      <c r="A77" s="30" t="s">
        <v>136</v>
      </c>
      <c r="B77" s="20" t="s">
        <v>137</v>
      </c>
      <c r="C77" s="28">
        <v>2762</v>
      </c>
      <c r="D77" s="28">
        <v>445</v>
      </c>
      <c r="E77" s="28">
        <v>299</v>
      </c>
      <c r="F77" s="25">
        <v>165</v>
      </c>
      <c r="G77" s="25">
        <v>1045</v>
      </c>
      <c r="H77" s="25">
        <v>446</v>
      </c>
      <c r="I77" s="25">
        <v>1</v>
      </c>
    </row>
    <row r="78" spans="1:9" ht="12.75" customHeight="1">
      <c r="A78" s="30" t="s">
        <v>138</v>
      </c>
      <c r="B78" s="20" t="s">
        <v>139</v>
      </c>
      <c r="C78" s="28">
        <v>488</v>
      </c>
      <c r="D78" s="28">
        <v>264</v>
      </c>
      <c r="E78" s="28">
        <v>263</v>
      </c>
      <c r="F78" s="25">
        <v>61</v>
      </c>
      <c r="G78" s="25">
        <v>164</v>
      </c>
      <c r="H78" s="25">
        <v>62</v>
      </c>
      <c r="I78" s="25">
        <v>0</v>
      </c>
    </row>
    <row r="79" spans="1:9" ht="12.75" customHeight="1">
      <c r="A79" s="30" t="s">
        <v>140</v>
      </c>
      <c r="B79" s="20" t="s">
        <v>141</v>
      </c>
      <c r="C79" s="28">
        <v>2140</v>
      </c>
      <c r="D79" s="28">
        <v>389</v>
      </c>
      <c r="E79" s="28">
        <v>350</v>
      </c>
      <c r="F79" s="25">
        <v>113</v>
      </c>
      <c r="G79" s="25">
        <v>1415</v>
      </c>
      <c r="H79" s="25">
        <v>151</v>
      </c>
      <c r="I79" s="25">
        <v>3</v>
      </c>
    </row>
    <row r="80" spans="1:9" ht="12.75" customHeight="1">
      <c r="A80" s="31"/>
      <c r="B80" s="23" t="s">
        <v>142</v>
      </c>
      <c r="C80" s="24">
        <f t="shared" ref="C80:I80" si="8">SUM(C70:C79)</f>
        <v>19958</v>
      </c>
      <c r="D80" s="24">
        <f t="shared" si="8"/>
        <v>6018</v>
      </c>
      <c r="E80" s="24">
        <f t="shared" si="8"/>
        <v>5138</v>
      </c>
      <c r="F80" s="24">
        <f t="shared" si="8"/>
        <v>1573</v>
      </c>
      <c r="G80" s="24">
        <f t="shared" si="8"/>
        <v>8804</v>
      </c>
      <c r="H80" s="24">
        <f t="shared" si="8"/>
        <v>2114</v>
      </c>
      <c r="I80" s="24">
        <f t="shared" si="8"/>
        <v>20</v>
      </c>
    </row>
    <row r="81" spans="1:9" ht="12.75" customHeight="1">
      <c r="A81" s="30" t="s">
        <v>143</v>
      </c>
      <c r="B81" s="20" t="s">
        <v>144</v>
      </c>
      <c r="C81" s="21">
        <v>3593</v>
      </c>
      <c r="D81" s="21">
        <v>1743</v>
      </c>
      <c r="E81" s="21">
        <v>596</v>
      </c>
      <c r="F81" s="25">
        <v>86</v>
      </c>
      <c r="G81" s="25">
        <v>1209</v>
      </c>
      <c r="H81" s="25">
        <v>299</v>
      </c>
      <c r="I81" s="25">
        <v>5</v>
      </c>
    </row>
    <row r="82" spans="1:9" ht="12.75" customHeight="1">
      <c r="A82" s="30" t="s">
        <v>145</v>
      </c>
      <c r="B82" s="20" t="s">
        <v>146</v>
      </c>
      <c r="C82" s="21">
        <v>1206</v>
      </c>
      <c r="D82" s="21">
        <v>565</v>
      </c>
      <c r="E82" s="21">
        <v>389</v>
      </c>
      <c r="F82" s="25">
        <v>34</v>
      </c>
      <c r="G82" s="25">
        <v>421</v>
      </c>
      <c r="H82" s="25">
        <v>211</v>
      </c>
      <c r="I82" s="25">
        <v>1</v>
      </c>
    </row>
    <row r="83" spans="1:9" ht="12.75" customHeight="1">
      <c r="A83" s="30" t="s">
        <v>147</v>
      </c>
      <c r="B83" s="20" t="s">
        <v>148</v>
      </c>
      <c r="C83" s="21">
        <v>486</v>
      </c>
      <c r="D83" s="21">
        <v>110</v>
      </c>
      <c r="E83" s="21">
        <v>86</v>
      </c>
      <c r="F83" s="25">
        <v>33</v>
      </c>
      <c r="G83" s="25">
        <v>160</v>
      </c>
      <c r="H83" s="25">
        <v>30</v>
      </c>
      <c r="I83" s="25">
        <v>1</v>
      </c>
    </row>
    <row r="84" spans="1:9" ht="12.75" customHeight="1">
      <c r="A84" s="30" t="s">
        <v>149</v>
      </c>
      <c r="B84" s="20" t="s">
        <v>150</v>
      </c>
      <c r="C84" s="21">
        <v>2059</v>
      </c>
      <c r="D84" s="21">
        <v>681</v>
      </c>
      <c r="E84" s="21">
        <v>296</v>
      </c>
      <c r="F84" s="25">
        <v>165</v>
      </c>
      <c r="G84" s="25">
        <v>1179</v>
      </c>
      <c r="H84" s="25">
        <v>133</v>
      </c>
      <c r="I84" s="25">
        <v>2</v>
      </c>
    </row>
    <row r="85" spans="1:9" ht="12.75" customHeight="1">
      <c r="A85" s="30" t="s">
        <v>151</v>
      </c>
      <c r="B85" s="20" t="s">
        <v>152</v>
      </c>
      <c r="C85" s="21">
        <v>1613</v>
      </c>
      <c r="D85" s="21">
        <v>439</v>
      </c>
      <c r="E85" s="21">
        <v>318</v>
      </c>
      <c r="F85" s="25">
        <v>78</v>
      </c>
      <c r="G85" s="25">
        <v>866</v>
      </c>
      <c r="H85" s="25">
        <v>93</v>
      </c>
      <c r="I85" s="25">
        <v>3</v>
      </c>
    </row>
    <row r="86" spans="1:9" ht="12.75" customHeight="1">
      <c r="A86" s="31"/>
      <c r="B86" s="23" t="s">
        <v>153</v>
      </c>
      <c r="C86" s="24">
        <f t="shared" ref="C86:I86" si="9">SUM(C81:C85)</f>
        <v>8957</v>
      </c>
      <c r="D86" s="24">
        <f t="shared" si="9"/>
        <v>3538</v>
      </c>
      <c r="E86" s="24">
        <f t="shared" si="9"/>
        <v>1685</v>
      </c>
      <c r="F86" s="24">
        <f t="shared" si="9"/>
        <v>396</v>
      </c>
      <c r="G86" s="24">
        <f t="shared" si="9"/>
        <v>3835</v>
      </c>
      <c r="H86" s="24">
        <f t="shared" si="9"/>
        <v>766</v>
      </c>
      <c r="I86" s="24">
        <f t="shared" si="9"/>
        <v>12</v>
      </c>
    </row>
    <row r="87" spans="1:9" ht="12.75" customHeight="1">
      <c r="A87" s="30" t="s">
        <v>154</v>
      </c>
      <c r="B87" s="20" t="s">
        <v>155</v>
      </c>
      <c r="C87" s="21">
        <v>4763</v>
      </c>
      <c r="D87" s="21">
        <v>1289</v>
      </c>
      <c r="E87" s="21">
        <v>1118</v>
      </c>
      <c r="F87" s="25">
        <v>209</v>
      </c>
      <c r="G87" s="25">
        <v>2494</v>
      </c>
      <c r="H87" s="25">
        <v>371</v>
      </c>
      <c r="I87" s="25">
        <v>4</v>
      </c>
    </row>
    <row r="88" spans="1:9" ht="12.75" customHeight="1">
      <c r="A88" s="30" t="s">
        <v>156</v>
      </c>
      <c r="B88" s="20" t="s">
        <v>157</v>
      </c>
      <c r="C88" s="21">
        <v>2501</v>
      </c>
      <c r="D88" s="21">
        <v>712</v>
      </c>
      <c r="E88" s="21">
        <v>700</v>
      </c>
      <c r="F88" s="25">
        <v>101</v>
      </c>
      <c r="G88" s="25">
        <v>710</v>
      </c>
      <c r="H88" s="25">
        <v>144</v>
      </c>
      <c r="I88" s="25">
        <v>3</v>
      </c>
    </row>
    <row r="89" spans="1:9" ht="12.75" customHeight="1">
      <c r="A89" s="31"/>
      <c r="B89" s="23" t="s">
        <v>158</v>
      </c>
      <c r="C89" s="24">
        <f t="shared" ref="C89:I89" si="10">SUM(C87:C88)</f>
        <v>7264</v>
      </c>
      <c r="D89" s="24">
        <f t="shared" si="10"/>
        <v>2001</v>
      </c>
      <c r="E89" s="24">
        <f t="shared" si="10"/>
        <v>1818</v>
      </c>
      <c r="F89" s="24">
        <f t="shared" si="10"/>
        <v>310</v>
      </c>
      <c r="G89" s="24">
        <f t="shared" si="10"/>
        <v>3204</v>
      </c>
      <c r="H89" s="24">
        <f t="shared" si="10"/>
        <v>515</v>
      </c>
      <c r="I89" s="24">
        <f t="shared" si="10"/>
        <v>7</v>
      </c>
    </row>
    <row r="90" spans="1:9" ht="12.75" customHeight="1">
      <c r="A90" s="30" t="s">
        <v>159</v>
      </c>
      <c r="B90" s="20" t="s">
        <v>160</v>
      </c>
      <c r="C90" s="21">
        <v>4729</v>
      </c>
      <c r="D90" s="21">
        <v>2185</v>
      </c>
      <c r="E90" s="21">
        <v>1136</v>
      </c>
      <c r="F90" s="25">
        <v>216</v>
      </c>
      <c r="G90" s="25">
        <v>1350</v>
      </c>
      <c r="H90" s="25">
        <v>183</v>
      </c>
      <c r="I90" s="25">
        <v>1</v>
      </c>
    </row>
    <row r="91" spans="1:9" ht="12.75" customHeight="1">
      <c r="A91" s="30" t="s">
        <v>161</v>
      </c>
      <c r="B91" s="20" t="s">
        <v>162</v>
      </c>
      <c r="C91" s="21">
        <v>2941</v>
      </c>
      <c r="D91" s="21">
        <v>481</v>
      </c>
      <c r="E91" s="21">
        <v>481</v>
      </c>
      <c r="F91" s="25">
        <v>358</v>
      </c>
      <c r="G91" s="25">
        <v>1294</v>
      </c>
      <c r="H91" s="25">
        <v>172</v>
      </c>
      <c r="I91" s="25">
        <v>2</v>
      </c>
    </row>
    <row r="92" spans="1:9" ht="12.75" customHeight="1">
      <c r="A92" s="30" t="s">
        <v>163</v>
      </c>
      <c r="B92" s="20" t="s">
        <v>164</v>
      </c>
      <c r="C92" s="21">
        <v>1208</v>
      </c>
      <c r="D92" s="21">
        <v>340</v>
      </c>
      <c r="E92" s="21">
        <v>340</v>
      </c>
      <c r="F92" s="25">
        <v>77</v>
      </c>
      <c r="G92" s="25">
        <v>739</v>
      </c>
      <c r="H92" s="25">
        <v>17</v>
      </c>
      <c r="I92" s="25">
        <v>3</v>
      </c>
    </row>
    <row r="93" spans="1:9" ht="12.75" customHeight="1">
      <c r="A93" s="30" t="s">
        <v>165</v>
      </c>
      <c r="B93" s="20" t="s">
        <v>166</v>
      </c>
      <c r="C93" s="21">
        <v>35464</v>
      </c>
      <c r="D93" s="21">
        <v>20346</v>
      </c>
      <c r="E93" s="21">
        <v>10477</v>
      </c>
      <c r="F93" s="25">
        <v>1273</v>
      </c>
      <c r="G93" s="25">
        <v>6240</v>
      </c>
      <c r="H93" s="25">
        <v>1601</v>
      </c>
      <c r="I93" s="25">
        <v>9</v>
      </c>
    </row>
    <row r="94" spans="1:9" ht="12.75" customHeight="1">
      <c r="A94" s="30" t="s">
        <v>167</v>
      </c>
      <c r="B94" s="20" t="s">
        <v>168</v>
      </c>
      <c r="C94" s="21">
        <v>2803</v>
      </c>
      <c r="D94" s="21">
        <v>463</v>
      </c>
      <c r="E94" s="21">
        <v>438</v>
      </c>
      <c r="F94" s="25">
        <v>182</v>
      </c>
      <c r="G94" s="25">
        <v>1296</v>
      </c>
      <c r="H94" s="25">
        <v>63</v>
      </c>
      <c r="I94" s="25">
        <v>1</v>
      </c>
    </row>
    <row r="95" spans="1:9" ht="12.75" customHeight="1">
      <c r="A95" s="31"/>
      <c r="B95" s="23" t="s">
        <v>169</v>
      </c>
      <c r="C95" s="24">
        <f t="shared" ref="C95:I95" si="11">SUM(C90:C94)</f>
        <v>47145</v>
      </c>
      <c r="D95" s="24">
        <f t="shared" si="11"/>
        <v>23815</v>
      </c>
      <c r="E95" s="24">
        <f t="shared" si="11"/>
        <v>12872</v>
      </c>
      <c r="F95" s="24">
        <f t="shared" si="11"/>
        <v>2106</v>
      </c>
      <c r="G95" s="24">
        <f t="shared" si="11"/>
        <v>10919</v>
      </c>
      <c r="H95" s="24">
        <f t="shared" si="11"/>
        <v>2036</v>
      </c>
      <c r="I95" s="24">
        <f t="shared" si="11"/>
        <v>16</v>
      </c>
    </row>
    <row r="96" spans="1:9" ht="12.75" customHeight="1">
      <c r="A96" s="30" t="s">
        <v>170</v>
      </c>
      <c r="B96" s="20" t="s">
        <v>171</v>
      </c>
      <c r="C96" s="21">
        <v>541</v>
      </c>
      <c r="D96" s="21">
        <v>188</v>
      </c>
      <c r="E96" s="21">
        <v>162</v>
      </c>
      <c r="F96" s="25">
        <v>24</v>
      </c>
      <c r="G96" s="25">
        <v>330</v>
      </c>
      <c r="H96" s="25">
        <v>323</v>
      </c>
      <c r="I96" s="25">
        <v>2</v>
      </c>
    </row>
    <row r="97" spans="1:9" ht="12.75" customHeight="1">
      <c r="A97" s="30" t="s">
        <v>172</v>
      </c>
      <c r="B97" s="20" t="s">
        <v>173</v>
      </c>
      <c r="C97" s="21">
        <v>587</v>
      </c>
      <c r="D97" s="21">
        <v>92</v>
      </c>
      <c r="E97" s="21">
        <v>29</v>
      </c>
      <c r="F97" s="25">
        <v>7</v>
      </c>
      <c r="G97" s="25">
        <v>258</v>
      </c>
      <c r="H97" s="25">
        <v>10</v>
      </c>
      <c r="I97" s="25">
        <v>0</v>
      </c>
    </row>
    <row r="98" spans="1:9" ht="12.75" customHeight="1">
      <c r="A98" s="31"/>
      <c r="B98" s="23" t="s">
        <v>174</v>
      </c>
      <c r="C98" s="24">
        <f t="shared" ref="C98:I98" si="12">SUM(C96:C97)</f>
        <v>1128</v>
      </c>
      <c r="D98" s="24">
        <f t="shared" si="12"/>
        <v>280</v>
      </c>
      <c r="E98" s="24">
        <f t="shared" si="12"/>
        <v>191</v>
      </c>
      <c r="F98" s="24">
        <f t="shared" si="12"/>
        <v>31</v>
      </c>
      <c r="G98" s="24">
        <f t="shared" si="12"/>
        <v>588</v>
      </c>
      <c r="H98" s="24">
        <f t="shared" si="12"/>
        <v>333</v>
      </c>
      <c r="I98" s="24">
        <f t="shared" si="12"/>
        <v>2</v>
      </c>
    </row>
    <row r="99" spans="1:9" ht="12.75" customHeight="1">
      <c r="A99" s="30" t="s">
        <v>175</v>
      </c>
      <c r="B99" s="20" t="s">
        <v>176</v>
      </c>
      <c r="C99" s="21">
        <v>2314</v>
      </c>
      <c r="D99" s="21">
        <v>810</v>
      </c>
      <c r="E99" s="21">
        <v>292</v>
      </c>
      <c r="F99" s="25">
        <v>114</v>
      </c>
      <c r="G99" s="25">
        <v>754</v>
      </c>
      <c r="H99" s="25">
        <v>217</v>
      </c>
      <c r="I99" s="25">
        <v>0</v>
      </c>
    </row>
    <row r="100" spans="1:9" ht="12.75" customHeight="1">
      <c r="A100" s="30" t="s">
        <v>177</v>
      </c>
      <c r="B100" s="20" t="s">
        <v>178</v>
      </c>
      <c r="C100" s="21">
        <v>784</v>
      </c>
      <c r="D100" s="21">
        <v>338</v>
      </c>
      <c r="E100" s="21">
        <v>255</v>
      </c>
      <c r="F100" s="25">
        <v>58</v>
      </c>
      <c r="G100" s="25">
        <v>383</v>
      </c>
      <c r="H100" s="25">
        <v>90</v>
      </c>
      <c r="I100" s="25">
        <v>3</v>
      </c>
    </row>
    <row r="101" spans="1:9" ht="12.75" customHeight="1">
      <c r="A101" s="30" t="s">
        <v>179</v>
      </c>
      <c r="B101" s="20" t="s">
        <v>180</v>
      </c>
      <c r="C101" s="21">
        <v>2682</v>
      </c>
      <c r="D101" s="21">
        <v>865</v>
      </c>
      <c r="E101" s="21">
        <v>80</v>
      </c>
      <c r="F101" s="25">
        <v>237</v>
      </c>
      <c r="G101" s="25">
        <v>1027</v>
      </c>
      <c r="H101" s="25">
        <v>107</v>
      </c>
      <c r="I101" s="25">
        <v>4</v>
      </c>
    </row>
    <row r="102" spans="1:9" ht="12.75" customHeight="1">
      <c r="A102" s="30" t="s">
        <v>181</v>
      </c>
      <c r="B102" s="20" t="s">
        <v>182</v>
      </c>
      <c r="C102" s="21">
        <v>1105</v>
      </c>
      <c r="D102" s="21">
        <v>519</v>
      </c>
      <c r="E102" s="21">
        <v>451</v>
      </c>
      <c r="F102" s="25">
        <v>63</v>
      </c>
      <c r="G102" s="25">
        <v>478</v>
      </c>
      <c r="H102" s="25">
        <v>230</v>
      </c>
      <c r="I102" s="25">
        <v>5</v>
      </c>
    </row>
    <row r="103" spans="1:9" ht="12.75" customHeight="1">
      <c r="A103" s="31"/>
      <c r="B103" s="23" t="s">
        <v>183</v>
      </c>
      <c r="C103" s="24">
        <f t="shared" ref="C103:I103" si="13">SUM(C99:C102)</f>
        <v>6885</v>
      </c>
      <c r="D103" s="24">
        <f t="shared" si="13"/>
        <v>2532</v>
      </c>
      <c r="E103" s="24">
        <f t="shared" si="13"/>
        <v>1078</v>
      </c>
      <c r="F103" s="24">
        <f t="shared" si="13"/>
        <v>472</v>
      </c>
      <c r="G103" s="24">
        <f t="shared" si="13"/>
        <v>2642</v>
      </c>
      <c r="H103" s="24">
        <f t="shared" si="13"/>
        <v>644</v>
      </c>
      <c r="I103" s="24">
        <f t="shared" si="13"/>
        <v>12</v>
      </c>
    </row>
    <row r="104" spans="1:9" ht="12.75" customHeight="1">
      <c r="A104" s="30" t="s">
        <v>184</v>
      </c>
      <c r="B104" s="20" t="s">
        <v>185</v>
      </c>
      <c r="C104" s="21">
        <v>1583</v>
      </c>
      <c r="D104" s="21">
        <v>479</v>
      </c>
      <c r="E104" s="21">
        <v>121</v>
      </c>
      <c r="F104" s="25">
        <v>73</v>
      </c>
      <c r="G104" s="25">
        <v>430</v>
      </c>
      <c r="H104" s="25">
        <v>334</v>
      </c>
      <c r="I104" s="25">
        <v>3</v>
      </c>
    </row>
    <row r="105" spans="1:9" ht="12.75" customHeight="1">
      <c r="A105" s="30" t="s">
        <v>186</v>
      </c>
      <c r="B105" s="20" t="s">
        <v>187</v>
      </c>
      <c r="C105" s="21">
        <v>1777</v>
      </c>
      <c r="D105" s="21">
        <v>318</v>
      </c>
      <c r="E105" s="21">
        <v>137</v>
      </c>
      <c r="F105" s="25">
        <v>88</v>
      </c>
      <c r="G105" s="25">
        <v>411</v>
      </c>
      <c r="H105" s="25">
        <v>43</v>
      </c>
      <c r="I105" s="25">
        <v>2</v>
      </c>
    </row>
    <row r="106" spans="1:9" ht="12.75" customHeight="1">
      <c r="A106" s="30" t="s">
        <v>188</v>
      </c>
      <c r="B106" s="20" t="s">
        <v>189</v>
      </c>
      <c r="C106" s="21">
        <v>10369</v>
      </c>
      <c r="D106" s="21">
        <v>4075</v>
      </c>
      <c r="E106" s="21">
        <v>1085</v>
      </c>
      <c r="F106" s="25">
        <v>515</v>
      </c>
      <c r="G106" s="25">
        <v>1517</v>
      </c>
      <c r="H106" s="25">
        <v>254</v>
      </c>
      <c r="I106" s="25">
        <v>4</v>
      </c>
    </row>
    <row r="107" spans="1:9" ht="12.75" customHeight="1">
      <c r="A107" s="30" t="s">
        <v>190</v>
      </c>
      <c r="B107" s="20" t="s">
        <v>191</v>
      </c>
      <c r="C107" s="21">
        <v>26530</v>
      </c>
      <c r="D107" s="21">
        <v>9301</v>
      </c>
      <c r="E107" s="21">
        <v>1194</v>
      </c>
      <c r="F107" s="25">
        <v>2625</v>
      </c>
      <c r="G107" s="25">
        <v>2016</v>
      </c>
      <c r="H107" s="25">
        <v>1190</v>
      </c>
      <c r="I107" s="25">
        <v>8</v>
      </c>
    </row>
    <row r="108" spans="1:9" ht="12.75" customHeight="1">
      <c r="A108" s="30" t="s">
        <v>192</v>
      </c>
      <c r="B108" s="20" t="s">
        <v>193</v>
      </c>
      <c r="C108" s="21">
        <v>9131</v>
      </c>
      <c r="D108" s="21">
        <v>2710</v>
      </c>
      <c r="E108" s="21">
        <v>579</v>
      </c>
      <c r="F108" s="25">
        <v>584</v>
      </c>
      <c r="G108" s="25">
        <v>921</v>
      </c>
      <c r="H108" s="25">
        <v>418</v>
      </c>
      <c r="I108" s="25">
        <v>7</v>
      </c>
    </row>
    <row r="109" spans="1:9" ht="12.75" customHeight="1">
      <c r="A109" s="31"/>
      <c r="B109" s="23" t="s">
        <v>194</v>
      </c>
      <c r="C109" s="24">
        <f t="shared" ref="C109:I109" si="14">SUM(C104:C108)</f>
        <v>49390</v>
      </c>
      <c r="D109" s="24">
        <f t="shared" si="14"/>
        <v>16883</v>
      </c>
      <c r="E109" s="24">
        <f t="shared" si="14"/>
        <v>3116</v>
      </c>
      <c r="F109" s="24">
        <f t="shared" si="14"/>
        <v>3885</v>
      </c>
      <c r="G109" s="24">
        <f t="shared" si="14"/>
        <v>5295</v>
      </c>
      <c r="H109" s="24">
        <f t="shared" si="14"/>
        <v>2239</v>
      </c>
      <c r="I109" s="24">
        <f t="shared" si="14"/>
        <v>24</v>
      </c>
    </row>
    <row r="110" spans="1:9" ht="12.75" customHeight="1">
      <c r="A110" s="19" t="s">
        <v>195</v>
      </c>
      <c r="B110" s="20" t="s">
        <v>196</v>
      </c>
      <c r="C110" s="21">
        <v>4903</v>
      </c>
      <c r="D110" s="21">
        <v>2357</v>
      </c>
      <c r="E110" s="21">
        <v>1411</v>
      </c>
      <c r="F110" s="25">
        <v>405</v>
      </c>
      <c r="G110" s="25">
        <v>1210</v>
      </c>
      <c r="H110" s="25">
        <v>376</v>
      </c>
      <c r="I110" s="25">
        <v>8</v>
      </c>
    </row>
    <row r="111" spans="1:9" ht="12.75" customHeight="1">
      <c r="A111" s="19" t="s">
        <v>197</v>
      </c>
      <c r="B111" s="20" t="s">
        <v>198</v>
      </c>
      <c r="C111" s="21">
        <v>563</v>
      </c>
      <c r="D111" s="21">
        <v>322</v>
      </c>
      <c r="E111" s="21">
        <v>322</v>
      </c>
      <c r="F111" s="25">
        <v>77</v>
      </c>
      <c r="G111" s="25">
        <v>165</v>
      </c>
      <c r="H111" s="25">
        <v>34</v>
      </c>
      <c r="I111" s="25">
        <v>1</v>
      </c>
    </row>
    <row r="112" spans="1:9" ht="12.75" customHeight="1">
      <c r="A112" s="19" t="s">
        <v>199</v>
      </c>
      <c r="B112" s="20" t="s">
        <v>200</v>
      </c>
      <c r="C112" s="21">
        <v>1471</v>
      </c>
      <c r="D112" s="21">
        <v>580</v>
      </c>
      <c r="E112" s="21">
        <v>344</v>
      </c>
      <c r="F112" s="25">
        <v>302</v>
      </c>
      <c r="G112" s="25">
        <v>423</v>
      </c>
      <c r="H112" s="25">
        <v>115</v>
      </c>
      <c r="I112" s="25">
        <v>1</v>
      </c>
    </row>
    <row r="113" spans="1:9" ht="12.75" customHeight="1">
      <c r="A113" s="19" t="s">
        <v>201</v>
      </c>
      <c r="B113" s="20" t="s">
        <v>202</v>
      </c>
      <c r="C113" s="21">
        <v>4878</v>
      </c>
      <c r="D113" s="21">
        <v>2312</v>
      </c>
      <c r="E113" s="21">
        <v>252</v>
      </c>
      <c r="F113" s="25">
        <v>448</v>
      </c>
      <c r="G113" s="25">
        <v>804</v>
      </c>
      <c r="H113" s="25">
        <v>344</v>
      </c>
      <c r="I113" s="25">
        <v>1</v>
      </c>
    </row>
    <row r="114" spans="1:9" ht="12.75" customHeight="1">
      <c r="A114" s="19" t="s">
        <v>203</v>
      </c>
      <c r="B114" s="20" t="s">
        <v>204</v>
      </c>
      <c r="C114" s="21">
        <v>4991</v>
      </c>
      <c r="D114" s="21">
        <v>2517</v>
      </c>
      <c r="E114" s="21">
        <v>1298</v>
      </c>
      <c r="F114" s="25">
        <v>347</v>
      </c>
      <c r="G114" s="25">
        <v>471</v>
      </c>
      <c r="H114" s="25">
        <v>200</v>
      </c>
      <c r="I114" s="25">
        <v>4</v>
      </c>
    </row>
    <row r="115" spans="1:9" ht="12.75" customHeight="1">
      <c r="A115" s="19" t="s">
        <v>205</v>
      </c>
      <c r="B115" s="20" t="s">
        <v>206</v>
      </c>
      <c r="C115" s="21">
        <v>1427</v>
      </c>
      <c r="D115" s="21">
        <v>767</v>
      </c>
      <c r="E115" s="21">
        <v>546</v>
      </c>
      <c r="F115" s="25">
        <v>304</v>
      </c>
      <c r="G115" s="25">
        <v>283</v>
      </c>
      <c r="H115" s="25">
        <v>1243</v>
      </c>
      <c r="I115" s="25">
        <v>3</v>
      </c>
    </row>
    <row r="116" spans="1:9" ht="12.75" customHeight="1">
      <c r="A116" s="22"/>
      <c r="B116" s="23" t="s">
        <v>207</v>
      </c>
      <c r="C116" s="24">
        <f t="shared" ref="C116:I116" si="15">SUM(C110:C115)</f>
        <v>18233</v>
      </c>
      <c r="D116" s="24">
        <f t="shared" si="15"/>
        <v>8855</v>
      </c>
      <c r="E116" s="24">
        <f t="shared" si="15"/>
        <v>4173</v>
      </c>
      <c r="F116" s="24">
        <f t="shared" si="15"/>
        <v>1883</v>
      </c>
      <c r="G116" s="24">
        <f t="shared" si="15"/>
        <v>3356</v>
      </c>
      <c r="H116" s="24">
        <f t="shared" si="15"/>
        <v>2312</v>
      </c>
      <c r="I116" s="24">
        <f t="shared" si="15"/>
        <v>18</v>
      </c>
    </row>
    <row r="117" spans="1:9" ht="12.75" customHeight="1">
      <c r="A117" s="19" t="s">
        <v>208</v>
      </c>
      <c r="B117" s="20" t="s">
        <v>209</v>
      </c>
      <c r="C117" s="21">
        <v>368</v>
      </c>
      <c r="D117" s="21">
        <v>156</v>
      </c>
      <c r="E117" s="21">
        <v>110</v>
      </c>
      <c r="F117" s="25">
        <v>30</v>
      </c>
      <c r="G117" s="25">
        <v>181</v>
      </c>
      <c r="H117" s="25">
        <v>54</v>
      </c>
      <c r="I117" s="25">
        <v>3</v>
      </c>
    </row>
    <row r="118" spans="1:9" ht="12.75" customHeight="1">
      <c r="A118" s="19" t="s">
        <v>210</v>
      </c>
      <c r="B118" s="20" t="s">
        <v>211</v>
      </c>
      <c r="C118" s="32">
        <v>1627</v>
      </c>
      <c r="D118" s="32">
        <v>408</v>
      </c>
      <c r="E118" s="21">
        <v>275</v>
      </c>
      <c r="F118" s="25">
        <v>270</v>
      </c>
      <c r="G118" s="25">
        <v>685</v>
      </c>
      <c r="H118" s="25">
        <v>164</v>
      </c>
      <c r="I118" s="25">
        <v>2</v>
      </c>
    </row>
    <row r="119" spans="1:9" ht="12.75" customHeight="1">
      <c r="A119" s="22"/>
      <c r="B119" s="23" t="s">
        <v>212</v>
      </c>
      <c r="C119" s="24">
        <f t="shared" ref="C119:I119" si="16">SUM(C117:C118)</f>
        <v>1995</v>
      </c>
      <c r="D119" s="24">
        <f t="shared" si="16"/>
        <v>564</v>
      </c>
      <c r="E119" s="24">
        <f t="shared" si="16"/>
        <v>385</v>
      </c>
      <c r="F119" s="24">
        <f t="shared" si="16"/>
        <v>300</v>
      </c>
      <c r="G119" s="24">
        <f t="shared" si="16"/>
        <v>866</v>
      </c>
      <c r="H119" s="24">
        <f t="shared" si="16"/>
        <v>218</v>
      </c>
      <c r="I119" s="24">
        <f t="shared" si="16"/>
        <v>5</v>
      </c>
    </row>
    <row r="120" spans="1:9" ht="12.75" customHeight="1">
      <c r="A120" s="19" t="s">
        <v>213</v>
      </c>
      <c r="B120" s="20" t="s">
        <v>214</v>
      </c>
      <c r="C120" s="21">
        <v>1827</v>
      </c>
      <c r="D120" s="21">
        <v>432</v>
      </c>
      <c r="E120" s="21">
        <v>235</v>
      </c>
      <c r="F120" s="25">
        <v>465</v>
      </c>
      <c r="G120" s="25">
        <v>701</v>
      </c>
      <c r="H120" s="25">
        <v>60</v>
      </c>
      <c r="I120" s="25">
        <v>2</v>
      </c>
    </row>
    <row r="121" spans="1:9" ht="12.75" customHeight="1">
      <c r="A121" s="19" t="s">
        <v>215</v>
      </c>
      <c r="B121" s="20" t="s">
        <v>216</v>
      </c>
      <c r="C121" s="21">
        <v>2830</v>
      </c>
      <c r="D121" s="21">
        <v>464</v>
      </c>
      <c r="E121" s="21">
        <v>305</v>
      </c>
      <c r="F121" s="25">
        <v>809</v>
      </c>
      <c r="G121" s="25">
        <v>1313</v>
      </c>
      <c r="H121" s="25">
        <v>115</v>
      </c>
      <c r="I121" s="25">
        <v>6</v>
      </c>
    </row>
    <row r="122" spans="1:9" ht="12.75" customHeight="1">
      <c r="A122" s="19" t="s">
        <v>217</v>
      </c>
      <c r="B122" s="20" t="s">
        <v>218</v>
      </c>
      <c r="C122" s="21">
        <v>851</v>
      </c>
      <c r="D122" s="21">
        <v>186</v>
      </c>
      <c r="E122" s="21">
        <v>91</v>
      </c>
      <c r="F122" s="25">
        <v>165</v>
      </c>
      <c r="G122" s="25">
        <v>191</v>
      </c>
      <c r="H122" s="25">
        <v>26</v>
      </c>
      <c r="I122" s="25">
        <v>1</v>
      </c>
    </row>
    <row r="123" spans="1:9" ht="12.75" customHeight="1">
      <c r="A123" s="19" t="s">
        <v>219</v>
      </c>
      <c r="B123" s="20" t="s">
        <v>220</v>
      </c>
      <c r="C123" s="21">
        <v>2287</v>
      </c>
      <c r="D123" s="21">
        <v>440</v>
      </c>
      <c r="E123" s="21">
        <v>296</v>
      </c>
      <c r="F123" s="25">
        <v>936</v>
      </c>
      <c r="G123" s="25">
        <v>774</v>
      </c>
      <c r="H123" s="25">
        <v>84</v>
      </c>
      <c r="I123" s="25">
        <v>2</v>
      </c>
    </row>
    <row r="124" spans="1:9" ht="12.75" customHeight="1">
      <c r="A124" s="19" t="s">
        <v>221</v>
      </c>
      <c r="B124" s="20" t="s">
        <v>222</v>
      </c>
      <c r="C124" s="21">
        <v>699</v>
      </c>
      <c r="D124" s="21">
        <v>62</v>
      </c>
      <c r="E124" s="21">
        <v>50</v>
      </c>
      <c r="F124" s="25">
        <v>66</v>
      </c>
      <c r="G124" s="25">
        <v>291</v>
      </c>
      <c r="H124" s="25">
        <v>12</v>
      </c>
      <c r="I124" s="25">
        <v>1</v>
      </c>
    </row>
    <row r="125" spans="1:9" ht="12.75" customHeight="1">
      <c r="A125" s="22"/>
      <c r="B125" s="23" t="s">
        <v>223</v>
      </c>
      <c r="C125" s="24">
        <f t="shared" ref="C125:I125" si="17">SUM(C120:C124)</f>
        <v>8494</v>
      </c>
      <c r="D125" s="24">
        <f t="shared" si="17"/>
        <v>1584</v>
      </c>
      <c r="E125" s="24">
        <f t="shared" si="17"/>
        <v>977</v>
      </c>
      <c r="F125" s="24">
        <f t="shared" si="17"/>
        <v>2441</v>
      </c>
      <c r="G125" s="24">
        <f t="shared" si="17"/>
        <v>3270</v>
      </c>
      <c r="H125" s="24">
        <f t="shared" si="17"/>
        <v>297</v>
      </c>
      <c r="I125" s="24">
        <f t="shared" si="17"/>
        <v>12</v>
      </c>
    </row>
    <row r="126" spans="1:9" ht="12.75" customHeight="1">
      <c r="A126" s="19" t="s">
        <v>224</v>
      </c>
      <c r="B126" s="20" t="s">
        <v>225</v>
      </c>
      <c r="C126" s="21">
        <v>1416</v>
      </c>
      <c r="D126" s="21">
        <v>179</v>
      </c>
      <c r="E126" s="21">
        <v>12</v>
      </c>
      <c r="F126" s="25">
        <v>909</v>
      </c>
      <c r="G126" s="25">
        <v>328</v>
      </c>
      <c r="H126" s="25">
        <v>86</v>
      </c>
      <c r="I126" s="25">
        <v>1</v>
      </c>
    </row>
    <row r="127" spans="1:9" ht="12.75" customHeight="1">
      <c r="A127" s="19" t="s">
        <v>226</v>
      </c>
      <c r="B127" s="20" t="s">
        <v>227</v>
      </c>
      <c r="C127" s="21">
        <v>483</v>
      </c>
      <c r="D127" s="21">
        <v>141</v>
      </c>
      <c r="E127" s="21">
        <v>20</v>
      </c>
      <c r="F127" s="25">
        <v>229</v>
      </c>
      <c r="G127" s="25">
        <v>113</v>
      </c>
      <c r="H127" s="25">
        <v>34</v>
      </c>
      <c r="I127" s="25">
        <v>2</v>
      </c>
    </row>
    <row r="128" spans="1:9" ht="12.75" customHeight="1">
      <c r="A128" s="19" t="s">
        <v>228</v>
      </c>
      <c r="B128" s="20" t="s">
        <v>229</v>
      </c>
      <c r="C128" s="21">
        <v>6378</v>
      </c>
      <c r="D128" s="21">
        <v>1971</v>
      </c>
      <c r="E128" s="21">
        <v>329</v>
      </c>
      <c r="F128" s="25">
        <v>3498</v>
      </c>
      <c r="G128" s="25">
        <v>685</v>
      </c>
      <c r="H128" s="25">
        <v>188</v>
      </c>
      <c r="I128" s="25">
        <v>0</v>
      </c>
    </row>
    <row r="129" spans="1:9" ht="12.75" customHeight="1">
      <c r="A129" s="19" t="s">
        <v>230</v>
      </c>
      <c r="B129" s="20" t="s">
        <v>231</v>
      </c>
      <c r="C129" s="21">
        <v>3700</v>
      </c>
      <c r="D129" s="21">
        <v>758</v>
      </c>
      <c r="E129" s="21">
        <v>89</v>
      </c>
      <c r="F129" s="25">
        <v>198</v>
      </c>
      <c r="G129" s="25">
        <v>83</v>
      </c>
      <c r="H129" s="25">
        <v>16</v>
      </c>
      <c r="I129" s="25">
        <v>1</v>
      </c>
    </row>
    <row r="130" spans="1:9" ht="12.75" customHeight="1">
      <c r="A130" s="19" t="s">
        <v>232</v>
      </c>
      <c r="B130" s="20" t="s">
        <v>233</v>
      </c>
      <c r="C130" s="21">
        <v>2227</v>
      </c>
      <c r="D130" s="21">
        <v>934</v>
      </c>
      <c r="E130" s="21">
        <v>743</v>
      </c>
      <c r="F130" s="25">
        <v>750</v>
      </c>
      <c r="G130" s="25">
        <v>543</v>
      </c>
      <c r="H130" s="25">
        <v>98</v>
      </c>
      <c r="I130" s="25">
        <v>7</v>
      </c>
    </row>
    <row r="131" spans="1:9" ht="12.75" customHeight="1">
      <c r="A131" s="19" t="s">
        <v>234</v>
      </c>
      <c r="B131" s="20" t="s">
        <v>235</v>
      </c>
      <c r="C131" s="21">
        <v>7823</v>
      </c>
      <c r="D131" s="21">
        <v>3283</v>
      </c>
      <c r="E131" s="21">
        <v>1039</v>
      </c>
      <c r="F131" s="25">
        <v>3714</v>
      </c>
      <c r="G131" s="25">
        <v>616</v>
      </c>
      <c r="H131" s="25">
        <v>108</v>
      </c>
      <c r="I131" s="25">
        <v>6</v>
      </c>
    </row>
    <row r="132" spans="1:9" ht="12.75" customHeight="1">
      <c r="A132" s="19" t="s">
        <v>236</v>
      </c>
      <c r="B132" s="20" t="s">
        <v>237</v>
      </c>
      <c r="C132" s="21">
        <v>2588</v>
      </c>
      <c r="D132" s="21">
        <v>437</v>
      </c>
      <c r="E132" s="21">
        <v>90</v>
      </c>
      <c r="F132" s="25">
        <v>1650</v>
      </c>
      <c r="G132" s="25">
        <v>222</v>
      </c>
      <c r="H132" s="25">
        <v>140</v>
      </c>
      <c r="I132" s="25">
        <v>0</v>
      </c>
    </row>
    <row r="133" spans="1:9" ht="12.75" customHeight="1">
      <c r="A133" s="19" t="s">
        <v>238</v>
      </c>
      <c r="B133" s="20" t="s">
        <v>239</v>
      </c>
      <c r="C133" s="21">
        <v>1705</v>
      </c>
      <c r="D133" s="21">
        <v>945</v>
      </c>
      <c r="E133" s="21">
        <v>174</v>
      </c>
      <c r="F133" s="25">
        <v>411</v>
      </c>
      <c r="G133" s="25">
        <v>349</v>
      </c>
      <c r="H133" s="25">
        <v>120</v>
      </c>
      <c r="I133" s="25">
        <v>1</v>
      </c>
    </row>
    <row r="134" spans="1:9" ht="12.75" customHeight="1">
      <c r="A134" s="19" t="s">
        <v>240</v>
      </c>
      <c r="B134" s="20" t="s">
        <v>241</v>
      </c>
      <c r="C134" s="21">
        <v>1962</v>
      </c>
      <c r="D134" s="21">
        <v>267</v>
      </c>
      <c r="E134" s="21">
        <v>159</v>
      </c>
      <c r="F134" s="25">
        <v>1265</v>
      </c>
      <c r="G134" s="25">
        <v>430</v>
      </c>
      <c r="H134" s="25">
        <v>111</v>
      </c>
      <c r="I134" s="25">
        <v>2</v>
      </c>
    </row>
    <row r="135" spans="1:9" ht="12.75" customHeight="1">
      <c r="A135" s="26"/>
      <c r="B135" s="23" t="s">
        <v>242</v>
      </c>
      <c r="C135" s="24">
        <f t="shared" ref="C135:I135" si="18">SUM(C126:C134)</f>
        <v>28282</v>
      </c>
      <c r="D135" s="24">
        <f t="shared" si="18"/>
        <v>8915</v>
      </c>
      <c r="E135" s="24">
        <f t="shared" si="18"/>
        <v>2655</v>
      </c>
      <c r="F135" s="24">
        <f t="shared" si="18"/>
        <v>12624</v>
      </c>
      <c r="G135" s="24">
        <f t="shared" si="18"/>
        <v>3369</v>
      </c>
      <c r="H135" s="24">
        <f t="shared" si="18"/>
        <v>901</v>
      </c>
      <c r="I135" s="24">
        <f t="shared" si="18"/>
        <v>20</v>
      </c>
    </row>
    <row r="136" spans="1:9" ht="12.75" customHeight="1">
      <c r="A136" s="19" t="s">
        <v>243</v>
      </c>
      <c r="B136" s="20" t="s">
        <v>244</v>
      </c>
      <c r="C136" s="21">
        <v>8111</v>
      </c>
      <c r="D136" s="21">
        <v>544</v>
      </c>
      <c r="E136" s="21">
        <v>312</v>
      </c>
      <c r="F136" s="25">
        <v>3665</v>
      </c>
      <c r="G136" s="25">
        <v>1110</v>
      </c>
      <c r="H136" s="25">
        <v>603</v>
      </c>
      <c r="I136" s="25">
        <v>4</v>
      </c>
    </row>
    <row r="137" spans="1:9" ht="12.75" customHeight="1">
      <c r="A137" s="19" t="s">
        <v>245</v>
      </c>
      <c r="B137" s="20" t="s">
        <v>246</v>
      </c>
      <c r="C137" s="21">
        <v>640</v>
      </c>
      <c r="D137" s="21">
        <v>31</v>
      </c>
      <c r="E137" s="21">
        <v>31</v>
      </c>
      <c r="F137" s="25">
        <v>112</v>
      </c>
      <c r="G137" s="25">
        <v>497</v>
      </c>
      <c r="H137" s="25">
        <v>2</v>
      </c>
      <c r="I137" s="25">
        <v>0</v>
      </c>
    </row>
    <row r="138" spans="1:9" ht="12.75" customHeight="1">
      <c r="A138" s="19" t="s">
        <v>247</v>
      </c>
      <c r="B138" s="20" t="s">
        <v>248</v>
      </c>
      <c r="C138" s="21">
        <v>1160</v>
      </c>
      <c r="D138" s="21">
        <v>5</v>
      </c>
      <c r="E138" s="21">
        <v>5</v>
      </c>
      <c r="F138" s="25">
        <v>515</v>
      </c>
      <c r="G138" s="25">
        <v>640</v>
      </c>
      <c r="H138" s="25">
        <v>2</v>
      </c>
      <c r="I138" s="25">
        <v>0</v>
      </c>
    </row>
    <row r="139" spans="1:9" ht="12.75" customHeight="1">
      <c r="A139" s="19" t="s">
        <v>249</v>
      </c>
      <c r="B139" s="20" t="s">
        <v>250</v>
      </c>
      <c r="C139" s="21">
        <v>2150</v>
      </c>
      <c r="D139" s="21">
        <v>113</v>
      </c>
      <c r="E139" s="21">
        <v>52</v>
      </c>
      <c r="F139" s="25">
        <v>509</v>
      </c>
      <c r="G139" s="25">
        <v>451</v>
      </c>
      <c r="H139" s="25">
        <v>11</v>
      </c>
      <c r="I139" s="25">
        <v>1</v>
      </c>
    </row>
    <row r="140" spans="1:9" ht="12.75" customHeight="1">
      <c r="A140" s="19" t="s">
        <v>251</v>
      </c>
      <c r="B140" s="20" t="s">
        <v>252</v>
      </c>
      <c r="C140" s="21">
        <v>384</v>
      </c>
      <c r="D140" s="21">
        <v>0</v>
      </c>
      <c r="E140" s="21">
        <v>0</v>
      </c>
      <c r="F140" s="25">
        <v>109</v>
      </c>
      <c r="G140" s="25">
        <v>45</v>
      </c>
      <c r="H140" s="25">
        <v>1</v>
      </c>
      <c r="I140" s="25">
        <v>0</v>
      </c>
    </row>
    <row r="141" spans="1:9" ht="12.75" customHeight="1">
      <c r="A141" s="19" t="s">
        <v>253</v>
      </c>
      <c r="B141" s="20" t="s">
        <v>254</v>
      </c>
      <c r="C141" s="21">
        <v>594</v>
      </c>
      <c r="D141" s="21">
        <v>70</v>
      </c>
      <c r="E141" s="21">
        <v>70</v>
      </c>
      <c r="F141" s="25">
        <v>253</v>
      </c>
      <c r="G141" s="25">
        <v>272</v>
      </c>
      <c r="H141" s="25">
        <v>6</v>
      </c>
      <c r="I141" s="25">
        <v>1</v>
      </c>
    </row>
    <row r="142" spans="1:9" ht="12.75" customHeight="1">
      <c r="A142" s="19" t="s">
        <v>255</v>
      </c>
      <c r="B142" s="20" t="s">
        <v>256</v>
      </c>
      <c r="C142" s="21">
        <v>1504</v>
      </c>
      <c r="D142" s="21">
        <v>107</v>
      </c>
      <c r="E142" s="21">
        <v>17</v>
      </c>
      <c r="F142" s="25">
        <v>444</v>
      </c>
      <c r="G142" s="25">
        <v>432</v>
      </c>
      <c r="H142" s="25">
        <v>11</v>
      </c>
      <c r="I142" s="25">
        <v>0</v>
      </c>
    </row>
    <row r="143" spans="1:9" ht="12.75" customHeight="1">
      <c r="A143" s="19" t="s">
        <v>257</v>
      </c>
      <c r="B143" s="20" t="s">
        <v>258</v>
      </c>
      <c r="C143" s="21">
        <v>3931</v>
      </c>
      <c r="D143" s="21">
        <v>337</v>
      </c>
      <c r="E143" s="21">
        <v>114</v>
      </c>
      <c r="F143" s="25">
        <v>1246</v>
      </c>
      <c r="G143" s="25">
        <v>1637</v>
      </c>
      <c r="H143" s="25">
        <v>108</v>
      </c>
      <c r="I143" s="25">
        <v>0</v>
      </c>
    </row>
    <row r="144" spans="1:9" ht="14.7" customHeight="1">
      <c r="A144" s="19" t="s">
        <v>259</v>
      </c>
      <c r="B144" s="20" t="s">
        <v>260</v>
      </c>
      <c r="C144" s="21"/>
      <c r="D144" s="21"/>
      <c r="E144" s="21"/>
      <c r="F144" s="25"/>
      <c r="G144" s="25"/>
      <c r="H144" s="25"/>
      <c r="I144" s="25"/>
    </row>
    <row r="145" spans="1:9" ht="14.7" customHeight="1">
      <c r="A145" s="26"/>
      <c r="B145" s="23" t="s">
        <v>261</v>
      </c>
      <c r="C145" s="33">
        <f t="shared" ref="C145:I145" si="19">SUM(C136:C144)</f>
        <v>18474</v>
      </c>
      <c r="D145" s="33">
        <f t="shared" si="19"/>
        <v>1207</v>
      </c>
      <c r="E145" s="33">
        <f t="shared" si="19"/>
        <v>601</v>
      </c>
      <c r="F145" s="33">
        <f t="shared" si="19"/>
        <v>6853</v>
      </c>
      <c r="G145" s="33">
        <f t="shared" si="19"/>
        <v>5084</v>
      </c>
      <c r="H145" s="33">
        <f t="shared" si="19"/>
        <v>744</v>
      </c>
      <c r="I145" s="33">
        <f t="shared" si="19"/>
        <v>6</v>
      </c>
    </row>
    <row r="146" spans="1:9" ht="14.7" customHeight="1">
      <c r="A146" s="19" t="s">
        <v>262</v>
      </c>
      <c r="B146" s="34" t="s">
        <v>263</v>
      </c>
      <c r="C146" s="25">
        <f t="shared" ref="C146:I146" si="20">C145+C135+C125+C119+C116+C109+C103+C98+C95+C89+C86+C80+C69+C59+C51+C46+C43+C30+C25+C23</f>
        <v>365160</v>
      </c>
      <c r="D146" s="25">
        <f t="shared" si="20"/>
        <v>135103</v>
      </c>
      <c r="E146" s="25">
        <f t="shared" si="20"/>
        <v>63334</v>
      </c>
      <c r="F146" s="25">
        <f t="shared" si="20"/>
        <v>39033</v>
      </c>
      <c r="G146" s="25">
        <f t="shared" si="20"/>
        <v>116435</v>
      </c>
      <c r="H146" s="25">
        <f t="shared" si="20"/>
        <v>32394</v>
      </c>
      <c r="I146" s="25">
        <f t="shared" si="20"/>
        <v>271</v>
      </c>
    </row>
  </sheetData>
  <sheetProtection selectLockedCells="1" selectUnlockedCells="1"/>
  <mergeCells count="23">
    <mergeCell ref="C12:C13"/>
    <mergeCell ref="D12:D13"/>
    <mergeCell ref="F12:F13"/>
    <mergeCell ref="G12:G13"/>
    <mergeCell ref="H12:H13"/>
    <mergeCell ref="I12:I13"/>
    <mergeCell ref="F7:I7"/>
    <mergeCell ref="F8:I8"/>
    <mergeCell ref="A9:E9"/>
    <mergeCell ref="A11:B11"/>
    <mergeCell ref="C11:D11"/>
    <mergeCell ref="E11:E13"/>
    <mergeCell ref="F11:G11"/>
    <mergeCell ref="H11:I11"/>
    <mergeCell ref="A12:A13"/>
    <mergeCell ref="B12:B13"/>
    <mergeCell ref="A1:C1"/>
    <mergeCell ref="D1:H1"/>
    <mergeCell ref="A2:C2"/>
    <mergeCell ref="A3:C3"/>
    <mergeCell ref="D3:H3"/>
    <mergeCell ref="A4:C4"/>
    <mergeCell ref="D4:H4"/>
  </mergeCells>
  <printOptions horizontalCentered="1" verticalCentered="1"/>
  <pageMargins left="0.2361111111111111" right="0.2361111111111111" top="0.19652777777777777" bottom="0.51180555555555551" header="0.51180555555555551" footer="0.51180555555555551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46"/>
  <sheetViews>
    <sheetView tabSelected="1" workbookViewId="0">
      <selection activeCell="C144" sqref="C144"/>
    </sheetView>
  </sheetViews>
  <sheetFormatPr defaultRowHeight="12.75" customHeight="1"/>
  <cols>
    <col min="1" max="1" width="7.109375" style="1" customWidth="1"/>
    <col min="2" max="2" width="25.6640625" style="1" customWidth="1"/>
    <col min="3" max="3" width="14.33203125" style="1" customWidth="1"/>
    <col min="4" max="4" width="13" style="1" customWidth="1"/>
    <col min="5" max="5" width="16.109375" style="1" customWidth="1"/>
    <col min="6" max="6" width="11.6640625" style="1" customWidth="1"/>
    <col min="7" max="7" width="13.77734375" style="1" customWidth="1"/>
    <col min="8" max="8" width="10.109375" style="1" customWidth="1"/>
    <col min="9" max="9" width="16.6640625" style="1" customWidth="1"/>
    <col min="10" max="19" width="8.77734375" customWidth="1"/>
  </cols>
  <sheetData>
    <row r="1" spans="1:19" ht="15.75" customHeight="1">
      <c r="A1" s="35" t="s">
        <v>0</v>
      </c>
      <c r="B1" s="35"/>
      <c r="C1" s="35"/>
      <c r="D1" s="36" t="s">
        <v>1</v>
      </c>
      <c r="E1" s="36"/>
      <c r="F1" s="36"/>
      <c r="G1" s="36"/>
      <c r="H1" s="36"/>
      <c r="I1" s="3"/>
    </row>
    <row r="2" spans="1:19" ht="12" customHeight="1">
      <c r="A2" s="37" t="s">
        <v>264</v>
      </c>
      <c r="B2" s="37"/>
      <c r="C2" s="37"/>
      <c r="D2" s="4"/>
      <c r="E2" s="3"/>
      <c r="F2" s="4"/>
      <c r="G2" s="4"/>
      <c r="H2" s="4"/>
      <c r="I2" s="5"/>
    </row>
    <row r="3" spans="1:19" ht="10.5" customHeight="1">
      <c r="A3" s="37"/>
      <c r="B3" s="37"/>
      <c r="C3" s="37"/>
      <c r="D3" s="35" t="s">
        <v>3</v>
      </c>
      <c r="E3" s="35"/>
      <c r="F3" s="35"/>
      <c r="G3" s="35"/>
      <c r="H3" s="35"/>
      <c r="I3" s="6"/>
    </row>
    <row r="4" spans="1:19" ht="12.75" customHeight="1">
      <c r="A4" s="38" t="s">
        <v>4</v>
      </c>
      <c r="B4" s="38"/>
      <c r="C4" s="38"/>
      <c r="D4" s="37" t="s">
        <v>5</v>
      </c>
      <c r="E4" s="37"/>
      <c r="F4" s="37"/>
      <c r="G4" s="37"/>
      <c r="H4" s="37"/>
      <c r="I4" s="5"/>
    </row>
    <row r="5" spans="1:19" ht="12.75" customHeight="1">
      <c r="A5" s="4"/>
      <c r="B5" s="4"/>
      <c r="C5" s="4"/>
      <c r="D5" s="2"/>
      <c r="E5" s="4"/>
      <c r="F5" s="4"/>
      <c r="G5" s="4"/>
      <c r="H5" s="4"/>
      <c r="I5" s="4"/>
    </row>
    <row r="6" spans="1:19" ht="12.75" customHeight="1">
      <c r="A6" s="4"/>
      <c r="B6" s="4"/>
      <c r="C6" s="5"/>
      <c r="D6" s="5"/>
      <c r="E6" s="5"/>
      <c r="F6" s="5"/>
      <c r="G6" s="5"/>
      <c r="H6" s="5"/>
      <c r="I6" s="5"/>
    </row>
    <row r="7" spans="1:19" ht="12.75" customHeight="1">
      <c r="A7" s="4"/>
      <c r="B7" s="4"/>
      <c r="C7" s="5"/>
      <c r="D7" s="5"/>
      <c r="E7" s="5"/>
      <c r="F7" s="37" t="s">
        <v>6</v>
      </c>
      <c r="G7" s="37"/>
      <c r="H7" s="37"/>
      <c r="I7" s="37"/>
    </row>
    <row r="8" spans="1:19" ht="15" customHeight="1">
      <c r="A8" s="5"/>
      <c r="B8" s="5"/>
      <c r="C8" s="5"/>
      <c r="D8" s="5"/>
      <c r="E8" s="5"/>
      <c r="F8" s="37" t="s">
        <v>265</v>
      </c>
      <c r="G8" s="37"/>
      <c r="H8" s="37"/>
      <c r="I8" s="37"/>
    </row>
    <row r="9" spans="1:19" ht="15" customHeight="1">
      <c r="A9" s="39"/>
      <c r="B9" s="39"/>
      <c r="C9" s="39"/>
      <c r="D9" s="39"/>
      <c r="E9" s="39"/>
      <c r="F9" s="5"/>
      <c r="G9" s="5"/>
      <c r="H9" s="5"/>
      <c r="I9" s="5"/>
    </row>
    <row r="10" spans="1:19" ht="4.5" customHeight="1">
      <c r="A10" s="5"/>
      <c r="B10" s="5"/>
      <c r="C10" s="5"/>
      <c r="D10" s="5"/>
      <c r="E10" s="5"/>
      <c r="F10" s="5"/>
      <c r="G10" s="5"/>
      <c r="H10" s="5"/>
      <c r="I10" s="5"/>
    </row>
    <row r="11" spans="1:19" s="7" customFormat="1" ht="17.25" customHeight="1">
      <c r="A11" s="40" t="s">
        <v>8</v>
      </c>
      <c r="B11" s="40"/>
      <c r="C11" s="41" t="s">
        <v>9</v>
      </c>
      <c r="D11" s="41"/>
      <c r="E11" s="42" t="s">
        <v>10</v>
      </c>
      <c r="F11" s="43" t="s">
        <v>11</v>
      </c>
      <c r="G11" s="43"/>
      <c r="H11" s="44" t="s">
        <v>12</v>
      </c>
      <c r="I11" s="44"/>
      <c r="K11"/>
      <c r="L11"/>
      <c r="M11"/>
      <c r="N11"/>
      <c r="O11"/>
      <c r="P11"/>
      <c r="Q11"/>
      <c r="R11"/>
      <c r="S11"/>
    </row>
    <row r="12" spans="1:19" ht="12.75" customHeight="1">
      <c r="A12" s="45" t="s">
        <v>13</v>
      </c>
      <c r="B12" s="46" t="s">
        <v>14</v>
      </c>
      <c r="C12" s="47" t="s">
        <v>15</v>
      </c>
      <c r="D12" s="46" t="s">
        <v>16</v>
      </c>
      <c r="E12" s="42"/>
      <c r="F12" s="47" t="s">
        <v>17</v>
      </c>
      <c r="G12" s="46" t="s">
        <v>18</v>
      </c>
      <c r="H12" s="47" t="s">
        <v>15</v>
      </c>
      <c r="I12" s="46" t="s">
        <v>19</v>
      </c>
    </row>
    <row r="13" spans="1:19" ht="12.75" customHeight="1">
      <c r="A13" s="45"/>
      <c r="B13" s="46"/>
      <c r="C13" s="47"/>
      <c r="D13" s="46"/>
      <c r="E13" s="42"/>
      <c r="F13" s="47"/>
      <c r="G13" s="46"/>
      <c r="H13" s="47"/>
      <c r="I13" s="46"/>
    </row>
    <row r="14" spans="1:19" s="15" customFormat="1" ht="10.5" customHeight="1">
      <c r="A14" s="8">
        <v>1</v>
      </c>
      <c r="B14" s="9">
        <v>2</v>
      </c>
      <c r="C14" s="10">
        <v>3</v>
      </c>
      <c r="D14" s="11">
        <v>4</v>
      </c>
      <c r="E14" s="9">
        <v>5</v>
      </c>
      <c r="F14" s="10">
        <v>6</v>
      </c>
      <c r="G14" s="12">
        <v>7</v>
      </c>
      <c r="H14" s="13">
        <v>8</v>
      </c>
      <c r="I14" s="14">
        <v>10</v>
      </c>
    </row>
    <row r="15" spans="1:19" ht="12.75" customHeight="1">
      <c r="A15" s="16" t="s">
        <v>20</v>
      </c>
      <c r="B15" s="17" t="s">
        <v>21</v>
      </c>
      <c r="C15" s="18">
        <v>21076</v>
      </c>
      <c r="D15" s="18">
        <v>11994</v>
      </c>
      <c r="E15" s="18">
        <v>10763</v>
      </c>
      <c r="F15" s="18">
        <v>791</v>
      </c>
      <c r="G15" s="18">
        <v>5575</v>
      </c>
      <c r="H15" s="18">
        <v>6312</v>
      </c>
      <c r="I15" s="18">
        <v>17</v>
      </c>
    </row>
    <row r="16" spans="1:19" ht="12.75" customHeight="1">
      <c r="A16" s="19" t="s">
        <v>22</v>
      </c>
      <c r="B16" s="20" t="s">
        <v>23</v>
      </c>
      <c r="C16" s="21">
        <v>10362</v>
      </c>
      <c r="D16" s="21">
        <v>4394</v>
      </c>
      <c r="E16" s="21">
        <v>4345</v>
      </c>
      <c r="F16" s="21">
        <v>856</v>
      </c>
      <c r="G16" s="21">
        <v>4897</v>
      </c>
      <c r="H16" s="21">
        <v>550</v>
      </c>
      <c r="I16" s="21">
        <v>11</v>
      </c>
    </row>
    <row r="17" spans="1:9" ht="12.75" customHeight="1">
      <c r="A17" s="19" t="s">
        <v>24</v>
      </c>
      <c r="B17" s="20" t="s">
        <v>25</v>
      </c>
      <c r="C17" s="21">
        <v>5228</v>
      </c>
      <c r="D17" s="21">
        <v>2752</v>
      </c>
      <c r="E17" s="21">
        <v>2741</v>
      </c>
      <c r="F17" s="21">
        <v>624</v>
      </c>
      <c r="G17" s="21">
        <v>1852</v>
      </c>
      <c r="H17" s="21">
        <v>678</v>
      </c>
      <c r="I17" s="21">
        <v>5</v>
      </c>
    </row>
    <row r="18" spans="1:9" ht="12.75" customHeight="1">
      <c r="A18" s="19" t="s">
        <v>26</v>
      </c>
      <c r="B18" s="20" t="s">
        <v>27</v>
      </c>
      <c r="C18" s="21">
        <v>39913</v>
      </c>
      <c r="D18" s="21">
        <v>13306</v>
      </c>
      <c r="E18" s="21">
        <v>5209</v>
      </c>
      <c r="F18" s="21">
        <v>2914</v>
      </c>
      <c r="G18" s="21">
        <v>19147</v>
      </c>
      <c r="H18" s="21">
        <v>9788</v>
      </c>
      <c r="I18" s="21">
        <v>19</v>
      </c>
    </row>
    <row r="19" spans="1:9" ht="12.75" customHeight="1">
      <c r="A19" s="19" t="s">
        <v>28</v>
      </c>
      <c r="B19" s="20" t="s">
        <v>29</v>
      </c>
      <c r="C19" s="21">
        <v>20204</v>
      </c>
      <c r="D19" s="21">
        <v>8505</v>
      </c>
      <c r="E19" s="21">
        <v>7789</v>
      </c>
      <c r="F19" s="21">
        <v>265</v>
      </c>
      <c r="G19" s="21">
        <v>9876</v>
      </c>
      <c r="H19" s="21">
        <v>1478</v>
      </c>
      <c r="I19" s="21">
        <v>12</v>
      </c>
    </row>
    <row r="20" spans="1:9" ht="12.75" customHeight="1">
      <c r="A20" s="19" t="s">
        <v>30</v>
      </c>
      <c r="B20" s="20" t="s">
        <v>31</v>
      </c>
      <c r="C20" s="21">
        <v>95874</v>
      </c>
      <c r="D20" s="21">
        <v>51064</v>
      </c>
      <c r="E20" s="21">
        <v>47130</v>
      </c>
      <c r="F20" s="21">
        <v>4815</v>
      </c>
      <c r="G20" s="21">
        <v>28554</v>
      </c>
      <c r="H20" s="21">
        <v>22685</v>
      </c>
      <c r="I20" s="21">
        <v>88</v>
      </c>
    </row>
    <row r="21" spans="1:9" ht="12.75" customHeight="1">
      <c r="A21" s="19" t="s">
        <v>32</v>
      </c>
      <c r="B21" s="20" t="s">
        <v>33</v>
      </c>
      <c r="C21" s="21">
        <v>3986</v>
      </c>
      <c r="D21" s="21">
        <v>1849</v>
      </c>
      <c r="E21" s="21">
        <v>1849</v>
      </c>
      <c r="F21" s="21">
        <v>341</v>
      </c>
      <c r="G21" s="21">
        <v>1793</v>
      </c>
      <c r="H21" s="21">
        <v>325</v>
      </c>
      <c r="I21" s="21">
        <v>10</v>
      </c>
    </row>
    <row r="22" spans="1:9" ht="12.75" customHeight="1">
      <c r="A22" s="19" t="s">
        <v>34</v>
      </c>
      <c r="B22" s="20" t="s">
        <v>35</v>
      </c>
      <c r="C22" s="21">
        <v>6516</v>
      </c>
      <c r="D22" s="21">
        <v>3954</v>
      </c>
      <c r="E22" s="21">
        <v>3947</v>
      </c>
      <c r="F22" s="21">
        <v>372</v>
      </c>
      <c r="G22" s="21">
        <v>2189</v>
      </c>
      <c r="H22" s="21">
        <v>850</v>
      </c>
      <c r="I22" s="21">
        <v>9</v>
      </c>
    </row>
    <row r="23" spans="1:9" ht="12.75" customHeight="1">
      <c r="A23" s="22"/>
      <c r="B23" s="23" t="s">
        <v>36</v>
      </c>
      <c r="C23" s="24">
        <f t="shared" ref="C23:I23" si="0">SUM(C15:C22)</f>
        <v>203159</v>
      </c>
      <c r="D23" s="24">
        <f t="shared" si="0"/>
        <v>97818</v>
      </c>
      <c r="E23" s="24">
        <f t="shared" si="0"/>
        <v>83773</v>
      </c>
      <c r="F23" s="24">
        <f t="shared" si="0"/>
        <v>10978</v>
      </c>
      <c r="G23" s="24">
        <f t="shared" si="0"/>
        <v>73883</v>
      </c>
      <c r="H23" s="24">
        <f t="shared" si="0"/>
        <v>42666</v>
      </c>
      <c r="I23" s="24">
        <f t="shared" si="0"/>
        <v>171</v>
      </c>
    </row>
    <row r="24" spans="1:9" ht="14.25" customHeight="1">
      <c r="A24" s="19" t="s">
        <v>37</v>
      </c>
      <c r="B24" s="20" t="s">
        <v>38</v>
      </c>
      <c r="C24" s="25">
        <v>8837</v>
      </c>
      <c r="D24" s="25">
        <v>821</v>
      </c>
      <c r="E24" s="25">
        <v>588</v>
      </c>
      <c r="F24" s="25">
        <v>1037</v>
      </c>
      <c r="G24" s="25">
        <v>2880</v>
      </c>
      <c r="H24" s="25">
        <v>459</v>
      </c>
      <c r="I24" s="25">
        <v>9</v>
      </c>
    </row>
    <row r="25" spans="1:9" ht="14.25" customHeight="1">
      <c r="A25" s="26"/>
      <c r="B25" s="23" t="s">
        <v>39</v>
      </c>
      <c r="C25" s="24">
        <f t="shared" ref="C25:I25" si="1">SUM(C24)</f>
        <v>8837</v>
      </c>
      <c r="D25" s="24">
        <f t="shared" si="1"/>
        <v>821</v>
      </c>
      <c r="E25" s="24">
        <f t="shared" si="1"/>
        <v>588</v>
      </c>
      <c r="F25" s="24">
        <f t="shared" si="1"/>
        <v>1037</v>
      </c>
      <c r="G25" s="24">
        <f t="shared" si="1"/>
        <v>2880</v>
      </c>
      <c r="H25" s="24">
        <f t="shared" si="1"/>
        <v>459</v>
      </c>
      <c r="I25" s="24">
        <f t="shared" si="1"/>
        <v>9</v>
      </c>
    </row>
    <row r="26" spans="1:9" ht="12.75" customHeight="1">
      <c r="A26" s="19" t="s">
        <v>40</v>
      </c>
      <c r="B26" s="20" t="s">
        <v>41</v>
      </c>
      <c r="C26" s="25">
        <v>27766</v>
      </c>
      <c r="D26" s="25">
        <v>16621</v>
      </c>
      <c r="E26" s="25">
        <v>3503</v>
      </c>
      <c r="F26" s="25">
        <v>1680</v>
      </c>
      <c r="G26" s="25">
        <v>2897</v>
      </c>
      <c r="H26" s="25">
        <v>3061</v>
      </c>
      <c r="I26" s="25">
        <v>40</v>
      </c>
    </row>
    <row r="27" spans="1:9" ht="12.75" customHeight="1">
      <c r="A27" s="19" t="s">
        <v>42</v>
      </c>
      <c r="B27" s="20" t="s">
        <v>43</v>
      </c>
      <c r="C27" s="25">
        <v>12227</v>
      </c>
      <c r="D27" s="25">
        <v>482</v>
      </c>
      <c r="E27" s="25">
        <v>470</v>
      </c>
      <c r="F27" s="25">
        <v>2028</v>
      </c>
      <c r="G27" s="25">
        <v>6854</v>
      </c>
      <c r="H27" s="25">
        <v>224</v>
      </c>
      <c r="I27" s="25">
        <v>12</v>
      </c>
    </row>
    <row r="28" spans="1:9" ht="12.75" customHeight="1">
      <c r="A28" s="19" t="s">
        <v>44</v>
      </c>
      <c r="B28" s="20" t="s">
        <v>45</v>
      </c>
      <c r="C28" s="25">
        <v>4719</v>
      </c>
      <c r="D28" s="25">
        <v>2225</v>
      </c>
      <c r="E28" s="25">
        <v>2177</v>
      </c>
      <c r="F28" s="25">
        <v>148</v>
      </c>
      <c r="G28" s="25">
        <v>1038</v>
      </c>
      <c r="H28" s="25">
        <v>675</v>
      </c>
      <c r="I28" s="25">
        <v>15</v>
      </c>
    </row>
    <row r="29" spans="1:9" ht="12.75" customHeight="1">
      <c r="A29" s="19" t="s">
        <v>46</v>
      </c>
      <c r="B29" s="20" t="s">
        <v>47</v>
      </c>
      <c r="C29" s="25">
        <v>7149</v>
      </c>
      <c r="D29" s="25">
        <v>607</v>
      </c>
      <c r="E29" s="25">
        <v>582</v>
      </c>
      <c r="F29" s="25">
        <v>928</v>
      </c>
      <c r="G29" s="25">
        <v>4421</v>
      </c>
      <c r="H29" s="25">
        <v>1015</v>
      </c>
      <c r="I29" s="25">
        <v>15</v>
      </c>
    </row>
    <row r="30" spans="1:9" ht="12.75" customHeight="1">
      <c r="A30" s="22"/>
      <c r="B30" s="23" t="s">
        <v>48</v>
      </c>
      <c r="C30" s="24">
        <f t="shared" ref="C30:I30" si="2">SUM(C26:C29)</f>
        <v>51861</v>
      </c>
      <c r="D30" s="24">
        <f t="shared" si="2"/>
        <v>19935</v>
      </c>
      <c r="E30" s="24">
        <f t="shared" si="2"/>
        <v>6732</v>
      </c>
      <c r="F30" s="24">
        <f t="shared" si="2"/>
        <v>4784</v>
      </c>
      <c r="G30" s="24">
        <f t="shared" si="2"/>
        <v>15210</v>
      </c>
      <c r="H30" s="24">
        <f t="shared" si="2"/>
        <v>4975</v>
      </c>
      <c r="I30" s="24">
        <f t="shared" si="2"/>
        <v>82</v>
      </c>
    </row>
    <row r="31" spans="1:9" ht="12.75" customHeight="1">
      <c r="A31" s="19" t="s">
        <v>49</v>
      </c>
      <c r="B31" s="20" t="s">
        <v>50</v>
      </c>
      <c r="C31" s="25">
        <v>39530</v>
      </c>
      <c r="D31" s="25">
        <v>8876</v>
      </c>
      <c r="E31" s="25">
        <v>8394</v>
      </c>
      <c r="F31" s="25">
        <v>1786</v>
      </c>
      <c r="G31" s="25">
        <v>25517</v>
      </c>
      <c r="H31" s="25">
        <v>9028</v>
      </c>
      <c r="I31" s="25">
        <v>25</v>
      </c>
    </row>
    <row r="32" spans="1:9" ht="12.75" customHeight="1">
      <c r="A32" s="19" t="s">
        <v>51</v>
      </c>
      <c r="B32" s="20" t="s">
        <v>52</v>
      </c>
      <c r="C32" s="25">
        <v>57853</v>
      </c>
      <c r="D32" s="25">
        <v>33687</v>
      </c>
      <c r="E32" s="25">
        <v>21560</v>
      </c>
      <c r="F32" s="25">
        <v>2280</v>
      </c>
      <c r="G32" s="25">
        <v>16073</v>
      </c>
      <c r="H32" s="25">
        <v>18814</v>
      </c>
      <c r="I32" s="25">
        <v>35</v>
      </c>
    </row>
    <row r="33" spans="1:9" ht="12.75" customHeight="1">
      <c r="A33" s="19" t="s">
        <v>53</v>
      </c>
      <c r="B33" s="20" t="s">
        <v>54</v>
      </c>
      <c r="C33" s="25">
        <v>9308</v>
      </c>
      <c r="D33" s="25">
        <v>2464</v>
      </c>
      <c r="E33" s="25">
        <v>2464</v>
      </c>
      <c r="F33" s="25">
        <v>856</v>
      </c>
      <c r="G33" s="25">
        <v>4337</v>
      </c>
      <c r="H33" s="25">
        <v>3337</v>
      </c>
      <c r="I33" s="25">
        <v>24</v>
      </c>
    </row>
    <row r="34" spans="1:9" ht="12.75" customHeight="1">
      <c r="A34" s="19" t="s">
        <v>55</v>
      </c>
      <c r="B34" s="20" t="s">
        <v>56</v>
      </c>
      <c r="C34" s="25">
        <v>25819</v>
      </c>
      <c r="D34" s="25">
        <v>14229</v>
      </c>
      <c r="E34" s="25">
        <v>4253</v>
      </c>
      <c r="F34" s="25">
        <v>333</v>
      </c>
      <c r="G34" s="25">
        <v>1868</v>
      </c>
      <c r="H34" s="25">
        <v>4779</v>
      </c>
      <c r="I34" s="25">
        <v>13</v>
      </c>
    </row>
    <row r="35" spans="1:9" ht="12.75" customHeight="1">
      <c r="A35" s="19" t="s">
        <v>57</v>
      </c>
      <c r="B35" s="20" t="s">
        <v>58</v>
      </c>
      <c r="C35" s="25">
        <v>5981</v>
      </c>
      <c r="D35" s="25">
        <v>2442</v>
      </c>
      <c r="E35" s="25">
        <v>2442</v>
      </c>
      <c r="F35" s="25">
        <v>454</v>
      </c>
      <c r="G35" s="25">
        <v>2950</v>
      </c>
      <c r="H35" s="25">
        <v>3004</v>
      </c>
      <c r="I35" s="25">
        <v>9</v>
      </c>
    </row>
    <row r="36" spans="1:9" ht="12.75" customHeight="1">
      <c r="A36" s="19" t="s">
        <v>59</v>
      </c>
      <c r="B36" s="20" t="s">
        <v>60</v>
      </c>
      <c r="C36" s="25">
        <v>4624</v>
      </c>
      <c r="D36" s="25">
        <v>3084</v>
      </c>
      <c r="E36" s="25">
        <v>2998</v>
      </c>
      <c r="F36" s="25">
        <v>124</v>
      </c>
      <c r="G36" s="25">
        <v>636</v>
      </c>
      <c r="H36" s="25">
        <v>3345</v>
      </c>
      <c r="I36" s="25">
        <v>11</v>
      </c>
    </row>
    <row r="37" spans="1:9" ht="12.75" customHeight="1">
      <c r="A37" s="19" t="s">
        <v>61</v>
      </c>
      <c r="B37" s="20" t="s">
        <v>62</v>
      </c>
      <c r="C37" s="25">
        <v>27949</v>
      </c>
      <c r="D37" s="25">
        <v>15328</v>
      </c>
      <c r="E37" s="25">
        <v>5166</v>
      </c>
      <c r="F37" s="25">
        <v>754</v>
      </c>
      <c r="G37" s="25">
        <v>6804</v>
      </c>
      <c r="H37" s="25">
        <v>5668</v>
      </c>
      <c r="I37" s="25">
        <v>18</v>
      </c>
    </row>
    <row r="38" spans="1:9" ht="12.75" customHeight="1">
      <c r="A38" s="19" t="s">
        <v>63</v>
      </c>
      <c r="B38" s="20" t="s">
        <v>64</v>
      </c>
      <c r="C38" s="25">
        <v>76963</v>
      </c>
      <c r="D38" s="25">
        <v>54205</v>
      </c>
      <c r="E38" s="25">
        <v>33998</v>
      </c>
      <c r="F38" s="25">
        <v>1431</v>
      </c>
      <c r="G38" s="25">
        <v>7071</v>
      </c>
      <c r="H38" s="25">
        <v>38378</v>
      </c>
      <c r="I38" s="25">
        <v>109</v>
      </c>
    </row>
    <row r="39" spans="1:9" ht="12.75" customHeight="1">
      <c r="A39" s="19" t="s">
        <v>65</v>
      </c>
      <c r="B39" s="20" t="s">
        <v>66</v>
      </c>
      <c r="C39" s="25">
        <v>11772</v>
      </c>
      <c r="D39" s="25">
        <v>9416</v>
      </c>
      <c r="E39" s="25">
        <v>9034</v>
      </c>
      <c r="F39" s="25">
        <v>530</v>
      </c>
      <c r="G39" s="25">
        <v>1417</v>
      </c>
      <c r="H39" s="25">
        <v>7140</v>
      </c>
      <c r="I39" s="25">
        <v>16</v>
      </c>
    </row>
    <row r="40" spans="1:9" ht="12.75" customHeight="1">
      <c r="A40" s="19" t="s">
        <v>67</v>
      </c>
      <c r="B40" s="20" t="s">
        <v>68</v>
      </c>
      <c r="C40" s="25">
        <v>12060</v>
      </c>
      <c r="D40" s="25">
        <v>7720</v>
      </c>
      <c r="E40" s="25">
        <v>5610</v>
      </c>
      <c r="F40" s="25">
        <v>572</v>
      </c>
      <c r="G40" s="25">
        <v>2569</v>
      </c>
      <c r="H40" s="25">
        <v>4917</v>
      </c>
      <c r="I40" s="25">
        <v>17</v>
      </c>
    </row>
    <row r="41" spans="1:9" ht="12.75" customHeight="1">
      <c r="A41" s="19" t="s">
        <v>69</v>
      </c>
      <c r="B41" s="20" t="s">
        <v>70</v>
      </c>
      <c r="C41" s="25">
        <v>10328</v>
      </c>
      <c r="D41" s="25">
        <v>1269</v>
      </c>
      <c r="E41" s="25">
        <v>1036</v>
      </c>
      <c r="F41" s="25">
        <v>1743</v>
      </c>
      <c r="G41" s="25">
        <v>3992</v>
      </c>
      <c r="H41" s="25">
        <v>854</v>
      </c>
      <c r="I41" s="25">
        <v>5</v>
      </c>
    </row>
    <row r="42" spans="1:9" ht="12.75" customHeight="1">
      <c r="A42" s="19" t="s">
        <v>71</v>
      </c>
      <c r="B42" s="20" t="s">
        <v>72</v>
      </c>
      <c r="C42" s="25">
        <v>11115</v>
      </c>
      <c r="D42" s="25">
        <v>6846</v>
      </c>
      <c r="E42" s="25">
        <v>6184</v>
      </c>
      <c r="F42" s="25">
        <v>826</v>
      </c>
      <c r="G42" s="25">
        <v>3412</v>
      </c>
      <c r="H42" s="25">
        <v>3358</v>
      </c>
      <c r="I42" s="25">
        <v>35</v>
      </c>
    </row>
    <row r="43" spans="1:9" ht="12.75" customHeight="1">
      <c r="A43" s="22"/>
      <c r="B43" s="23" t="s">
        <v>73</v>
      </c>
      <c r="C43" s="24">
        <f t="shared" ref="C43:I43" si="3">SUM(C31:C42)</f>
        <v>293302</v>
      </c>
      <c r="D43" s="24">
        <f t="shared" si="3"/>
        <v>159566</v>
      </c>
      <c r="E43" s="24">
        <f t="shared" si="3"/>
        <v>103139</v>
      </c>
      <c r="F43" s="24">
        <f t="shared" si="3"/>
        <v>11689</v>
      </c>
      <c r="G43" s="24">
        <f t="shared" si="3"/>
        <v>76646</v>
      </c>
      <c r="H43" s="24">
        <f t="shared" si="3"/>
        <v>102622</v>
      </c>
      <c r="I43" s="24">
        <f t="shared" si="3"/>
        <v>317</v>
      </c>
    </row>
    <row r="44" spans="1:9" ht="12.75" customHeight="1">
      <c r="A44" s="19" t="s">
        <v>74</v>
      </c>
      <c r="B44" s="20" t="s">
        <v>75</v>
      </c>
      <c r="C44" s="25">
        <v>15691</v>
      </c>
      <c r="D44" s="25">
        <v>3179</v>
      </c>
      <c r="E44" s="25">
        <v>2573</v>
      </c>
      <c r="F44" s="25">
        <v>2915</v>
      </c>
      <c r="G44" s="25">
        <v>7816</v>
      </c>
      <c r="H44" s="25">
        <v>2207</v>
      </c>
      <c r="I44" s="25">
        <v>30</v>
      </c>
    </row>
    <row r="45" spans="1:9" ht="12.75" customHeight="1">
      <c r="A45" s="19" t="s">
        <v>76</v>
      </c>
      <c r="B45" s="20" t="s">
        <v>77</v>
      </c>
      <c r="C45" s="25">
        <v>23903</v>
      </c>
      <c r="D45" s="25">
        <v>8420</v>
      </c>
      <c r="E45" s="25">
        <v>7501</v>
      </c>
      <c r="F45" s="25">
        <v>2880</v>
      </c>
      <c r="G45" s="25">
        <v>12585</v>
      </c>
      <c r="H45" s="25">
        <v>4403</v>
      </c>
      <c r="I45" s="25">
        <v>31</v>
      </c>
    </row>
    <row r="46" spans="1:9" ht="12.75" customHeight="1">
      <c r="A46" s="22"/>
      <c r="B46" s="23" t="s">
        <v>78</v>
      </c>
      <c r="C46" s="24">
        <f t="shared" ref="C46:I46" si="4">SUM(C44:C45)</f>
        <v>39594</v>
      </c>
      <c r="D46" s="24">
        <f t="shared" si="4"/>
        <v>11599</v>
      </c>
      <c r="E46" s="24">
        <f t="shared" si="4"/>
        <v>10074</v>
      </c>
      <c r="F46" s="24">
        <f t="shared" si="4"/>
        <v>5795</v>
      </c>
      <c r="G46" s="24">
        <f t="shared" si="4"/>
        <v>20401</v>
      </c>
      <c r="H46" s="24">
        <f t="shared" si="4"/>
        <v>6610</v>
      </c>
      <c r="I46" s="24">
        <f t="shared" si="4"/>
        <v>61</v>
      </c>
    </row>
    <row r="47" spans="1:9" ht="12.75" customHeight="1">
      <c r="A47" s="27" t="s">
        <v>79</v>
      </c>
      <c r="B47" s="20" t="s">
        <v>80</v>
      </c>
      <c r="C47" s="28">
        <v>1310</v>
      </c>
      <c r="D47" s="28">
        <v>192</v>
      </c>
      <c r="E47" s="28">
        <v>192</v>
      </c>
      <c r="F47" s="25">
        <v>245</v>
      </c>
      <c r="G47" s="25">
        <v>873</v>
      </c>
      <c r="H47" s="25">
        <v>642</v>
      </c>
      <c r="I47" s="25">
        <v>5</v>
      </c>
    </row>
    <row r="48" spans="1:9" ht="12.75" customHeight="1">
      <c r="A48" s="27" t="s">
        <v>81</v>
      </c>
      <c r="B48" s="20" t="s">
        <v>82</v>
      </c>
      <c r="C48" s="28">
        <v>13165</v>
      </c>
      <c r="D48" s="28">
        <v>2506</v>
      </c>
      <c r="E48" s="28">
        <v>2169</v>
      </c>
      <c r="F48" s="25">
        <v>1230</v>
      </c>
      <c r="G48" s="25">
        <v>8466</v>
      </c>
      <c r="H48" s="25">
        <v>2108</v>
      </c>
      <c r="I48" s="25">
        <v>9</v>
      </c>
    </row>
    <row r="49" spans="1:9" ht="12.75" customHeight="1">
      <c r="A49" s="27" t="s">
        <v>83</v>
      </c>
      <c r="B49" s="20" t="s">
        <v>84</v>
      </c>
      <c r="C49" s="28">
        <v>1852</v>
      </c>
      <c r="D49" s="28">
        <v>87</v>
      </c>
      <c r="E49" s="28">
        <v>11</v>
      </c>
      <c r="F49" s="25">
        <v>776</v>
      </c>
      <c r="G49" s="25">
        <v>989</v>
      </c>
      <c r="H49" s="25">
        <v>670</v>
      </c>
      <c r="I49" s="25">
        <v>4</v>
      </c>
    </row>
    <row r="50" spans="1:9" ht="12.75" customHeight="1">
      <c r="A50" s="27" t="s">
        <v>85</v>
      </c>
      <c r="B50" s="20" t="s">
        <v>86</v>
      </c>
      <c r="C50" s="28">
        <v>45466</v>
      </c>
      <c r="D50" s="28">
        <v>4682</v>
      </c>
      <c r="E50" s="28">
        <v>1993</v>
      </c>
      <c r="F50" s="25">
        <v>3921</v>
      </c>
      <c r="G50" s="25">
        <v>32857</v>
      </c>
      <c r="H50" s="25">
        <v>4049</v>
      </c>
      <c r="I50" s="25">
        <v>24</v>
      </c>
    </row>
    <row r="51" spans="1:9" ht="12.75" customHeight="1">
      <c r="A51" s="29"/>
      <c r="B51" s="23" t="s">
        <v>87</v>
      </c>
      <c r="C51" s="24">
        <f t="shared" ref="C51:I51" si="5">SUM(C47:C50)</f>
        <v>61793</v>
      </c>
      <c r="D51" s="24">
        <f t="shared" si="5"/>
        <v>7467</v>
      </c>
      <c r="E51" s="24">
        <f t="shared" si="5"/>
        <v>4365</v>
      </c>
      <c r="F51" s="24">
        <f t="shared" si="5"/>
        <v>6172</v>
      </c>
      <c r="G51" s="24">
        <f t="shared" si="5"/>
        <v>43185</v>
      </c>
      <c r="H51" s="24">
        <f t="shared" si="5"/>
        <v>7469</v>
      </c>
      <c r="I51" s="24">
        <f t="shared" si="5"/>
        <v>42</v>
      </c>
    </row>
    <row r="52" spans="1:9" ht="12.75" customHeight="1">
      <c r="A52" s="27" t="s">
        <v>88</v>
      </c>
      <c r="B52" s="20" t="s">
        <v>89</v>
      </c>
      <c r="C52" s="28">
        <v>16560</v>
      </c>
      <c r="D52" s="28">
        <v>2497</v>
      </c>
      <c r="E52" s="28">
        <v>1239</v>
      </c>
      <c r="F52" s="25">
        <v>1695</v>
      </c>
      <c r="G52" s="25">
        <v>12093</v>
      </c>
      <c r="H52" s="25">
        <v>356</v>
      </c>
      <c r="I52" s="25">
        <v>5</v>
      </c>
    </row>
    <row r="53" spans="1:9" ht="12.75" customHeight="1">
      <c r="A53" s="27" t="s">
        <v>90</v>
      </c>
      <c r="B53" s="20" t="s">
        <v>91</v>
      </c>
      <c r="C53" s="28">
        <v>53525</v>
      </c>
      <c r="D53" s="28">
        <v>32260</v>
      </c>
      <c r="E53" s="28">
        <v>18151</v>
      </c>
      <c r="F53" s="25">
        <v>2031</v>
      </c>
      <c r="G53" s="25">
        <v>12519</v>
      </c>
      <c r="H53" s="25">
        <v>6171</v>
      </c>
      <c r="I53" s="25">
        <v>28</v>
      </c>
    </row>
    <row r="54" spans="1:9" ht="12.75" customHeight="1">
      <c r="A54" s="27" t="s">
        <v>92</v>
      </c>
      <c r="B54" s="20" t="s">
        <v>93</v>
      </c>
      <c r="C54" s="28">
        <v>12387</v>
      </c>
      <c r="D54" s="28">
        <v>6873</v>
      </c>
      <c r="E54" s="28">
        <v>3142</v>
      </c>
      <c r="F54" s="25">
        <v>725</v>
      </c>
      <c r="G54" s="25">
        <v>3323</v>
      </c>
      <c r="H54" s="25">
        <v>4744</v>
      </c>
      <c r="I54" s="25">
        <v>5</v>
      </c>
    </row>
    <row r="55" spans="1:9" ht="12.75" customHeight="1">
      <c r="A55" s="27" t="s">
        <v>94</v>
      </c>
      <c r="B55" s="20" t="s">
        <v>95</v>
      </c>
      <c r="C55" s="28">
        <v>32710</v>
      </c>
      <c r="D55" s="28">
        <v>12940</v>
      </c>
      <c r="E55" s="28">
        <v>9121</v>
      </c>
      <c r="F55" s="25">
        <v>2930</v>
      </c>
      <c r="G55" s="25">
        <v>16486</v>
      </c>
      <c r="H55" s="25">
        <v>4547</v>
      </c>
      <c r="I55" s="25">
        <v>23</v>
      </c>
    </row>
    <row r="56" spans="1:9" ht="12.75" customHeight="1">
      <c r="A56" s="27" t="s">
        <v>96</v>
      </c>
      <c r="B56" s="20" t="s">
        <v>97</v>
      </c>
      <c r="C56" s="28">
        <v>62663</v>
      </c>
      <c r="D56" s="28">
        <v>39919</v>
      </c>
      <c r="E56" s="28">
        <v>10805</v>
      </c>
      <c r="F56" s="25">
        <v>1337</v>
      </c>
      <c r="G56" s="25">
        <v>15866</v>
      </c>
      <c r="H56" s="25">
        <v>3080</v>
      </c>
      <c r="I56" s="25">
        <v>28</v>
      </c>
    </row>
    <row r="57" spans="1:9" ht="12.75" customHeight="1">
      <c r="A57" s="27" t="s">
        <v>98</v>
      </c>
      <c r="B57" s="20" t="s">
        <v>99</v>
      </c>
      <c r="C57" s="28">
        <v>77157</v>
      </c>
      <c r="D57" s="28">
        <v>44209</v>
      </c>
      <c r="E57" s="28">
        <v>16570</v>
      </c>
      <c r="F57" s="25">
        <v>2201</v>
      </c>
      <c r="G57" s="25">
        <v>20885</v>
      </c>
      <c r="H57" s="25">
        <v>3888</v>
      </c>
      <c r="I57" s="25">
        <v>47</v>
      </c>
    </row>
    <row r="58" spans="1:9" ht="12.75" customHeight="1">
      <c r="A58" s="27" t="s">
        <v>100</v>
      </c>
      <c r="B58" s="20" t="s">
        <v>101</v>
      </c>
      <c r="C58" s="28">
        <v>30227</v>
      </c>
      <c r="D58" s="28">
        <v>15849</v>
      </c>
      <c r="E58" s="28">
        <v>12271</v>
      </c>
      <c r="F58" s="25">
        <v>1545</v>
      </c>
      <c r="G58" s="25">
        <v>8416</v>
      </c>
      <c r="H58" s="25">
        <v>10827</v>
      </c>
      <c r="I58" s="25">
        <v>39</v>
      </c>
    </row>
    <row r="59" spans="1:9" ht="12.75" customHeight="1">
      <c r="A59" s="29"/>
      <c r="B59" s="23" t="s">
        <v>102</v>
      </c>
      <c r="C59" s="24">
        <f t="shared" ref="C59:I59" si="6">SUM(C52:C58)</f>
        <v>285229</v>
      </c>
      <c r="D59" s="24">
        <f t="shared" si="6"/>
        <v>154547</v>
      </c>
      <c r="E59" s="24">
        <f t="shared" si="6"/>
        <v>71299</v>
      </c>
      <c r="F59" s="24">
        <f t="shared" si="6"/>
        <v>12464</v>
      </c>
      <c r="G59" s="24">
        <f t="shared" si="6"/>
        <v>89588</v>
      </c>
      <c r="H59" s="24">
        <f t="shared" si="6"/>
        <v>33613</v>
      </c>
      <c r="I59" s="24">
        <f t="shared" si="6"/>
        <v>175</v>
      </c>
    </row>
    <row r="60" spans="1:9" ht="12.75" customHeight="1">
      <c r="A60" s="27" t="s">
        <v>103</v>
      </c>
      <c r="B60" s="20" t="s">
        <v>104</v>
      </c>
      <c r="C60" s="28">
        <v>49196</v>
      </c>
      <c r="D60" s="28">
        <v>30317</v>
      </c>
      <c r="E60" s="28">
        <v>9735</v>
      </c>
      <c r="F60" s="25">
        <v>1224</v>
      </c>
      <c r="G60" s="25">
        <v>15836</v>
      </c>
      <c r="H60" s="25">
        <v>6542</v>
      </c>
      <c r="I60" s="25">
        <v>61</v>
      </c>
    </row>
    <row r="61" spans="1:9" ht="12.75" customHeight="1">
      <c r="A61" s="27" t="s">
        <v>105</v>
      </c>
      <c r="B61" s="20" t="s">
        <v>106</v>
      </c>
      <c r="C61" s="28">
        <v>18528</v>
      </c>
      <c r="D61" s="28">
        <v>9693</v>
      </c>
      <c r="E61" s="28">
        <v>8368</v>
      </c>
      <c r="F61" s="25">
        <v>900</v>
      </c>
      <c r="G61" s="25">
        <v>7760</v>
      </c>
      <c r="H61" s="25">
        <v>2070</v>
      </c>
      <c r="I61" s="25">
        <v>12</v>
      </c>
    </row>
    <row r="62" spans="1:9" ht="12.75" customHeight="1">
      <c r="A62" s="27" t="s">
        <v>107</v>
      </c>
      <c r="B62" s="20" t="s">
        <v>108</v>
      </c>
      <c r="C62" s="28">
        <v>44908</v>
      </c>
      <c r="D62" s="28">
        <v>30147</v>
      </c>
      <c r="E62" s="28">
        <v>7380</v>
      </c>
      <c r="F62" s="25">
        <v>1477</v>
      </c>
      <c r="G62" s="25">
        <v>12125</v>
      </c>
      <c r="H62" s="25">
        <v>7034</v>
      </c>
      <c r="I62" s="25">
        <v>21</v>
      </c>
    </row>
    <row r="63" spans="1:9" ht="12.75" customHeight="1">
      <c r="A63" s="27" t="s">
        <v>109</v>
      </c>
      <c r="B63" s="20" t="s">
        <v>110</v>
      </c>
      <c r="C63" s="28">
        <v>21720</v>
      </c>
      <c r="D63" s="28">
        <v>15953</v>
      </c>
      <c r="E63" s="28">
        <v>11955</v>
      </c>
      <c r="F63" s="25">
        <v>816</v>
      </c>
      <c r="G63" s="25">
        <v>4890</v>
      </c>
      <c r="H63" s="25">
        <v>8293</v>
      </c>
      <c r="I63" s="25">
        <v>32</v>
      </c>
    </row>
    <row r="64" spans="1:9" ht="12.75" customHeight="1">
      <c r="A64" s="27" t="s">
        <v>111</v>
      </c>
      <c r="B64" s="20" t="s">
        <v>112</v>
      </c>
      <c r="C64" s="28">
        <v>214993</v>
      </c>
      <c r="D64" s="28">
        <v>172347</v>
      </c>
      <c r="E64" s="28">
        <v>8122</v>
      </c>
      <c r="F64" s="25">
        <v>401</v>
      </c>
      <c r="G64" s="25">
        <v>21517</v>
      </c>
      <c r="H64" s="25">
        <v>3289</v>
      </c>
      <c r="I64" s="25">
        <v>28</v>
      </c>
    </row>
    <row r="65" spans="1:9" ht="12.75" customHeight="1">
      <c r="A65" s="27" t="s">
        <v>113</v>
      </c>
      <c r="B65" s="20" t="s">
        <v>114</v>
      </c>
      <c r="C65" s="28">
        <v>14033</v>
      </c>
      <c r="D65" s="28">
        <v>8462</v>
      </c>
      <c r="E65" s="28">
        <v>6694</v>
      </c>
      <c r="F65" s="25">
        <v>349</v>
      </c>
      <c r="G65" s="25">
        <v>3796</v>
      </c>
      <c r="H65" s="25">
        <v>2046</v>
      </c>
      <c r="I65" s="25">
        <v>15</v>
      </c>
    </row>
    <row r="66" spans="1:9" ht="12.75" customHeight="1">
      <c r="A66" s="27" t="s">
        <v>115</v>
      </c>
      <c r="B66" s="20" t="s">
        <v>116</v>
      </c>
      <c r="C66" s="28">
        <v>15824</v>
      </c>
      <c r="D66" s="28">
        <v>10400</v>
      </c>
      <c r="E66" s="28">
        <v>7087</v>
      </c>
      <c r="F66" s="25">
        <v>494</v>
      </c>
      <c r="G66" s="25">
        <v>2215</v>
      </c>
      <c r="H66" s="25">
        <v>6860</v>
      </c>
      <c r="I66" s="25">
        <v>15</v>
      </c>
    </row>
    <row r="67" spans="1:9" ht="12.75" customHeight="1">
      <c r="A67" s="27" t="s">
        <v>117</v>
      </c>
      <c r="B67" s="20" t="s">
        <v>118</v>
      </c>
      <c r="C67" s="28">
        <v>28158</v>
      </c>
      <c r="D67" s="28">
        <v>20123</v>
      </c>
      <c r="E67" s="28">
        <v>7653</v>
      </c>
      <c r="F67" s="25">
        <v>726</v>
      </c>
      <c r="G67" s="25">
        <v>5774</v>
      </c>
      <c r="H67" s="25">
        <v>4819</v>
      </c>
      <c r="I67" s="25">
        <v>15</v>
      </c>
    </row>
    <row r="68" spans="1:9" ht="12.75" customHeight="1">
      <c r="A68" s="27" t="s">
        <v>119</v>
      </c>
      <c r="B68" s="20" t="s">
        <v>120</v>
      </c>
      <c r="C68" s="28">
        <v>14488</v>
      </c>
      <c r="D68" s="28">
        <v>9267</v>
      </c>
      <c r="E68" s="28">
        <v>5373</v>
      </c>
      <c r="F68" s="25">
        <v>612</v>
      </c>
      <c r="G68" s="25">
        <v>2714</v>
      </c>
      <c r="H68" s="25">
        <v>734</v>
      </c>
      <c r="I68" s="25">
        <v>25</v>
      </c>
    </row>
    <row r="69" spans="1:9" ht="12.75" customHeight="1">
      <c r="A69" s="22"/>
      <c r="B69" s="23" t="s">
        <v>121</v>
      </c>
      <c r="C69" s="24">
        <f t="shared" ref="C69:I69" si="7">SUM(C60:C68)</f>
        <v>421848</v>
      </c>
      <c r="D69" s="24">
        <f t="shared" si="7"/>
        <v>306709</v>
      </c>
      <c r="E69" s="24">
        <f t="shared" si="7"/>
        <v>72367</v>
      </c>
      <c r="F69" s="24">
        <f t="shared" si="7"/>
        <v>6999</v>
      </c>
      <c r="G69" s="24">
        <f t="shared" si="7"/>
        <v>76627</v>
      </c>
      <c r="H69" s="24">
        <f t="shared" si="7"/>
        <v>41687</v>
      </c>
      <c r="I69" s="24">
        <f t="shared" si="7"/>
        <v>224</v>
      </c>
    </row>
    <row r="70" spans="1:9" ht="12.75" customHeight="1">
      <c r="A70" s="27" t="s">
        <v>122</v>
      </c>
      <c r="B70" s="20" t="s">
        <v>123</v>
      </c>
      <c r="C70" s="28">
        <v>23105</v>
      </c>
      <c r="D70" s="28">
        <v>12824</v>
      </c>
      <c r="E70" s="28">
        <v>8919</v>
      </c>
      <c r="F70" s="25">
        <v>1501</v>
      </c>
      <c r="G70" s="25">
        <v>6926</v>
      </c>
      <c r="H70" s="25">
        <v>4266</v>
      </c>
      <c r="I70" s="25">
        <v>21</v>
      </c>
    </row>
    <row r="71" spans="1:9" ht="12.75" customHeight="1">
      <c r="A71" s="27" t="s">
        <v>124</v>
      </c>
      <c r="B71" s="20" t="s">
        <v>125</v>
      </c>
      <c r="C71" s="28">
        <v>40492</v>
      </c>
      <c r="D71" s="28">
        <v>21557</v>
      </c>
      <c r="E71" s="28">
        <v>19687</v>
      </c>
      <c r="F71" s="25">
        <v>2144</v>
      </c>
      <c r="G71" s="25">
        <v>8858</v>
      </c>
      <c r="H71" s="25">
        <v>3946</v>
      </c>
      <c r="I71" s="25">
        <v>45</v>
      </c>
    </row>
    <row r="72" spans="1:9" ht="12.75" customHeight="1">
      <c r="A72" s="27" t="s">
        <v>126</v>
      </c>
      <c r="B72" s="20" t="s">
        <v>127</v>
      </c>
      <c r="C72" s="28">
        <v>13408</v>
      </c>
      <c r="D72" s="28">
        <v>4180</v>
      </c>
      <c r="E72" s="28">
        <v>3947</v>
      </c>
      <c r="F72" s="25">
        <v>2087</v>
      </c>
      <c r="G72" s="25">
        <v>6638</v>
      </c>
      <c r="H72" s="25">
        <v>683</v>
      </c>
      <c r="I72" s="25">
        <v>10</v>
      </c>
    </row>
    <row r="73" spans="1:9" ht="12.75" customHeight="1">
      <c r="A73" s="27" t="s">
        <v>128</v>
      </c>
      <c r="B73" s="20" t="s">
        <v>129</v>
      </c>
      <c r="C73" s="28">
        <v>14834</v>
      </c>
      <c r="D73" s="28">
        <v>4042</v>
      </c>
      <c r="E73" s="28">
        <v>3886</v>
      </c>
      <c r="F73" s="25">
        <v>1416</v>
      </c>
      <c r="G73" s="25">
        <v>9217</v>
      </c>
      <c r="H73" s="25">
        <v>1393</v>
      </c>
      <c r="I73" s="25">
        <v>23</v>
      </c>
    </row>
    <row r="74" spans="1:9" ht="12.75" customHeight="1">
      <c r="A74" s="27" t="s">
        <v>130</v>
      </c>
      <c r="B74" s="20" t="s">
        <v>131</v>
      </c>
      <c r="C74" s="28">
        <v>17488</v>
      </c>
      <c r="D74" s="28">
        <v>6784</v>
      </c>
      <c r="E74" s="28">
        <v>6171</v>
      </c>
      <c r="F74" s="25">
        <v>1526</v>
      </c>
      <c r="G74" s="25">
        <v>5520</v>
      </c>
      <c r="H74" s="25">
        <v>2750</v>
      </c>
      <c r="I74" s="25">
        <v>23</v>
      </c>
    </row>
    <row r="75" spans="1:9" ht="12.75" customHeight="1">
      <c r="A75" s="27" t="s">
        <v>132</v>
      </c>
      <c r="B75" s="20" t="s">
        <v>133</v>
      </c>
      <c r="C75" s="28">
        <v>7391</v>
      </c>
      <c r="D75" s="28">
        <v>2132</v>
      </c>
      <c r="E75" s="28">
        <v>1434</v>
      </c>
      <c r="F75" s="25">
        <v>1163</v>
      </c>
      <c r="G75" s="25">
        <v>1434</v>
      </c>
      <c r="H75" s="25">
        <v>5459</v>
      </c>
      <c r="I75" s="25">
        <v>10</v>
      </c>
    </row>
    <row r="76" spans="1:9" ht="12.75" customHeight="1">
      <c r="A76" s="30" t="s">
        <v>134</v>
      </c>
      <c r="B76" s="20" t="s">
        <v>135</v>
      </c>
      <c r="C76" s="28">
        <v>14689</v>
      </c>
      <c r="D76" s="28">
        <v>9719</v>
      </c>
      <c r="E76" s="28">
        <v>8461</v>
      </c>
      <c r="F76" s="25">
        <v>909</v>
      </c>
      <c r="G76" s="25">
        <v>3775</v>
      </c>
      <c r="H76" s="25">
        <v>1243</v>
      </c>
      <c r="I76" s="25">
        <v>22</v>
      </c>
    </row>
    <row r="77" spans="1:9" ht="12.75" customHeight="1">
      <c r="A77" s="30" t="s">
        <v>136</v>
      </c>
      <c r="B77" s="20" t="s">
        <v>137</v>
      </c>
      <c r="C77" s="28">
        <v>23969</v>
      </c>
      <c r="D77" s="28">
        <v>4833</v>
      </c>
      <c r="E77" s="28">
        <v>3702</v>
      </c>
      <c r="F77" s="25">
        <v>1350</v>
      </c>
      <c r="G77" s="25">
        <v>7349</v>
      </c>
      <c r="H77" s="25">
        <v>1824</v>
      </c>
      <c r="I77" s="25">
        <v>18</v>
      </c>
    </row>
    <row r="78" spans="1:9" ht="12.75" customHeight="1">
      <c r="A78" s="30" t="s">
        <v>138</v>
      </c>
      <c r="B78" s="20" t="s">
        <v>139</v>
      </c>
      <c r="C78" s="28">
        <v>4979</v>
      </c>
      <c r="D78" s="28">
        <v>3549</v>
      </c>
      <c r="E78" s="28">
        <v>3549</v>
      </c>
      <c r="F78" s="25">
        <v>545</v>
      </c>
      <c r="G78" s="25">
        <v>885</v>
      </c>
      <c r="H78" s="25">
        <v>721</v>
      </c>
      <c r="I78" s="25">
        <v>7</v>
      </c>
    </row>
    <row r="79" spans="1:9" ht="12.75" customHeight="1">
      <c r="A79" s="30" t="s">
        <v>140</v>
      </c>
      <c r="B79" s="20" t="s">
        <v>141</v>
      </c>
      <c r="C79" s="28">
        <v>15649</v>
      </c>
      <c r="D79" s="28">
        <v>4431</v>
      </c>
      <c r="E79" s="28">
        <v>3761</v>
      </c>
      <c r="F79" s="25">
        <v>1043</v>
      </c>
      <c r="G79" s="25">
        <v>7596</v>
      </c>
      <c r="H79" s="25">
        <v>1258</v>
      </c>
      <c r="I79" s="25">
        <v>18</v>
      </c>
    </row>
    <row r="80" spans="1:9" ht="12.75" customHeight="1">
      <c r="A80" s="31"/>
      <c r="B80" s="23" t="s">
        <v>142</v>
      </c>
      <c r="C80" s="24">
        <f t="shared" ref="C80:I80" si="8">SUM(C70:C79)</f>
        <v>176004</v>
      </c>
      <c r="D80" s="24">
        <f t="shared" si="8"/>
        <v>74051</v>
      </c>
      <c r="E80" s="24">
        <f t="shared" si="8"/>
        <v>63517</v>
      </c>
      <c r="F80" s="24">
        <f t="shared" si="8"/>
        <v>13684</v>
      </c>
      <c r="G80" s="24">
        <f t="shared" si="8"/>
        <v>58198</v>
      </c>
      <c r="H80" s="24">
        <f t="shared" si="8"/>
        <v>23543</v>
      </c>
      <c r="I80" s="24">
        <f t="shared" si="8"/>
        <v>197</v>
      </c>
    </row>
    <row r="81" spans="1:9" ht="12.75" customHeight="1">
      <c r="A81" s="30" t="s">
        <v>143</v>
      </c>
      <c r="B81" s="20" t="s">
        <v>144</v>
      </c>
      <c r="C81" s="21">
        <v>34502</v>
      </c>
      <c r="D81" s="21">
        <v>21715</v>
      </c>
      <c r="E81" s="21">
        <v>7509</v>
      </c>
      <c r="F81" s="25">
        <v>794</v>
      </c>
      <c r="G81" s="25">
        <v>8058</v>
      </c>
      <c r="H81" s="25">
        <v>3474</v>
      </c>
      <c r="I81" s="25">
        <v>23</v>
      </c>
    </row>
    <row r="82" spans="1:9" ht="12.75" customHeight="1">
      <c r="A82" s="30" t="s">
        <v>145</v>
      </c>
      <c r="B82" s="20" t="s">
        <v>146</v>
      </c>
      <c r="C82" s="21">
        <v>11208</v>
      </c>
      <c r="D82" s="21">
        <v>7261</v>
      </c>
      <c r="E82" s="21">
        <v>5062</v>
      </c>
      <c r="F82" s="25">
        <v>362</v>
      </c>
      <c r="G82" s="25">
        <v>2618</v>
      </c>
      <c r="H82" s="25">
        <v>3047</v>
      </c>
      <c r="I82" s="25">
        <v>9</v>
      </c>
    </row>
    <row r="83" spans="1:9" ht="12.75" customHeight="1">
      <c r="A83" s="30" t="s">
        <v>147</v>
      </c>
      <c r="B83" s="20" t="s">
        <v>148</v>
      </c>
      <c r="C83" s="21">
        <v>3979</v>
      </c>
      <c r="D83" s="21">
        <v>1028</v>
      </c>
      <c r="E83" s="21">
        <v>916</v>
      </c>
      <c r="F83" s="25">
        <v>307</v>
      </c>
      <c r="G83" s="25">
        <v>890</v>
      </c>
      <c r="H83" s="25">
        <v>466</v>
      </c>
      <c r="I83" s="25">
        <v>4</v>
      </c>
    </row>
    <row r="84" spans="1:9" ht="12.75" customHeight="1">
      <c r="A84" s="30" t="s">
        <v>149</v>
      </c>
      <c r="B84" s="20" t="s">
        <v>150</v>
      </c>
      <c r="C84" s="21">
        <v>19346</v>
      </c>
      <c r="D84" s="21">
        <v>9878</v>
      </c>
      <c r="E84" s="21">
        <v>3888</v>
      </c>
      <c r="F84" s="25">
        <v>1501</v>
      </c>
      <c r="G84" s="25">
        <v>7821</v>
      </c>
      <c r="H84" s="25">
        <v>1813</v>
      </c>
      <c r="I84" s="25">
        <v>11</v>
      </c>
    </row>
    <row r="85" spans="1:9" ht="12.75" customHeight="1">
      <c r="A85" s="30" t="s">
        <v>151</v>
      </c>
      <c r="B85" s="20" t="s">
        <v>152</v>
      </c>
      <c r="C85" s="21">
        <v>14759</v>
      </c>
      <c r="D85" s="21">
        <v>6451</v>
      </c>
      <c r="E85" s="21">
        <v>4660</v>
      </c>
      <c r="F85" s="25">
        <v>759</v>
      </c>
      <c r="G85" s="25">
        <v>5610</v>
      </c>
      <c r="H85" s="25">
        <v>1369</v>
      </c>
      <c r="I85" s="25">
        <v>18</v>
      </c>
    </row>
    <row r="86" spans="1:9" ht="12.75" customHeight="1">
      <c r="A86" s="31"/>
      <c r="B86" s="23" t="s">
        <v>153</v>
      </c>
      <c r="C86" s="24">
        <f t="shared" ref="C86:I86" si="9">SUM(C81:C85)</f>
        <v>83794</v>
      </c>
      <c r="D86" s="24">
        <f t="shared" si="9"/>
        <v>46333</v>
      </c>
      <c r="E86" s="24">
        <f t="shared" si="9"/>
        <v>22035</v>
      </c>
      <c r="F86" s="24">
        <f t="shared" si="9"/>
        <v>3723</v>
      </c>
      <c r="G86" s="24">
        <f t="shared" si="9"/>
        <v>24997</v>
      </c>
      <c r="H86" s="24">
        <f t="shared" si="9"/>
        <v>10169</v>
      </c>
      <c r="I86" s="24">
        <f t="shared" si="9"/>
        <v>65</v>
      </c>
    </row>
    <row r="87" spans="1:9" ht="12.75" customHeight="1">
      <c r="A87" s="30" t="s">
        <v>154</v>
      </c>
      <c r="B87" s="20" t="s">
        <v>155</v>
      </c>
      <c r="C87" s="21">
        <v>38468</v>
      </c>
      <c r="D87" s="21">
        <v>15865</v>
      </c>
      <c r="E87" s="21">
        <v>14324</v>
      </c>
      <c r="F87" s="25">
        <v>1865</v>
      </c>
      <c r="G87" s="25">
        <v>15772</v>
      </c>
      <c r="H87" s="25">
        <v>4464</v>
      </c>
      <c r="I87" s="25">
        <v>35</v>
      </c>
    </row>
    <row r="88" spans="1:9" ht="12.75" customHeight="1">
      <c r="A88" s="30" t="s">
        <v>156</v>
      </c>
      <c r="B88" s="20" t="s">
        <v>157</v>
      </c>
      <c r="C88" s="21">
        <v>25129</v>
      </c>
      <c r="D88" s="21">
        <v>9127</v>
      </c>
      <c r="E88" s="21">
        <v>8684</v>
      </c>
      <c r="F88" s="25">
        <v>700</v>
      </c>
      <c r="G88" s="25">
        <v>4274</v>
      </c>
      <c r="H88" s="25">
        <v>1883</v>
      </c>
      <c r="I88" s="25">
        <v>14</v>
      </c>
    </row>
    <row r="89" spans="1:9" ht="12.75" customHeight="1">
      <c r="A89" s="31"/>
      <c r="B89" s="23" t="s">
        <v>158</v>
      </c>
      <c r="C89" s="24">
        <f t="shared" ref="C89:I89" si="10">SUM(C87:C88)</f>
        <v>63597</v>
      </c>
      <c r="D89" s="24">
        <f t="shared" si="10"/>
        <v>24992</v>
      </c>
      <c r="E89" s="24">
        <f t="shared" si="10"/>
        <v>23008</v>
      </c>
      <c r="F89" s="24">
        <f t="shared" si="10"/>
        <v>2565</v>
      </c>
      <c r="G89" s="24">
        <f t="shared" si="10"/>
        <v>20046</v>
      </c>
      <c r="H89" s="24">
        <f t="shared" si="10"/>
        <v>6347</v>
      </c>
      <c r="I89" s="24">
        <f t="shared" si="10"/>
        <v>49</v>
      </c>
    </row>
    <row r="90" spans="1:9" ht="12.75" customHeight="1">
      <c r="A90" s="30" t="s">
        <v>159</v>
      </c>
      <c r="B90" s="20" t="s">
        <v>160</v>
      </c>
      <c r="C90" s="21">
        <v>51635</v>
      </c>
      <c r="D90" s="21">
        <v>21113</v>
      </c>
      <c r="E90" s="21">
        <v>12312</v>
      </c>
      <c r="F90" s="25">
        <v>1814</v>
      </c>
      <c r="G90" s="25">
        <v>15586</v>
      </c>
      <c r="H90" s="25">
        <v>2245</v>
      </c>
      <c r="I90" s="25">
        <v>32</v>
      </c>
    </row>
    <row r="91" spans="1:9" ht="12.75" customHeight="1">
      <c r="A91" s="30" t="s">
        <v>161</v>
      </c>
      <c r="B91" s="20" t="s">
        <v>162</v>
      </c>
      <c r="C91" s="21">
        <v>27699</v>
      </c>
      <c r="D91" s="21">
        <v>8003</v>
      </c>
      <c r="E91" s="21">
        <v>7330</v>
      </c>
      <c r="F91" s="25">
        <v>2728</v>
      </c>
      <c r="G91" s="25">
        <v>9625</v>
      </c>
      <c r="H91" s="25">
        <v>2077</v>
      </c>
      <c r="I91" s="25">
        <v>27</v>
      </c>
    </row>
    <row r="92" spans="1:9" ht="12.75" customHeight="1">
      <c r="A92" s="30" t="s">
        <v>163</v>
      </c>
      <c r="B92" s="20" t="s">
        <v>164</v>
      </c>
      <c r="C92" s="21">
        <v>10947</v>
      </c>
      <c r="D92" s="21">
        <v>4034</v>
      </c>
      <c r="E92" s="21">
        <v>3988</v>
      </c>
      <c r="F92" s="25">
        <v>987</v>
      </c>
      <c r="G92" s="25">
        <v>5840</v>
      </c>
      <c r="H92" s="25">
        <v>177</v>
      </c>
      <c r="I92" s="25">
        <v>9</v>
      </c>
    </row>
    <row r="93" spans="1:9" ht="12.75" customHeight="1">
      <c r="A93" s="30" t="s">
        <v>165</v>
      </c>
      <c r="B93" s="20" t="s">
        <v>166</v>
      </c>
      <c r="C93" s="21">
        <v>392897</v>
      </c>
      <c r="D93" s="21">
        <v>274875</v>
      </c>
      <c r="E93" s="21">
        <v>129356</v>
      </c>
      <c r="F93" s="25">
        <v>7192</v>
      </c>
      <c r="G93" s="25">
        <v>44144</v>
      </c>
      <c r="H93" s="25">
        <v>20269</v>
      </c>
      <c r="I93" s="25">
        <v>208</v>
      </c>
    </row>
    <row r="94" spans="1:9" ht="12.75" customHeight="1">
      <c r="A94" s="30" t="s">
        <v>167</v>
      </c>
      <c r="B94" s="20" t="s">
        <v>168</v>
      </c>
      <c r="C94" s="21">
        <v>24432</v>
      </c>
      <c r="D94" s="21">
        <v>6156</v>
      </c>
      <c r="E94" s="21">
        <v>5495</v>
      </c>
      <c r="F94" s="25">
        <v>1655</v>
      </c>
      <c r="G94" s="25">
        <v>9374</v>
      </c>
      <c r="H94" s="25">
        <v>911</v>
      </c>
      <c r="I94" s="25">
        <v>12</v>
      </c>
    </row>
    <row r="95" spans="1:9" ht="12.75" customHeight="1">
      <c r="A95" s="31"/>
      <c r="B95" s="23" t="s">
        <v>169</v>
      </c>
      <c r="C95" s="24">
        <f t="shared" ref="C95:I95" si="11">SUM(C90:C94)</f>
        <v>507610</v>
      </c>
      <c r="D95" s="24">
        <f t="shared" si="11"/>
        <v>314181</v>
      </c>
      <c r="E95" s="24">
        <f t="shared" si="11"/>
        <v>158481</v>
      </c>
      <c r="F95" s="24">
        <f t="shared" si="11"/>
        <v>14376</v>
      </c>
      <c r="G95" s="24">
        <f t="shared" si="11"/>
        <v>84569</v>
      </c>
      <c r="H95" s="24">
        <f t="shared" si="11"/>
        <v>25679</v>
      </c>
      <c r="I95" s="24">
        <f t="shared" si="11"/>
        <v>288</v>
      </c>
    </row>
    <row r="96" spans="1:9" ht="12.75" customHeight="1">
      <c r="A96" s="30" t="s">
        <v>170</v>
      </c>
      <c r="B96" s="20" t="s">
        <v>171</v>
      </c>
      <c r="C96" s="21">
        <v>5651</v>
      </c>
      <c r="D96" s="21">
        <v>2823</v>
      </c>
      <c r="E96" s="21">
        <v>2640</v>
      </c>
      <c r="F96" s="25">
        <v>239</v>
      </c>
      <c r="G96" s="25">
        <v>2590</v>
      </c>
      <c r="H96" s="25">
        <v>4595</v>
      </c>
      <c r="I96" s="25">
        <v>12</v>
      </c>
    </row>
    <row r="97" spans="1:9" ht="12.75" customHeight="1">
      <c r="A97" s="30" t="s">
        <v>172</v>
      </c>
      <c r="B97" s="20" t="s">
        <v>173</v>
      </c>
      <c r="C97" s="21">
        <v>4170</v>
      </c>
      <c r="D97" s="21">
        <v>978</v>
      </c>
      <c r="E97" s="21">
        <v>563</v>
      </c>
      <c r="F97" s="25">
        <v>127</v>
      </c>
      <c r="G97" s="25">
        <v>1363</v>
      </c>
      <c r="H97" s="25">
        <v>193</v>
      </c>
      <c r="I97" s="25">
        <v>1</v>
      </c>
    </row>
    <row r="98" spans="1:9" ht="12.75" customHeight="1">
      <c r="A98" s="31"/>
      <c r="B98" s="23" t="s">
        <v>174</v>
      </c>
      <c r="C98" s="24">
        <f t="shared" ref="C98:I98" si="12">SUM(C96:C97)</f>
        <v>9821</v>
      </c>
      <c r="D98" s="24">
        <f t="shared" si="12"/>
        <v>3801</v>
      </c>
      <c r="E98" s="24">
        <f t="shared" si="12"/>
        <v>3203</v>
      </c>
      <c r="F98" s="24">
        <f t="shared" si="12"/>
        <v>366</v>
      </c>
      <c r="G98" s="24">
        <f t="shared" si="12"/>
        <v>3953</v>
      </c>
      <c r="H98" s="24">
        <f t="shared" si="12"/>
        <v>4788</v>
      </c>
      <c r="I98" s="24">
        <f t="shared" si="12"/>
        <v>13</v>
      </c>
    </row>
    <row r="99" spans="1:9" ht="12.75" customHeight="1">
      <c r="A99" s="30" t="s">
        <v>175</v>
      </c>
      <c r="B99" s="20" t="s">
        <v>176</v>
      </c>
      <c r="C99" s="21">
        <v>20040</v>
      </c>
      <c r="D99" s="21">
        <v>10256</v>
      </c>
      <c r="E99" s="21">
        <v>3898</v>
      </c>
      <c r="F99" s="25">
        <v>1137</v>
      </c>
      <c r="G99" s="25">
        <v>6395</v>
      </c>
      <c r="H99" s="25">
        <v>2563</v>
      </c>
      <c r="I99" s="25">
        <v>23</v>
      </c>
    </row>
    <row r="100" spans="1:9" ht="12.75" customHeight="1">
      <c r="A100" s="30" t="s">
        <v>177</v>
      </c>
      <c r="B100" s="20" t="s">
        <v>178</v>
      </c>
      <c r="C100" s="21">
        <v>7800</v>
      </c>
      <c r="D100" s="21">
        <v>4186</v>
      </c>
      <c r="E100" s="21">
        <v>3054</v>
      </c>
      <c r="F100" s="25">
        <v>562</v>
      </c>
      <c r="G100" s="25">
        <v>2985</v>
      </c>
      <c r="H100" s="25">
        <v>1258</v>
      </c>
      <c r="I100" s="25">
        <v>20</v>
      </c>
    </row>
    <row r="101" spans="1:9" ht="12.75" customHeight="1">
      <c r="A101" s="30" t="s">
        <v>179</v>
      </c>
      <c r="B101" s="20" t="s">
        <v>180</v>
      </c>
      <c r="C101" s="21">
        <v>22592</v>
      </c>
      <c r="D101" s="21">
        <v>10874</v>
      </c>
      <c r="E101" s="21">
        <v>1966</v>
      </c>
      <c r="F101" s="25">
        <v>1845</v>
      </c>
      <c r="G101" s="25">
        <v>7852</v>
      </c>
      <c r="H101" s="25">
        <v>1725</v>
      </c>
      <c r="I101" s="25">
        <v>12</v>
      </c>
    </row>
    <row r="102" spans="1:9" ht="12.75" customHeight="1">
      <c r="A102" s="30" t="s">
        <v>181</v>
      </c>
      <c r="B102" s="20" t="s">
        <v>182</v>
      </c>
      <c r="C102" s="21">
        <v>11467</v>
      </c>
      <c r="D102" s="21">
        <v>6832</v>
      </c>
      <c r="E102" s="21">
        <v>5571</v>
      </c>
      <c r="F102" s="25">
        <v>635</v>
      </c>
      <c r="G102" s="25">
        <v>3931</v>
      </c>
      <c r="H102" s="25">
        <v>3226</v>
      </c>
      <c r="I102" s="25">
        <v>18</v>
      </c>
    </row>
    <row r="103" spans="1:9" ht="12.75" customHeight="1">
      <c r="A103" s="31"/>
      <c r="B103" s="23" t="s">
        <v>183</v>
      </c>
      <c r="C103" s="24">
        <f t="shared" ref="C103:I103" si="13">SUM(C99:C102)</f>
        <v>61899</v>
      </c>
      <c r="D103" s="24">
        <f t="shared" si="13"/>
        <v>32148</v>
      </c>
      <c r="E103" s="24">
        <f t="shared" si="13"/>
        <v>14489</v>
      </c>
      <c r="F103" s="24">
        <f t="shared" si="13"/>
        <v>4179</v>
      </c>
      <c r="G103" s="24">
        <f t="shared" si="13"/>
        <v>21163</v>
      </c>
      <c r="H103" s="24">
        <f t="shared" si="13"/>
        <v>8772</v>
      </c>
      <c r="I103" s="24">
        <f t="shared" si="13"/>
        <v>73</v>
      </c>
    </row>
    <row r="104" spans="1:9" ht="12.75" customHeight="1">
      <c r="A104" s="30" t="s">
        <v>184</v>
      </c>
      <c r="B104" s="20" t="s">
        <v>185</v>
      </c>
      <c r="C104" s="21">
        <v>15063</v>
      </c>
      <c r="D104" s="21">
        <v>5497</v>
      </c>
      <c r="E104" s="21">
        <v>1301</v>
      </c>
      <c r="F104" s="25">
        <v>664</v>
      </c>
      <c r="G104" s="25">
        <v>3407</v>
      </c>
      <c r="H104" s="25">
        <v>4269</v>
      </c>
      <c r="I104" s="25">
        <v>13</v>
      </c>
    </row>
    <row r="105" spans="1:9" ht="12.75" customHeight="1">
      <c r="A105" s="30" t="s">
        <v>186</v>
      </c>
      <c r="B105" s="20" t="s">
        <v>187</v>
      </c>
      <c r="C105" s="21">
        <v>15557</v>
      </c>
      <c r="D105" s="21">
        <v>4027</v>
      </c>
      <c r="E105" s="21">
        <v>1581</v>
      </c>
      <c r="F105" s="25">
        <v>966</v>
      </c>
      <c r="G105" s="25">
        <v>3382</v>
      </c>
      <c r="H105" s="25">
        <v>972</v>
      </c>
      <c r="I105" s="25">
        <v>10</v>
      </c>
    </row>
    <row r="106" spans="1:9" ht="12.75" customHeight="1">
      <c r="A106" s="30" t="s">
        <v>188</v>
      </c>
      <c r="B106" s="20" t="s">
        <v>189</v>
      </c>
      <c r="C106" s="21">
        <v>84899</v>
      </c>
      <c r="D106" s="21">
        <v>43976</v>
      </c>
      <c r="E106" s="21">
        <v>12879</v>
      </c>
      <c r="F106" s="25">
        <v>2641</v>
      </c>
      <c r="G106" s="25">
        <v>10934</v>
      </c>
      <c r="H106" s="25">
        <v>3039</v>
      </c>
      <c r="I106" s="25">
        <v>28</v>
      </c>
    </row>
    <row r="107" spans="1:9" ht="12.75" customHeight="1">
      <c r="A107" s="30" t="s">
        <v>190</v>
      </c>
      <c r="B107" s="20" t="s">
        <v>191</v>
      </c>
      <c r="C107" s="21">
        <v>236128</v>
      </c>
      <c r="D107" s="21">
        <v>116283</v>
      </c>
      <c r="E107" s="21">
        <v>15737</v>
      </c>
      <c r="F107" s="25">
        <v>17099</v>
      </c>
      <c r="G107" s="25">
        <v>14915</v>
      </c>
      <c r="H107" s="25">
        <v>12932</v>
      </c>
      <c r="I107" s="25">
        <v>50</v>
      </c>
    </row>
    <row r="108" spans="1:9" ht="12.75" customHeight="1">
      <c r="A108" s="30" t="s">
        <v>192</v>
      </c>
      <c r="B108" s="20" t="s">
        <v>193</v>
      </c>
      <c r="C108" s="21">
        <v>78466</v>
      </c>
      <c r="D108" s="21">
        <v>24793</v>
      </c>
      <c r="E108" s="21">
        <v>7069</v>
      </c>
      <c r="F108" s="25">
        <v>5848</v>
      </c>
      <c r="G108" s="25">
        <v>9820</v>
      </c>
      <c r="H108" s="25">
        <v>5625</v>
      </c>
      <c r="I108" s="25">
        <v>33</v>
      </c>
    </row>
    <row r="109" spans="1:9" ht="12.75" customHeight="1">
      <c r="A109" s="31"/>
      <c r="B109" s="23" t="s">
        <v>194</v>
      </c>
      <c r="C109" s="24">
        <f t="shared" ref="C109:I109" si="14">SUM(C104:C108)</f>
        <v>430113</v>
      </c>
      <c r="D109" s="24">
        <f t="shared" si="14"/>
        <v>194576</v>
      </c>
      <c r="E109" s="24">
        <f t="shared" si="14"/>
        <v>38567</v>
      </c>
      <c r="F109" s="24">
        <f t="shared" si="14"/>
        <v>27218</v>
      </c>
      <c r="G109" s="24">
        <f t="shared" si="14"/>
        <v>42458</v>
      </c>
      <c r="H109" s="24">
        <f t="shared" si="14"/>
        <v>26837</v>
      </c>
      <c r="I109" s="24">
        <f t="shared" si="14"/>
        <v>134</v>
      </c>
    </row>
    <row r="110" spans="1:9" ht="12.75" customHeight="1">
      <c r="A110" s="19" t="s">
        <v>195</v>
      </c>
      <c r="B110" s="20" t="s">
        <v>196</v>
      </c>
      <c r="C110" s="21">
        <v>49078</v>
      </c>
      <c r="D110" s="21">
        <v>26218</v>
      </c>
      <c r="E110" s="21">
        <v>16721</v>
      </c>
      <c r="F110" s="25">
        <v>4210</v>
      </c>
      <c r="G110" s="25">
        <v>10311</v>
      </c>
      <c r="H110" s="25">
        <v>6170</v>
      </c>
      <c r="I110" s="25">
        <v>50</v>
      </c>
    </row>
    <row r="111" spans="1:9" ht="12.75" customHeight="1">
      <c r="A111" s="19" t="s">
        <v>197</v>
      </c>
      <c r="B111" s="20" t="s">
        <v>198</v>
      </c>
      <c r="C111" s="21">
        <v>5282</v>
      </c>
      <c r="D111" s="21">
        <v>3017</v>
      </c>
      <c r="E111" s="21">
        <v>2977</v>
      </c>
      <c r="F111" s="25">
        <v>486</v>
      </c>
      <c r="G111" s="25">
        <v>1741</v>
      </c>
      <c r="H111" s="25">
        <v>288</v>
      </c>
      <c r="I111" s="25">
        <v>5</v>
      </c>
    </row>
    <row r="112" spans="1:9" ht="12.75" customHeight="1">
      <c r="A112" s="19" t="s">
        <v>199</v>
      </c>
      <c r="B112" s="20" t="s">
        <v>200</v>
      </c>
      <c r="C112" s="21">
        <v>13544</v>
      </c>
      <c r="D112" s="21">
        <v>6568</v>
      </c>
      <c r="E112" s="21">
        <v>4223</v>
      </c>
      <c r="F112" s="25">
        <v>2187</v>
      </c>
      <c r="G112" s="25">
        <v>3270</v>
      </c>
      <c r="H112" s="25">
        <v>1255</v>
      </c>
      <c r="I112" s="25">
        <v>22</v>
      </c>
    </row>
    <row r="113" spans="1:9" ht="12.75" customHeight="1">
      <c r="A113" s="19" t="s">
        <v>201</v>
      </c>
      <c r="B113" s="20" t="s">
        <v>202</v>
      </c>
      <c r="C113" s="21">
        <v>36370</v>
      </c>
      <c r="D113" s="21">
        <v>17235</v>
      </c>
      <c r="E113" s="21">
        <v>3552</v>
      </c>
      <c r="F113" s="25">
        <v>3158</v>
      </c>
      <c r="G113" s="25">
        <v>7131</v>
      </c>
      <c r="H113" s="25">
        <v>4652</v>
      </c>
      <c r="I113" s="25">
        <v>11</v>
      </c>
    </row>
    <row r="114" spans="1:9" ht="12.75" customHeight="1">
      <c r="A114" s="19" t="s">
        <v>203</v>
      </c>
      <c r="B114" s="20" t="s">
        <v>204</v>
      </c>
      <c r="C114" s="21">
        <v>42600</v>
      </c>
      <c r="D114" s="21">
        <v>21234</v>
      </c>
      <c r="E114" s="21">
        <v>10685</v>
      </c>
      <c r="F114" s="25">
        <v>3756</v>
      </c>
      <c r="G114" s="25">
        <v>4129</v>
      </c>
      <c r="H114" s="25">
        <v>2309</v>
      </c>
      <c r="I114" s="25">
        <v>46</v>
      </c>
    </row>
    <row r="115" spans="1:9" ht="12.75" customHeight="1">
      <c r="A115" s="19" t="s">
        <v>205</v>
      </c>
      <c r="B115" s="20" t="s">
        <v>206</v>
      </c>
      <c r="C115" s="21">
        <v>14392</v>
      </c>
      <c r="D115" s="21">
        <v>8886</v>
      </c>
      <c r="E115" s="21">
        <v>6129</v>
      </c>
      <c r="F115" s="25">
        <v>2217</v>
      </c>
      <c r="G115" s="25">
        <v>2923</v>
      </c>
      <c r="H115" s="25">
        <v>11688</v>
      </c>
      <c r="I115" s="25">
        <v>22</v>
      </c>
    </row>
    <row r="116" spans="1:9" ht="12.75" customHeight="1">
      <c r="A116" s="22"/>
      <c r="B116" s="23" t="s">
        <v>207</v>
      </c>
      <c r="C116" s="24">
        <f t="shared" ref="C116:I116" si="15">SUM(C110:C115)</f>
        <v>161266</v>
      </c>
      <c r="D116" s="24">
        <f t="shared" si="15"/>
        <v>83158</v>
      </c>
      <c r="E116" s="24">
        <f t="shared" si="15"/>
        <v>44287</v>
      </c>
      <c r="F116" s="24">
        <f t="shared" si="15"/>
        <v>16014</v>
      </c>
      <c r="G116" s="24">
        <f t="shared" si="15"/>
        <v>29505</v>
      </c>
      <c r="H116" s="24">
        <f t="shared" si="15"/>
        <v>26362</v>
      </c>
      <c r="I116" s="24">
        <f t="shared" si="15"/>
        <v>156</v>
      </c>
    </row>
    <row r="117" spans="1:9" ht="12.75" customHeight="1">
      <c r="A117" s="19" t="s">
        <v>208</v>
      </c>
      <c r="B117" s="20" t="s">
        <v>209</v>
      </c>
      <c r="C117" s="21">
        <v>4200</v>
      </c>
      <c r="D117" s="21">
        <v>2326</v>
      </c>
      <c r="E117" s="21">
        <v>1441</v>
      </c>
      <c r="F117" s="25">
        <v>245</v>
      </c>
      <c r="G117" s="25">
        <v>1585</v>
      </c>
      <c r="H117" s="25">
        <v>805</v>
      </c>
      <c r="I117" s="25">
        <v>6</v>
      </c>
    </row>
    <row r="118" spans="1:9" ht="12.75" customHeight="1">
      <c r="A118" s="19" t="s">
        <v>210</v>
      </c>
      <c r="B118" s="20" t="s">
        <v>211</v>
      </c>
      <c r="C118" s="32">
        <v>15080</v>
      </c>
      <c r="D118" s="32">
        <v>4790</v>
      </c>
      <c r="E118" s="21">
        <v>3576</v>
      </c>
      <c r="F118" s="25">
        <v>2557</v>
      </c>
      <c r="G118" s="25">
        <v>5812</v>
      </c>
      <c r="H118" s="25">
        <v>1921</v>
      </c>
      <c r="I118" s="25">
        <v>14</v>
      </c>
    </row>
    <row r="119" spans="1:9" ht="12.75" customHeight="1">
      <c r="A119" s="22"/>
      <c r="B119" s="23" t="s">
        <v>212</v>
      </c>
      <c r="C119" s="24">
        <f t="shared" ref="C119:I119" si="16">SUM(C117:C118)</f>
        <v>19280</v>
      </c>
      <c r="D119" s="24">
        <f t="shared" si="16"/>
        <v>7116</v>
      </c>
      <c r="E119" s="24">
        <f t="shared" si="16"/>
        <v>5017</v>
      </c>
      <c r="F119" s="24">
        <f t="shared" si="16"/>
        <v>2802</v>
      </c>
      <c r="G119" s="24">
        <f t="shared" si="16"/>
        <v>7397</v>
      </c>
      <c r="H119" s="24">
        <f t="shared" si="16"/>
        <v>2726</v>
      </c>
      <c r="I119" s="24">
        <f t="shared" si="16"/>
        <v>20</v>
      </c>
    </row>
    <row r="120" spans="1:9" ht="12.75" customHeight="1">
      <c r="A120" s="19" t="s">
        <v>213</v>
      </c>
      <c r="B120" s="20" t="s">
        <v>214</v>
      </c>
      <c r="C120" s="21">
        <v>20454</v>
      </c>
      <c r="D120" s="21">
        <v>5875</v>
      </c>
      <c r="E120" s="21">
        <v>3278</v>
      </c>
      <c r="F120" s="25">
        <v>4809</v>
      </c>
      <c r="G120" s="25">
        <v>5978</v>
      </c>
      <c r="H120" s="25">
        <v>612</v>
      </c>
      <c r="I120" s="25">
        <v>13</v>
      </c>
    </row>
    <row r="121" spans="1:9" ht="12.75" customHeight="1">
      <c r="A121" s="19" t="s">
        <v>215</v>
      </c>
      <c r="B121" s="20" t="s">
        <v>216</v>
      </c>
      <c r="C121" s="21">
        <v>25885</v>
      </c>
      <c r="D121" s="21">
        <v>5321</v>
      </c>
      <c r="E121" s="21">
        <v>4026</v>
      </c>
      <c r="F121" s="25">
        <v>7063</v>
      </c>
      <c r="G121" s="25">
        <v>10716</v>
      </c>
      <c r="H121" s="25">
        <v>1354</v>
      </c>
      <c r="I121" s="25">
        <v>29</v>
      </c>
    </row>
    <row r="122" spans="1:9" ht="12.75" customHeight="1">
      <c r="A122" s="19" t="s">
        <v>217</v>
      </c>
      <c r="B122" s="20" t="s">
        <v>218</v>
      </c>
      <c r="C122" s="21">
        <v>8380</v>
      </c>
      <c r="D122" s="21">
        <v>2010</v>
      </c>
      <c r="E122" s="21">
        <v>694</v>
      </c>
      <c r="F122" s="25">
        <v>1229</v>
      </c>
      <c r="G122" s="25">
        <v>2025</v>
      </c>
      <c r="H122" s="25">
        <v>376</v>
      </c>
      <c r="I122" s="25">
        <v>4</v>
      </c>
    </row>
    <row r="123" spans="1:9" ht="12.75" customHeight="1">
      <c r="A123" s="19" t="s">
        <v>219</v>
      </c>
      <c r="B123" s="20" t="s">
        <v>220</v>
      </c>
      <c r="C123" s="21">
        <v>22584</v>
      </c>
      <c r="D123" s="21">
        <v>6099</v>
      </c>
      <c r="E123" s="21">
        <v>3552</v>
      </c>
      <c r="F123" s="25">
        <v>8380</v>
      </c>
      <c r="G123" s="25">
        <v>6786</v>
      </c>
      <c r="H123" s="25">
        <v>1205</v>
      </c>
      <c r="I123" s="25">
        <v>29</v>
      </c>
    </row>
    <row r="124" spans="1:9" ht="12.75" customHeight="1">
      <c r="A124" s="19" t="s">
        <v>221</v>
      </c>
      <c r="B124" s="20" t="s">
        <v>222</v>
      </c>
      <c r="C124" s="21">
        <v>7580</v>
      </c>
      <c r="D124" s="21">
        <v>924</v>
      </c>
      <c r="E124" s="21">
        <v>668</v>
      </c>
      <c r="F124" s="25">
        <v>726</v>
      </c>
      <c r="G124" s="25">
        <v>2604</v>
      </c>
      <c r="H124" s="25">
        <v>174</v>
      </c>
      <c r="I124" s="25">
        <v>6</v>
      </c>
    </row>
    <row r="125" spans="1:9" ht="12.75" customHeight="1">
      <c r="A125" s="22"/>
      <c r="B125" s="23" t="s">
        <v>223</v>
      </c>
      <c r="C125" s="24">
        <f t="shared" ref="C125:I125" si="17">SUM(C120:C124)</f>
        <v>84883</v>
      </c>
      <c r="D125" s="24">
        <f t="shared" si="17"/>
        <v>20229</v>
      </c>
      <c r="E125" s="24">
        <f t="shared" si="17"/>
        <v>12218</v>
      </c>
      <c r="F125" s="24">
        <f t="shared" si="17"/>
        <v>22207</v>
      </c>
      <c r="G125" s="24">
        <f t="shared" si="17"/>
        <v>28109</v>
      </c>
      <c r="H125" s="24">
        <f t="shared" si="17"/>
        <v>3721</v>
      </c>
      <c r="I125" s="24">
        <f t="shared" si="17"/>
        <v>81</v>
      </c>
    </row>
    <row r="126" spans="1:9" ht="12.75" customHeight="1">
      <c r="A126" s="19" t="s">
        <v>224</v>
      </c>
      <c r="B126" s="20" t="s">
        <v>225</v>
      </c>
      <c r="C126" s="21">
        <v>10779</v>
      </c>
      <c r="D126" s="21">
        <v>1117</v>
      </c>
      <c r="E126" s="21">
        <v>222</v>
      </c>
      <c r="F126" s="25">
        <v>6154</v>
      </c>
      <c r="G126" s="25">
        <v>2911</v>
      </c>
      <c r="H126" s="25">
        <v>1118</v>
      </c>
      <c r="I126" s="25">
        <v>15</v>
      </c>
    </row>
    <row r="127" spans="1:9" ht="12.75" customHeight="1">
      <c r="A127" s="19" t="s">
        <v>226</v>
      </c>
      <c r="B127" s="20" t="s">
        <v>227</v>
      </c>
      <c r="C127" s="21">
        <v>3559</v>
      </c>
      <c r="D127" s="21">
        <v>868</v>
      </c>
      <c r="E127" s="21">
        <v>229</v>
      </c>
      <c r="F127" s="25">
        <v>1573</v>
      </c>
      <c r="G127" s="25">
        <v>1118</v>
      </c>
      <c r="H127" s="25">
        <v>467</v>
      </c>
      <c r="I127" s="25">
        <v>10</v>
      </c>
    </row>
    <row r="128" spans="1:9" ht="12.75" customHeight="1">
      <c r="A128" s="19" t="s">
        <v>228</v>
      </c>
      <c r="B128" s="20" t="s">
        <v>229</v>
      </c>
      <c r="C128" s="21">
        <v>56282</v>
      </c>
      <c r="D128" s="21">
        <v>20371</v>
      </c>
      <c r="E128" s="21">
        <v>3415</v>
      </c>
      <c r="F128" s="25">
        <v>27501</v>
      </c>
      <c r="G128" s="25">
        <v>5416</v>
      </c>
      <c r="H128" s="25">
        <v>2203</v>
      </c>
      <c r="I128" s="25">
        <v>23</v>
      </c>
    </row>
    <row r="129" spans="1:9" ht="12.75" customHeight="1">
      <c r="A129" s="19" t="s">
        <v>230</v>
      </c>
      <c r="B129" s="20" t="s">
        <v>231</v>
      </c>
      <c r="C129" s="21">
        <v>30515</v>
      </c>
      <c r="D129" s="21">
        <v>10896</v>
      </c>
      <c r="E129" s="21">
        <v>1002</v>
      </c>
      <c r="F129" s="25">
        <v>1544</v>
      </c>
      <c r="G129" s="25">
        <v>652</v>
      </c>
      <c r="H129" s="25">
        <v>431</v>
      </c>
      <c r="I129" s="25">
        <v>3</v>
      </c>
    </row>
    <row r="130" spans="1:9" ht="12.75" customHeight="1">
      <c r="A130" s="19" t="s">
        <v>232</v>
      </c>
      <c r="B130" s="20" t="s">
        <v>233</v>
      </c>
      <c r="C130" s="21">
        <v>21825</v>
      </c>
      <c r="D130" s="21">
        <v>10741</v>
      </c>
      <c r="E130" s="21">
        <v>8803</v>
      </c>
      <c r="F130" s="25">
        <v>6147</v>
      </c>
      <c r="G130" s="25">
        <v>4937</v>
      </c>
      <c r="H130" s="25">
        <v>1442</v>
      </c>
      <c r="I130" s="25">
        <v>38</v>
      </c>
    </row>
    <row r="131" spans="1:9" ht="12.75" customHeight="1">
      <c r="A131" s="19" t="s">
        <v>234</v>
      </c>
      <c r="B131" s="20" t="s">
        <v>235</v>
      </c>
      <c r="C131" s="21">
        <v>62914</v>
      </c>
      <c r="D131" s="21">
        <v>31153</v>
      </c>
      <c r="E131" s="21">
        <v>12398</v>
      </c>
      <c r="F131" s="25">
        <v>24454</v>
      </c>
      <c r="G131" s="25">
        <v>5735</v>
      </c>
      <c r="H131" s="25">
        <v>1496</v>
      </c>
      <c r="I131" s="25">
        <v>33</v>
      </c>
    </row>
    <row r="132" spans="1:9" ht="12.75" customHeight="1">
      <c r="A132" s="19" t="s">
        <v>236</v>
      </c>
      <c r="B132" s="20" t="s">
        <v>237</v>
      </c>
      <c r="C132" s="21">
        <v>25908</v>
      </c>
      <c r="D132" s="21">
        <v>6192</v>
      </c>
      <c r="E132" s="21">
        <v>1416</v>
      </c>
      <c r="F132" s="25">
        <v>15051</v>
      </c>
      <c r="G132" s="25">
        <v>1910</v>
      </c>
      <c r="H132" s="25">
        <v>1601</v>
      </c>
      <c r="I132" s="25">
        <v>8</v>
      </c>
    </row>
    <row r="133" spans="1:9" ht="12.75" customHeight="1">
      <c r="A133" s="19" t="s">
        <v>238</v>
      </c>
      <c r="B133" s="20" t="s">
        <v>239</v>
      </c>
      <c r="C133" s="21">
        <v>16206</v>
      </c>
      <c r="D133" s="21">
        <v>7365</v>
      </c>
      <c r="E133" s="21">
        <v>3137</v>
      </c>
      <c r="F133" s="25">
        <v>5528</v>
      </c>
      <c r="G133" s="25">
        <v>3313</v>
      </c>
      <c r="H133" s="25">
        <v>1362</v>
      </c>
      <c r="I133" s="25">
        <v>12</v>
      </c>
    </row>
    <row r="134" spans="1:9" ht="12.75" customHeight="1">
      <c r="A134" s="19" t="s">
        <v>240</v>
      </c>
      <c r="B134" s="20" t="s">
        <v>241</v>
      </c>
      <c r="C134" s="21">
        <v>14915</v>
      </c>
      <c r="D134" s="21">
        <v>2619</v>
      </c>
      <c r="E134" s="21">
        <v>1828</v>
      </c>
      <c r="F134" s="25">
        <v>9047</v>
      </c>
      <c r="G134" s="25">
        <v>3248</v>
      </c>
      <c r="H134" s="25">
        <v>1198</v>
      </c>
      <c r="I134" s="25">
        <v>13</v>
      </c>
    </row>
    <row r="135" spans="1:9" ht="12.75" customHeight="1">
      <c r="A135" s="26"/>
      <c r="B135" s="23" t="s">
        <v>242</v>
      </c>
      <c r="C135" s="24">
        <f t="shared" ref="C135:I135" si="18">SUM(C126:C134)</f>
        <v>242903</v>
      </c>
      <c r="D135" s="24">
        <f t="shared" si="18"/>
        <v>91322</v>
      </c>
      <c r="E135" s="24">
        <f t="shared" si="18"/>
        <v>32450</v>
      </c>
      <c r="F135" s="24">
        <f t="shared" si="18"/>
        <v>96999</v>
      </c>
      <c r="G135" s="24">
        <f t="shared" si="18"/>
        <v>29240</v>
      </c>
      <c r="H135" s="24">
        <f t="shared" si="18"/>
        <v>11318</v>
      </c>
      <c r="I135" s="24">
        <f t="shared" si="18"/>
        <v>155</v>
      </c>
    </row>
    <row r="136" spans="1:9" ht="12.75" customHeight="1">
      <c r="A136" s="19" t="s">
        <v>243</v>
      </c>
      <c r="B136" s="20" t="s">
        <v>244</v>
      </c>
      <c r="C136" s="21">
        <v>64667</v>
      </c>
      <c r="D136" s="21">
        <v>6522</v>
      </c>
      <c r="E136" s="21">
        <v>4105</v>
      </c>
      <c r="F136" s="25">
        <v>27747</v>
      </c>
      <c r="G136" s="25">
        <v>9548</v>
      </c>
      <c r="H136" s="25">
        <v>5575</v>
      </c>
      <c r="I136" s="25">
        <v>25</v>
      </c>
    </row>
    <row r="137" spans="1:9" ht="12.75" customHeight="1">
      <c r="A137" s="19" t="s">
        <v>245</v>
      </c>
      <c r="B137" s="20" t="s">
        <v>246</v>
      </c>
      <c r="C137" s="21">
        <v>8039</v>
      </c>
      <c r="D137" s="21">
        <v>439</v>
      </c>
      <c r="E137" s="21">
        <v>439</v>
      </c>
      <c r="F137" s="25">
        <v>1606</v>
      </c>
      <c r="G137" s="25">
        <v>5995</v>
      </c>
      <c r="H137" s="25">
        <v>53</v>
      </c>
      <c r="I137" s="25">
        <v>3</v>
      </c>
    </row>
    <row r="138" spans="1:9" ht="12.75" customHeight="1">
      <c r="A138" s="19" t="s">
        <v>247</v>
      </c>
      <c r="B138" s="20" t="s">
        <v>248</v>
      </c>
      <c r="C138" s="21">
        <v>9556</v>
      </c>
      <c r="D138" s="21">
        <v>111</v>
      </c>
      <c r="E138" s="21">
        <v>111</v>
      </c>
      <c r="F138" s="25">
        <v>2408</v>
      </c>
      <c r="G138" s="25">
        <v>7036</v>
      </c>
      <c r="H138" s="25">
        <v>43</v>
      </c>
      <c r="I138" s="25">
        <v>3</v>
      </c>
    </row>
    <row r="139" spans="1:9" ht="12.75" customHeight="1">
      <c r="A139" s="19" t="s">
        <v>249</v>
      </c>
      <c r="B139" s="20" t="s">
        <v>250</v>
      </c>
      <c r="C139" s="21">
        <v>15998</v>
      </c>
      <c r="D139" s="21">
        <v>1265</v>
      </c>
      <c r="E139" s="21">
        <v>552</v>
      </c>
      <c r="F139" s="25">
        <v>4167</v>
      </c>
      <c r="G139" s="25">
        <v>3023</v>
      </c>
      <c r="H139" s="25">
        <v>186</v>
      </c>
      <c r="I139" s="25">
        <v>9</v>
      </c>
    </row>
    <row r="140" spans="1:9" ht="12.75" customHeight="1">
      <c r="A140" s="19" t="s">
        <v>251</v>
      </c>
      <c r="B140" s="20" t="s">
        <v>252</v>
      </c>
      <c r="C140" s="21">
        <v>4049</v>
      </c>
      <c r="D140" s="21">
        <v>0</v>
      </c>
      <c r="E140" s="21">
        <v>0</v>
      </c>
      <c r="F140" s="25">
        <v>1306</v>
      </c>
      <c r="G140" s="25">
        <v>769</v>
      </c>
      <c r="H140" s="25">
        <v>4</v>
      </c>
      <c r="I140" s="25">
        <v>2</v>
      </c>
    </row>
    <row r="141" spans="1:9" ht="12.75" customHeight="1">
      <c r="A141" s="19" t="s">
        <v>253</v>
      </c>
      <c r="B141" s="20" t="s">
        <v>254</v>
      </c>
      <c r="C141" s="21">
        <v>10260</v>
      </c>
      <c r="D141" s="21">
        <v>1015</v>
      </c>
      <c r="E141" s="21">
        <v>1015</v>
      </c>
      <c r="F141" s="25">
        <v>3164</v>
      </c>
      <c r="G141" s="25">
        <v>6081</v>
      </c>
      <c r="H141" s="25">
        <v>134</v>
      </c>
      <c r="I141" s="25">
        <v>13</v>
      </c>
    </row>
    <row r="142" spans="1:9" ht="12.75" customHeight="1">
      <c r="A142" s="19" t="s">
        <v>255</v>
      </c>
      <c r="B142" s="20" t="s">
        <v>256</v>
      </c>
      <c r="C142" s="21">
        <v>12674</v>
      </c>
      <c r="D142" s="21">
        <v>1519</v>
      </c>
      <c r="E142" s="21">
        <v>212</v>
      </c>
      <c r="F142" s="25">
        <v>3400</v>
      </c>
      <c r="G142" s="25">
        <v>3167</v>
      </c>
      <c r="H142" s="25">
        <v>186</v>
      </c>
      <c r="I142" s="25">
        <v>5</v>
      </c>
    </row>
    <row r="143" spans="1:9" ht="12.75" customHeight="1">
      <c r="A143" s="19" t="s">
        <v>257</v>
      </c>
      <c r="B143" s="20" t="s">
        <v>258</v>
      </c>
      <c r="C143" s="21">
        <v>28559</v>
      </c>
      <c r="D143" s="21">
        <v>5079</v>
      </c>
      <c r="E143" s="21">
        <v>1643</v>
      </c>
      <c r="F143" s="25">
        <v>10152</v>
      </c>
      <c r="G143" s="25">
        <v>8127</v>
      </c>
      <c r="H143" s="25">
        <v>1050</v>
      </c>
      <c r="I143" s="25">
        <v>7</v>
      </c>
    </row>
    <row r="144" spans="1:9" ht="14.7" customHeight="1">
      <c r="A144" s="19" t="s">
        <v>259</v>
      </c>
      <c r="B144" s="20" t="s">
        <v>260</v>
      </c>
      <c r="C144" s="21"/>
      <c r="D144" s="21"/>
      <c r="E144" s="21"/>
      <c r="F144" s="25"/>
      <c r="G144" s="25"/>
      <c r="H144" s="25"/>
      <c r="I144" s="25"/>
    </row>
    <row r="145" spans="1:9" ht="14.7" customHeight="1">
      <c r="A145" s="26"/>
      <c r="B145" s="23" t="s">
        <v>261</v>
      </c>
      <c r="C145" s="33">
        <f t="shared" ref="C145:I145" si="19">SUM(C136:C144)</f>
        <v>153802</v>
      </c>
      <c r="D145" s="33">
        <f t="shared" si="19"/>
        <v>15950</v>
      </c>
      <c r="E145" s="33">
        <f t="shared" si="19"/>
        <v>8077</v>
      </c>
      <c r="F145" s="33">
        <f t="shared" si="19"/>
        <v>53950</v>
      </c>
      <c r="G145" s="33">
        <f t="shared" si="19"/>
        <v>43746</v>
      </c>
      <c r="H145" s="33">
        <f t="shared" si="19"/>
        <v>7231</v>
      </c>
      <c r="I145" s="33">
        <f t="shared" si="19"/>
        <v>67</v>
      </c>
    </row>
    <row r="146" spans="1:9" ht="14.7" customHeight="1">
      <c r="A146" s="19" t="s">
        <v>262</v>
      </c>
      <c r="B146" s="34" t="s">
        <v>263</v>
      </c>
      <c r="C146" s="25">
        <f t="shared" ref="C146:I146" si="20">C145+C135+C125+C119+C116+C109+C103+C98+C95+C89+C86+C80+C69+C59+C51+C46+C43+C30+C25+C23</f>
        <v>3360595</v>
      </c>
      <c r="D146" s="25">
        <f t="shared" si="20"/>
        <v>1666319</v>
      </c>
      <c r="E146" s="25">
        <f t="shared" si="20"/>
        <v>777686</v>
      </c>
      <c r="F146" s="25">
        <f t="shared" si="20"/>
        <v>318001</v>
      </c>
      <c r="G146" s="25">
        <f t="shared" si="20"/>
        <v>791801</v>
      </c>
      <c r="H146" s="25">
        <f t="shared" si="20"/>
        <v>397594</v>
      </c>
      <c r="I146" s="25">
        <f t="shared" si="20"/>
        <v>2379</v>
      </c>
    </row>
  </sheetData>
  <sheetProtection selectLockedCells="1" selectUnlockedCells="1"/>
  <mergeCells count="23">
    <mergeCell ref="C12:C13"/>
    <mergeCell ref="D12:D13"/>
    <mergeCell ref="F12:F13"/>
    <mergeCell ref="G12:G13"/>
    <mergeCell ref="H12:H13"/>
    <mergeCell ref="I12:I13"/>
    <mergeCell ref="F7:I7"/>
    <mergeCell ref="F8:I8"/>
    <mergeCell ref="A9:E9"/>
    <mergeCell ref="A11:B11"/>
    <mergeCell ref="C11:D11"/>
    <mergeCell ref="E11:E13"/>
    <mergeCell ref="F11:G11"/>
    <mergeCell ref="H11:I11"/>
    <mergeCell ref="A12:A13"/>
    <mergeCell ref="B12:B13"/>
    <mergeCell ref="A1:C1"/>
    <mergeCell ref="D1:H1"/>
    <mergeCell ref="A2:C2"/>
    <mergeCell ref="A3:C3"/>
    <mergeCell ref="D3:H3"/>
    <mergeCell ref="A4:C4"/>
    <mergeCell ref="D4:H4"/>
  </mergeCells>
  <pageMargins left="0.7" right="0.7" top="0.75" bottom="0.75" header="0.51180555555555551" footer="0.51180555555555551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Mensile</vt:lpstr>
      <vt:lpstr>Aggregato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Bollettino Petrolifero</dc:title>
  <dc:creator>Ministero Sviluppo Economico;alessio</dc:creator>
  <cp:lastModifiedBy>antonello.mariti</cp:lastModifiedBy>
  <dcterms:created xsi:type="dcterms:W3CDTF">2014-06-24T12:57:06Z</dcterms:created>
  <dcterms:modified xsi:type="dcterms:W3CDTF">2018-05-23T13:12:03Z</dcterms:modified>
</cp:coreProperties>
</file>