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N145" s="1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J136"/>
  <c r="J144" s="1"/>
  <c r="J145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E145" s="1"/>
  <c r="G144"/>
  <c r="G145" s="1"/>
  <c r="H144"/>
  <c r="H145" s="1"/>
  <c r="I144"/>
  <c r="I145" s="1"/>
  <c r="K144"/>
  <c r="K145" s="1"/>
  <c r="L144"/>
  <c r="L145" s="1"/>
  <c r="M144"/>
  <c r="M145" s="1"/>
  <c r="N144"/>
  <c r="O144"/>
  <c r="O145" s="1"/>
  <c r="N145"/>
  <c r="J145" i="1" l="1"/>
  <c r="F145" i="2"/>
  <c r="F145" i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<sst xmlns="http://schemas.openxmlformats.org/spreadsheetml/2006/main" count="544" uniqueCount="271">
  <si>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</si>
  <si>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</si>
  <si>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</si>
  <si>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</si>
  <si>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</si>
  <si>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</si>
  <si>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</si>
  <si>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maggio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</si>
  <si>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</si>
  <si>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</si>
  <si>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</si>
  <si>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</si>
  <si>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</si>
  <si>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</si>
  <si>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</si>
  <si>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</si>
  <si>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</si>
  <si>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</si>
  <si>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</si>
  <si>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</si>
  <si>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</si>
  <si>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</si>
  <si>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</si>
  <si>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</si>
  <si>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</si>
  <si>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</si>
  <si>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</si>
  <si>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</si>
  <si>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</si>
  <si>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</si>
  <si>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</si>
  <si>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</si>
  <si>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</si>
  <si>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</si>
  <si>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</si>
  <si>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</si>
  <si>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</si>
  <si>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</si>
  <si>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</si>
  <si>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</si>
  <si>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</si>
  <si>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</si>
  <si>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</si>
  <si>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</si>
  <si>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</si>
  <si>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</si>
  <si>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</si>
  <si>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</si>
  <si>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</si>
  <si>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</si>
  <si>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</si>
  <si>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</si>
  <si>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</si>
  <si>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</si>
  <si>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</si>
  <si>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</si>
  <si>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</si>
  <si>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</si>
  <si>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</si>
  <si>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</si>
  <si>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</si>
  <si>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</si>
  <si>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</si>
  <si>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</si>
  <si>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</si>
  <si>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</si>
  <si>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</si>
  <si>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</si>
  <si>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</si>
  <si>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</si>
  <si>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</si>
  <si>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</si>
  <si>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</si>
  <si>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</si>
  <si>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</si>
  <si>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</si>
  <si>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</si>
  <si>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</si>
  <si>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</si>
  <si>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</si>
  <si>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</si>
  <si>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</si>
  <si>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</si>
  <si>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</si>
  <si>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</si>
  <si>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</si>
  <si>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</si>
  <si>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</si>
  <si>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</si>
  <si>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</si>
  <si>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</si>
  <si>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</si>
  <si>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</si>
  <si>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</si>
  <si>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</si>
  <si>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</si>
  <si>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</si>
  <si>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</si>
  <si>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</si>
  <si>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</si>
  <si>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</si>
  <si>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</si>
  <si>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</si>
  <si>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</si>
  <si>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</si>
  <si>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</si>
  <si>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</si>
  <si>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</si>
  <si>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</si>
  <si>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</si>
  <si>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</si>
  <si>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</si>
  <si>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</si>
  <si>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</si>
  <si>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</si>
  <si>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</si>
  <si>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</si>
  <si>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</si>
  <si>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</si>
  <si>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</si>
  <si>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</si>
  <si>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</si>
  <si>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</si>
  <si>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</si>
  <si>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</si>
  <si>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</si>
  <si>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</si>
  <si>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</si>
  <si>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</si>
  <si>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</si>
  <si>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</si>
  <si>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</si>
  <si>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</si>
  <si>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</si>
  <si>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</si>
  <si>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</si>
  <si>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</si>
  <si>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</si>
  <si>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</si>
  <si>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</si>
  <si>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</si>
  <si>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</si>
  <si>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</si>
  <si>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</si>
  <si>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</si>
  <si>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</si>
  <si>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</si>
  <si>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</si>
  <si>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</si>
  <si>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</si>
  <si>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</si>
  <si>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</si>
  <si>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</si>
  <si>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</si>
  <si>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</si>
  <si>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</si>
  <si>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</si>
  <si>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</si>
  <si>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</si>
  <si>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</si>
  <si>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</si>
  <si>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</si>
  <si>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</si>
  <si>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</si>
  <si>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</si>
  <si>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</si>
  <si>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</si>
  <si>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</si>
  <si>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</si>
  <si>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</si>
  <si>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</si>
  <si>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</si>
  <si>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</si>
  <si>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</si>
  <si>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</si>
  <si>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</si>
  <si>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</si>
  <si>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</si>
  <si>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</si>
  <si>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</si>
  <si>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</si>
  <si>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</si>
  <si>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</si>
  <si>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</si>
  <si>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</si>
  <si>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</si>
  <si>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</si>
  <si>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</si>
  <si>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</si>
  <si>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</si>
  <si>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</si>
  <si>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</si>
  <si>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</si>
  <si>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</si>
  <si>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</si>
  <si>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</si>
  <si>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</si>
  <si>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</si>
  <si>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</si>
  <si>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</si>
  <si>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</si>
  <si>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</si>
  <si>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</si>
  <si>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</si>
  <si>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</si>
  <si>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</si>
  <si>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</si>
  <si>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</si>
  <si>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</si>
  <si>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</si>
  <si>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</si>
  <si>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</si>
  <si>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</si>
  <si>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</si>
  <si>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</si>
  <si>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</si>
  <si>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</si>
  <si>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</si>
  <si>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</si>
  <si>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</si>
  <si>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</si>
  <si>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</si>
  <si>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</si>
  <si>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</si>
  <si>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</si>
  <si>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</si>
  <si>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</si>
  <si>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</si>
  <si>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</si>
  <si>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</si>
  <si>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</si>
  <si>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</si>
  <si>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</si>
  <si>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</si>
  <si>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</si>
  <si>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</si>
  <si>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</si>
  <si>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</si>
  <si>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</si>
  <si>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</si>
  <si>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</si>
  <si>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</si>
  <si>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</si>
  <si>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</si>
  <si>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</si>
  <si>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</si>
  <si>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</si>
  <si>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</si>
  <si>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</si>
  <si>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</si>
  <si>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</si>
  <si>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</si>
  <si>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</si>
  <si>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</si>
  <si>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</si>
  <si>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</si>
  <si>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</si>
  <si>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</si>
  <si>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</si>
  <si>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</si>
  <si>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</si>
  <si>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</si>
  <si>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</si>
  <si>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</si>
  <si>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</si>
  <si>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</si>
  <si>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</si>
  <si>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</si>
  <si>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</si>
  <si>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</si>
  <si>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gennaio-maggio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</si>
</sst>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5613</v>
      </c>
      <c r="D15" s="28">
        <v>3646</v>
      </c>
      <c r="E15" s="28">
        <v>505</v>
      </c>
      <c r="F15" s="28">
        <f t="shared" ref="F15:F22" si="0">SUM(C15-D15-E15)</f>
        <v>1462</v>
      </c>
      <c r="G15" s="28">
        <v>25312</v>
      </c>
      <c r="H15" s="28">
        <v>9958</v>
      </c>
      <c r="I15" s="28">
        <v>2911</v>
      </c>
      <c r="J15" s="28">
        <f t="shared" ref="J15:J22" si="1">SUM(G15-H15-I15)</f>
        <v>12443</v>
      </c>
      <c r="K15" s="28">
        <v>755</v>
      </c>
      <c r="L15" s="28">
        <v>0</v>
      </c>
      <c r="M15" s="28">
        <v>2897</v>
      </c>
      <c r="N15" s="28">
        <v>959</v>
      </c>
      <c r="O15" s="28">
        <v>959</v>
      </c>
    </row>
    <row r="16" spans="1:15" ht="12.75" customHeight="1">
      <c r="A16" s="4" t="s">
        <v>29</v>
      </c>
      <c r="B16" s="5" t="s">
        <v>30</v>
      </c>
      <c r="C16" s="28">
        <v>3611</v>
      </c>
      <c r="D16" s="28">
        <v>1492</v>
      </c>
      <c r="E16" s="28">
        <v>78</v>
      </c>
      <c r="F16" s="28">
        <f t="shared" si="0"/>
        <v>2041</v>
      </c>
      <c r="G16" s="28">
        <v>23650</v>
      </c>
      <c r="H16" s="28">
        <v>3819</v>
      </c>
      <c r="I16" s="28">
        <v>527</v>
      </c>
      <c r="J16" s="28">
        <f t="shared" si="1"/>
        <v>19304</v>
      </c>
      <c r="K16" s="28">
        <v>149</v>
      </c>
      <c r="L16" s="28">
        <v>0</v>
      </c>
      <c r="M16" s="28">
        <v>2136</v>
      </c>
      <c r="N16" s="28">
        <v>69</v>
      </c>
      <c r="O16" s="28">
        <v>69</v>
      </c>
    </row>
    <row r="17" spans="1:15" ht="12.75" customHeight="1">
      <c r="A17" s="4" t="s">
        <v>31</v>
      </c>
      <c r="B17" s="5" t="s">
        <v>32</v>
      </c>
      <c r="C17" s="28">
        <v>2030</v>
      </c>
      <c r="D17" s="28">
        <v>1642</v>
      </c>
      <c r="E17" s="28">
        <v>0</v>
      </c>
      <c r="F17" s="28">
        <f t="shared" si="0"/>
        <v>388</v>
      </c>
      <c r="G17" s="28">
        <v>4042</v>
      </c>
      <c r="H17" s="28">
        <v>2811</v>
      </c>
      <c r="I17" s="28">
        <v>0</v>
      </c>
      <c r="J17" s="28">
        <f t="shared" si="1"/>
        <v>1231</v>
      </c>
      <c r="K17" s="28">
        <v>115</v>
      </c>
      <c r="L17" s="28">
        <v>0</v>
      </c>
      <c r="M17" s="28">
        <v>46</v>
      </c>
      <c r="N17" s="28">
        <v>143</v>
      </c>
      <c r="O17" s="28">
        <v>143</v>
      </c>
    </row>
    <row r="18" spans="1:15" ht="12.75" customHeight="1">
      <c r="A18" s="4" t="s">
        <v>33</v>
      </c>
      <c r="B18" s="5" t="s">
        <v>34</v>
      </c>
      <c r="C18" s="28">
        <v>6407</v>
      </c>
      <c r="D18" s="28">
        <v>4155</v>
      </c>
      <c r="E18" s="28">
        <v>92</v>
      </c>
      <c r="F18" s="28">
        <f t="shared" si="0"/>
        <v>2160</v>
      </c>
      <c r="G18" s="28">
        <v>15734</v>
      </c>
      <c r="H18" s="28">
        <v>10621</v>
      </c>
      <c r="I18" s="28">
        <v>393</v>
      </c>
      <c r="J18" s="28">
        <f t="shared" si="1"/>
        <v>4720</v>
      </c>
      <c r="K18" s="28">
        <v>485</v>
      </c>
      <c r="L18" s="28">
        <v>0</v>
      </c>
      <c r="M18" s="28">
        <v>1759</v>
      </c>
      <c r="N18" s="28">
        <v>88</v>
      </c>
      <c r="O18" s="28">
        <v>88</v>
      </c>
    </row>
    <row r="19" spans="1:15" ht="12.75" customHeight="1">
      <c r="A19" s="4" t="s">
        <v>35</v>
      </c>
      <c r="B19" s="5" t="s">
        <v>36</v>
      </c>
      <c r="C19" s="28">
        <v>3675</v>
      </c>
      <c r="D19" s="28">
        <v>3489</v>
      </c>
      <c r="E19" s="28">
        <v>119</v>
      </c>
      <c r="F19" s="28">
        <f t="shared" si="0"/>
        <v>67</v>
      </c>
      <c r="G19" s="28">
        <v>10405</v>
      </c>
      <c r="H19" s="28">
        <v>8453</v>
      </c>
      <c r="I19" s="28">
        <v>652</v>
      </c>
      <c r="J19" s="28">
        <f t="shared" si="1"/>
        <v>1300</v>
      </c>
      <c r="K19" s="28">
        <v>61</v>
      </c>
      <c r="L19" s="28">
        <v>0</v>
      </c>
      <c r="M19" s="28">
        <v>46</v>
      </c>
      <c r="N19" s="28">
        <v>90</v>
      </c>
      <c r="O19" s="28">
        <v>90</v>
      </c>
    </row>
    <row r="20" spans="1:15" ht="12.75" customHeight="1">
      <c r="A20" s="4" t="s">
        <v>37</v>
      </c>
      <c r="B20" s="5" t="s">
        <v>38</v>
      </c>
      <c r="C20" s="28">
        <v>21801</v>
      </c>
      <c r="D20" s="28">
        <v>19253</v>
      </c>
      <c r="E20" s="28">
        <v>497</v>
      </c>
      <c r="F20" s="28">
        <f t="shared" si="0"/>
        <v>2051</v>
      </c>
      <c r="G20" s="28">
        <v>56242</v>
      </c>
      <c r="H20" s="28">
        <v>40029</v>
      </c>
      <c r="I20" s="28">
        <v>2678</v>
      </c>
      <c r="J20" s="28">
        <f t="shared" si="1"/>
        <v>13535</v>
      </c>
      <c r="K20" s="28">
        <v>775</v>
      </c>
      <c r="L20" s="28">
        <v>0</v>
      </c>
      <c r="M20" s="28">
        <v>2211</v>
      </c>
      <c r="N20" s="28">
        <v>240</v>
      </c>
      <c r="O20" s="28">
        <v>240</v>
      </c>
    </row>
    <row r="21" spans="1:15" ht="12.75" customHeight="1">
      <c r="A21" s="4" t="s">
        <v>39</v>
      </c>
      <c r="B21" s="5" t="s">
        <v>40</v>
      </c>
      <c r="C21" s="28">
        <v>1692</v>
      </c>
      <c r="D21" s="28">
        <v>1692</v>
      </c>
      <c r="E21" s="28">
        <v>0</v>
      </c>
      <c r="F21" s="28">
        <f t="shared" si="0"/>
        <v>0</v>
      </c>
      <c r="G21" s="28">
        <v>3183</v>
      </c>
      <c r="H21" s="28">
        <v>2934</v>
      </c>
      <c r="I21" s="28">
        <v>0</v>
      </c>
      <c r="J21" s="28">
        <f t="shared" si="1"/>
        <v>249</v>
      </c>
      <c r="K21" s="28">
        <v>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1622</v>
      </c>
      <c r="D22" s="28">
        <v>1303</v>
      </c>
      <c r="E22" s="28">
        <v>142</v>
      </c>
      <c r="F22" s="28">
        <f t="shared" si="0"/>
        <v>177</v>
      </c>
      <c r="G22" s="28">
        <v>4535</v>
      </c>
      <c r="H22" s="28">
        <v>2829</v>
      </c>
      <c r="I22" s="28">
        <v>622</v>
      </c>
      <c r="J22" s="28">
        <f t="shared" si="1"/>
        <v>1084</v>
      </c>
      <c r="K22" s="28">
        <v>118</v>
      </c>
      <c r="L22" s="28">
        <v>0</v>
      </c>
      <c r="M22" s="28">
        <v>712</v>
      </c>
      <c r="N22" s="28">
        <v>27</v>
      </c>
      <c r="O22" s="28">
        <v>27</v>
      </c>
    </row>
    <row r="23" spans="1:15" ht="12.75" customHeight="1">
      <c r="A23" s="8"/>
      <c r="B23" s="9" t="s">
        <v>43</v>
      </c>
      <c r="C23" s="29">
        <f t="shared" ref="C23:O23" si="2">SUM(C15:C22)</f>
        <v>46451</v>
      </c>
      <c r="D23" s="29">
        <f t="shared" si="2"/>
        <v>36672</v>
      </c>
      <c r="E23" s="29">
        <f t="shared" si="2"/>
        <v>1433</v>
      </c>
      <c r="F23" s="29">
        <f t="shared" si="2"/>
        <v>8346</v>
      </c>
      <c r="G23" s="29">
        <f t="shared" si="2"/>
        <v>143103</v>
      </c>
      <c r="H23" s="29">
        <f t="shared" si="2"/>
        <v>81454</v>
      </c>
      <c r="I23" s="29">
        <f t="shared" si="2"/>
        <v>7783</v>
      </c>
      <c r="J23" s="29">
        <f t="shared" si="2"/>
        <v>53866</v>
      </c>
      <c r="K23" s="29">
        <f t="shared" si="2"/>
        <v>2458</v>
      </c>
      <c r="L23" s="29">
        <f t="shared" si="2"/>
        <v>0</v>
      </c>
      <c r="M23" s="29">
        <f t="shared" si="2"/>
        <v>9807</v>
      </c>
      <c r="N23" s="29">
        <f t="shared" si="2"/>
        <v>1632</v>
      </c>
      <c r="O23" s="29">
        <f t="shared" si="2"/>
        <v>1632</v>
      </c>
    </row>
    <row r="24" spans="1:15" ht="14.25" customHeight="1">
      <c r="A24" s="4" t="s">
        <v>44</v>
      </c>
      <c r="B24" s="5" t="s">
        <v>45</v>
      </c>
      <c r="C24" s="28">
        <v>1779</v>
      </c>
      <c r="D24" s="28">
        <v>1231</v>
      </c>
      <c r="E24" s="28">
        <v>117</v>
      </c>
      <c r="F24" s="28">
        <f>SUM(C24-D24-E24)</f>
        <v>431</v>
      </c>
      <c r="G24" s="28">
        <v>3962</v>
      </c>
      <c r="H24" s="28">
        <v>1963</v>
      </c>
      <c r="I24" s="28">
        <v>371</v>
      </c>
      <c r="J24" s="28">
        <f>SUM(G24-H24-I24)</f>
        <v>1628</v>
      </c>
      <c r="K24" s="28">
        <v>937</v>
      </c>
      <c r="L24" s="28">
        <v>0</v>
      </c>
      <c r="M24" s="28">
        <v>349</v>
      </c>
      <c r="N24" s="28">
        <v>40</v>
      </c>
      <c r="O24" s="28">
        <v>40</v>
      </c>
    </row>
    <row r="25" spans="1:15" ht="14.25" customHeight="1">
      <c r="A25" s="10"/>
      <c r="B25" s="9" t="s">
        <v>46</v>
      </c>
      <c r="C25" s="29">
        <f t="shared" ref="C25:O25" si="3">SUM(C24)</f>
        <v>1779</v>
      </c>
      <c r="D25" s="29">
        <f t="shared" si="3"/>
        <v>1231</v>
      </c>
      <c r="E25" s="29">
        <f t="shared" si="3"/>
        <v>117</v>
      </c>
      <c r="F25" s="29">
        <f t="shared" si="3"/>
        <v>431</v>
      </c>
      <c r="G25" s="29">
        <f t="shared" si="3"/>
        <v>3962</v>
      </c>
      <c r="H25" s="29">
        <f t="shared" si="3"/>
        <v>1963</v>
      </c>
      <c r="I25" s="29">
        <f t="shared" si="3"/>
        <v>371</v>
      </c>
      <c r="J25" s="29">
        <f t="shared" si="3"/>
        <v>1628</v>
      </c>
      <c r="K25" s="29">
        <f t="shared" si="3"/>
        <v>937</v>
      </c>
      <c r="L25" s="29">
        <f t="shared" si="3"/>
        <v>0</v>
      </c>
      <c r="M25" s="29">
        <f t="shared" si="3"/>
        <v>349</v>
      </c>
      <c r="N25" s="29">
        <f t="shared" si="3"/>
        <v>40</v>
      </c>
      <c r="O25" s="29">
        <f t="shared" si="3"/>
        <v>40</v>
      </c>
    </row>
    <row r="26" spans="1:15" ht="12.75" customHeight="1">
      <c r="A26" s="4" t="s">
        <v>47</v>
      </c>
      <c r="B26" s="5" t="s">
        <v>48</v>
      </c>
      <c r="C26" s="28">
        <v>9624</v>
      </c>
      <c r="D26" s="28">
        <v>6894</v>
      </c>
      <c r="E26" s="28">
        <v>418</v>
      </c>
      <c r="F26" s="28">
        <f>SUM(C26-D26-E26)</f>
        <v>2312</v>
      </c>
      <c r="G26" s="28">
        <v>27041</v>
      </c>
      <c r="H26" s="28">
        <v>11613</v>
      </c>
      <c r="I26" s="28">
        <v>1405</v>
      </c>
      <c r="J26" s="28">
        <f>SUM(G26-H26-I26)</f>
        <v>14023</v>
      </c>
      <c r="K26" s="28">
        <v>803</v>
      </c>
      <c r="L26" s="28">
        <v>0</v>
      </c>
      <c r="M26" s="28">
        <v>1155</v>
      </c>
      <c r="N26" s="28">
        <v>309</v>
      </c>
      <c r="O26" s="28">
        <v>309</v>
      </c>
    </row>
    <row r="27" spans="1:15" ht="12.75" customHeight="1">
      <c r="A27" s="4" t="s">
        <v>49</v>
      </c>
      <c r="B27" s="5" t="s">
        <v>50</v>
      </c>
      <c r="C27" s="28">
        <v>2631</v>
      </c>
      <c r="D27" s="28">
        <v>2199</v>
      </c>
      <c r="E27" s="28">
        <v>122</v>
      </c>
      <c r="F27" s="28">
        <f>SUM(C27-D27-E27)</f>
        <v>310</v>
      </c>
      <c r="G27" s="28">
        <v>5226</v>
      </c>
      <c r="H27" s="28">
        <v>3377</v>
      </c>
      <c r="I27" s="28">
        <v>337</v>
      </c>
      <c r="J27" s="28">
        <f>SUM(G27-H27-I27)</f>
        <v>1512</v>
      </c>
      <c r="K27" s="28">
        <v>195</v>
      </c>
      <c r="L27" s="28">
        <v>0</v>
      </c>
      <c r="M27" s="28">
        <v>167</v>
      </c>
      <c r="N27" s="28">
        <v>0</v>
      </c>
      <c r="O27" s="28">
        <v>0</v>
      </c>
    </row>
    <row r="28" spans="1:15" ht="12.75" customHeight="1">
      <c r="A28" s="4" t="s">
        <v>51</v>
      </c>
      <c r="B28" s="5" t="s">
        <v>52</v>
      </c>
      <c r="C28" s="28">
        <v>2745</v>
      </c>
      <c r="D28" s="28">
        <v>1777</v>
      </c>
      <c r="E28" s="28">
        <v>216</v>
      </c>
      <c r="F28" s="28">
        <f>SUM(C28-D28-E28)</f>
        <v>752</v>
      </c>
      <c r="G28" s="28">
        <v>11962</v>
      </c>
      <c r="H28" s="28">
        <v>3859</v>
      </c>
      <c r="I28" s="28">
        <v>1199</v>
      </c>
      <c r="J28" s="28">
        <f>SUM(G28-H28-I28)</f>
        <v>6904</v>
      </c>
      <c r="K28" s="28">
        <v>65</v>
      </c>
      <c r="L28" s="28">
        <v>0</v>
      </c>
      <c r="M28" s="28">
        <v>172</v>
      </c>
      <c r="N28" s="28">
        <v>47</v>
      </c>
      <c r="O28" s="28">
        <v>47</v>
      </c>
    </row>
    <row r="29" spans="1:15" ht="12.75" customHeight="1">
      <c r="A29" s="4" t="s">
        <v>53</v>
      </c>
      <c r="B29" s="5" t="s">
        <v>54</v>
      </c>
      <c r="C29" s="28">
        <v>3226</v>
      </c>
      <c r="D29" s="28">
        <v>2735</v>
      </c>
      <c r="E29" s="28">
        <v>372</v>
      </c>
      <c r="F29" s="28">
        <f>SUM(C29-D29-E29)</f>
        <v>119</v>
      </c>
      <c r="G29" s="28">
        <v>6934</v>
      </c>
      <c r="H29" s="28">
        <v>5436</v>
      </c>
      <c r="I29" s="28">
        <v>1247</v>
      </c>
      <c r="J29" s="28">
        <f>SUM(G29-H29-I29)</f>
        <v>251</v>
      </c>
      <c r="K29" s="28">
        <v>13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18226</v>
      </c>
      <c r="D30" s="29">
        <f t="shared" si="4"/>
        <v>13605</v>
      </c>
      <c r="E30" s="29">
        <f t="shared" si="4"/>
        <v>1128</v>
      </c>
      <c r="F30" s="29">
        <f t="shared" si="4"/>
        <v>3493</v>
      </c>
      <c r="G30" s="29">
        <f t="shared" si="4"/>
        <v>51163</v>
      </c>
      <c r="H30" s="29">
        <f t="shared" si="4"/>
        <v>24285</v>
      </c>
      <c r="I30" s="29">
        <f t="shared" si="4"/>
        <v>4188</v>
      </c>
      <c r="J30" s="29">
        <f t="shared" si="4"/>
        <v>22690</v>
      </c>
      <c r="K30" s="29">
        <f t="shared" si="4"/>
        <v>1076</v>
      </c>
      <c r="L30" s="29">
        <f t="shared" si="4"/>
        <v>0</v>
      </c>
      <c r="M30" s="29">
        <f t="shared" si="4"/>
        <v>1494</v>
      </c>
      <c r="N30" s="29">
        <f t="shared" si="4"/>
        <v>356</v>
      </c>
      <c r="O30" s="29">
        <f t="shared" si="4"/>
        <v>356</v>
      </c>
    </row>
    <row r="31" spans="1:15" ht="12.75" customHeight="1">
      <c r="A31" s="4" t="s">
        <v>56</v>
      </c>
      <c r="B31" s="5" t="s">
        <v>57</v>
      </c>
      <c r="C31" s="28">
        <v>10771</v>
      </c>
      <c r="D31" s="28">
        <v>8855</v>
      </c>
      <c r="E31" s="28">
        <v>211</v>
      </c>
      <c r="F31" s="28">
        <f t="shared" ref="F31:F42" si="5">SUM(C31-D31-E31)</f>
        <v>1705</v>
      </c>
      <c r="G31" s="28">
        <v>32231</v>
      </c>
      <c r="H31" s="28">
        <v>17773</v>
      </c>
      <c r="I31" s="28">
        <v>897</v>
      </c>
      <c r="J31" s="28">
        <f t="shared" ref="J31:J42" si="6">SUM(G31-H31-I31)</f>
        <v>13561</v>
      </c>
      <c r="K31" s="28">
        <v>174</v>
      </c>
      <c r="L31" s="28">
        <v>0</v>
      </c>
      <c r="M31" s="28">
        <v>800</v>
      </c>
      <c r="N31" s="28">
        <v>152</v>
      </c>
      <c r="O31" s="28">
        <v>152</v>
      </c>
    </row>
    <row r="32" spans="1:15" ht="12.75" customHeight="1">
      <c r="A32" s="4" t="s">
        <v>58</v>
      </c>
      <c r="B32" s="5" t="s">
        <v>59</v>
      </c>
      <c r="C32" s="28">
        <v>17598</v>
      </c>
      <c r="D32" s="28">
        <v>16121</v>
      </c>
      <c r="E32" s="28">
        <v>484</v>
      </c>
      <c r="F32" s="28">
        <f t="shared" si="5"/>
        <v>993</v>
      </c>
      <c r="G32" s="28">
        <v>61186</v>
      </c>
      <c r="H32" s="28">
        <v>37520</v>
      </c>
      <c r="I32" s="28">
        <v>2537</v>
      </c>
      <c r="J32" s="28">
        <f t="shared" si="6"/>
        <v>21129</v>
      </c>
      <c r="K32" s="28">
        <v>1088</v>
      </c>
      <c r="L32" s="28">
        <v>0</v>
      </c>
      <c r="M32" s="28">
        <v>10638</v>
      </c>
      <c r="N32" s="28">
        <v>340</v>
      </c>
      <c r="O32" s="28">
        <v>340</v>
      </c>
    </row>
    <row r="33" spans="1:256" ht="12.75" customHeight="1">
      <c r="A33" s="4" t="s">
        <v>60</v>
      </c>
      <c r="B33" s="5" t="s">
        <v>61</v>
      </c>
      <c r="C33" s="28">
        <v>7742</v>
      </c>
      <c r="D33" s="28">
        <v>6080</v>
      </c>
      <c r="E33" s="28">
        <v>194</v>
      </c>
      <c r="F33" s="28">
        <f t="shared" si="5"/>
        <v>1468</v>
      </c>
      <c r="G33" s="28">
        <v>27128</v>
      </c>
      <c r="H33" s="28">
        <v>7924</v>
      </c>
      <c r="I33" s="28">
        <v>501</v>
      </c>
      <c r="J33" s="28">
        <f t="shared" si="6"/>
        <v>18703</v>
      </c>
      <c r="K33" s="28">
        <v>571</v>
      </c>
      <c r="L33" s="28">
        <v>58</v>
      </c>
      <c r="M33" s="28">
        <v>2143</v>
      </c>
      <c r="N33" s="28">
        <v>112</v>
      </c>
      <c r="O33" s="28">
        <v>112</v>
      </c>
    </row>
    <row r="34" spans="1:256" ht="12.75" customHeight="1">
      <c r="A34" s="4" t="s">
        <v>62</v>
      </c>
      <c r="B34" s="5" t="s">
        <v>63</v>
      </c>
      <c r="C34" s="28">
        <v>9395</v>
      </c>
      <c r="D34" s="28">
        <v>2607</v>
      </c>
      <c r="E34" s="28">
        <v>42</v>
      </c>
      <c r="F34" s="28">
        <f t="shared" si="5"/>
        <v>6746</v>
      </c>
      <c r="G34" s="28">
        <v>28166</v>
      </c>
      <c r="H34" s="28">
        <v>6709</v>
      </c>
      <c r="I34" s="28">
        <v>183</v>
      </c>
      <c r="J34" s="28">
        <f t="shared" si="6"/>
        <v>21274</v>
      </c>
      <c r="K34" s="28">
        <v>95</v>
      </c>
      <c r="L34" s="28">
        <v>0</v>
      </c>
      <c r="M34" s="28">
        <v>3168</v>
      </c>
      <c r="N34" s="28">
        <v>28</v>
      </c>
      <c r="O34" s="28">
        <v>28</v>
      </c>
    </row>
    <row r="35" spans="1:256" ht="12.75" customHeight="1">
      <c r="A35" s="4" t="s">
        <v>64</v>
      </c>
      <c r="B35" s="5" t="s">
        <v>65</v>
      </c>
      <c r="C35" s="28">
        <v>3619</v>
      </c>
      <c r="D35" s="28">
        <v>3560</v>
      </c>
      <c r="E35" s="28">
        <v>0</v>
      </c>
      <c r="F35" s="28">
        <f t="shared" si="5"/>
        <v>59</v>
      </c>
      <c r="G35" s="28">
        <v>6420</v>
      </c>
      <c r="H35" s="28">
        <v>5839</v>
      </c>
      <c r="I35" s="28">
        <v>0</v>
      </c>
      <c r="J35" s="28">
        <f t="shared" si="6"/>
        <v>581</v>
      </c>
      <c r="K35" s="28">
        <v>44</v>
      </c>
      <c r="L35" s="28">
        <v>0</v>
      </c>
      <c r="M35" s="28">
        <v>60</v>
      </c>
      <c r="N35" s="28">
        <v>320</v>
      </c>
      <c r="O35" s="28">
        <v>320</v>
      </c>
    </row>
    <row r="36" spans="1:256" ht="12.75" customHeight="1">
      <c r="A36" s="4" t="s">
        <v>66</v>
      </c>
      <c r="B36" s="5" t="s">
        <v>67</v>
      </c>
      <c r="C36" s="28">
        <v>2057</v>
      </c>
      <c r="D36" s="28">
        <v>1700</v>
      </c>
      <c r="E36" s="28">
        <v>169</v>
      </c>
      <c r="F36" s="28">
        <f t="shared" si="5"/>
        <v>188</v>
      </c>
      <c r="G36" s="28">
        <v>5843</v>
      </c>
      <c r="H36" s="28">
        <v>4190</v>
      </c>
      <c r="I36" s="28">
        <v>966</v>
      </c>
      <c r="J36" s="28">
        <f t="shared" si="6"/>
        <v>687</v>
      </c>
      <c r="K36" s="28">
        <v>17</v>
      </c>
      <c r="L36" s="28">
        <v>0</v>
      </c>
      <c r="M36" s="28">
        <v>502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3315</v>
      </c>
      <c r="D37" s="28">
        <v>2894</v>
      </c>
      <c r="E37" s="28">
        <v>51</v>
      </c>
      <c r="F37" s="28">
        <f t="shared" si="5"/>
        <v>370</v>
      </c>
      <c r="G37" s="28">
        <v>11631</v>
      </c>
      <c r="H37" s="28">
        <v>7900</v>
      </c>
      <c r="I37" s="28">
        <v>164</v>
      </c>
      <c r="J37" s="28">
        <f t="shared" si="6"/>
        <v>3567</v>
      </c>
      <c r="K37" s="28">
        <v>34</v>
      </c>
      <c r="L37" s="28">
        <v>0</v>
      </c>
      <c r="M37" s="28">
        <v>1129</v>
      </c>
      <c r="N37" s="28">
        <v>331</v>
      </c>
      <c r="O37" s="28">
        <v>331</v>
      </c>
    </row>
    <row r="38" spans="1:256" ht="12.75" customHeight="1">
      <c r="A38" s="4" t="s">
        <v>70</v>
      </c>
      <c r="B38" s="5" t="s">
        <v>71</v>
      </c>
      <c r="C38" s="28">
        <v>55398</v>
      </c>
      <c r="D38" s="28">
        <v>40009</v>
      </c>
      <c r="E38" s="28">
        <v>1355</v>
      </c>
      <c r="F38" s="28">
        <f t="shared" si="5"/>
        <v>14034</v>
      </c>
      <c r="G38" s="28">
        <v>125592</v>
      </c>
      <c r="H38" s="28">
        <v>69317</v>
      </c>
      <c r="I38" s="28">
        <v>5753</v>
      </c>
      <c r="J38" s="28">
        <f t="shared" si="6"/>
        <v>50522</v>
      </c>
      <c r="K38" s="28">
        <v>2656</v>
      </c>
      <c r="L38" s="28">
        <v>0</v>
      </c>
      <c r="M38" s="28">
        <v>6361</v>
      </c>
      <c r="N38" s="28">
        <v>24156</v>
      </c>
      <c r="O38" s="28">
        <v>4159</v>
      </c>
    </row>
    <row r="39" spans="1:256" ht="12.75" customHeight="1">
      <c r="A39" s="4" t="s">
        <v>72</v>
      </c>
      <c r="B39" s="5" t="s">
        <v>73</v>
      </c>
      <c r="C39" s="28">
        <v>7600</v>
      </c>
      <c r="D39" s="28">
        <v>6952</v>
      </c>
      <c r="E39" s="28">
        <v>214</v>
      </c>
      <c r="F39" s="28">
        <f t="shared" si="5"/>
        <v>434</v>
      </c>
      <c r="G39" s="28">
        <v>13901</v>
      </c>
      <c r="H39" s="28">
        <v>11172</v>
      </c>
      <c r="I39" s="28">
        <v>1267</v>
      </c>
      <c r="J39" s="28">
        <f t="shared" si="6"/>
        <v>1462</v>
      </c>
      <c r="K39" s="28">
        <v>102</v>
      </c>
      <c r="L39" s="28">
        <v>0</v>
      </c>
      <c r="M39" s="28">
        <v>12</v>
      </c>
      <c r="N39" s="28">
        <v>27</v>
      </c>
      <c r="O39" s="28">
        <v>27</v>
      </c>
    </row>
    <row r="40" spans="1:256" ht="12.75" customHeight="1">
      <c r="A40" s="4" t="s">
        <v>74</v>
      </c>
      <c r="B40" s="5" t="s">
        <v>75</v>
      </c>
      <c r="C40" s="28">
        <v>5232</v>
      </c>
      <c r="D40" s="28">
        <v>4577</v>
      </c>
      <c r="E40" s="28">
        <v>209</v>
      </c>
      <c r="F40" s="28">
        <f t="shared" si="5"/>
        <v>446</v>
      </c>
      <c r="G40" s="28">
        <v>14613</v>
      </c>
      <c r="H40" s="28">
        <v>9241</v>
      </c>
      <c r="I40" s="28">
        <v>952</v>
      </c>
      <c r="J40" s="28">
        <f t="shared" si="6"/>
        <v>4420</v>
      </c>
      <c r="K40" s="28">
        <v>31</v>
      </c>
      <c r="L40" s="28">
        <v>0</v>
      </c>
      <c r="M40" s="28">
        <v>3768</v>
      </c>
      <c r="N40" s="28">
        <v>66</v>
      </c>
      <c r="O40" s="28">
        <v>66</v>
      </c>
    </row>
    <row r="41" spans="1:256" ht="12.75" customHeight="1">
      <c r="A41" s="4" t="s">
        <v>76</v>
      </c>
      <c r="B41" s="5" t="s">
        <v>77</v>
      </c>
      <c r="C41" s="28">
        <v>1353</v>
      </c>
      <c r="D41" s="28">
        <v>1282</v>
      </c>
      <c r="E41" s="28">
        <v>0</v>
      </c>
      <c r="F41" s="28">
        <f t="shared" si="5"/>
        <v>71</v>
      </c>
      <c r="G41" s="28">
        <v>4932</v>
      </c>
      <c r="H41" s="28">
        <v>3499</v>
      </c>
      <c r="I41" s="28">
        <v>0</v>
      </c>
      <c r="J41" s="28">
        <f t="shared" si="6"/>
        <v>1433</v>
      </c>
      <c r="K41" s="28">
        <v>246</v>
      </c>
      <c r="L41" s="28">
        <v>0</v>
      </c>
      <c r="M41" s="28">
        <v>153</v>
      </c>
      <c r="N41" s="28">
        <v>361</v>
      </c>
      <c r="O41" s="28">
        <v>361</v>
      </c>
    </row>
    <row r="42" spans="1:256" ht="12.75" customHeight="1">
      <c r="A42" s="4" t="s">
        <v>78</v>
      </c>
      <c r="B42" s="5" t="s">
        <v>79</v>
      </c>
      <c r="C42" s="28">
        <v>12420</v>
      </c>
      <c r="D42" s="28">
        <v>9293</v>
      </c>
      <c r="E42" s="28">
        <v>260</v>
      </c>
      <c r="F42" s="28">
        <f t="shared" si="5"/>
        <v>2867</v>
      </c>
      <c r="G42" s="28">
        <v>20658</v>
      </c>
      <c r="H42" s="28">
        <v>14805</v>
      </c>
      <c r="I42" s="28">
        <v>687</v>
      </c>
      <c r="J42" s="28">
        <f t="shared" si="6"/>
        <v>5166</v>
      </c>
      <c r="K42" s="28">
        <v>206</v>
      </c>
      <c r="L42" s="28">
        <v>0</v>
      </c>
      <c r="M42" s="28">
        <v>42</v>
      </c>
      <c r="N42" s="28">
        <v>52</v>
      </c>
      <c r="O42" s="28">
        <v>52</v>
      </c>
    </row>
    <row r="43" spans="1:256" ht="12.75" customHeight="1">
      <c r="A43" s="8"/>
      <c r="B43" s="9" t="s">
        <v>80</v>
      </c>
      <c r="C43" s="29">
        <f t="shared" ref="C43:O43" si="7">SUM(C31:C42)</f>
        <v>136500</v>
      </c>
      <c r="D43" s="29">
        <f t="shared" si="7"/>
        <v>103930</v>
      </c>
      <c r="E43" s="29">
        <f t="shared" si="7"/>
        <v>3189</v>
      </c>
      <c r="F43" s="29">
        <f t="shared" si="7"/>
        <v>29381</v>
      </c>
      <c r="G43" s="29">
        <f t="shared" si="7"/>
        <v>352301</v>
      </c>
      <c r="H43" s="29">
        <f t="shared" si="7"/>
        <v>195889</v>
      </c>
      <c r="I43" s="29">
        <f t="shared" si="7"/>
        <v>13907</v>
      </c>
      <c r="J43" s="29">
        <f t="shared" si="7"/>
        <v>142505</v>
      </c>
      <c r="K43" s="29">
        <f t="shared" si="7"/>
        <v>5264</v>
      </c>
      <c r="L43" s="29">
        <f t="shared" si="7"/>
        <v>58</v>
      </c>
      <c r="M43" s="29">
        <f t="shared" si="7"/>
        <v>28776</v>
      </c>
      <c r="N43" s="29">
        <f t="shared" si="7"/>
        <v>25945</v>
      </c>
      <c r="O43" s="29">
        <f t="shared" si="7"/>
        <v>5948</v>
      </c>
    </row>
    <row r="44" spans="1:256" ht="12.75" customHeight="1">
      <c r="A44" s="4" t="s">
        <v>81</v>
      </c>
      <c r="B44" s="5" t="s">
        <v>82</v>
      </c>
      <c r="C44" s="28">
        <v>4323</v>
      </c>
      <c r="D44" s="28">
        <v>3709</v>
      </c>
      <c r="E44" s="28">
        <v>114</v>
      </c>
      <c r="F44" s="28">
        <f>SUM(C44-D44-E44)</f>
        <v>500</v>
      </c>
      <c r="G44" s="28">
        <v>15553</v>
      </c>
      <c r="H44" s="28">
        <v>8763</v>
      </c>
      <c r="I44" s="28">
        <v>369</v>
      </c>
      <c r="J44" s="28">
        <f>SUM(G44-H44-I44)</f>
        <v>6421</v>
      </c>
      <c r="K44" s="28">
        <v>841</v>
      </c>
      <c r="L44" s="28">
        <v>0</v>
      </c>
      <c r="M44" s="28">
        <v>718</v>
      </c>
      <c r="N44" s="28">
        <v>329</v>
      </c>
      <c r="O44" s="28">
        <v>329</v>
      </c>
    </row>
    <row r="45" spans="1:256" ht="12.75" customHeight="1">
      <c r="A45" s="4" t="s">
        <v>83</v>
      </c>
      <c r="B45" s="5" t="s">
        <v>84</v>
      </c>
      <c r="C45" s="28">
        <v>6068</v>
      </c>
      <c r="D45" s="28">
        <v>4680</v>
      </c>
      <c r="E45" s="28">
        <v>171</v>
      </c>
      <c r="F45" s="28">
        <f>SUM(C45-D45-E45)</f>
        <v>1217</v>
      </c>
      <c r="G45" s="28">
        <v>25583</v>
      </c>
      <c r="H45" s="28">
        <v>10100</v>
      </c>
      <c r="I45" s="28">
        <v>618</v>
      </c>
      <c r="J45" s="28">
        <f>SUM(G45-H45-I45)</f>
        <v>14865</v>
      </c>
      <c r="K45" s="28">
        <v>3397</v>
      </c>
      <c r="L45" s="28">
        <v>0</v>
      </c>
      <c r="M45" s="28">
        <v>2902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10391</v>
      </c>
      <c r="D46" s="29">
        <f t="shared" si="8"/>
        <v>8389</v>
      </c>
      <c r="E46" s="29">
        <f t="shared" si="8"/>
        <v>285</v>
      </c>
      <c r="F46" s="29">
        <f t="shared" si="8"/>
        <v>1717</v>
      </c>
      <c r="G46" s="29">
        <f t="shared" si="8"/>
        <v>41136</v>
      </c>
      <c r="H46" s="29">
        <f t="shared" si="8"/>
        <v>18863</v>
      </c>
      <c r="I46" s="29">
        <f t="shared" si="8"/>
        <v>987</v>
      </c>
      <c r="J46" s="29">
        <f t="shared" si="8"/>
        <v>21286</v>
      </c>
      <c r="K46" s="29">
        <f t="shared" si="8"/>
        <v>4238</v>
      </c>
      <c r="L46" s="29">
        <f t="shared" si="8"/>
        <v>0</v>
      </c>
      <c r="M46" s="29">
        <f t="shared" si="8"/>
        <v>3620</v>
      </c>
      <c r="N46" s="29">
        <f t="shared" si="8"/>
        <v>329</v>
      </c>
      <c r="O46" s="29">
        <f t="shared" si="8"/>
        <v>329</v>
      </c>
    </row>
    <row r="47" spans="1:256" ht="12.75" customHeight="1">
      <c r="A47" s="4" t="s">
        <v>86</v>
      </c>
      <c r="B47" s="5" t="s">
        <v>87</v>
      </c>
      <c r="C47" s="28">
        <v>1122</v>
      </c>
      <c r="D47" s="28">
        <v>995</v>
      </c>
      <c r="E47" s="28">
        <v>0</v>
      </c>
      <c r="F47" s="28">
        <f>SUM(C47-D47-E47)</f>
        <v>127</v>
      </c>
      <c r="G47" s="28">
        <v>1146</v>
      </c>
      <c r="H47" s="28">
        <v>885</v>
      </c>
      <c r="I47" s="28">
        <v>0</v>
      </c>
      <c r="J47" s="28">
        <f>SUM(G47-H47-I47)</f>
        <v>261</v>
      </c>
      <c r="K47" s="28">
        <v>0</v>
      </c>
      <c r="L47" s="28">
        <v>0</v>
      </c>
      <c r="M47" s="28">
        <v>25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3111</v>
      </c>
      <c r="D48" s="28">
        <v>2534</v>
      </c>
      <c r="E48" s="28">
        <v>19</v>
      </c>
      <c r="F48" s="28">
        <f>SUM(C48-D48-E48)</f>
        <v>558</v>
      </c>
      <c r="G48" s="28">
        <v>5947</v>
      </c>
      <c r="H48" s="28">
        <v>4655</v>
      </c>
      <c r="I48" s="28">
        <v>72</v>
      </c>
      <c r="J48" s="28">
        <f>SUM(G48-H48-I48)</f>
        <v>1220</v>
      </c>
      <c r="K48" s="28">
        <v>0</v>
      </c>
      <c r="L48" s="28">
        <v>0</v>
      </c>
      <c r="M48" s="28">
        <v>133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1086</v>
      </c>
      <c r="D49" s="28">
        <v>997</v>
      </c>
      <c r="E49" s="28">
        <v>56</v>
      </c>
      <c r="F49" s="28">
        <f>SUM(C49-D49-E49)</f>
        <v>33</v>
      </c>
      <c r="G49" s="28">
        <v>1400</v>
      </c>
      <c r="H49" s="28">
        <v>1154</v>
      </c>
      <c r="I49" s="28">
        <v>150</v>
      </c>
      <c r="J49" s="28">
        <f>SUM(G49-H49-I49)</f>
        <v>96</v>
      </c>
      <c r="K49" s="28">
        <v>31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10187</v>
      </c>
      <c r="D50" s="28">
        <v>9846</v>
      </c>
      <c r="E50" s="28">
        <v>123</v>
      </c>
      <c r="F50" s="28">
        <f>SUM(C50-D50-E50)</f>
        <v>218</v>
      </c>
      <c r="G50" s="28">
        <v>22522</v>
      </c>
      <c r="H50" s="28">
        <v>16183</v>
      </c>
      <c r="I50" s="28">
        <v>519</v>
      </c>
      <c r="J50" s="28">
        <f>SUM(G50-H50-I50)</f>
        <v>5820</v>
      </c>
      <c r="K50" s="28">
        <v>1060</v>
      </c>
      <c r="L50" s="28">
        <v>0</v>
      </c>
      <c r="M50" s="28">
        <v>1919</v>
      </c>
      <c r="N50" s="28">
        <v>252</v>
      </c>
      <c r="O50" s="28">
        <v>252</v>
      </c>
    </row>
    <row r="51" spans="1:15" ht="12.75" customHeight="1">
      <c r="A51" s="8"/>
      <c r="B51" s="9" t="s">
        <v>94</v>
      </c>
      <c r="C51" s="29">
        <f t="shared" ref="C51:O51" si="9">SUM(C47:C50)</f>
        <v>15506</v>
      </c>
      <c r="D51" s="29">
        <f t="shared" si="9"/>
        <v>14372</v>
      </c>
      <c r="E51" s="29">
        <f t="shared" si="9"/>
        <v>198</v>
      </c>
      <c r="F51" s="29">
        <f t="shared" si="9"/>
        <v>936</v>
      </c>
      <c r="G51" s="29">
        <f t="shared" si="9"/>
        <v>31015</v>
      </c>
      <c r="H51" s="29">
        <f t="shared" si="9"/>
        <v>22877</v>
      </c>
      <c r="I51" s="29">
        <f t="shared" si="9"/>
        <v>741</v>
      </c>
      <c r="J51" s="29">
        <f t="shared" si="9"/>
        <v>7397</v>
      </c>
      <c r="K51" s="29">
        <f t="shared" si="9"/>
        <v>1091</v>
      </c>
      <c r="L51" s="29">
        <f t="shared" si="9"/>
        <v>0</v>
      </c>
      <c r="M51" s="29">
        <f t="shared" si="9"/>
        <v>2077</v>
      </c>
      <c r="N51" s="29">
        <f t="shared" si="9"/>
        <v>280</v>
      </c>
      <c r="O51" s="29">
        <f t="shared" si="9"/>
        <v>280</v>
      </c>
    </row>
    <row r="52" spans="1:15" ht="12.75" customHeight="1">
      <c r="A52" s="4" t="s">
        <v>95</v>
      </c>
      <c r="B52" s="5" t="s">
        <v>96</v>
      </c>
      <c r="C52" s="28">
        <v>1598</v>
      </c>
      <c r="D52" s="28">
        <v>1240</v>
      </c>
      <c r="E52" s="28">
        <v>0</v>
      </c>
      <c r="F52" s="28">
        <f t="shared" ref="F52:F58" si="10">SUM(C52-D52-E52)</f>
        <v>358</v>
      </c>
      <c r="G52" s="28">
        <v>4862</v>
      </c>
      <c r="H52" s="28">
        <v>2796</v>
      </c>
      <c r="I52" s="28">
        <v>5</v>
      </c>
      <c r="J52" s="28">
        <f t="shared" ref="J52:J58" si="11">SUM(G52-H52-I52)</f>
        <v>2061</v>
      </c>
      <c r="K52" s="28">
        <v>1161</v>
      </c>
      <c r="L52" s="28">
        <v>0</v>
      </c>
      <c r="M52" s="28">
        <v>73</v>
      </c>
      <c r="N52" s="28">
        <v>59</v>
      </c>
      <c r="O52" s="28">
        <v>59</v>
      </c>
    </row>
    <row r="53" spans="1:15" ht="12.75" customHeight="1">
      <c r="A53" s="4" t="s">
        <v>97</v>
      </c>
      <c r="B53" s="5" t="s">
        <v>98</v>
      </c>
      <c r="C53" s="28">
        <v>10173</v>
      </c>
      <c r="D53" s="28">
        <v>6857</v>
      </c>
      <c r="E53" s="28">
        <v>141</v>
      </c>
      <c r="F53" s="28">
        <f t="shared" si="10"/>
        <v>3175</v>
      </c>
      <c r="G53" s="28">
        <v>31344</v>
      </c>
      <c r="H53" s="28">
        <v>17975</v>
      </c>
      <c r="I53" s="28">
        <v>967</v>
      </c>
      <c r="J53" s="28">
        <f t="shared" si="11"/>
        <v>12402</v>
      </c>
      <c r="K53" s="28">
        <v>352</v>
      </c>
      <c r="L53" s="28">
        <v>0</v>
      </c>
      <c r="M53" s="28">
        <v>1765</v>
      </c>
      <c r="N53" s="28">
        <v>424</v>
      </c>
      <c r="O53" s="28">
        <v>424</v>
      </c>
    </row>
    <row r="54" spans="1:15" ht="12.75" customHeight="1">
      <c r="A54" s="4" t="s">
        <v>99</v>
      </c>
      <c r="B54" s="5" t="s">
        <v>100</v>
      </c>
      <c r="C54" s="28">
        <v>1660</v>
      </c>
      <c r="D54" s="28">
        <v>949</v>
      </c>
      <c r="E54" s="28">
        <v>53</v>
      </c>
      <c r="F54" s="28">
        <f t="shared" si="10"/>
        <v>658</v>
      </c>
      <c r="G54" s="28">
        <v>5522</v>
      </c>
      <c r="H54" s="28">
        <v>3115</v>
      </c>
      <c r="I54" s="28">
        <v>384</v>
      </c>
      <c r="J54" s="28">
        <f t="shared" si="11"/>
        <v>2023</v>
      </c>
      <c r="K54" s="28">
        <v>29</v>
      </c>
      <c r="L54" s="28">
        <v>0</v>
      </c>
      <c r="M54" s="28">
        <v>621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7188</v>
      </c>
      <c r="D55" s="28">
        <v>4703</v>
      </c>
      <c r="E55" s="28">
        <v>107</v>
      </c>
      <c r="F55" s="28">
        <f t="shared" si="10"/>
        <v>2378</v>
      </c>
      <c r="G55" s="28">
        <v>26208</v>
      </c>
      <c r="H55" s="28">
        <v>12012</v>
      </c>
      <c r="I55" s="28">
        <v>452</v>
      </c>
      <c r="J55" s="28">
        <f t="shared" si="11"/>
        <v>13744</v>
      </c>
      <c r="K55" s="28">
        <v>1315</v>
      </c>
      <c r="L55" s="28">
        <v>7</v>
      </c>
      <c r="M55" s="28">
        <v>1987</v>
      </c>
      <c r="N55" s="28">
        <v>1611</v>
      </c>
      <c r="O55" s="28">
        <v>1611</v>
      </c>
    </row>
    <row r="56" spans="1:15" ht="12.75" customHeight="1">
      <c r="A56" s="4" t="s">
        <v>103</v>
      </c>
      <c r="B56" s="5" t="s">
        <v>104</v>
      </c>
      <c r="C56" s="28">
        <v>8881</v>
      </c>
      <c r="D56" s="28">
        <v>4443</v>
      </c>
      <c r="E56" s="28">
        <v>423</v>
      </c>
      <c r="F56" s="28">
        <f t="shared" si="10"/>
        <v>4015</v>
      </c>
      <c r="G56" s="28">
        <v>31965</v>
      </c>
      <c r="H56" s="28">
        <v>10552</v>
      </c>
      <c r="I56" s="28">
        <v>2202</v>
      </c>
      <c r="J56" s="28">
        <f t="shared" si="11"/>
        <v>19211</v>
      </c>
      <c r="K56" s="28">
        <v>883</v>
      </c>
      <c r="L56" s="28">
        <v>41</v>
      </c>
      <c r="M56" s="28">
        <v>3959</v>
      </c>
      <c r="N56" s="28">
        <v>11833</v>
      </c>
      <c r="O56" s="28">
        <v>452</v>
      </c>
    </row>
    <row r="57" spans="1:15" ht="12.75" customHeight="1">
      <c r="A57" s="4" t="s">
        <v>105</v>
      </c>
      <c r="B57" s="5" t="s">
        <v>106</v>
      </c>
      <c r="C57" s="28">
        <v>8938</v>
      </c>
      <c r="D57" s="28">
        <v>5240</v>
      </c>
      <c r="E57" s="28">
        <v>440</v>
      </c>
      <c r="F57" s="28">
        <f t="shared" si="10"/>
        <v>3258</v>
      </c>
      <c r="G57" s="28">
        <v>33560</v>
      </c>
      <c r="H57" s="28">
        <v>15695</v>
      </c>
      <c r="I57" s="28">
        <v>1801</v>
      </c>
      <c r="J57" s="28">
        <f t="shared" si="11"/>
        <v>16064</v>
      </c>
      <c r="K57" s="28">
        <v>309</v>
      </c>
      <c r="L57" s="28">
        <v>0</v>
      </c>
      <c r="M57" s="28">
        <v>3717</v>
      </c>
      <c r="N57" s="28">
        <v>56</v>
      </c>
      <c r="O57" s="28">
        <v>56</v>
      </c>
    </row>
    <row r="58" spans="1:15" ht="12.75" customHeight="1">
      <c r="A58" s="4" t="s">
        <v>107</v>
      </c>
      <c r="B58" s="5" t="s">
        <v>108</v>
      </c>
      <c r="C58" s="28">
        <v>9466</v>
      </c>
      <c r="D58" s="28">
        <v>5292</v>
      </c>
      <c r="E58" s="28">
        <v>138</v>
      </c>
      <c r="F58" s="28">
        <f t="shared" si="10"/>
        <v>4036</v>
      </c>
      <c r="G58" s="28">
        <v>33756</v>
      </c>
      <c r="H58" s="28">
        <v>12948</v>
      </c>
      <c r="I58" s="28">
        <v>664</v>
      </c>
      <c r="J58" s="28">
        <f t="shared" si="11"/>
        <v>20144</v>
      </c>
      <c r="K58" s="28">
        <v>540</v>
      </c>
      <c r="L58" s="28">
        <v>27</v>
      </c>
      <c r="M58" s="28">
        <v>2323</v>
      </c>
      <c r="N58" s="28">
        <v>2410</v>
      </c>
      <c r="O58" s="28">
        <v>2410</v>
      </c>
    </row>
    <row r="59" spans="1:15" ht="12.75" customHeight="1">
      <c r="A59" s="8"/>
      <c r="B59" s="9" t="s">
        <v>109</v>
      </c>
      <c r="C59" s="29">
        <f t="shared" ref="C59:O59" si="12">SUM(C52:C58)</f>
        <v>47904</v>
      </c>
      <c r="D59" s="29">
        <f t="shared" si="12"/>
        <v>28724</v>
      </c>
      <c r="E59" s="29">
        <f t="shared" si="12"/>
        <v>1302</v>
      </c>
      <c r="F59" s="29">
        <f t="shared" si="12"/>
        <v>17878</v>
      </c>
      <c r="G59" s="29">
        <f t="shared" si="12"/>
        <v>167217</v>
      </c>
      <c r="H59" s="29">
        <f t="shared" si="12"/>
        <v>75093</v>
      </c>
      <c r="I59" s="29">
        <f t="shared" si="12"/>
        <v>6475</v>
      </c>
      <c r="J59" s="29">
        <f t="shared" si="12"/>
        <v>85649</v>
      </c>
      <c r="K59" s="29">
        <f t="shared" si="12"/>
        <v>4589</v>
      </c>
      <c r="L59" s="29">
        <f t="shared" si="12"/>
        <v>75</v>
      </c>
      <c r="M59" s="29">
        <f t="shared" si="12"/>
        <v>14445</v>
      </c>
      <c r="N59" s="29">
        <f t="shared" si="12"/>
        <v>16393</v>
      </c>
      <c r="O59" s="29">
        <f t="shared" si="12"/>
        <v>5012</v>
      </c>
    </row>
    <row r="60" spans="1:15" ht="12.75" customHeight="1">
      <c r="A60" s="4" t="s">
        <v>110</v>
      </c>
      <c r="B60" s="5" t="s">
        <v>111</v>
      </c>
      <c r="C60" s="28">
        <v>10478</v>
      </c>
      <c r="D60" s="28">
        <v>7470</v>
      </c>
      <c r="E60" s="28">
        <v>657</v>
      </c>
      <c r="F60" s="28">
        <f t="shared" ref="F60:F68" si="13">SUM(C60-D60-E60)</f>
        <v>2351</v>
      </c>
      <c r="G60" s="28">
        <v>32753</v>
      </c>
      <c r="H60" s="28">
        <v>18702</v>
      </c>
      <c r="I60" s="28">
        <v>3799</v>
      </c>
      <c r="J60" s="28">
        <f t="shared" ref="J60:J68" si="14">SUM(G60-H60-I60)</f>
        <v>10252</v>
      </c>
      <c r="K60" s="28">
        <v>103</v>
      </c>
      <c r="L60" s="28">
        <v>0</v>
      </c>
      <c r="M60" s="28">
        <v>1641</v>
      </c>
      <c r="N60" s="28">
        <v>362</v>
      </c>
      <c r="O60" s="28">
        <v>362</v>
      </c>
    </row>
    <row r="61" spans="1:15" ht="12.75" customHeight="1">
      <c r="A61" s="4" t="s">
        <v>112</v>
      </c>
      <c r="B61" s="5" t="s">
        <v>113</v>
      </c>
      <c r="C61" s="28">
        <v>2990</v>
      </c>
      <c r="D61" s="28">
        <v>2033</v>
      </c>
      <c r="E61" s="28">
        <v>57</v>
      </c>
      <c r="F61" s="28">
        <f t="shared" si="13"/>
        <v>900</v>
      </c>
      <c r="G61" s="28">
        <v>8131</v>
      </c>
      <c r="H61" s="28">
        <v>5200</v>
      </c>
      <c r="I61" s="28">
        <v>342</v>
      </c>
      <c r="J61" s="28">
        <f t="shared" si="14"/>
        <v>2589</v>
      </c>
      <c r="K61" s="28">
        <v>8</v>
      </c>
      <c r="L61" s="28">
        <v>0</v>
      </c>
      <c r="M61" s="28">
        <v>1160</v>
      </c>
      <c r="N61" s="28">
        <v>32</v>
      </c>
      <c r="O61" s="28">
        <v>32</v>
      </c>
    </row>
    <row r="62" spans="1:15" ht="12.75" customHeight="1">
      <c r="A62" s="4" t="s">
        <v>114</v>
      </c>
      <c r="B62" s="5" t="s">
        <v>115</v>
      </c>
      <c r="C62" s="28">
        <v>5033</v>
      </c>
      <c r="D62" s="28">
        <v>2508</v>
      </c>
      <c r="E62" s="28">
        <v>195</v>
      </c>
      <c r="F62" s="28">
        <f t="shared" si="13"/>
        <v>2330</v>
      </c>
      <c r="G62" s="28">
        <v>23767</v>
      </c>
      <c r="H62" s="28">
        <v>6913</v>
      </c>
      <c r="I62" s="28">
        <v>1190</v>
      </c>
      <c r="J62" s="28">
        <f t="shared" si="14"/>
        <v>15664</v>
      </c>
      <c r="K62" s="28">
        <v>112</v>
      </c>
      <c r="L62" s="28">
        <v>14</v>
      </c>
      <c r="M62" s="28">
        <v>2116</v>
      </c>
      <c r="N62" s="28">
        <v>229</v>
      </c>
      <c r="O62" s="28">
        <v>229</v>
      </c>
    </row>
    <row r="63" spans="1:15" ht="12.75" customHeight="1">
      <c r="A63" s="4" t="s">
        <v>116</v>
      </c>
      <c r="B63" s="5" t="s">
        <v>117</v>
      </c>
      <c r="C63" s="28">
        <v>6927</v>
      </c>
      <c r="D63" s="28">
        <v>4221</v>
      </c>
      <c r="E63" s="28">
        <v>302</v>
      </c>
      <c r="F63" s="28">
        <f t="shared" si="13"/>
        <v>2404</v>
      </c>
      <c r="G63" s="28">
        <v>22973</v>
      </c>
      <c r="H63" s="28">
        <v>12598</v>
      </c>
      <c r="I63" s="28">
        <v>2208</v>
      </c>
      <c r="J63" s="28">
        <f t="shared" si="14"/>
        <v>8167</v>
      </c>
      <c r="K63" s="28">
        <v>75</v>
      </c>
      <c r="L63" s="28">
        <v>0</v>
      </c>
      <c r="M63" s="28">
        <v>1665</v>
      </c>
      <c r="N63" s="28">
        <v>56</v>
      </c>
      <c r="O63" s="28">
        <v>56</v>
      </c>
    </row>
    <row r="64" spans="1:15" ht="12.75" customHeight="1">
      <c r="A64" s="4" t="s">
        <v>118</v>
      </c>
      <c r="B64" s="5" t="s">
        <v>119</v>
      </c>
      <c r="C64" s="28">
        <v>6558</v>
      </c>
      <c r="D64" s="28">
        <v>3273</v>
      </c>
      <c r="E64" s="28">
        <v>407</v>
      </c>
      <c r="F64" s="28">
        <f t="shared" si="13"/>
        <v>2878</v>
      </c>
      <c r="G64" s="28">
        <v>24310</v>
      </c>
      <c r="H64" s="28">
        <v>9646</v>
      </c>
      <c r="I64" s="28">
        <v>1854</v>
      </c>
      <c r="J64" s="28">
        <f t="shared" si="14"/>
        <v>12810</v>
      </c>
      <c r="K64" s="28">
        <v>34</v>
      </c>
      <c r="L64" s="28">
        <v>0</v>
      </c>
      <c r="M64" s="28">
        <v>987</v>
      </c>
      <c r="N64" s="28">
        <v>111</v>
      </c>
      <c r="O64" s="28">
        <v>111</v>
      </c>
    </row>
    <row r="65" spans="1:15" ht="12.75" customHeight="1">
      <c r="A65" s="4" t="s">
        <v>120</v>
      </c>
      <c r="B65" s="5" t="s">
        <v>121</v>
      </c>
      <c r="C65" s="28">
        <v>2983</v>
      </c>
      <c r="D65" s="28">
        <v>2075</v>
      </c>
      <c r="E65" s="28">
        <v>256</v>
      </c>
      <c r="F65" s="28">
        <f t="shared" si="13"/>
        <v>652</v>
      </c>
      <c r="G65" s="28">
        <v>16366</v>
      </c>
      <c r="H65" s="28">
        <v>6117</v>
      </c>
      <c r="I65" s="28">
        <v>1794</v>
      </c>
      <c r="J65" s="28">
        <f t="shared" si="14"/>
        <v>8455</v>
      </c>
      <c r="K65" s="28">
        <v>912</v>
      </c>
      <c r="L65" s="28">
        <v>0</v>
      </c>
      <c r="M65" s="28">
        <v>2465</v>
      </c>
      <c r="N65" s="28">
        <v>255</v>
      </c>
      <c r="O65" s="28">
        <v>255</v>
      </c>
    </row>
    <row r="66" spans="1:15" ht="12.75" customHeight="1">
      <c r="A66" s="4" t="s">
        <v>122</v>
      </c>
      <c r="B66" s="5" t="s">
        <v>123</v>
      </c>
      <c r="C66" s="28">
        <v>5921</v>
      </c>
      <c r="D66" s="28">
        <v>2081</v>
      </c>
      <c r="E66" s="28">
        <v>101</v>
      </c>
      <c r="F66" s="28">
        <f t="shared" si="13"/>
        <v>3739</v>
      </c>
      <c r="G66" s="28">
        <v>31255</v>
      </c>
      <c r="H66" s="28">
        <v>6296</v>
      </c>
      <c r="I66" s="28">
        <v>557</v>
      </c>
      <c r="J66" s="28">
        <f t="shared" si="14"/>
        <v>24402</v>
      </c>
      <c r="K66" s="28">
        <v>1152</v>
      </c>
      <c r="L66" s="28">
        <v>0</v>
      </c>
      <c r="M66" s="28">
        <v>6590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8975</v>
      </c>
      <c r="D67" s="28">
        <v>2321</v>
      </c>
      <c r="E67" s="28">
        <v>0</v>
      </c>
      <c r="F67" s="28">
        <f t="shared" si="13"/>
        <v>6654</v>
      </c>
      <c r="G67" s="28">
        <v>38926</v>
      </c>
      <c r="H67" s="28">
        <v>6447</v>
      </c>
      <c r="I67" s="28">
        <v>0</v>
      </c>
      <c r="J67" s="28">
        <f t="shared" si="14"/>
        <v>32479</v>
      </c>
      <c r="K67" s="28">
        <v>833</v>
      </c>
      <c r="L67" s="28">
        <v>0</v>
      </c>
      <c r="M67" s="28">
        <v>10785</v>
      </c>
      <c r="N67" s="28">
        <v>100</v>
      </c>
      <c r="O67" s="28">
        <v>100</v>
      </c>
    </row>
    <row r="68" spans="1:15" ht="12.75" customHeight="1">
      <c r="A68" s="4" t="s">
        <v>126</v>
      </c>
      <c r="B68" s="5" t="s">
        <v>127</v>
      </c>
      <c r="C68" s="28">
        <v>5144</v>
      </c>
      <c r="D68" s="28">
        <v>2943</v>
      </c>
      <c r="E68" s="28">
        <v>79</v>
      </c>
      <c r="F68" s="28">
        <f t="shared" si="13"/>
        <v>2122</v>
      </c>
      <c r="G68" s="28">
        <v>15089</v>
      </c>
      <c r="H68" s="28">
        <v>6788</v>
      </c>
      <c r="I68" s="28">
        <v>623</v>
      </c>
      <c r="J68" s="28">
        <f t="shared" si="14"/>
        <v>7678</v>
      </c>
      <c r="K68" s="28">
        <v>0</v>
      </c>
      <c r="L68" s="28">
        <v>47</v>
      </c>
      <c r="M68" s="28">
        <v>543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55009</v>
      </c>
      <c r="D69" s="29">
        <f t="shared" si="15"/>
        <v>28925</v>
      </c>
      <c r="E69" s="29">
        <f t="shared" si="15"/>
        <v>2054</v>
      </c>
      <c r="F69" s="29">
        <f t="shared" si="15"/>
        <v>24030</v>
      </c>
      <c r="G69" s="29">
        <f t="shared" si="15"/>
        <v>213570</v>
      </c>
      <c r="H69" s="29">
        <f t="shared" si="15"/>
        <v>78707</v>
      </c>
      <c r="I69" s="29">
        <f t="shared" si="15"/>
        <v>12367</v>
      </c>
      <c r="J69" s="29">
        <f t="shared" si="15"/>
        <v>122496</v>
      </c>
      <c r="K69" s="29">
        <f t="shared" si="15"/>
        <v>3229</v>
      </c>
      <c r="L69" s="29">
        <f t="shared" si="15"/>
        <v>61</v>
      </c>
      <c r="M69" s="29">
        <f t="shared" si="15"/>
        <v>27952</v>
      </c>
      <c r="N69" s="29">
        <f t="shared" si="15"/>
        <v>1145</v>
      </c>
      <c r="O69" s="29">
        <f t="shared" si="15"/>
        <v>1145</v>
      </c>
    </row>
    <row r="70" spans="1:15" ht="12.75" customHeight="1">
      <c r="A70" s="4" t="s">
        <v>129</v>
      </c>
      <c r="B70" s="5" t="s">
        <v>130</v>
      </c>
      <c r="C70" s="28">
        <v>3141</v>
      </c>
      <c r="D70" s="28">
        <v>2186</v>
      </c>
      <c r="E70" s="28">
        <v>210</v>
      </c>
      <c r="F70" s="28">
        <f t="shared" ref="F70:F79" si="16">SUM(C70-D70-E70)</f>
        <v>745</v>
      </c>
      <c r="G70" s="28">
        <v>11522</v>
      </c>
      <c r="H70" s="28">
        <v>6004</v>
      </c>
      <c r="I70" s="28">
        <v>1680</v>
      </c>
      <c r="J70" s="28">
        <f t="shared" ref="J70:J79" si="17">SUM(G70-H70-I70)</f>
        <v>3838</v>
      </c>
      <c r="K70" s="28">
        <v>134</v>
      </c>
      <c r="L70" s="28">
        <v>4</v>
      </c>
      <c r="M70" s="28">
        <v>1037</v>
      </c>
      <c r="N70" s="28">
        <v>36</v>
      </c>
      <c r="O70" s="28">
        <v>36</v>
      </c>
    </row>
    <row r="71" spans="1:15" ht="12.75" customHeight="1">
      <c r="A71" s="4" t="s">
        <v>131</v>
      </c>
      <c r="B71" s="5" t="s">
        <v>132</v>
      </c>
      <c r="C71" s="28">
        <v>12725</v>
      </c>
      <c r="D71" s="28">
        <v>8096</v>
      </c>
      <c r="E71" s="28">
        <v>432</v>
      </c>
      <c r="F71" s="28">
        <f t="shared" si="16"/>
        <v>4197</v>
      </c>
      <c r="G71" s="28">
        <v>30929</v>
      </c>
      <c r="H71" s="28">
        <v>14195</v>
      </c>
      <c r="I71" s="28">
        <v>2297</v>
      </c>
      <c r="J71" s="28">
        <f t="shared" si="17"/>
        <v>14437</v>
      </c>
      <c r="K71" s="28">
        <v>356</v>
      </c>
      <c r="L71" s="28">
        <v>0</v>
      </c>
      <c r="M71" s="28">
        <v>1290</v>
      </c>
      <c r="N71" s="28">
        <v>3552</v>
      </c>
      <c r="O71" s="28">
        <v>3552</v>
      </c>
    </row>
    <row r="72" spans="1:15" ht="12.75" customHeight="1">
      <c r="A72" s="4" t="s">
        <v>133</v>
      </c>
      <c r="B72" s="5" t="s">
        <v>134</v>
      </c>
      <c r="C72" s="28">
        <v>2330</v>
      </c>
      <c r="D72" s="28">
        <v>1518</v>
      </c>
      <c r="E72" s="28">
        <v>0</v>
      </c>
      <c r="F72" s="28">
        <f t="shared" si="16"/>
        <v>812</v>
      </c>
      <c r="G72" s="28">
        <v>7778</v>
      </c>
      <c r="H72" s="28">
        <v>4057</v>
      </c>
      <c r="I72" s="28">
        <v>0</v>
      </c>
      <c r="J72" s="28">
        <f t="shared" si="17"/>
        <v>3721</v>
      </c>
      <c r="K72" s="28">
        <v>261</v>
      </c>
      <c r="L72" s="28">
        <v>159</v>
      </c>
      <c r="M72" s="28">
        <v>2339</v>
      </c>
      <c r="N72" s="28">
        <v>75</v>
      </c>
      <c r="O72" s="28">
        <v>75</v>
      </c>
    </row>
    <row r="73" spans="1:15" ht="12.75" customHeight="1">
      <c r="A73" s="4" t="s">
        <v>135</v>
      </c>
      <c r="B73" s="5" t="s">
        <v>136</v>
      </c>
      <c r="C73" s="28">
        <v>5619</v>
      </c>
      <c r="D73" s="28">
        <v>3957</v>
      </c>
      <c r="E73" s="28">
        <v>35</v>
      </c>
      <c r="F73" s="28">
        <f t="shared" si="16"/>
        <v>1627</v>
      </c>
      <c r="G73" s="28">
        <v>16483</v>
      </c>
      <c r="H73" s="28">
        <v>9640</v>
      </c>
      <c r="I73" s="28">
        <v>141</v>
      </c>
      <c r="J73" s="28">
        <f t="shared" si="17"/>
        <v>6702</v>
      </c>
      <c r="K73" s="28">
        <v>320</v>
      </c>
      <c r="L73" s="28">
        <v>0</v>
      </c>
      <c r="M73" s="28">
        <v>1131</v>
      </c>
      <c r="N73" s="28">
        <v>5421</v>
      </c>
      <c r="O73" s="28">
        <v>5421</v>
      </c>
    </row>
    <row r="74" spans="1:15" ht="12.75" customHeight="1">
      <c r="A74" s="4" t="s">
        <v>137</v>
      </c>
      <c r="B74" s="5" t="s">
        <v>138</v>
      </c>
      <c r="C74" s="28">
        <v>4933</v>
      </c>
      <c r="D74" s="28">
        <v>3619</v>
      </c>
      <c r="E74" s="28">
        <v>135</v>
      </c>
      <c r="F74" s="28">
        <f t="shared" si="16"/>
        <v>1179</v>
      </c>
      <c r="G74" s="28">
        <v>11769</v>
      </c>
      <c r="H74" s="28">
        <v>6508</v>
      </c>
      <c r="I74" s="28">
        <v>652</v>
      </c>
      <c r="J74" s="28">
        <f t="shared" si="17"/>
        <v>4609</v>
      </c>
      <c r="K74" s="28">
        <v>298</v>
      </c>
      <c r="L74" s="28">
        <v>0</v>
      </c>
      <c r="M74" s="28">
        <v>290</v>
      </c>
      <c r="N74" s="28">
        <v>301</v>
      </c>
      <c r="O74" s="28">
        <v>301</v>
      </c>
    </row>
    <row r="75" spans="1:15" ht="12.75" customHeight="1">
      <c r="A75" s="4" t="s">
        <v>139</v>
      </c>
      <c r="B75" s="5" t="s">
        <v>140</v>
      </c>
      <c r="C75" s="28">
        <v>1955</v>
      </c>
      <c r="D75" s="28">
        <v>1759</v>
      </c>
      <c r="E75" s="28">
        <v>39</v>
      </c>
      <c r="F75" s="28">
        <f t="shared" si="16"/>
        <v>157</v>
      </c>
      <c r="G75" s="28">
        <v>4017</v>
      </c>
      <c r="H75" s="28">
        <v>3163</v>
      </c>
      <c r="I75" s="28">
        <v>268</v>
      </c>
      <c r="J75" s="28">
        <f t="shared" si="17"/>
        <v>586</v>
      </c>
      <c r="K75" s="28">
        <v>8</v>
      </c>
      <c r="L75" s="28">
        <v>0</v>
      </c>
      <c r="M75" s="28">
        <v>23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4847</v>
      </c>
      <c r="D76" s="28">
        <v>3375</v>
      </c>
      <c r="E76" s="28">
        <v>53</v>
      </c>
      <c r="F76" s="28">
        <f t="shared" si="16"/>
        <v>1419</v>
      </c>
      <c r="G76" s="28">
        <v>13869</v>
      </c>
      <c r="H76" s="28">
        <v>8350</v>
      </c>
      <c r="I76" s="28">
        <v>240</v>
      </c>
      <c r="J76" s="28">
        <f t="shared" si="17"/>
        <v>5279</v>
      </c>
      <c r="K76" s="28">
        <v>96</v>
      </c>
      <c r="L76" s="28">
        <v>51</v>
      </c>
      <c r="M76" s="28">
        <v>628</v>
      </c>
      <c r="N76" s="28">
        <v>87</v>
      </c>
      <c r="O76" s="28">
        <v>87</v>
      </c>
    </row>
    <row r="77" spans="1:15" ht="12.75" customHeight="1">
      <c r="A77" s="4" t="s">
        <v>143</v>
      </c>
      <c r="B77" s="5" t="s">
        <v>144</v>
      </c>
      <c r="C77" s="28">
        <v>4139</v>
      </c>
      <c r="D77" s="28">
        <v>2285</v>
      </c>
      <c r="E77" s="28">
        <v>59</v>
      </c>
      <c r="F77" s="28">
        <f t="shared" si="16"/>
        <v>1795</v>
      </c>
      <c r="G77" s="28">
        <v>8871</v>
      </c>
      <c r="H77" s="28">
        <v>4476</v>
      </c>
      <c r="I77" s="28">
        <v>249</v>
      </c>
      <c r="J77" s="28">
        <f t="shared" si="17"/>
        <v>4146</v>
      </c>
      <c r="K77" s="28">
        <v>331</v>
      </c>
      <c r="L77" s="28">
        <v>0</v>
      </c>
      <c r="M77" s="28">
        <v>527</v>
      </c>
      <c r="N77" s="28">
        <v>36</v>
      </c>
      <c r="O77" s="28">
        <v>36</v>
      </c>
    </row>
    <row r="78" spans="1:15" ht="12.75" customHeight="1">
      <c r="A78" s="4" t="s">
        <v>145</v>
      </c>
      <c r="B78" s="5" t="s">
        <v>146</v>
      </c>
      <c r="C78" s="28">
        <v>2813</v>
      </c>
      <c r="D78" s="28">
        <v>1827</v>
      </c>
      <c r="E78" s="28">
        <v>0</v>
      </c>
      <c r="F78" s="28">
        <f t="shared" si="16"/>
        <v>986</v>
      </c>
      <c r="G78" s="28">
        <v>6376</v>
      </c>
      <c r="H78" s="28">
        <v>3823</v>
      </c>
      <c r="I78" s="28">
        <v>0</v>
      </c>
      <c r="J78" s="28">
        <f t="shared" si="17"/>
        <v>2553</v>
      </c>
      <c r="K78" s="28">
        <v>44</v>
      </c>
      <c r="L78" s="28">
        <v>0</v>
      </c>
      <c r="M78" s="28">
        <v>18</v>
      </c>
      <c r="N78" s="28">
        <v>166</v>
      </c>
      <c r="O78" s="28">
        <v>166</v>
      </c>
    </row>
    <row r="79" spans="1:15" ht="12.75" customHeight="1">
      <c r="A79" s="4" t="s">
        <v>147</v>
      </c>
      <c r="B79" s="5" t="s">
        <v>148</v>
      </c>
      <c r="C79" s="28">
        <v>2894</v>
      </c>
      <c r="D79" s="28">
        <v>2111</v>
      </c>
      <c r="E79" s="28">
        <v>45</v>
      </c>
      <c r="F79" s="28">
        <f t="shared" si="16"/>
        <v>738</v>
      </c>
      <c r="G79" s="28">
        <v>10150</v>
      </c>
      <c r="H79" s="28">
        <v>5233</v>
      </c>
      <c r="I79" s="28">
        <v>346</v>
      </c>
      <c r="J79" s="28">
        <f t="shared" si="17"/>
        <v>4571</v>
      </c>
      <c r="K79" s="28">
        <v>245</v>
      </c>
      <c r="L79" s="28">
        <v>0</v>
      </c>
      <c r="M79" s="28">
        <v>1683</v>
      </c>
      <c r="N79" s="28">
        <v>67</v>
      </c>
      <c r="O79" s="28">
        <v>67</v>
      </c>
    </row>
    <row r="80" spans="1:15" ht="12.75" customHeight="1">
      <c r="A80" s="8"/>
      <c r="B80" s="9" t="s">
        <v>149</v>
      </c>
      <c r="C80" s="29">
        <f t="shared" ref="C80:O80" si="18">SUM(C70:C79)</f>
        <v>45396</v>
      </c>
      <c r="D80" s="29">
        <f t="shared" si="18"/>
        <v>30733</v>
      </c>
      <c r="E80" s="29">
        <f t="shared" si="18"/>
        <v>1008</v>
      </c>
      <c r="F80" s="29">
        <f t="shared" si="18"/>
        <v>13655</v>
      </c>
      <c r="G80" s="29">
        <f t="shared" si="18"/>
        <v>121764</v>
      </c>
      <c r="H80" s="29">
        <f t="shared" si="18"/>
        <v>65449</v>
      </c>
      <c r="I80" s="29">
        <f t="shared" si="18"/>
        <v>5873</v>
      </c>
      <c r="J80" s="29">
        <f t="shared" si="18"/>
        <v>50442</v>
      </c>
      <c r="K80" s="29">
        <f t="shared" si="18"/>
        <v>2093</v>
      </c>
      <c r="L80" s="29">
        <f t="shared" si="18"/>
        <v>214</v>
      </c>
      <c r="M80" s="29">
        <f t="shared" si="18"/>
        <v>8966</v>
      </c>
      <c r="N80" s="29">
        <f t="shared" si="18"/>
        <v>9741</v>
      </c>
      <c r="O80" s="29">
        <f t="shared" si="18"/>
        <v>9741</v>
      </c>
    </row>
    <row r="81" spans="1:15" ht="12.75" customHeight="1">
      <c r="A81" s="4" t="s">
        <v>150</v>
      </c>
      <c r="B81" s="5" t="s">
        <v>151</v>
      </c>
      <c r="C81" s="28">
        <v>5480</v>
      </c>
      <c r="D81" s="28">
        <v>3281</v>
      </c>
      <c r="E81" s="28">
        <v>108</v>
      </c>
      <c r="F81" s="28">
        <f>SUM(C81-D81-E81)</f>
        <v>2091</v>
      </c>
      <c r="G81" s="28">
        <v>21848</v>
      </c>
      <c r="H81" s="28">
        <v>10764</v>
      </c>
      <c r="I81" s="28">
        <v>1008</v>
      </c>
      <c r="J81" s="28">
        <f>SUM(G81-H81-I81)</f>
        <v>10076</v>
      </c>
      <c r="K81" s="28">
        <v>106</v>
      </c>
      <c r="L81" s="28">
        <v>244</v>
      </c>
      <c r="M81" s="28">
        <v>1721</v>
      </c>
      <c r="N81" s="28">
        <v>674</v>
      </c>
      <c r="O81" s="28">
        <v>674</v>
      </c>
    </row>
    <row r="82" spans="1:15" ht="12.75" customHeight="1">
      <c r="A82" s="4" t="s">
        <v>152</v>
      </c>
      <c r="B82" s="5" t="s">
        <v>153</v>
      </c>
      <c r="C82" s="28">
        <v>1982</v>
      </c>
      <c r="D82" s="28">
        <v>1412</v>
      </c>
      <c r="E82" s="28">
        <v>21</v>
      </c>
      <c r="F82" s="28">
        <f>SUM(C82-D82-E82)</f>
        <v>549</v>
      </c>
      <c r="G82" s="28">
        <v>10651</v>
      </c>
      <c r="H82" s="28">
        <v>4549</v>
      </c>
      <c r="I82" s="28">
        <v>187</v>
      </c>
      <c r="J82" s="28">
        <f>SUM(G82-H82-I82)</f>
        <v>5915</v>
      </c>
      <c r="K82" s="28">
        <v>38</v>
      </c>
      <c r="L82" s="28">
        <v>0</v>
      </c>
      <c r="M82" s="28">
        <v>1858</v>
      </c>
      <c r="N82" s="28">
        <v>0</v>
      </c>
      <c r="O82" s="28">
        <v>0</v>
      </c>
    </row>
    <row r="83" spans="1:15" ht="12.75" customHeight="1">
      <c r="A83" s="4" t="s">
        <v>154</v>
      </c>
      <c r="B83" s="5" t="s">
        <v>155</v>
      </c>
      <c r="C83" s="28">
        <v>644</v>
      </c>
      <c r="D83" s="28">
        <v>616</v>
      </c>
      <c r="E83" s="28">
        <v>28</v>
      </c>
      <c r="F83" s="28">
        <f>SUM(C83-D83-E83)</f>
        <v>0</v>
      </c>
      <c r="G83" s="28">
        <v>2550</v>
      </c>
      <c r="H83" s="28">
        <v>2117</v>
      </c>
      <c r="I83" s="28">
        <v>235</v>
      </c>
      <c r="J83" s="28">
        <f>SUM(G83-H83-I83)</f>
        <v>198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2143</v>
      </c>
      <c r="D84" s="28">
        <v>1888</v>
      </c>
      <c r="E84" s="28">
        <v>24</v>
      </c>
      <c r="F84" s="28">
        <f>SUM(C84-D84-E84)</f>
        <v>231</v>
      </c>
      <c r="G84" s="28">
        <v>10165</v>
      </c>
      <c r="H84" s="28">
        <v>6075</v>
      </c>
      <c r="I84" s="28">
        <v>243</v>
      </c>
      <c r="J84" s="28">
        <f>SUM(G84-H84-I84)</f>
        <v>3847</v>
      </c>
      <c r="K84" s="28">
        <v>30</v>
      </c>
      <c r="L84" s="28">
        <v>0</v>
      </c>
      <c r="M84" s="28">
        <v>1400</v>
      </c>
      <c r="N84" s="28">
        <v>83</v>
      </c>
      <c r="O84" s="28">
        <v>83</v>
      </c>
    </row>
    <row r="85" spans="1:15" ht="12.75" customHeight="1">
      <c r="A85" s="4" t="s">
        <v>158</v>
      </c>
      <c r="B85" s="5" t="s">
        <v>159</v>
      </c>
      <c r="C85" s="28">
        <v>3106</v>
      </c>
      <c r="D85" s="28">
        <v>2512</v>
      </c>
      <c r="E85" s="28">
        <v>68</v>
      </c>
      <c r="F85" s="28">
        <f>SUM(C85-D85-E85)</f>
        <v>526</v>
      </c>
      <c r="G85" s="28">
        <v>10345</v>
      </c>
      <c r="H85" s="28">
        <v>6677</v>
      </c>
      <c r="I85" s="28">
        <v>489</v>
      </c>
      <c r="J85" s="28">
        <f>SUM(G85-H85-I85)</f>
        <v>3179</v>
      </c>
      <c r="K85" s="28">
        <v>120</v>
      </c>
      <c r="L85" s="28">
        <v>74</v>
      </c>
      <c r="M85" s="28">
        <v>1308</v>
      </c>
      <c r="N85" s="28">
        <v>1813</v>
      </c>
      <c r="O85" s="28">
        <v>1813</v>
      </c>
    </row>
    <row r="86" spans="1:15" ht="12.75" customHeight="1">
      <c r="A86" s="8"/>
      <c r="B86" s="9" t="s">
        <v>160</v>
      </c>
      <c r="C86" s="29">
        <f t="shared" ref="C86:O86" si="19">SUM(C81:C85)</f>
        <v>13355</v>
      </c>
      <c r="D86" s="29">
        <f t="shared" si="19"/>
        <v>9709</v>
      </c>
      <c r="E86" s="29">
        <f t="shared" si="19"/>
        <v>249</v>
      </c>
      <c r="F86" s="29">
        <f t="shared" si="19"/>
        <v>3397</v>
      </c>
      <c r="G86" s="29">
        <f t="shared" si="19"/>
        <v>55559</v>
      </c>
      <c r="H86" s="29">
        <f t="shared" si="19"/>
        <v>30182</v>
      </c>
      <c r="I86" s="29">
        <f t="shared" si="19"/>
        <v>2162</v>
      </c>
      <c r="J86" s="29">
        <f t="shared" si="19"/>
        <v>23215</v>
      </c>
      <c r="K86" s="29">
        <f t="shared" si="19"/>
        <v>294</v>
      </c>
      <c r="L86" s="29">
        <f t="shared" si="19"/>
        <v>318</v>
      </c>
      <c r="M86" s="29">
        <f t="shared" si="19"/>
        <v>6287</v>
      </c>
      <c r="N86" s="29">
        <f t="shared" si="19"/>
        <v>2570</v>
      </c>
      <c r="O86" s="29">
        <f t="shared" si="19"/>
        <v>2570</v>
      </c>
    </row>
    <row r="87" spans="1:15" ht="12.75" customHeight="1">
      <c r="A87" s="4" t="s">
        <v>161</v>
      </c>
      <c r="B87" s="5" t="s">
        <v>162</v>
      </c>
      <c r="C87" s="28">
        <v>5723</v>
      </c>
      <c r="D87" s="28">
        <v>4225</v>
      </c>
      <c r="E87" s="28">
        <v>0</v>
      </c>
      <c r="F87" s="28">
        <f>SUM(C87-D87-E87)</f>
        <v>1498</v>
      </c>
      <c r="G87" s="28">
        <v>25093</v>
      </c>
      <c r="H87" s="28">
        <v>12643</v>
      </c>
      <c r="I87" s="28">
        <v>0</v>
      </c>
      <c r="J87" s="28">
        <f>SUM(G87-H87-I87)</f>
        <v>12450</v>
      </c>
      <c r="K87" s="28">
        <v>130</v>
      </c>
      <c r="L87" s="28">
        <v>0</v>
      </c>
      <c r="M87" s="28">
        <v>2506</v>
      </c>
      <c r="N87" s="28">
        <v>163</v>
      </c>
      <c r="O87" s="28">
        <v>163</v>
      </c>
    </row>
    <row r="88" spans="1:15" ht="12.75" customHeight="1">
      <c r="A88" s="4" t="s">
        <v>163</v>
      </c>
      <c r="B88" s="5" t="s">
        <v>164</v>
      </c>
      <c r="C88" s="28">
        <v>4545</v>
      </c>
      <c r="D88" s="28">
        <v>2167</v>
      </c>
      <c r="E88" s="28">
        <v>135</v>
      </c>
      <c r="F88" s="28">
        <f>SUM(C88-D88-E88)</f>
        <v>2243</v>
      </c>
      <c r="G88" s="28">
        <v>13389</v>
      </c>
      <c r="H88" s="28">
        <v>5265</v>
      </c>
      <c r="I88" s="28">
        <v>1135</v>
      </c>
      <c r="J88" s="28">
        <f>SUM(G88-H88-I88)</f>
        <v>6989</v>
      </c>
      <c r="K88" s="28">
        <v>20</v>
      </c>
      <c r="L88" s="28">
        <v>0</v>
      </c>
      <c r="M88" s="28">
        <v>843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10268</v>
      </c>
      <c r="D89" s="29">
        <f t="shared" si="20"/>
        <v>6392</v>
      </c>
      <c r="E89" s="29">
        <f t="shared" si="20"/>
        <v>135</v>
      </c>
      <c r="F89" s="29">
        <f t="shared" si="20"/>
        <v>3741</v>
      </c>
      <c r="G89" s="29">
        <f t="shared" si="20"/>
        <v>38482</v>
      </c>
      <c r="H89" s="29">
        <f t="shared" si="20"/>
        <v>17908</v>
      </c>
      <c r="I89" s="29">
        <f t="shared" si="20"/>
        <v>1135</v>
      </c>
      <c r="J89" s="29">
        <f t="shared" si="20"/>
        <v>19439</v>
      </c>
      <c r="K89" s="29">
        <f t="shared" si="20"/>
        <v>150</v>
      </c>
      <c r="L89" s="29">
        <f t="shared" si="20"/>
        <v>0</v>
      </c>
      <c r="M89" s="29">
        <f t="shared" si="20"/>
        <v>3349</v>
      </c>
      <c r="N89" s="29">
        <f t="shared" si="20"/>
        <v>163</v>
      </c>
      <c r="O89" s="29">
        <f t="shared" si="20"/>
        <v>163</v>
      </c>
    </row>
    <row r="90" spans="1:15" ht="12.75" customHeight="1">
      <c r="A90" s="4" t="s">
        <v>166</v>
      </c>
      <c r="B90" s="5" t="s">
        <v>167</v>
      </c>
      <c r="C90" s="28">
        <v>6261</v>
      </c>
      <c r="D90" s="28">
        <v>2901</v>
      </c>
      <c r="E90" s="28">
        <v>272</v>
      </c>
      <c r="F90" s="28">
        <f>SUM(C90-D90-E90)</f>
        <v>3088</v>
      </c>
      <c r="G90" s="28">
        <v>28281</v>
      </c>
      <c r="H90" s="28">
        <v>9592</v>
      </c>
      <c r="I90" s="28">
        <v>1906</v>
      </c>
      <c r="J90" s="28">
        <f>SUM(G90-H90-I90)</f>
        <v>16783</v>
      </c>
      <c r="K90" s="28">
        <v>66</v>
      </c>
      <c r="L90" s="28">
        <v>0</v>
      </c>
      <c r="M90" s="28">
        <v>3109</v>
      </c>
      <c r="N90" s="28">
        <v>20</v>
      </c>
      <c r="O90" s="28">
        <v>20</v>
      </c>
    </row>
    <row r="91" spans="1:15" ht="12.75" customHeight="1">
      <c r="A91" s="4" t="s">
        <v>168</v>
      </c>
      <c r="B91" s="5" t="s">
        <v>169</v>
      </c>
      <c r="C91" s="28">
        <v>5261</v>
      </c>
      <c r="D91" s="28">
        <v>3940</v>
      </c>
      <c r="E91" s="28">
        <v>0</v>
      </c>
      <c r="F91" s="28">
        <f>SUM(C91-D91-E91)</f>
        <v>1321</v>
      </c>
      <c r="G91" s="28">
        <v>25066</v>
      </c>
      <c r="H91" s="28">
        <v>10140</v>
      </c>
      <c r="I91" s="28">
        <v>0</v>
      </c>
      <c r="J91" s="28">
        <f>SUM(G91-H91-I91)</f>
        <v>14926</v>
      </c>
      <c r="K91" s="28">
        <v>72</v>
      </c>
      <c r="L91" s="28">
        <v>18</v>
      </c>
      <c r="M91" s="28">
        <v>3927</v>
      </c>
      <c r="N91" s="28">
        <v>40</v>
      </c>
      <c r="O91" s="28">
        <v>40</v>
      </c>
    </row>
    <row r="92" spans="1:15" ht="12.75" customHeight="1">
      <c r="A92" s="4" t="s">
        <v>170</v>
      </c>
      <c r="B92" s="5" t="s">
        <v>171</v>
      </c>
      <c r="C92" s="28">
        <v>1104</v>
      </c>
      <c r="D92" s="28">
        <v>890</v>
      </c>
      <c r="E92" s="28">
        <v>116</v>
      </c>
      <c r="F92" s="28">
        <f>SUM(C92-D92-E92)</f>
        <v>98</v>
      </c>
      <c r="G92" s="28">
        <v>4246</v>
      </c>
      <c r="H92" s="28">
        <v>2369</v>
      </c>
      <c r="I92" s="28">
        <v>1111</v>
      </c>
      <c r="J92" s="28">
        <f>SUM(G92-H92-I92)</f>
        <v>766</v>
      </c>
      <c r="K92" s="28">
        <v>18</v>
      </c>
      <c r="L92" s="28">
        <v>0</v>
      </c>
      <c r="M92" s="28">
        <v>190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56303</v>
      </c>
      <c r="D93" s="28">
        <v>38281</v>
      </c>
      <c r="E93" s="28">
        <v>2346</v>
      </c>
      <c r="F93" s="28">
        <f>SUM(C93-D93-E93)</f>
        <v>15676</v>
      </c>
      <c r="G93" s="28">
        <v>170623</v>
      </c>
      <c r="H93" s="28">
        <v>66326</v>
      </c>
      <c r="I93" s="28">
        <v>8194</v>
      </c>
      <c r="J93" s="28">
        <f>SUM(G93-H93-I93)</f>
        <v>96103</v>
      </c>
      <c r="K93" s="28">
        <v>6294</v>
      </c>
      <c r="L93" s="28">
        <v>113</v>
      </c>
      <c r="M93" s="28">
        <v>11937</v>
      </c>
      <c r="N93" s="28">
        <v>690</v>
      </c>
      <c r="O93" s="28">
        <v>690</v>
      </c>
    </row>
    <row r="94" spans="1:15" ht="12.75" customHeight="1">
      <c r="A94" s="4" t="s">
        <v>174</v>
      </c>
      <c r="B94" s="5" t="s">
        <v>175</v>
      </c>
      <c r="C94" s="28">
        <v>3965</v>
      </c>
      <c r="D94" s="28">
        <v>1211</v>
      </c>
      <c r="E94" s="28">
        <v>85</v>
      </c>
      <c r="F94" s="28">
        <f>SUM(C94-D94-E94)</f>
        <v>2669</v>
      </c>
      <c r="G94" s="28">
        <v>11452</v>
      </c>
      <c r="H94" s="28">
        <v>3795</v>
      </c>
      <c r="I94" s="28">
        <v>646</v>
      </c>
      <c r="J94" s="28">
        <f>SUM(G94-H94-I94)</f>
        <v>7011</v>
      </c>
      <c r="K94" s="28">
        <v>64</v>
      </c>
      <c r="L94" s="28">
        <v>120</v>
      </c>
      <c r="M94" s="28">
        <v>2271</v>
      </c>
      <c r="N94" s="28">
        <v>70</v>
      </c>
      <c r="O94" s="28">
        <v>70</v>
      </c>
    </row>
    <row r="95" spans="1:15" ht="12.75" customHeight="1">
      <c r="A95" s="8"/>
      <c r="B95" s="9" t="s">
        <v>176</v>
      </c>
      <c r="C95" s="29">
        <f t="shared" ref="C95:O95" si="21">SUM(C90:C94)</f>
        <v>72894</v>
      </c>
      <c r="D95" s="29">
        <f t="shared" si="21"/>
        <v>47223</v>
      </c>
      <c r="E95" s="29">
        <f t="shared" si="21"/>
        <v>2819</v>
      </c>
      <c r="F95" s="29">
        <f t="shared" si="21"/>
        <v>22852</v>
      </c>
      <c r="G95" s="29">
        <f t="shared" si="21"/>
        <v>239668</v>
      </c>
      <c r="H95" s="29">
        <f t="shared" si="21"/>
        <v>92222</v>
      </c>
      <c r="I95" s="29">
        <f t="shared" si="21"/>
        <v>11857</v>
      </c>
      <c r="J95" s="29">
        <f t="shared" si="21"/>
        <v>135589</v>
      </c>
      <c r="K95" s="29">
        <f t="shared" si="21"/>
        <v>6514</v>
      </c>
      <c r="L95" s="29">
        <f t="shared" si="21"/>
        <v>251</v>
      </c>
      <c r="M95" s="29">
        <f t="shared" si="21"/>
        <v>21434</v>
      </c>
      <c r="N95" s="29">
        <f t="shared" si="21"/>
        <v>820</v>
      </c>
      <c r="O95" s="29">
        <f t="shared" si="21"/>
        <v>820</v>
      </c>
    </row>
    <row r="96" spans="1:15" ht="12.75" customHeight="1">
      <c r="A96" s="4" t="s">
        <v>177</v>
      </c>
      <c r="B96" s="5" t="s">
        <v>178</v>
      </c>
      <c r="C96" s="28">
        <v>1128</v>
      </c>
      <c r="D96" s="28">
        <v>856</v>
      </c>
      <c r="E96" s="28">
        <v>28</v>
      </c>
      <c r="F96" s="28">
        <f>SUM(C96-D96-E96)</f>
        <v>244</v>
      </c>
      <c r="G96" s="28">
        <v>6427</v>
      </c>
      <c r="H96" s="28">
        <v>3328</v>
      </c>
      <c r="I96" s="28">
        <v>274</v>
      </c>
      <c r="J96" s="28">
        <f>SUM(G96-H96-I96)</f>
        <v>2825</v>
      </c>
      <c r="K96" s="28">
        <v>0</v>
      </c>
      <c r="L96" s="28">
        <v>0</v>
      </c>
      <c r="M96" s="28">
        <v>1618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358</v>
      </c>
      <c r="D97" s="28">
        <v>336</v>
      </c>
      <c r="E97" s="28">
        <v>0</v>
      </c>
      <c r="F97" s="28">
        <f>SUM(C97-D97-E97)</f>
        <v>22</v>
      </c>
      <c r="G97" s="28">
        <v>1514</v>
      </c>
      <c r="H97" s="28">
        <v>1279</v>
      </c>
      <c r="I97" s="28">
        <v>0</v>
      </c>
      <c r="J97" s="28">
        <f>SUM(G97-H97-I97)</f>
        <v>235</v>
      </c>
      <c r="K97" s="28">
        <v>0</v>
      </c>
      <c r="L97" s="28">
        <v>0</v>
      </c>
      <c r="M97" s="28">
        <v>135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1486</v>
      </c>
      <c r="D98" s="29">
        <f t="shared" si="22"/>
        <v>1192</v>
      </c>
      <c r="E98" s="29">
        <f t="shared" si="22"/>
        <v>28</v>
      </c>
      <c r="F98" s="29">
        <f t="shared" si="22"/>
        <v>266</v>
      </c>
      <c r="G98" s="29">
        <f t="shared" si="22"/>
        <v>7941</v>
      </c>
      <c r="H98" s="29">
        <f t="shared" si="22"/>
        <v>4607</v>
      </c>
      <c r="I98" s="29">
        <f t="shared" si="22"/>
        <v>274</v>
      </c>
      <c r="J98" s="29">
        <f t="shared" si="22"/>
        <v>3060</v>
      </c>
      <c r="K98" s="29">
        <f t="shared" si="22"/>
        <v>0</v>
      </c>
      <c r="L98" s="29">
        <f t="shared" si="22"/>
        <v>0</v>
      </c>
      <c r="M98" s="29">
        <f t="shared" si="22"/>
        <v>1753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2906</v>
      </c>
      <c r="D99" s="28">
        <v>2331</v>
      </c>
      <c r="E99" s="28">
        <v>99</v>
      </c>
      <c r="F99" s="28">
        <f>SUM(C99-D99-E99)</f>
        <v>476</v>
      </c>
      <c r="G99" s="28">
        <v>14258</v>
      </c>
      <c r="H99" s="28">
        <v>7674</v>
      </c>
      <c r="I99" s="28">
        <v>788</v>
      </c>
      <c r="J99" s="28">
        <f>SUM(G99-H99-I99)</f>
        <v>5796</v>
      </c>
      <c r="K99" s="28">
        <v>16</v>
      </c>
      <c r="L99" s="28">
        <v>0</v>
      </c>
      <c r="M99" s="28">
        <v>1888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2510</v>
      </c>
      <c r="D100" s="28">
        <v>1453</v>
      </c>
      <c r="E100" s="28">
        <v>101</v>
      </c>
      <c r="F100" s="28">
        <f>SUM(C100-D100-E100)</f>
        <v>956</v>
      </c>
      <c r="G100" s="28">
        <v>11523</v>
      </c>
      <c r="H100" s="28">
        <v>3816</v>
      </c>
      <c r="I100" s="28">
        <v>535</v>
      </c>
      <c r="J100" s="28">
        <f>SUM(G100-H100-I100)</f>
        <v>7172</v>
      </c>
      <c r="K100" s="28">
        <v>21</v>
      </c>
      <c r="L100" s="28">
        <v>0</v>
      </c>
      <c r="M100" s="28">
        <v>988</v>
      </c>
      <c r="N100" s="28">
        <v>22</v>
      </c>
      <c r="O100" s="28">
        <v>22</v>
      </c>
    </row>
    <row r="101" spans="1:15" ht="12.75" customHeight="1">
      <c r="A101" s="4" t="s">
        <v>186</v>
      </c>
      <c r="B101" s="5" t="s">
        <v>187</v>
      </c>
      <c r="C101" s="28">
        <v>1578</v>
      </c>
      <c r="D101" s="28">
        <v>1152</v>
      </c>
      <c r="E101" s="28">
        <v>0</v>
      </c>
      <c r="F101" s="28">
        <f>SUM(C101-D101-E101)</f>
        <v>426</v>
      </c>
      <c r="G101" s="28">
        <v>5196</v>
      </c>
      <c r="H101" s="28">
        <v>3292</v>
      </c>
      <c r="I101" s="28">
        <v>0</v>
      </c>
      <c r="J101" s="28">
        <f>SUM(G101-H101-I101)</f>
        <v>1904</v>
      </c>
      <c r="K101" s="28">
        <v>1</v>
      </c>
      <c r="L101" s="28">
        <v>0</v>
      </c>
      <c r="M101" s="28">
        <v>615</v>
      </c>
      <c r="N101" s="28">
        <v>20</v>
      </c>
      <c r="O101" s="28">
        <v>20</v>
      </c>
    </row>
    <row r="102" spans="1:15" ht="12.75" customHeight="1">
      <c r="A102" s="4" t="s">
        <v>188</v>
      </c>
      <c r="B102" s="5" t="s">
        <v>189</v>
      </c>
      <c r="C102" s="28">
        <v>2319</v>
      </c>
      <c r="D102" s="28">
        <v>2021</v>
      </c>
      <c r="E102" s="28">
        <v>95</v>
      </c>
      <c r="F102" s="28">
        <f>SUM(C102-D102-E102)</f>
        <v>203</v>
      </c>
      <c r="G102" s="28">
        <v>8897</v>
      </c>
      <c r="H102" s="28">
        <v>5434</v>
      </c>
      <c r="I102" s="28">
        <v>941</v>
      </c>
      <c r="J102" s="28">
        <f>SUM(G102-H102-I102)</f>
        <v>2522</v>
      </c>
      <c r="K102" s="28">
        <v>0</v>
      </c>
      <c r="L102" s="28">
        <v>0</v>
      </c>
      <c r="M102" s="28">
        <v>1013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9313</v>
      </c>
      <c r="D103" s="29">
        <f t="shared" si="23"/>
        <v>6957</v>
      </c>
      <c r="E103" s="29">
        <f t="shared" si="23"/>
        <v>295</v>
      </c>
      <c r="F103" s="29">
        <f t="shared" si="23"/>
        <v>2061</v>
      </c>
      <c r="G103" s="29">
        <f t="shared" si="23"/>
        <v>39874</v>
      </c>
      <c r="H103" s="29">
        <f t="shared" si="23"/>
        <v>20216</v>
      </c>
      <c r="I103" s="29">
        <f t="shared" si="23"/>
        <v>2264</v>
      </c>
      <c r="J103" s="29">
        <f t="shared" si="23"/>
        <v>17394</v>
      </c>
      <c r="K103" s="29">
        <f t="shared" si="23"/>
        <v>38</v>
      </c>
      <c r="L103" s="29">
        <f t="shared" si="23"/>
        <v>0</v>
      </c>
      <c r="M103" s="29">
        <f t="shared" si="23"/>
        <v>4504</v>
      </c>
      <c r="N103" s="29">
        <f t="shared" si="23"/>
        <v>62</v>
      </c>
      <c r="O103" s="29">
        <f t="shared" si="23"/>
        <v>62</v>
      </c>
    </row>
    <row r="104" spans="1:15" ht="12.75" customHeight="1">
      <c r="A104" s="4" t="s">
        <v>191</v>
      </c>
      <c r="B104" s="5" t="s">
        <v>192</v>
      </c>
      <c r="C104" s="28">
        <v>1776</v>
      </c>
      <c r="D104" s="28">
        <v>1436</v>
      </c>
      <c r="E104" s="28">
        <v>61</v>
      </c>
      <c r="F104" s="28">
        <f>SUM(C104-D104-E104)</f>
        <v>279</v>
      </c>
      <c r="G104" s="28">
        <v>8273</v>
      </c>
      <c r="H104" s="28">
        <v>4981</v>
      </c>
      <c r="I104" s="28">
        <v>563</v>
      </c>
      <c r="J104" s="28">
        <f>SUM(G104-H104-I104)</f>
        <v>2729</v>
      </c>
      <c r="K104" s="28">
        <v>25</v>
      </c>
      <c r="L104" s="28">
        <v>0</v>
      </c>
      <c r="M104" s="28">
        <v>411</v>
      </c>
      <c r="N104" s="28">
        <v>0</v>
      </c>
      <c r="O104" s="28">
        <v>0</v>
      </c>
    </row>
    <row r="105" spans="1:15" ht="12.75" customHeight="1">
      <c r="A105" s="4" t="s">
        <v>193</v>
      </c>
      <c r="B105" s="5" t="s">
        <v>194</v>
      </c>
      <c r="C105" s="28">
        <v>1332</v>
      </c>
      <c r="D105" s="28">
        <v>825</v>
      </c>
      <c r="E105" s="28">
        <v>0</v>
      </c>
      <c r="F105" s="28">
        <f>SUM(C105-D105-E105)</f>
        <v>507</v>
      </c>
      <c r="G105" s="28">
        <v>5640</v>
      </c>
      <c r="H105" s="28">
        <v>3192</v>
      </c>
      <c r="I105" s="28">
        <v>0</v>
      </c>
      <c r="J105" s="28">
        <f>SUM(G105-H105-I105)</f>
        <v>2448</v>
      </c>
      <c r="K105" s="28">
        <v>6</v>
      </c>
      <c r="L105" s="28">
        <v>0</v>
      </c>
      <c r="M105" s="28">
        <v>867</v>
      </c>
      <c r="N105" s="28">
        <v>96</v>
      </c>
      <c r="O105" s="28">
        <v>96</v>
      </c>
    </row>
    <row r="106" spans="1:15" ht="12.75" customHeight="1">
      <c r="A106" s="4" t="s">
        <v>195</v>
      </c>
      <c r="B106" s="5" t="s">
        <v>196</v>
      </c>
      <c r="C106" s="28">
        <v>6249</v>
      </c>
      <c r="D106" s="28">
        <v>3773</v>
      </c>
      <c r="E106" s="28">
        <v>163</v>
      </c>
      <c r="F106" s="28">
        <f>SUM(C106-D106-E106)</f>
        <v>2313</v>
      </c>
      <c r="G106" s="28">
        <v>27850</v>
      </c>
      <c r="H106" s="28">
        <v>11513</v>
      </c>
      <c r="I106" s="28">
        <v>1228</v>
      </c>
      <c r="J106" s="28">
        <f>SUM(G106-H106-I106)</f>
        <v>15109</v>
      </c>
      <c r="K106" s="28">
        <v>41</v>
      </c>
      <c r="L106" s="28">
        <v>0</v>
      </c>
      <c r="M106" s="28">
        <v>8353</v>
      </c>
      <c r="N106" s="28">
        <v>62</v>
      </c>
      <c r="O106" s="28">
        <v>62</v>
      </c>
    </row>
    <row r="107" spans="1:15" ht="12.75" customHeight="1">
      <c r="A107" s="4" t="s">
        <v>197</v>
      </c>
      <c r="B107" s="5" t="s">
        <v>198</v>
      </c>
      <c r="C107" s="28">
        <v>23523</v>
      </c>
      <c r="D107" s="28">
        <v>17263</v>
      </c>
      <c r="E107" s="28">
        <v>556</v>
      </c>
      <c r="F107" s="28">
        <f>SUM(C107-D107-E107)</f>
        <v>5704</v>
      </c>
      <c r="G107" s="28">
        <v>70496</v>
      </c>
      <c r="H107" s="28">
        <v>33100</v>
      </c>
      <c r="I107" s="28">
        <v>1427</v>
      </c>
      <c r="J107" s="28">
        <f>SUM(G107-H107-I107)</f>
        <v>35969</v>
      </c>
      <c r="K107" s="28">
        <v>1687</v>
      </c>
      <c r="L107" s="28">
        <v>0</v>
      </c>
      <c r="M107" s="28">
        <v>2018</v>
      </c>
      <c r="N107" s="28">
        <v>1744</v>
      </c>
      <c r="O107" s="28">
        <v>1744</v>
      </c>
    </row>
    <row r="108" spans="1:15" ht="12.75" customHeight="1">
      <c r="A108" s="4" t="s">
        <v>199</v>
      </c>
      <c r="B108" s="5" t="s">
        <v>200</v>
      </c>
      <c r="C108" s="28">
        <v>6644</v>
      </c>
      <c r="D108" s="28">
        <v>3894</v>
      </c>
      <c r="E108" s="28">
        <v>193</v>
      </c>
      <c r="F108" s="28">
        <f>SUM(C108-D108-E108)</f>
        <v>2557</v>
      </c>
      <c r="G108" s="28">
        <v>45801</v>
      </c>
      <c r="H108" s="28">
        <v>11726</v>
      </c>
      <c r="I108" s="28">
        <v>1449</v>
      </c>
      <c r="J108" s="28">
        <f>SUM(G108-H108-I108)</f>
        <v>32626</v>
      </c>
      <c r="K108" s="28">
        <v>66</v>
      </c>
      <c r="L108" s="28">
        <v>0</v>
      </c>
      <c r="M108" s="28">
        <v>1815</v>
      </c>
      <c r="N108" s="28">
        <v>683</v>
      </c>
      <c r="O108" s="28">
        <v>683</v>
      </c>
    </row>
    <row r="109" spans="1:15" ht="12.75" customHeight="1">
      <c r="A109" s="8"/>
      <c r="B109" s="9" t="s">
        <v>201</v>
      </c>
      <c r="C109" s="29">
        <f t="shared" ref="C109:O109" si="24">SUM(C104:C108)</f>
        <v>39524</v>
      </c>
      <c r="D109" s="29">
        <f t="shared" si="24"/>
        <v>27191</v>
      </c>
      <c r="E109" s="29">
        <f t="shared" si="24"/>
        <v>973</v>
      </c>
      <c r="F109" s="29">
        <f t="shared" si="24"/>
        <v>11360</v>
      </c>
      <c r="G109" s="29">
        <f t="shared" si="24"/>
        <v>158060</v>
      </c>
      <c r="H109" s="29">
        <f t="shared" si="24"/>
        <v>64512</v>
      </c>
      <c r="I109" s="29">
        <f t="shared" si="24"/>
        <v>4667</v>
      </c>
      <c r="J109" s="29">
        <f t="shared" si="24"/>
        <v>88881</v>
      </c>
      <c r="K109" s="29">
        <f t="shared" si="24"/>
        <v>1825</v>
      </c>
      <c r="L109" s="29">
        <f t="shared" si="24"/>
        <v>0</v>
      </c>
      <c r="M109" s="29">
        <f t="shared" si="24"/>
        <v>13464</v>
      </c>
      <c r="N109" s="29">
        <f t="shared" si="24"/>
        <v>2585</v>
      </c>
      <c r="O109" s="29">
        <f t="shared" si="24"/>
        <v>2585</v>
      </c>
    </row>
    <row r="110" spans="1:15" ht="12.75" customHeight="1">
      <c r="A110" s="4" t="s">
        <v>202</v>
      </c>
      <c r="B110" s="5" t="s">
        <v>203</v>
      </c>
      <c r="C110" s="28">
        <v>11262</v>
      </c>
      <c r="D110" s="28">
        <v>8580</v>
      </c>
      <c r="E110" s="28">
        <v>70</v>
      </c>
      <c r="F110" s="28">
        <f t="shared" ref="F110:F115" si="25">SUM(C110-D110-E110)</f>
        <v>2612</v>
      </c>
      <c r="G110" s="28">
        <v>48889</v>
      </c>
      <c r="H110" s="28">
        <v>29571</v>
      </c>
      <c r="I110" s="28">
        <v>578</v>
      </c>
      <c r="J110" s="28">
        <f t="shared" ref="J110:J115" si="26">SUM(G110-H110-I110)</f>
        <v>18740</v>
      </c>
      <c r="K110" s="28">
        <v>315</v>
      </c>
      <c r="L110" s="28">
        <v>0</v>
      </c>
      <c r="M110" s="28">
        <v>7559</v>
      </c>
      <c r="N110" s="28">
        <v>158</v>
      </c>
      <c r="O110" s="28">
        <v>158</v>
      </c>
    </row>
    <row r="111" spans="1:15" ht="12.75" customHeight="1">
      <c r="A111" s="4" t="s">
        <v>204</v>
      </c>
      <c r="B111" s="5" t="s">
        <v>205</v>
      </c>
      <c r="C111" s="28">
        <v>1359</v>
      </c>
      <c r="D111" s="28">
        <v>1336</v>
      </c>
      <c r="E111" s="28">
        <v>17</v>
      </c>
      <c r="F111" s="28">
        <f t="shared" si="25"/>
        <v>6</v>
      </c>
      <c r="G111" s="28">
        <v>4586</v>
      </c>
      <c r="H111" s="28">
        <v>4311</v>
      </c>
      <c r="I111" s="28">
        <v>169</v>
      </c>
      <c r="J111" s="28">
        <f t="shared" si="26"/>
        <v>106</v>
      </c>
      <c r="K111" s="28">
        <v>10</v>
      </c>
      <c r="L111" s="28">
        <v>0</v>
      </c>
      <c r="M111" s="28">
        <v>0</v>
      </c>
      <c r="N111" s="28">
        <v>53</v>
      </c>
      <c r="O111" s="28">
        <v>53</v>
      </c>
    </row>
    <row r="112" spans="1:15" ht="12.75" customHeight="1">
      <c r="A112" s="4" t="s">
        <v>206</v>
      </c>
      <c r="B112" s="5" t="s">
        <v>207</v>
      </c>
      <c r="C112" s="28">
        <v>3744</v>
      </c>
      <c r="D112" s="28">
        <v>2568</v>
      </c>
      <c r="E112" s="28">
        <v>0</v>
      </c>
      <c r="F112" s="28">
        <f t="shared" si="25"/>
        <v>1176</v>
      </c>
      <c r="G112" s="28">
        <v>12959</v>
      </c>
      <c r="H112" s="28">
        <v>7886</v>
      </c>
      <c r="I112" s="28">
        <v>0</v>
      </c>
      <c r="J112" s="28">
        <f t="shared" si="26"/>
        <v>5073</v>
      </c>
      <c r="K112" s="28">
        <v>1027</v>
      </c>
      <c r="L112" s="28">
        <v>0</v>
      </c>
      <c r="M112" s="28">
        <v>1941</v>
      </c>
      <c r="N112" s="28">
        <v>27</v>
      </c>
      <c r="O112" s="28">
        <v>27</v>
      </c>
    </row>
    <row r="113" spans="1:15" ht="12.75" customHeight="1">
      <c r="A113" s="4" t="s">
        <v>208</v>
      </c>
      <c r="B113" s="5" t="s">
        <v>209</v>
      </c>
      <c r="C113" s="28">
        <v>3147</v>
      </c>
      <c r="D113" s="28">
        <v>2024</v>
      </c>
      <c r="E113" s="28">
        <v>31</v>
      </c>
      <c r="F113" s="28">
        <f t="shared" si="25"/>
        <v>1092</v>
      </c>
      <c r="G113" s="28">
        <v>13911</v>
      </c>
      <c r="H113" s="28">
        <v>6576</v>
      </c>
      <c r="I113" s="28">
        <v>235</v>
      </c>
      <c r="J113" s="28">
        <f t="shared" si="26"/>
        <v>7100</v>
      </c>
      <c r="K113" s="28">
        <v>114</v>
      </c>
      <c r="L113" s="28">
        <v>0</v>
      </c>
      <c r="M113" s="28">
        <v>4581</v>
      </c>
      <c r="N113" s="28">
        <v>152</v>
      </c>
      <c r="O113" s="28">
        <v>152</v>
      </c>
    </row>
    <row r="114" spans="1:15" ht="12.75" customHeight="1">
      <c r="A114" s="4" t="s">
        <v>210</v>
      </c>
      <c r="B114" s="5" t="s">
        <v>211</v>
      </c>
      <c r="C114" s="28">
        <v>7947</v>
      </c>
      <c r="D114" s="28">
        <v>5551</v>
      </c>
      <c r="E114" s="28">
        <v>0</v>
      </c>
      <c r="F114" s="28">
        <f t="shared" si="25"/>
        <v>2396</v>
      </c>
      <c r="G114" s="28">
        <v>25234</v>
      </c>
      <c r="H114" s="28">
        <v>13698</v>
      </c>
      <c r="I114" s="28">
        <v>0</v>
      </c>
      <c r="J114" s="28">
        <f t="shared" si="26"/>
        <v>11536</v>
      </c>
      <c r="K114" s="28">
        <v>706</v>
      </c>
      <c r="L114" s="28">
        <v>0</v>
      </c>
      <c r="M114" s="28">
        <v>3229</v>
      </c>
      <c r="N114" s="28">
        <v>118</v>
      </c>
      <c r="O114" s="28">
        <v>118</v>
      </c>
    </row>
    <row r="115" spans="1:15" ht="12.75" customHeight="1">
      <c r="A115" s="4" t="s">
        <v>212</v>
      </c>
      <c r="B115" s="5" t="s">
        <v>213</v>
      </c>
      <c r="C115" s="28">
        <v>4840</v>
      </c>
      <c r="D115" s="28">
        <v>4145</v>
      </c>
      <c r="E115" s="28">
        <v>0</v>
      </c>
      <c r="F115" s="28">
        <f t="shared" si="25"/>
        <v>695</v>
      </c>
      <c r="G115" s="28">
        <v>17917</v>
      </c>
      <c r="H115" s="28">
        <v>13227</v>
      </c>
      <c r="I115" s="28">
        <v>0</v>
      </c>
      <c r="J115" s="28">
        <f t="shared" si="26"/>
        <v>4690</v>
      </c>
      <c r="K115" s="28">
        <v>238</v>
      </c>
      <c r="L115" s="28">
        <v>0</v>
      </c>
      <c r="M115" s="28">
        <v>3206</v>
      </c>
      <c r="N115" s="28">
        <v>402</v>
      </c>
      <c r="O115" s="28">
        <v>402</v>
      </c>
    </row>
    <row r="116" spans="1:15" ht="12.75" customHeight="1">
      <c r="A116" s="8"/>
      <c r="B116" s="9" t="s">
        <v>214</v>
      </c>
      <c r="C116" s="29">
        <f t="shared" ref="C116:O116" si="27">SUM(C110:C115)</f>
        <v>32299</v>
      </c>
      <c r="D116" s="29">
        <f t="shared" si="27"/>
        <v>24204</v>
      </c>
      <c r="E116" s="29">
        <f t="shared" si="27"/>
        <v>118</v>
      </c>
      <c r="F116" s="29">
        <f t="shared" si="27"/>
        <v>7977</v>
      </c>
      <c r="G116" s="29">
        <f t="shared" si="27"/>
        <v>123496</v>
      </c>
      <c r="H116" s="29">
        <f t="shared" si="27"/>
        <v>75269</v>
      </c>
      <c r="I116" s="29">
        <f t="shared" si="27"/>
        <v>982</v>
      </c>
      <c r="J116" s="29">
        <f t="shared" si="27"/>
        <v>47245</v>
      </c>
      <c r="K116" s="29">
        <f t="shared" si="27"/>
        <v>2410</v>
      </c>
      <c r="L116" s="29">
        <f t="shared" si="27"/>
        <v>0</v>
      </c>
      <c r="M116" s="29">
        <f t="shared" si="27"/>
        <v>20516</v>
      </c>
      <c r="N116" s="29">
        <f t="shared" si="27"/>
        <v>910</v>
      </c>
      <c r="O116" s="29">
        <f t="shared" si="27"/>
        <v>910</v>
      </c>
    </row>
    <row r="117" spans="1:15" ht="12.75" customHeight="1">
      <c r="A117" s="4" t="s">
        <v>215</v>
      </c>
      <c r="B117" s="5" t="s">
        <v>216</v>
      </c>
      <c r="C117" s="28">
        <v>1234</v>
      </c>
      <c r="D117" s="28">
        <v>863</v>
      </c>
      <c r="E117" s="28">
        <v>0</v>
      </c>
      <c r="F117" s="28">
        <f>SUM(C117-D117-E117)</f>
        <v>371</v>
      </c>
      <c r="G117" s="28">
        <v>5461</v>
      </c>
      <c r="H117" s="28">
        <v>3311</v>
      </c>
      <c r="I117" s="28">
        <v>0</v>
      </c>
      <c r="J117" s="28">
        <f>SUM(G117-H117-I117)</f>
        <v>2150</v>
      </c>
      <c r="K117" s="28">
        <v>0</v>
      </c>
      <c r="L117" s="28">
        <v>0</v>
      </c>
      <c r="M117" s="28">
        <v>2748</v>
      </c>
      <c r="N117" s="28">
        <v>26</v>
      </c>
      <c r="O117" s="28">
        <v>26</v>
      </c>
    </row>
    <row r="118" spans="1:15" ht="12.75" customHeight="1">
      <c r="A118" s="4" t="s">
        <v>217</v>
      </c>
      <c r="B118" s="5" t="s">
        <v>218</v>
      </c>
      <c r="C118" s="28">
        <v>2680</v>
      </c>
      <c r="D118" s="28">
        <v>2231</v>
      </c>
      <c r="E118" s="28">
        <v>44</v>
      </c>
      <c r="F118" s="28">
        <f>SUM(C118-D118-E118)</f>
        <v>405</v>
      </c>
      <c r="G118" s="28">
        <v>10839</v>
      </c>
      <c r="H118" s="28">
        <v>6892</v>
      </c>
      <c r="I118" s="28">
        <v>364</v>
      </c>
      <c r="J118" s="28">
        <f>SUM(G118-H118-I118)</f>
        <v>3583</v>
      </c>
      <c r="K118" s="28">
        <v>0</v>
      </c>
      <c r="L118" s="28">
        <v>0</v>
      </c>
      <c r="M118" s="28">
        <v>2224</v>
      </c>
      <c r="N118" s="28">
        <v>96</v>
      </c>
      <c r="O118" s="28">
        <v>96</v>
      </c>
    </row>
    <row r="119" spans="1:15" ht="12.75" customHeight="1">
      <c r="A119" s="8"/>
      <c r="B119" s="9" t="s">
        <v>219</v>
      </c>
      <c r="C119" s="29">
        <f t="shared" ref="C119:O119" si="28">SUM(C117:C118)</f>
        <v>3914</v>
      </c>
      <c r="D119" s="29">
        <f t="shared" si="28"/>
        <v>3094</v>
      </c>
      <c r="E119" s="29">
        <f t="shared" si="28"/>
        <v>44</v>
      </c>
      <c r="F119" s="29">
        <f t="shared" si="28"/>
        <v>776</v>
      </c>
      <c r="G119" s="29">
        <f t="shared" si="28"/>
        <v>16300</v>
      </c>
      <c r="H119" s="29">
        <f t="shared" si="28"/>
        <v>10203</v>
      </c>
      <c r="I119" s="29">
        <f t="shared" si="28"/>
        <v>364</v>
      </c>
      <c r="J119" s="29">
        <f t="shared" si="28"/>
        <v>5733</v>
      </c>
      <c r="K119" s="29">
        <f t="shared" si="28"/>
        <v>0</v>
      </c>
      <c r="L119" s="29">
        <f t="shared" si="28"/>
        <v>0</v>
      </c>
      <c r="M119" s="29">
        <f t="shared" si="28"/>
        <v>4972</v>
      </c>
      <c r="N119" s="29">
        <f t="shared" si="28"/>
        <v>122</v>
      </c>
      <c r="O119" s="29">
        <f t="shared" si="28"/>
        <v>122</v>
      </c>
    </row>
    <row r="120" spans="1:15" ht="12.75" customHeight="1">
      <c r="A120" s="4" t="s">
        <v>220</v>
      </c>
      <c r="B120" s="5" t="s">
        <v>221</v>
      </c>
      <c r="C120" s="28">
        <v>3042</v>
      </c>
      <c r="D120" s="28">
        <v>2668</v>
      </c>
      <c r="E120" s="28">
        <v>38</v>
      </c>
      <c r="F120" s="28">
        <f>SUM(C120-D120-E120)</f>
        <v>336</v>
      </c>
      <c r="G120" s="28">
        <v>10488</v>
      </c>
      <c r="H120" s="28">
        <v>7928</v>
      </c>
      <c r="I120" s="28">
        <v>459</v>
      </c>
      <c r="J120" s="28">
        <f>SUM(G120-H120-I120)</f>
        <v>2101</v>
      </c>
      <c r="K120" s="28">
        <v>130</v>
      </c>
      <c r="L120" s="28">
        <v>0</v>
      </c>
      <c r="M120" s="28">
        <v>724</v>
      </c>
      <c r="N120" s="28">
        <v>419</v>
      </c>
      <c r="O120" s="28">
        <v>419</v>
      </c>
    </row>
    <row r="121" spans="1:15" ht="12.75" customHeight="1">
      <c r="A121" s="4" t="s">
        <v>222</v>
      </c>
      <c r="B121" s="5" t="s">
        <v>223</v>
      </c>
      <c r="C121" s="28">
        <v>4934</v>
      </c>
      <c r="D121" s="28">
        <v>4507</v>
      </c>
      <c r="E121" s="28">
        <v>95</v>
      </c>
      <c r="F121" s="28">
        <f>SUM(C121-D121-E121)</f>
        <v>332</v>
      </c>
      <c r="G121" s="28">
        <v>19120</v>
      </c>
      <c r="H121" s="28">
        <v>13289</v>
      </c>
      <c r="I121" s="28">
        <v>786</v>
      </c>
      <c r="J121" s="28">
        <f>SUM(G121-H121-I121)</f>
        <v>5045</v>
      </c>
      <c r="K121" s="28">
        <v>0</v>
      </c>
      <c r="L121" s="28">
        <v>0</v>
      </c>
      <c r="M121" s="28">
        <v>2023</v>
      </c>
      <c r="N121" s="28">
        <v>79</v>
      </c>
      <c r="O121" s="28">
        <v>79</v>
      </c>
    </row>
    <row r="122" spans="1:15" ht="12.75" customHeight="1">
      <c r="A122" s="4" t="s">
        <v>224</v>
      </c>
      <c r="B122" s="5" t="s">
        <v>225</v>
      </c>
      <c r="C122" s="28">
        <v>887</v>
      </c>
      <c r="D122" s="28">
        <v>784</v>
      </c>
      <c r="E122" s="28">
        <v>0</v>
      </c>
      <c r="F122" s="28">
        <f>SUM(C122-D122-E122)</f>
        <v>103</v>
      </c>
      <c r="G122" s="28">
        <v>3164</v>
      </c>
      <c r="H122" s="28">
        <v>2143</v>
      </c>
      <c r="I122" s="28">
        <v>0</v>
      </c>
      <c r="J122" s="28">
        <f>SUM(G122-H122-I122)</f>
        <v>1021</v>
      </c>
      <c r="K122" s="28">
        <v>0</v>
      </c>
      <c r="L122" s="28">
        <v>0</v>
      </c>
      <c r="M122" s="28">
        <v>1659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4602</v>
      </c>
      <c r="D123" s="28">
        <v>3835</v>
      </c>
      <c r="E123" s="28">
        <v>63</v>
      </c>
      <c r="F123" s="28">
        <f>SUM(C123-D123-E123)</f>
        <v>704</v>
      </c>
      <c r="G123" s="28">
        <v>17029</v>
      </c>
      <c r="H123" s="28">
        <v>10060</v>
      </c>
      <c r="I123" s="28">
        <v>424</v>
      </c>
      <c r="J123" s="28">
        <f>SUM(G123-H123-I123)</f>
        <v>6545</v>
      </c>
      <c r="K123" s="28">
        <v>130</v>
      </c>
      <c r="L123" s="28">
        <v>0</v>
      </c>
      <c r="M123" s="28">
        <v>768</v>
      </c>
      <c r="N123" s="28">
        <v>106</v>
      </c>
      <c r="O123" s="28">
        <v>106</v>
      </c>
    </row>
    <row r="124" spans="1:15" ht="12.75" customHeight="1">
      <c r="A124" s="4" t="s">
        <v>228</v>
      </c>
      <c r="B124" s="5" t="s">
        <v>229</v>
      </c>
      <c r="C124" s="28">
        <v>1629</v>
      </c>
      <c r="D124" s="28">
        <v>1456</v>
      </c>
      <c r="E124" s="28">
        <v>37</v>
      </c>
      <c r="F124" s="28">
        <f>SUM(C124-D124-E124)</f>
        <v>136</v>
      </c>
      <c r="G124" s="28">
        <v>5155</v>
      </c>
      <c r="H124" s="28">
        <v>3792</v>
      </c>
      <c r="I124" s="28">
        <v>368</v>
      </c>
      <c r="J124" s="28">
        <f>SUM(G124-H124-I124)</f>
        <v>995</v>
      </c>
      <c r="K124" s="28">
        <v>4</v>
      </c>
      <c r="L124" s="28">
        <v>0</v>
      </c>
      <c r="M124" s="28">
        <v>7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15094</v>
      </c>
      <c r="D125" s="29">
        <f t="shared" si="29"/>
        <v>13250</v>
      </c>
      <c r="E125" s="29">
        <f t="shared" si="29"/>
        <v>233</v>
      </c>
      <c r="F125" s="29">
        <f t="shared" si="29"/>
        <v>1611</v>
      </c>
      <c r="G125" s="29">
        <f t="shared" si="29"/>
        <v>54956</v>
      </c>
      <c r="H125" s="29">
        <f t="shared" si="29"/>
        <v>37212</v>
      </c>
      <c r="I125" s="29">
        <f t="shared" si="29"/>
        <v>2037</v>
      </c>
      <c r="J125" s="29">
        <f t="shared" si="29"/>
        <v>15707</v>
      </c>
      <c r="K125" s="29">
        <f t="shared" si="29"/>
        <v>264</v>
      </c>
      <c r="L125" s="29">
        <f t="shared" si="29"/>
        <v>0</v>
      </c>
      <c r="M125" s="29">
        <f t="shared" si="29"/>
        <v>5181</v>
      </c>
      <c r="N125" s="29">
        <f t="shared" si="29"/>
        <v>604</v>
      </c>
      <c r="O125" s="29">
        <f t="shared" si="29"/>
        <v>604</v>
      </c>
    </row>
    <row r="126" spans="1:15" ht="12.75" customHeight="1">
      <c r="A126" s="4" t="s">
        <v>231</v>
      </c>
      <c r="B126" s="5" t="s">
        <v>232</v>
      </c>
      <c r="C126" s="28">
        <v>3335</v>
      </c>
      <c r="D126" s="28">
        <v>2444</v>
      </c>
      <c r="E126" s="28">
        <v>0</v>
      </c>
      <c r="F126" s="28">
        <f t="shared" ref="F126:F134" si="30">SUM(C126-D126-E126)</f>
        <v>891</v>
      </c>
      <c r="G126" s="28">
        <v>9998</v>
      </c>
      <c r="H126" s="28">
        <v>5675</v>
      </c>
      <c r="I126" s="28">
        <v>0</v>
      </c>
      <c r="J126" s="28">
        <f t="shared" ref="J126:J134" si="31">SUM(G126-H126-I126)</f>
        <v>4323</v>
      </c>
      <c r="K126" s="28">
        <v>29</v>
      </c>
      <c r="L126" s="28">
        <v>0</v>
      </c>
      <c r="M126" s="28">
        <v>1367</v>
      </c>
      <c r="N126" s="28">
        <v>28</v>
      </c>
      <c r="O126" s="28">
        <v>28</v>
      </c>
    </row>
    <row r="127" spans="1:15" ht="12.75" customHeight="1">
      <c r="A127" s="4" t="s">
        <v>233</v>
      </c>
      <c r="B127" s="5" t="s">
        <v>234</v>
      </c>
      <c r="C127" s="28">
        <v>1466</v>
      </c>
      <c r="D127" s="28">
        <v>1233</v>
      </c>
      <c r="E127" s="28">
        <v>0</v>
      </c>
      <c r="F127" s="28">
        <f t="shared" si="30"/>
        <v>233</v>
      </c>
      <c r="G127" s="28">
        <v>5463</v>
      </c>
      <c r="H127" s="28">
        <v>4427</v>
      </c>
      <c r="I127" s="28">
        <v>0</v>
      </c>
      <c r="J127" s="28">
        <f t="shared" si="31"/>
        <v>1036</v>
      </c>
      <c r="K127" s="28">
        <v>0</v>
      </c>
      <c r="L127" s="28">
        <v>0</v>
      </c>
      <c r="M127" s="28">
        <v>519</v>
      </c>
      <c r="N127" s="28">
        <v>56</v>
      </c>
      <c r="O127" s="28">
        <v>56</v>
      </c>
    </row>
    <row r="128" spans="1:15" ht="12.75" customHeight="1">
      <c r="A128" s="4" t="s">
        <v>235</v>
      </c>
      <c r="B128" s="5" t="s">
        <v>236</v>
      </c>
      <c r="C128" s="28">
        <v>10308</v>
      </c>
      <c r="D128" s="28">
        <v>7763</v>
      </c>
      <c r="E128" s="28">
        <v>203</v>
      </c>
      <c r="F128" s="28">
        <f t="shared" si="30"/>
        <v>2342</v>
      </c>
      <c r="G128" s="28">
        <v>24776</v>
      </c>
      <c r="H128" s="28">
        <v>16425</v>
      </c>
      <c r="I128" s="28">
        <v>901</v>
      </c>
      <c r="J128" s="28">
        <f t="shared" si="31"/>
        <v>7450</v>
      </c>
      <c r="K128" s="28">
        <v>64</v>
      </c>
      <c r="L128" s="28">
        <v>0</v>
      </c>
      <c r="M128" s="28">
        <v>2341</v>
      </c>
      <c r="N128" s="28">
        <v>154</v>
      </c>
      <c r="O128" s="28">
        <v>154</v>
      </c>
    </row>
    <row r="129" spans="1:15" ht="12.75" customHeight="1">
      <c r="A129" s="4" t="s">
        <v>237</v>
      </c>
      <c r="B129" s="5" t="s">
        <v>238</v>
      </c>
      <c r="C129" s="28">
        <v>1307</v>
      </c>
      <c r="D129" s="28">
        <v>927</v>
      </c>
      <c r="E129" s="28">
        <v>57</v>
      </c>
      <c r="F129" s="28">
        <f t="shared" si="30"/>
        <v>323</v>
      </c>
      <c r="G129" s="28">
        <v>4780</v>
      </c>
      <c r="H129" s="28">
        <v>2157</v>
      </c>
      <c r="I129" s="28">
        <v>491</v>
      </c>
      <c r="J129" s="28">
        <f t="shared" si="31"/>
        <v>2132</v>
      </c>
      <c r="K129" s="28">
        <v>26</v>
      </c>
      <c r="L129" s="28">
        <v>0</v>
      </c>
      <c r="M129" s="28">
        <v>1942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6389</v>
      </c>
      <c r="D130" s="28">
        <v>5265</v>
      </c>
      <c r="E130" s="28">
        <v>344</v>
      </c>
      <c r="F130" s="28">
        <f t="shared" si="30"/>
        <v>780</v>
      </c>
      <c r="G130" s="28">
        <v>17537</v>
      </c>
      <c r="H130" s="28">
        <v>8993</v>
      </c>
      <c r="I130" s="28">
        <v>1608</v>
      </c>
      <c r="J130" s="28">
        <f t="shared" si="31"/>
        <v>6936</v>
      </c>
      <c r="K130" s="28">
        <v>60</v>
      </c>
      <c r="L130" s="28">
        <v>0</v>
      </c>
      <c r="M130" s="28">
        <v>105</v>
      </c>
      <c r="N130" s="28">
        <v>1047</v>
      </c>
      <c r="O130" s="28">
        <v>1047</v>
      </c>
    </row>
    <row r="131" spans="1:15" ht="12.75" customHeight="1">
      <c r="A131" s="4" t="s">
        <v>241</v>
      </c>
      <c r="B131" s="5" t="s">
        <v>242</v>
      </c>
      <c r="C131" s="28">
        <v>12123</v>
      </c>
      <c r="D131" s="28">
        <v>9964</v>
      </c>
      <c r="E131" s="28">
        <v>91</v>
      </c>
      <c r="F131" s="28">
        <f t="shared" si="30"/>
        <v>2068</v>
      </c>
      <c r="G131" s="28">
        <v>33588</v>
      </c>
      <c r="H131" s="28">
        <v>16194</v>
      </c>
      <c r="I131" s="28">
        <v>500</v>
      </c>
      <c r="J131" s="28">
        <f t="shared" si="31"/>
        <v>16894</v>
      </c>
      <c r="K131" s="28">
        <v>65</v>
      </c>
      <c r="L131" s="28">
        <v>0</v>
      </c>
      <c r="M131" s="28">
        <v>956</v>
      </c>
      <c r="N131" s="28">
        <v>304</v>
      </c>
      <c r="O131" s="28">
        <v>304</v>
      </c>
    </row>
    <row r="132" spans="1:15" ht="12.75" customHeight="1">
      <c r="A132" s="4" t="s">
        <v>243</v>
      </c>
      <c r="B132" s="5" t="s">
        <v>244</v>
      </c>
      <c r="C132" s="28">
        <v>5173</v>
      </c>
      <c r="D132" s="28">
        <v>4197</v>
      </c>
      <c r="E132" s="28">
        <v>0</v>
      </c>
      <c r="F132" s="28">
        <f t="shared" si="30"/>
        <v>976</v>
      </c>
      <c r="G132" s="28">
        <v>15601</v>
      </c>
      <c r="H132" s="28">
        <v>8651</v>
      </c>
      <c r="I132" s="28">
        <v>0</v>
      </c>
      <c r="J132" s="28">
        <f t="shared" si="31"/>
        <v>6950</v>
      </c>
      <c r="K132" s="28">
        <v>314</v>
      </c>
      <c r="L132" s="28">
        <v>0</v>
      </c>
      <c r="M132" s="28">
        <v>1040</v>
      </c>
      <c r="N132" s="28">
        <v>9</v>
      </c>
      <c r="O132" s="28">
        <v>9</v>
      </c>
    </row>
    <row r="133" spans="1:15" ht="12.75" customHeight="1">
      <c r="A133" s="4" t="s">
        <v>245</v>
      </c>
      <c r="B133" s="5" t="s">
        <v>246</v>
      </c>
      <c r="C133" s="28">
        <v>5760</v>
      </c>
      <c r="D133" s="28">
        <v>5122</v>
      </c>
      <c r="E133" s="28">
        <v>0</v>
      </c>
      <c r="F133" s="28">
        <f t="shared" si="30"/>
        <v>638</v>
      </c>
      <c r="G133" s="28">
        <v>13811</v>
      </c>
      <c r="H133" s="28">
        <v>11446</v>
      </c>
      <c r="I133" s="28">
        <v>0</v>
      </c>
      <c r="J133" s="28">
        <f t="shared" si="31"/>
        <v>2365</v>
      </c>
      <c r="K133" s="28">
        <v>65</v>
      </c>
      <c r="L133" s="28">
        <v>0</v>
      </c>
      <c r="M133" s="28">
        <v>970</v>
      </c>
      <c r="N133" s="28">
        <v>86</v>
      </c>
      <c r="O133" s="28">
        <v>86</v>
      </c>
    </row>
    <row r="134" spans="1:15" ht="12.75" customHeight="1">
      <c r="A134" s="4" t="s">
        <v>247</v>
      </c>
      <c r="B134" s="5" t="s">
        <v>248</v>
      </c>
      <c r="C134" s="28">
        <v>3170</v>
      </c>
      <c r="D134" s="28">
        <v>2416</v>
      </c>
      <c r="E134" s="28">
        <v>0</v>
      </c>
      <c r="F134" s="28">
        <f t="shared" si="30"/>
        <v>754</v>
      </c>
      <c r="G134" s="28">
        <v>7504</v>
      </c>
      <c r="H134" s="28">
        <v>5072</v>
      </c>
      <c r="I134" s="28">
        <v>0</v>
      </c>
      <c r="J134" s="28">
        <f t="shared" si="31"/>
        <v>2432</v>
      </c>
      <c r="K134" s="28">
        <v>10</v>
      </c>
      <c r="L134" s="28">
        <v>0</v>
      </c>
      <c r="M134" s="28">
        <v>1291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49031</v>
      </c>
      <c r="D135" s="29">
        <f t="shared" si="32"/>
        <v>39331</v>
      </c>
      <c r="E135" s="29">
        <f t="shared" si="32"/>
        <v>695</v>
      </c>
      <c r="F135" s="29">
        <f t="shared" si="32"/>
        <v>9005</v>
      </c>
      <c r="G135" s="29">
        <f t="shared" si="32"/>
        <v>133058</v>
      </c>
      <c r="H135" s="29">
        <f t="shared" si="32"/>
        <v>79040</v>
      </c>
      <c r="I135" s="29">
        <f t="shared" si="32"/>
        <v>3500</v>
      </c>
      <c r="J135" s="29">
        <f t="shared" si="32"/>
        <v>50518</v>
      </c>
      <c r="K135" s="29">
        <f t="shared" si="32"/>
        <v>633</v>
      </c>
      <c r="L135" s="29">
        <f t="shared" si="32"/>
        <v>0</v>
      </c>
      <c r="M135" s="29">
        <f t="shared" si="32"/>
        <v>10531</v>
      </c>
      <c r="N135" s="29">
        <f t="shared" si="32"/>
        <v>1712</v>
      </c>
      <c r="O135" s="29">
        <f t="shared" si="32"/>
        <v>1712</v>
      </c>
    </row>
    <row r="136" spans="1:15" ht="12.75" customHeight="1">
      <c r="A136" s="4" t="s">
        <v>250</v>
      </c>
      <c r="B136" s="5" t="s">
        <v>251</v>
      </c>
      <c r="C136" s="28">
        <v>7202</v>
      </c>
      <c r="D136" s="28">
        <v>6673</v>
      </c>
      <c r="E136" s="28">
        <v>0</v>
      </c>
      <c r="F136" s="28">
        <f t="shared" ref="F136:F143" si="33">SUM(C136-D136-E136)</f>
        <v>529</v>
      </c>
      <c r="G136" s="28">
        <v>18116</v>
      </c>
      <c r="H136" s="28">
        <v>13671</v>
      </c>
      <c r="I136" s="28">
        <v>0</v>
      </c>
      <c r="J136" s="28">
        <f t="shared" ref="J136:J143" si="34">SUM(G136-H136-I136)</f>
        <v>4445</v>
      </c>
      <c r="K136" s="28">
        <v>470</v>
      </c>
      <c r="L136" s="28">
        <v>786</v>
      </c>
      <c r="M136" s="28">
        <v>1418</v>
      </c>
      <c r="N136" s="28">
        <v>2728</v>
      </c>
      <c r="O136" s="28">
        <v>2728</v>
      </c>
    </row>
    <row r="137" spans="1:15" ht="12.75" customHeight="1">
      <c r="A137" s="4" t="s">
        <v>252</v>
      </c>
      <c r="B137" s="5" t="s">
        <v>253</v>
      </c>
      <c r="C137" s="28">
        <v>994</v>
      </c>
      <c r="D137" s="28">
        <v>992</v>
      </c>
      <c r="E137" s="28">
        <v>0</v>
      </c>
      <c r="F137" s="28">
        <f t="shared" si="33"/>
        <v>2</v>
      </c>
      <c r="G137" s="28">
        <v>2176</v>
      </c>
      <c r="H137" s="28">
        <v>2154</v>
      </c>
      <c r="I137" s="28">
        <v>0</v>
      </c>
      <c r="J137" s="28">
        <f t="shared" si="34"/>
        <v>22</v>
      </c>
      <c r="K137" s="28">
        <v>44</v>
      </c>
      <c r="L137" s="28">
        <v>0</v>
      </c>
      <c r="M137" s="28">
        <v>0</v>
      </c>
      <c r="N137" s="28">
        <v>174</v>
      </c>
      <c r="O137" s="28">
        <v>174</v>
      </c>
    </row>
    <row r="138" spans="1:15" ht="12.75" customHeight="1">
      <c r="A138" s="4" t="s">
        <v>254</v>
      </c>
      <c r="B138" s="5" t="s">
        <v>255</v>
      </c>
      <c r="C138" s="28">
        <v>683</v>
      </c>
      <c r="D138" s="28">
        <v>671</v>
      </c>
      <c r="E138" s="28">
        <v>0</v>
      </c>
      <c r="F138" s="28">
        <f t="shared" si="33"/>
        <v>12</v>
      </c>
      <c r="G138" s="28">
        <v>2603</v>
      </c>
      <c r="H138" s="28">
        <v>2161</v>
      </c>
      <c r="I138" s="28">
        <v>0</v>
      </c>
      <c r="J138" s="28">
        <f t="shared" si="34"/>
        <v>442</v>
      </c>
      <c r="K138" s="28">
        <v>58</v>
      </c>
      <c r="L138" s="28">
        <v>0</v>
      </c>
      <c r="M138" s="28">
        <v>575</v>
      </c>
      <c r="N138" s="28">
        <v>407</v>
      </c>
      <c r="O138" s="28">
        <v>407</v>
      </c>
    </row>
    <row r="139" spans="1:15" ht="12.75" customHeight="1">
      <c r="A139" s="4" t="s">
        <v>256</v>
      </c>
      <c r="B139" s="5" t="s">
        <v>257</v>
      </c>
      <c r="C139" s="28">
        <v>1895</v>
      </c>
      <c r="D139" s="28">
        <v>1713</v>
      </c>
      <c r="E139" s="28">
        <v>0</v>
      </c>
      <c r="F139" s="28">
        <f t="shared" si="33"/>
        <v>182</v>
      </c>
      <c r="G139" s="28">
        <v>5331</v>
      </c>
      <c r="H139" s="28">
        <v>4452</v>
      </c>
      <c r="I139" s="28">
        <v>0</v>
      </c>
      <c r="J139" s="28">
        <f t="shared" si="34"/>
        <v>879</v>
      </c>
      <c r="K139" s="28">
        <v>443</v>
      </c>
      <c r="L139" s="28">
        <v>92</v>
      </c>
      <c r="M139" s="28">
        <v>936</v>
      </c>
      <c r="N139" s="28">
        <v>382</v>
      </c>
      <c r="O139" s="28">
        <v>382</v>
      </c>
    </row>
    <row r="140" spans="1:15" ht="12.75" customHeight="1">
      <c r="A140" s="4" t="s">
        <v>258</v>
      </c>
      <c r="B140" s="5" t="s">
        <v>259</v>
      </c>
      <c r="C140" s="28">
        <v>438</v>
      </c>
      <c r="D140" s="28">
        <v>431</v>
      </c>
      <c r="E140" s="28">
        <v>0</v>
      </c>
      <c r="F140" s="28">
        <f t="shared" si="33"/>
        <v>7</v>
      </c>
      <c r="G140" s="28">
        <v>801</v>
      </c>
      <c r="H140" s="28">
        <v>791</v>
      </c>
      <c r="I140" s="28">
        <v>0</v>
      </c>
      <c r="J140" s="28">
        <f t="shared" si="34"/>
        <v>10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2343</v>
      </c>
      <c r="D141" s="28">
        <v>2225</v>
      </c>
      <c r="E141" s="28">
        <v>0</v>
      </c>
      <c r="F141" s="28">
        <f t="shared" si="33"/>
        <v>118</v>
      </c>
      <c r="G141" s="28">
        <v>4730</v>
      </c>
      <c r="H141" s="28">
        <v>4274</v>
      </c>
      <c r="I141" s="28">
        <v>0</v>
      </c>
      <c r="J141" s="28">
        <f t="shared" si="34"/>
        <v>456</v>
      </c>
      <c r="K141" s="28">
        <v>0</v>
      </c>
      <c r="L141" s="28">
        <v>0</v>
      </c>
      <c r="M141" s="28">
        <v>0</v>
      </c>
      <c r="N141" s="28">
        <v>368</v>
      </c>
      <c r="O141" s="28">
        <v>368</v>
      </c>
    </row>
    <row r="142" spans="1:15" ht="12.75" customHeight="1">
      <c r="A142" s="4" t="s">
        <v>262</v>
      </c>
      <c r="B142" s="5" t="s">
        <v>263</v>
      </c>
      <c r="C142" s="28">
        <v>1722</v>
      </c>
      <c r="D142" s="28">
        <v>1290</v>
      </c>
      <c r="E142" s="28">
        <v>0</v>
      </c>
      <c r="F142" s="28">
        <f t="shared" si="33"/>
        <v>432</v>
      </c>
      <c r="G142" s="28">
        <v>5630</v>
      </c>
      <c r="H142" s="28">
        <v>4343</v>
      </c>
      <c r="I142" s="28">
        <v>0</v>
      </c>
      <c r="J142" s="28">
        <f t="shared" si="34"/>
        <v>1287</v>
      </c>
      <c r="K142" s="28">
        <v>276</v>
      </c>
      <c r="L142" s="28">
        <v>0</v>
      </c>
      <c r="M142" s="28">
        <v>1517</v>
      </c>
      <c r="N142" s="28">
        <v>604</v>
      </c>
      <c r="O142" s="28">
        <v>604</v>
      </c>
    </row>
    <row r="143" spans="1:15" ht="12.75" customHeight="1">
      <c r="A143" s="4" t="s">
        <v>264</v>
      </c>
      <c r="B143" s="5" t="s">
        <v>265</v>
      </c>
      <c r="C143" s="28">
        <v>4722</v>
      </c>
      <c r="D143" s="28">
        <v>3763</v>
      </c>
      <c r="E143" s="28">
        <v>0</v>
      </c>
      <c r="F143" s="28">
        <f t="shared" si="33"/>
        <v>959</v>
      </c>
      <c r="G143" s="28">
        <v>15793</v>
      </c>
      <c r="H143" s="28">
        <v>6866</v>
      </c>
      <c r="I143" s="28">
        <v>0</v>
      </c>
      <c r="J143" s="28">
        <f t="shared" si="34"/>
        <v>8927</v>
      </c>
      <c r="K143" s="28">
        <v>1555</v>
      </c>
      <c r="L143" s="28">
        <v>60</v>
      </c>
      <c r="M143" s="28">
        <v>2100</v>
      </c>
      <c r="N143" s="28">
        <v>913</v>
      </c>
      <c r="O143" s="28">
        <v>913</v>
      </c>
    </row>
    <row r="144" spans="1:15" ht="12.75" customHeight="1">
      <c r="A144" s="10"/>
      <c r="B144" s="9" t="s">
        <v>266</v>
      </c>
      <c r="C144" s="30">
        <f t="shared" ref="C144:O144" si="35">SUM(C136:C143)</f>
        <v>19999</v>
      </c>
      <c r="D144" s="30">
        <f t="shared" si="35"/>
        <v>17758</v>
      </c>
      <c r="E144" s="30">
        <f t="shared" si="35"/>
        <v>0</v>
      </c>
      <c r="F144" s="30">
        <f t="shared" si="35"/>
        <v>2241</v>
      </c>
      <c r="G144" s="30">
        <f t="shared" si="35"/>
        <v>55180</v>
      </c>
      <c r="H144" s="30">
        <f t="shared" si="35"/>
        <v>38712</v>
      </c>
      <c r="I144" s="30">
        <f t="shared" si="35"/>
        <v>0</v>
      </c>
      <c r="J144" s="30">
        <f t="shared" si="35"/>
        <v>16468</v>
      </c>
      <c r="K144" s="30">
        <f t="shared" si="35"/>
        <v>2846</v>
      </c>
      <c r="L144" s="30">
        <f t="shared" si="35"/>
        <v>938</v>
      </c>
      <c r="M144" s="30">
        <f t="shared" si="35"/>
        <v>6546</v>
      </c>
      <c r="N144" s="30">
        <f t="shared" si="35"/>
        <v>5576</v>
      </c>
      <c r="O144" s="30">
        <f t="shared" si="35"/>
        <v>5576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644339</v>
      </c>
      <c r="D145" s="31">
        <f t="shared" si="36"/>
        <v>462882</v>
      </c>
      <c r="E145" s="31">
        <f t="shared" si="36"/>
        <v>16303</v>
      </c>
      <c r="F145" s="31">
        <f t="shared" si="36"/>
        <v>165154</v>
      </c>
      <c r="G145" s="31">
        <f t="shared" si="36"/>
        <v>2047805</v>
      </c>
      <c r="H145" s="31">
        <f t="shared" si="36"/>
        <v>1034663</v>
      </c>
      <c r="I145" s="31">
        <f t="shared" si="36"/>
        <v>81934</v>
      </c>
      <c r="J145" s="31">
        <f t="shared" si="36"/>
        <v>931208</v>
      </c>
      <c r="K145" s="31">
        <f t="shared" si="36"/>
        <v>39949</v>
      </c>
      <c r="L145" s="31">
        <f t="shared" si="36"/>
        <v>1915</v>
      </c>
      <c r="M145" s="31">
        <f t="shared" si="36"/>
        <v>196023</v>
      </c>
      <c r="N145" s="31">
        <f t="shared" si="36"/>
        <v>70985</v>
      </c>
      <c r="O145" s="31">
        <f t="shared" si="36"/>
        <v>39607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22290</v>
      </c>
      <c r="D15" s="28">
        <v>16451</v>
      </c>
      <c r="E15" s="28">
        <v>2068</v>
      </c>
      <c r="F15" s="28">
        <f t="shared" ref="F15:F22" si="0">SUM(C15-D15-E15)</f>
        <v>3771</v>
      </c>
      <c r="G15" s="28">
        <v>113844</v>
      </c>
      <c r="H15" s="28">
        <v>45948</v>
      </c>
      <c r="I15" s="28">
        <v>13384</v>
      </c>
      <c r="J15" s="28">
        <f t="shared" ref="J15:J22" si="1">SUM(G15-H15-I15)</f>
        <v>54512</v>
      </c>
      <c r="K15" s="28">
        <v>6169</v>
      </c>
      <c r="L15" s="28">
        <v>0</v>
      </c>
      <c r="M15" s="28">
        <v>11282</v>
      </c>
      <c r="N15" s="28">
        <v>4026</v>
      </c>
      <c r="O15" s="28">
        <v>3299</v>
      </c>
    </row>
    <row r="16" spans="1:15" ht="12.75" customHeight="1">
      <c r="A16" s="4" t="s">
        <v>29</v>
      </c>
      <c r="B16" s="5" t="s">
        <v>30</v>
      </c>
      <c r="C16" s="28">
        <v>15430</v>
      </c>
      <c r="D16" s="28">
        <v>6910</v>
      </c>
      <c r="E16" s="28">
        <v>325</v>
      </c>
      <c r="F16" s="28">
        <f t="shared" si="0"/>
        <v>8195</v>
      </c>
      <c r="G16" s="28">
        <v>107636</v>
      </c>
      <c r="H16" s="28">
        <v>18246</v>
      </c>
      <c r="I16" s="28">
        <v>2383</v>
      </c>
      <c r="J16" s="28">
        <f t="shared" si="1"/>
        <v>87007</v>
      </c>
      <c r="K16" s="28">
        <v>2049</v>
      </c>
      <c r="L16" s="28">
        <v>0</v>
      </c>
      <c r="M16" s="28">
        <v>7194</v>
      </c>
      <c r="N16" s="28">
        <v>168</v>
      </c>
      <c r="O16" s="28">
        <v>168</v>
      </c>
    </row>
    <row r="17" spans="1:15" ht="12.75" customHeight="1">
      <c r="A17" s="4" t="s">
        <v>31</v>
      </c>
      <c r="B17" s="5" t="s">
        <v>32</v>
      </c>
      <c r="C17" s="28">
        <v>9305</v>
      </c>
      <c r="D17" s="28">
        <v>7471</v>
      </c>
      <c r="E17" s="28">
        <v>0</v>
      </c>
      <c r="F17" s="28">
        <f t="shared" si="0"/>
        <v>1834</v>
      </c>
      <c r="G17" s="28">
        <v>18877</v>
      </c>
      <c r="H17" s="28">
        <v>13798</v>
      </c>
      <c r="I17" s="28">
        <v>0</v>
      </c>
      <c r="J17" s="28">
        <f t="shared" si="1"/>
        <v>5079</v>
      </c>
      <c r="K17" s="28">
        <v>880</v>
      </c>
      <c r="L17" s="28">
        <v>0</v>
      </c>
      <c r="M17" s="28">
        <v>437</v>
      </c>
      <c r="N17" s="28">
        <v>771</v>
      </c>
      <c r="O17" s="28">
        <v>771</v>
      </c>
    </row>
    <row r="18" spans="1:15" ht="12.75" customHeight="1">
      <c r="A18" s="4" t="s">
        <v>33</v>
      </c>
      <c r="B18" s="5" t="s">
        <v>34</v>
      </c>
      <c r="C18" s="28">
        <v>28426</v>
      </c>
      <c r="D18" s="28">
        <v>18934</v>
      </c>
      <c r="E18" s="28">
        <v>364</v>
      </c>
      <c r="F18" s="28">
        <f t="shared" si="0"/>
        <v>9128</v>
      </c>
      <c r="G18" s="28">
        <v>73132</v>
      </c>
      <c r="H18" s="28">
        <v>50667</v>
      </c>
      <c r="I18" s="28">
        <v>1777</v>
      </c>
      <c r="J18" s="28">
        <f t="shared" si="1"/>
        <v>20688</v>
      </c>
      <c r="K18" s="28">
        <v>3276</v>
      </c>
      <c r="L18" s="28">
        <v>0</v>
      </c>
      <c r="M18" s="28">
        <v>5378</v>
      </c>
      <c r="N18" s="28">
        <v>554</v>
      </c>
      <c r="O18" s="28">
        <v>554</v>
      </c>
    </row>
    <row r="19" spans="1:15" ht="12.75" customHeight="1">
      <c r="A19" s="4" t="s">
        <v>35</v>
      </c>
      <c r="B19" s="5" t="s">
        <v>36</v>
      </c>
      <c r="C19" s="28">
        <v>17132</v>
      </c>
      <c r="D19" s="28">
        <v>16384</v>
      </c>
      <c r="E19" s="28">
        <v>549</v>
      </c>
      <c r="F19" s="28">
        <f t="shared" si="0"/>
        <v>199</v>
      </c>
      <c r="G19" s="28">
        <v>49638</v>
      </c>
      <c r="H19" s="28">
        <v>39928</v>
      </c>
      <c r="I19" s="28">
        <v>3196</v>
      </c>
      <c r="J19" s="28">
        <f t="shared" si="1"/>
        <v>6514</v>
      </c>
      <c r="K19" s="28">
        <v>636</v>
      </c>
      <c r="L19" s="28">
        <v>0</v>
      </c>
      <c r="M19" s="28">
        <v>183</v>
      </c>
      <c r="N19" s="28">
        <v>282</v>
      </c>
      <c r="O19" s="28">
        <v>282</v>
      </c>
    </row>
    <row r="20" spans="1:15" ht="12.75" customHeight="1">
      <c r="A20" s="4" t="s">
        <v>37</v>
      </c>
      <c r="B20" s="5" t="s">
        <v>38</v>
      </c>
      <c r="C20" s="28">
        <v>100281</v>
      </c>
      <c r="D20" s="28">
        <v>89702</v>
      </c>
      <c r="E20" s="28">
        <v>2460</v>
      </c>
      <c r="F20" s="28">
        <f t="shared" si="0"/>
        <v>8119</v>
      </c>
      <c r="G20" s="28">
        <v>262895</v>
      </c>
      <c r="H20" s="28">
        <v>189998</v>
      </c>
      <c r="I20" s="28">
        <v>13439</v>
      </c>
      <c r="J20" s="28">
        <f t="shared" si="1"/>
        <v>59458</v>
      </c>
      <c r="K20" s="28">
        <v>9511</v>
      </c>
      <c r="L20" s="28">
        <v>0</v>
      </c>
      <c r="M20" s="28">
        <v>8762</v>
      </c>
      <c r="N20" s="28">
        <v>2646</v>
      </c>
      <c r="O20" s="28">
        <v>2646</v>
      </c>
    </row>
    <row r="21" spans="1:15" ht="12.75" customHeight="1">
      <c r="A21" s="4" t="s">
        <v>39</v>
      </c>
      <c r="B21" s="5" t="s">
        <v>40</v>
      </c>
      <c r="C21" s="28">
        <v>7555</v>
      </c>
      <c r="D21" s="28">
        <v>7509</v>
      </c>
      <c r="E21" s="28">
        <v>0</v>
      </c>
      <c r="F21" s="28">
        <f t="shared" si="0"/>
        <v>46</v>
      </c>
      <c r="G21" s="28">
        <v>13899</v>
      </c>
      <c r="H21" s="28">
        <v>13304</v>
      </c>
      <c r="I21" s="28">
        <v>0</v>
      </c>
      <c r="J21" s="28">
        <f t="shared" si="1"/>
        <v>595</v>
      </c>
      <c r="K21" s="28">
        <v>94</v>
      </c>
      <c r="L21" s="28">
        <v>0</v>
      </c>
      <c r="M21" s="28">
        <v>0</v>
      </c>
      <c r="N21" s="28">
        <v>80</v>
      </c>
      <c r="O21" s="28">
        <v>80</v>
      </c>
    </row>
    <row r="22" spans="1:15" ht="12.75" customHeight="1">
      <c r="A22" s="4" t="s">
        <v>41</v>
      </c>
      <c r="B22" s="5" t="s">
        <v>42</v>
      </c>
      <c r="C22" s="28">
        <v>7673</v>
      </c>
      <c r="D22" s="28">
        <v>6215</v>
      </c>
      <c r="E22" s="28">
        <v>753</v>
      </c>
      <c r="F22" s="28">
        <f t="shared" si="0"/>
        <v>705</v>
      </c>
      <c r="G22" s="28">
        <v>21840</v>
      </c>
      <c r="H22" s="28">
        <v>13366</v>
      </c>
      <c r="I22" s="28">
        <v>3327</v>
      </c>
      <c r="J22" s="28">
        <f t="shared" si="1"/>
        <v>5147</v>
      </c>
      <c r="K22" s="28">
        <v>1530</v>
      </c>
      <c r="L22" s="28">
        <v>0</v>
      </c>
      <c r="M22" s="28">
        <v>3460</v>
      </c>
      <c r="N22" s="28">
        <v>694</v>
      </c>
      <c r="O22" s="28">
        <v>694</v>
      </c>
    </row>
    <row r="23" spans="1:15" ht="12.75" customHeight="1">
      <c r="A23" s="8"/>
      <c r="B23" s="9" t="s">
        <v>43</v>
      </c>
      <c r="C23" s="29">
        <f t="shared" ref="C23:O23" si="2">SUM(C15:C22)</f>
        <v>208092</v>
      </c>
      <c r="D23" s="29">
        <f t="shared" si="2"/>
        <v>169576</v>
      </c>
      <c r="E23" s="29">
        <f t="shared" si="2"/>
        <v>6519</v>
      </c>
      <c r="F23" s="29">
        <f t="shared" si="2"/>
        <v>31997</v>
      </c>
      <c r="G23" s="29">
        <f t="shared" si="2"/>
        <v>661761</v>
      </c>
      <c r="H23" s="29">
        <f t="shared" si="2"/>
        <v>385255</v>
      </c>
      <c r="I23" s="29">
        <f t="shared" si="2"/>
        <v>37506</v>
      </c>
      <c r="J23" s="29">
        <f t="shared" si="2"/>
        <v>239000</v>
      </c>
      <c r="K23" s="29">
        <f t="shared" si="2"/>
        <v>24145</v>
      </c>
      <c r="L23" s="29">
        <f t="shared" si="2"/>
        <v>0</v>
      </c>
      <c r="M23" s="29">
        <f t="shared" si="2"/>
        <v>36696</v>
      </c>
      <c r="N23" s="29">
        <f t="shared" si="2"/>
        <v>9221</v>
      </c>
      <c r="O23" s="29">
        <f t="shared" si="2"/>
        <v>8494</v>
      </c>
    </row>
    <row r="24" spans="1:15" ht="14.25" customHeight="1">
      <c r="A24" s="4" t="s">
        <v>44</v>
      </c>
      <c r="B24" s="5" t="s">
        <v>45</v>
      </c>
      <c r="C24" s="28">
        <v>8491</v>
      </c>
      <c r="D24" s="28">
        <v>5994</v>
      </c>
      <c r="E24" s="28">
        <v>521</v>
      </c>
      <c r="F24" s="28">
        <f>SUM(C24-D24-E24)</f>
        <v>1976</v>
      </c>
      <c r="G24" s="28">
        <v>21175</v>
      </c>
      <c r="H24" s="28">
        <v>10876</v>
      </c>
      <c r="I24" s="28">
        <v>2005</v>
      </c>
      <c r="J24" s="28">
        <f>SUM(G24-H24-I24)</f>
        <v>8294</v>
      </c>
      <c r="K24" s="28">
        <v>6564</v>
      </c>
      <c r="L24" s="28">
        <v>0</v>
      </c>
      <c r="M24" s="28">
        <v>1284</v>
      </c>
      <c r="N24" s="28">
        <v>326</v>
      </c>
      <c r="O24" s="28">
        <v>326</v>
      </c>
    </row>
    <row r="25" spans="1:15" ht="14.25" customHeight="1">
      <c r="A25" s="10"/>
      <c r="B25" s="9" t="s">
        <v>46</v>
      </c>
      <c r="C25" s="29">
        <f t="shared" ref="C25:O25" si="3">SUM(C24)</f>
        <v>8491</v>
      </c>
      <c r="D25" s="29">
        <f t="shared" si="3"/>
        <v>5994</v>
      </c>
      <c r="E25" s="29">
        <f t="shared" si="3"/>
        <v>521</v>
      </c>
      <c r="F25" s="29">
        <f t="shared" si="3"/>
        <v>1976</v>
      </c>
      <c r="G25" s="29">
        <f t="shared" si="3"/>
        <v>21175</v>
      </c>
      <c r="H25" s="29">
        <f t="shared" si="3"/>
        <v>10876</v>
      </c>
      <c r="I25" s="29">
        <f t="shared" si="3"/>
        <v>2005</v>
      </c>
      <c r="J25" s="29">
        <f t="shared" si="3"/>
        <v>8294</v>
      </c>
      <c r="K25" s="29">
        <f t="shared" si="3"/>
        <v>6564</v>
      </c>
      <c r="L25" s="29">
        <f t="shared" si="3"/>
        <v>0</v>
      </c>
      <c r="M25" s="29">
        <f t="shared" si="3"/>
        <v>1284</v>
      </c>
      <c r="N25" s="29">
        <f t="shared" si="3"/>
        <v>326</v>
      </c>
      <c r="O25" s="29">
        <f t="shared" si="3"/>
        <v>326</v>
      </c>
    </row>
    <row r="26" spans="1:15" ht="12.75" customHeight="1">
      <c r="A26" s="4" t="s">
        <v>47</v>
      </c>
      <c r="B26" s="5" t="s">
        <v>48</v>
      </c>
      <c r="C26" s="28">
        <v>67229</v>
      </c>
      <c r="D26" s="28">
        <v>31444</v>
      </c>
      <c r="E26" s="28">
        <v>1836</v>
      </c>
      <c r="F26" s="28">
        <f>SUM(C26-D26-E26)</f>
        <v>33949</v>
      </c>
      <c r="G26" s="28">
        <v>165334</v>
      </c>
      <c r="H26" s="28">
        <v>54986</v>
      </c>
      <c r="I26" s="28">
        <v>6711</v>
      </c>
      <c r="J26" s="28">
        <f>SUM(G26-H26-I26)</f>
        <v>103637</v>
      </c>
      <c r="K26" s="28">
        <v>13768</v>
      </c>
      <c r="L26" s="28">
        <v>0</v>
      </c>
      <c r="M26" s="28">
        <v>3393</v>
      </c>
      <c r="N26" s="28">
        <v>2263</v>
      </c>
      <c r="O26" s="28">
        <v>2263</v>
      </c>
    </row>
    <row r="27" spans="1:15" ht="12.75" customHeight="1">
      <c r="A27" s="4" t="s">
        <v>49</v>
      </c>
      <c r="B27" s="5" t="s">
        <v>50</v>
      </c>
      <c r="C27" s="28">
        <v>11855</v>
      </c>
      <c r="D27" s="28">
        <v>9878</v>
      </c>
      <c r="E27" s="28">
        <v>486</v>
      </c>
      <c r="F27" s="28">
        <f>SUM(C27-D27-E27)</f>
        <v>1491</v>
      </c>
      <c r="G27" s="28">
        <v>23443</v>
      </c>
      <c r="H27" s="28">
        <v>15559</v>
      </c>
      <c r="I27" s="28">
        <v>1706</v>
      </c>
      <c r="J27" s="28">
        <f>SUM(G27-H27-I27)</f>
        <v>6178</v>
      </c>
      <c r="K27" s="28">
        <v>2130</v>
      </c>
      <c r="L27" s="28">
        <v>0</v>
      </c>
      <c r="M27" s="28">
        <v>747</v>
      </c>
      <c r="N27" s="28">
        <v>543</v>
      </c>
      <c r="O27" s="28">
        <v>543</v>
      </c>
    </row>
    <row r="28" spans="1:15" ht="12.75" customHeight="1">
      <c r="A28" s="4" t="s">
        <v>51</v>
      </c>
      <c r="B28" s="5" t="s">
        <v>52</v>
      </c>
      <c r="C28" s="28">
        <v>11656</v>
      </c>
      <c r="D28" s="28">
        <v>7504</v>
      </c>
      <c r="E28" s="28">
        <v>848</v>
      </c>
      <c r="F28" s="28">
        <f>SUM(C28-D28-E28)</f>
        <v>3304</v>
      </c>
      <c r="G28" s="28">
        <v>36494</v>
      </c>
      <c r="H28" s="28">
        <v>17227</v>
      </c>
      <c r="I28" s="28">
        <v>5068</v>
      </c>
      <c r="J28" s="28">
        <f>SUM(G28-H28-I28)</f>
        <v>14199</v>
      </c>
      <c r="K28" s="28">
        <v>668</v>
      </c>
      <c r="L28" s="28">
        <v>0</v>
      </c>
      <c r="M28" s="28">
        <v>479</v>
      </c>
      <c r="N28" s="28">
        <v>158</v>
      </c>
      <c r="O28" s="28">
        <v>158</v>
      </c>
    </row>
    <row r="29" spans="1:15" ht="12.75" customHeight="1">
      <c r="A29" s="4" t="s">
        <v>53</v>
      </c>
      <c r="B29" s="5" t="s">
        <v>54</v>
      </c>
      <c r="C29" s="28">
        <v>14058</v>
      </c>
      <c r="D29" s="28">
        <v>12153</v>
      </c>
      <c r="E29" s="28">
        <v>1385</v>
      </c>
      <c r="F29" s="28">
        <f>SUM(C29-D29-E29)</f>
        <v>520</v>
      </c>
      <c r="G29" s="28">
        <v>33127</v>
      </c>
      <c r="H29" s="28">
        <v>26096</v>
      </c>
      <c r="I29" s="28">
        <v>5747</v>
      </c>
      <c r="J29" s="28">
        <f>SUM(G29-H29-I29)</f>
        <v>1284</v>
      </c>
      <c r="K29" s="28">
        <v>53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104798</v>
      </c>
      <c r="D30" s="29">
        <f t="shared" si="4"/>
        <v>60979</v>
      </c>
      <c r="E30" s="29">
        <f t="shared" si="4"/>
        <v>4555</v>
      </c>
      <c r="F30" s="29">
        <f t="shared" si="4"/>
        <v>39264</v>
      </c>
      <c r="G30" s="29">
        <f t="shared" si="4"/>
        <v>258398</v>
      </c>
      <c r="H30" s="29">
        <f t="shared" si="4"/>
        <v>113868</v>
      </c>
      <c r="I30" s="29">
        <f t="shared" si="4"/>
        <v>19232</v>
      </c>
      <c r="J30" s="29">
        <f t="shared" si="4"/>
        <v>125298</v>
      </c>
      <c r="K30" s="29">
        <f t="shared" si="4"/>
        <v>16619</v>
      </c>
      <c r="L30" s="29">
        <f t="shared" si="4"/>
        <v>0</v>
      </c>
      <c r="M30" s="29">
        <f t="shared" si="4"/>
        <v>4708</v>
      </c>
      <c r="N30" s="29">
        <f t="shared" si="4"/>
        <v>3053</v>
      </c>
      <c r="O30" s="29">
        <f t="shared" si="4"/>
        <v>3053</v>
      </c>
    </row>
    <row r="31" spans="1:15" ht="12.75" customHeight="1">
      <c r="A31" s="4" t="s">
        <v>56</v>
      </c>
      <c r="B31" s="5" t="s">
        <v>57</v>
      </c>
      <c r="C31" s="28">
        <v>50216</v>
      </c>
      <c r="D31" s="28">
        <v>40859</v>
      </c>
      <c r="E31" s="28">
        <v>872</v>
      </c>
      <c r="F31" s="28">
        <f t="shared" ref="F31:F42" si="5">SUM(C31-D31-E31)</f>
        <v>8485</v>
      </c>
      <c r="G31" s="28">
        <v>150121</v>
      </c>
      <c r="H31" s="28">
        <v>83478</v>
      </c>
      <c r="I31" s="28">
        <v>4228</v>
      </c>
      <c r="J31" s="28">
        <f t="shared" ref="J31:J42" si="6">SUM(G31-H31-I31)</f>
        <v>62415</v>
      </c>
      <c r="K31" s="28">
        <v>3577</v>
      </c>
      <c r="L31" s="28">
        <v>0</v>
      </c>
      <c r="M31" s="28">
        <v>2861</v>
      </c>
      <c r="N31" s="28">
        <v>618</v>
      </c>
      <c r="O31" s="28">
        <v>618</v>
      </c>
    </row>
    <row r="32" spans="1:15" ht="12.75" customHeight="1">
      <c r="A32" s="4" t="s">
        <v>58</v>
      </c>
      <c r="B32" s="5" t="s">
        <v>59</v>
      </c>
      <c r="C32" s="28">
        <v>62838</v>
      </c>
      <c r="D32" s="28">
        <v>55838</v>
      </c>
      <c r="E32" s="28">
        <v>2064</v>
      </c>
      <c r="F32" s="28">
        <f t="shared" si="5"/>
        <v>4936</v>
      </c>
      <c r="G32" s="28">
        <v>238964</v>
      </c>
      <c r="H32" s="28">
        <v>138406</v>
      </c>
      <c r="I32" s="28">
        <v>12213</v>
      </c>
      <c r="J32" s="28">
        <f t="shared" si="6"/>
        <v>88345</v>
      </c>
      <c r="K32" s="28">
        <v>7598</v>
      </c>
      <c r="L32" s="28">
        <v>0</v>
      </c>
      <c r="M32" s="28">
        <v>32335</v>
      </c>
      <c r="N32" s="28">
        <v>1486</v>
      </c>
      <c r="O32" s="28">
        <v>1486</v>
      </c>
    </row>
    <row r="33" spans="1:256" ht="12.75" customHeight="1">
      <c r="A33" s="4" t="s">
        <v>60</v>
      </c>
      <c r="B33" s="5" t="s">
        <v>61</v>
      </c>
      <c r="C33" s="28">
        <v>35606</v>
      </c>
      <c r="D33" s="28">
        <v>27337</v>
      </c>
      <c r="E33" s="28">
        <v>740</v>
      </c>
      <c r="F33" s="28">
        <f t="shared" si="5"/>
        <v>7529</v>
      </c>
      <c r="G33" s="28">
        <v>124639</v>
      </c>
      <c r="H33" s="28">
        <v>36179</v>
      </c>
      <c r="I33" s="28">
        <v>2201</v>
      </c>
      <c r="J33" s="28">
        <f t="shared" si="6"/>
        <v>86259</v>
      </c>
      <c r="K33" s="28">
        <v>10920</v>
      </c>
      <c r="L33" s="28">
        <v>89</v>
      </c>
      <c r="M33" s="28">
        <v>7719</v>
      </c>
      <c r="N33" s="28">
        <v>1143</v>
      </c>
      <c r="O33" s="28">
        <v>1143</v>
      </c>
    </row>
    <row r="34" spans="1:256" ht="12.75" customHeight="1">
      <c r="A34" s="4" t="s">
        <v>62</v>
      </c>
      <c r="B34" s="5" t="s">
        <v>63</v>
      </c>
      <c r="C34" s="28">
        <v>38298</v>
      </c>
      <c r="D34" s="28">
        <v>12096</v>
      </c>
      <c r="E34" s="28">
        <v>161</v>
      </c>
      <c r="F34" s="28">
        <f t="shared" si="5"/>
        <v>26041</v>
      </c>
      <c r="G34" s="28">
        <v>126004</v>
      </c>
      <c r="H34" s="28">
        <v>31613</v>
      </c>
      <c r="I34" s="28">
        <v>869</v>
      </c>
      <c r="J34" s="28">
        <f t="shared" si="6"/>
        <v>93522</v>
      </c>
      <c r="K34" s="28">
        <v>1217</v>
      </c>
      <c r="L34" s="28">
        <v>37</v>
      </c>
      <c r="M34" s="28">
        <v>11914</v>
      </c>
      <c r="N34" s="28">
        <v>138</v>
      </c>
      <c r="O34" s="28">
        <v>138</v>
      </c>
    </row>
    <row r="35" spans="1:256" ht="12.75" customHeight="1">
      <c r="A35" s="4" t="s">
        <v>64</v>
      </c>
      <c r="B35" s="5" t="s">
        <v>65</v>
      </c>
      <c r="C35" s="28">
        <v>16280</v>
      </c>
      <c r="D35" s="28">
        <v>15895</v>
      </c>
      <c r="E35" s="28">
        <v>0</v>
      </c>
      <c r="F35" s="28">
        <f t="shared" si="5"/>
        <v>385</v>
      </c>
      <c r="G35" s="28">
        <v>29730</v>
      </c>
      <c r="H35" s="28">
        <v>26838</v>
      </c>
      <c r="I35" s="28">
        <v>0</v>
      </c>
      <c r="J35" s="28">
        <f t="shared" si="6"/>
        <v>2892</v>
      </c>
      <c r="K35" s="28">
        <v>889</v>
      </c>
      <c r="L35" s="28">
        <v>0</v>
      </c>
      <c r="M35" s="28">
        <v>220</v>
      </c>
      <c r="N35" s="28">
        <v>1471</v>
      </c>
      <c r="O35" s="28">
        <v>1471</v>
      </c>
    </row>
    <row r="36" spans="1:256" ht="12.75" customHeight="1">
      <c r="A36" s="4" t="s">
        <v>66</v>
      </c>
      <c r="B36" s="5" t="s">
        <v>67</v>
      </c>
      <c r="C36" s="28">
        <v>9585</v>
      </c>
      <c r="D36" s="28">
        <v>8000</v>
      </c>
      <c r="E36" s="28">
        <v>643</v>
      </c>
      <c r="F36" s="28">
        <f t="shared" si="5"/>
        <v>942</v>
      </c>
      <c r="G36" s="28">
        <v>27781</v>
      </c>
      <c r="H36" s="28">
        <v>20064</v>
      </c>
      <c r="I36" s="28">
        <v>3976</v>
      </c>
      <c r="J36" s="28">
        <f t="shared" si="6"/>
        <v>3741</v>
      </c>
      <c r="K36" s="28">
        <v>169</v>
      </c>
      <c r="L36" s="28">
        <v>0</v>
      </c>
      <c r="M36" s="28">
        <v>1759</v>
      </c>
      <c r="N36" s="28">
        <v>5</v>
      </c>
      <c r="O36" s="28">
        <v>5</v>
      </c>
    </row>
    <row r="37" spans="1:256" ht="12.75" customHeight="1">
      <c r="A37" s="4" t="s">
        <v>68</v>
      </c>
      <c r="B37" s="5" t="s">
        <v>69</v>
      </c>
      <c r="C37" s="28">
        <v>15409</v>
      </c>
      <c r="D37" s="28">
        <v>13355</v>
      </c>
      <c r="E37" s="28">
        <v>214</v>
      </c>
      <c r="F37" s="28">
        <f t="shared" si="5"/>
        <v>1840</v>
      </c>
      <c r="G37" s="28">
        <v>58144</v>
      </c>
      <c r="H37" s="28">
        <v>36870</v>
      </c>
      <c r="I37" s="28">
        <v>971</v>
      </c>
      <c r="J37" s="28">
        <f t="shared" si="6"/>
        <v>20303</v>
      </c>
      <c r="K37" s="28">
        <v>517</v>
      </c>
      <c r="L37" s="28">
        <v>0</v>
      </c>
      <c r="M37" s="28">
        <v>3568</v>
      </c>
      <c r="N37" s="28">
        <v>1428</v>
      </c>
      <c r="O37" s="28">
        <v>1428</v>
      </c>
    </row>
    <row r="38" spans="1:256" ht="12.75" customHeight="1">
      <c r="A38" s="4" t="s">
        <v>70</v>
      </c>
      <c r="B38" s="5" t="s">
        <v>71</v>
      </c>
      <c r="C38" s="28">
        <v>231663</v>
      </c>
      <c r="D38" s="28">
        <v>184029</v>
      </c>
      <c r="E38" s="28">
        <v>6181</v>
      </c>
      <c r="F38" s="28">
        <f t="shared" si="5"/>
        <v>41453</v>
      </c>
      <c r="G38" s="28">
        <v>543072</v>
      </c>
      <c r="H38" s="28">
        <v>323065</v>
      </c>
      <c r="I38" s="28">
        <v>26020</v>
      </c>
      <c r="J38" s="28">
        <f t="shared" si="6"/>
        <v>193987</v>
      </c>
      <c r="K38" s="28">
        <v>29931</v>
      </c>
      <c r="L38" s="28">
        <v>0</v>
      </c>
      <c r="M38" s="28">
        <v>21121</v>
      </c>
      <c r="N38" s="28">
        <v>152824</v>
      </c>
      <c r="O38" s="28">
        <v>23503</v>
      </c>
    </row>
    <row r="39" spans="1:256" ht="12.75" customHeight="1">
      <c r="A39" s="4" t="s">
        <v>72</v>
      </c>
      <c r="B39" s="5" t="s">
        <v>73</v>
      </c>
      <c r="C39" s="28">
        <v>34444</v>
      </c>
      <c r="D39" s="28">
        <v>31826</v>
      </c>
      <c r="E39" s="28">
        <v>997</v>
      </c>
      <c r="F39" s="28">
        <f t="shared" si="5"/>
        <v>1621</v>
      </c>
      <c r="G39" s="28">
        <v>64224</v>
      </c>
      <c r="H39" s="28">
        <v>52460</v>
      </c>
      <c r="I39" s="28">
        <v>5863</v>
      </c>
      <c r="J39" s="28">
        <f t="shared" si="6"/>
        <v>5901</v>
      </c>
      <c r="K39" s="28">
        <v>990</v>
      </c>
      <c r="L39" s="28">
        <v>0</v>
      </c>
      <c r="M39" s="28">
        <v>62</v>
      </c>
      <c r="N39" s="28">
        <v>111</v>
      </c>
      <c r="O39" s="28">
        <v>111</v>
      </c>
    </row>
    <row r="40" spans="1:256" ht="12.75" customHeight="1">
      <c r="A40" s="4" t="s">
        <v>74</v>
      </c>
      <c r="B40" s="5" t="s">
        <v>75</v>
      </c>
      <c r="C40" s="28">
        <v>24574</v>
      </c>
      <c r="D40" s="28">
        <v>21319</v>
      </c>
      <c r="E40" s="28">
        <v>857</v>
      </c>
      <c r="F40" s="28">
        <f t="shared" si="5"/>
        <v>2398</v>
      </c>
      <c r="G40" s="28">
        <v>68999</v>
      </c>
      <c r="H40" s="28">
        <v>44196</v>
      </c>
      <c r="I40" s="28">
        <v>4308</v>
      </c>
      <c r="J40" s="28">
        <f t="shared" si="6"/>
        <v>20495</v>
      </c>
      <c r="K40" s="28">
        <v>1955</v>
      </c>
      <c r="L40" s="28">
        <v>27</v>
      </c>
      <c r="M40" s="28">
        <v>13950</v>
      </c>
      <c r="N40" s="28">
        <v>515</v>
      </c>
      <c r="O40" s="28">
        <v>515</v>
      </c>
    </row>
    <row r="41" spans="1:256" ht="12.75" customHeight="1">
      <c r="A41" s="4" t="s">
        <v>76</v>
      </c>
      <c r="B41" s="5" t="s">
        <v>77</v>
      </c>
      <c r="C41" s="28">
        <v>7204</v>
      </c>
      <c r="D41" s="28">
        <v>6048</v>
      </c>
      <c r="E41" s="28">
        <v>0</v>
      </c>
      <c r="F41" s="28">
        <f t="shared" si="5"/>
        <v>1156</v>
      </c>
      <c r="G41" s="28">
        <v>28494</v>
      </c>
      <c r="H41" s="28">
        <v>18248</v>
      </c>
      <c r="I41" s="28">
        <v>0</v>
      </c>
      <c r="J41" s="28">
        <f t="shared" si="6"/>
        <v>10246</v>
      </c>
      <c r="K41" s="28">
        <v>3757</v>
      </c>
      <c r="L41" s="28">
        <v>0</v>
      </c>
      <c r="M41" s="28">
        <v>702</v>
      </c>
      <c r="N41" s="28">
        <v>1864</v>
      </c>
      <c r="O41" s="28">
        <v>1864</v>
      </c>
    </row>
    <row r="42" spans="1:256" ht="12.75" customHeight="1">
      <c r="A42" s="4" t="s">
        <v>78</v>
      </c>
      <c r="B42" s="5" t="s">
        <v>79</v>
      </c>
      <c r="C42" s="28">
        <v>53621</v>
      </c>
      <c r="D42" s="28">
        <v>44194</v>
      </c>
      <c r="E42" s="28">
        <v>1157</v>
      </c>
      <c r="F42" s="28">
        <f t="shared" si="5"/>
        <v>8270</v>
      </c>
      <c r="G42" s="28">
        <v>92768</v>
      </c>
      <c r="H42" s="28">
        <v>71073</v>
      </c>
      <c r="I42" s="28">
        <v>2989</v>
      </c>
      <c r="J42" s="28">
        <f t="shared" si="6"/>
        <v>18706</v>
      </c>
      <c r="K42" s="28">
        <v>2707</v>
      </c>
      <c r="L42" s="28">
        <v>0</v>
      </c>
      <c r="M42" s="28">
        <v>248</v>
      </c>
      <c r="N42" s="28">
        <v>446</v>
      </c>
      <c r="O42" s="28">
        <v>446</v>
      </c>
    </row>
    <row r="43" spans="1:256" ht="12.75" customHeight="1">
      <c r="A43" s="8"/>
      <c r="B43" s="9" t="s">
        <v>80</v>
      </c>
      <c r="C43" s="29">
        <f t="shared" ref="C43:O43" si="7">SUM(C31:C42)</f>
        <v>579738</v>
      </c>
      <c r="D43" s="29">
        <f t="shared" si="7"/>
        <v>460796</v>
      </c>
      <c r="E43" s="29">
        <f t="shared" si="7"/>
        <v>13886</v>
      </c>
      <c r="F43" s="29">
        <f t="shared" si="7"/>
        <v>105056</v>
      </c>
      <c r="G43" s="29">
        <f t="shared" si="7"/>
        <v>1552940</v>
      </c>
      <c r="H43" s="29">
        <f t="shared" si="7"/>
        <v>882490</v>
      </c>
      <c r="I43" s="29">
        <f t="shared" si="7"/>
        <v>63638</v>
      </c>
      <c r="J43" s="29">
        <f t="shared" si="7"/>
        <v>606812</v>
      </c>
      <c r="K43" s="29">
        <f t="shared" si="7"/>
        <v>64227</v>
      </c>
      <c r="L43" s="29">
        <f t="shared" si="7"/>
        <v>153</v>
      </c>
      <c r="M43" s="29">
        <f t="shared" si="7"/>
        <v>96459</v>
      </c>
      <c r="N43" s="29">
        <f t="shared" si="7"/>
        <v>162049</v>
      </c>
      <c r="O43" s="29">
        <f t="shared" si="7"/>
        <v>32728</v>
      </c>
    </row>
    <row r="44" spans="1:256" ht="12.75" customHeight="1">
      <c r="A44" s="4" t="s">
        <v>81</v>
      </c>
      <c r="B44" s="5" t="s">
        <v>82</v>
      </c>
      <c r="C44" s="28">
        <v>18472</v>
      </c>
      <c r="D44" s="28">
        <v>15933</v>
      </c>
      <c r="E44" s="28">
        <v>453</v>
      </c>
      <c r="F44" s="28">
        <f>SUM(C44-D44-E44)</f>
        <v>2086</v>
      </c>
      <c r="G44" s="28">
        <v>73863</v>
      </c>
      <c r="H44" s="28">
        <v>42144</v>
      </c>
      <c r="I44" s="28">
        <v>2060</v>
      </c>
      <c r="J44" s="28">
        <f>SUM(G44-H44-I44)</f>
        <v>29659</v>
      </c>
      <c r="K44" s="28">
        <v>5206</v>
      </c>
      <c r="L44" s="28">
        <v>0</v>
      </c>
      <c r="M44" s="28">
        <v>3026</v>
      </c>
      <c r="N44" s="28">
        <v>1101</v>
      </c>
      <c r="O44" s="28">
        <v>1101</v>
      </c>
    </row>
    <row r="45" spans="1:256" ht="12.75" customHeight="1">
      <c r="A45" s="4" t="s">
        <v>83</v>
      </c>
      <c r="B45" s="5" t="s">
        <v>84</v>
      </c>
      <c r="C45" s="28">
        <v>26683</v>
      </c>
      <c r="D45" s="28">
        <v>20246</v>
      </c>
      <c r="E45" s="28">
        <v>683</v>
      </c>
      <c r="F45" s="28">
        <f>SUM(C45-D45-E45)</f>
        <v>5754</v>
      </c>
      <c r="G45" s="28">
        <v>120424</v>
      </c>
      <c r="H45" s="28">
        <v>49499</v>
      </c>
      <c r="I45" s="28">
        <v>3528</v>
      </c>
      <c r="J45" s="28">
        <f>SUM(G45-H45-I45)</f>
        <v>67397</v>
      </c>
      <c r="K45" s="28">
        <v>24688</v>
      </c>
      <c r="L45" s="28">
        <v>0</v>
      </c>
      <c r="M45" s="28">
        <v>14748</v>
      </c>
      <c r="N45" s="28">
        <v>138</v>
      </c>
      <c r="O45" s="28">
        <v>138</v>
      </c>
    </row>
    <row r="46" spans="1:256" ht="12.75" customHeight="1">
      <c r="A46" s="8"/>
      <c r="B46" s="9" t="s">
        <v>85</v>
      </c>
      <c r="C46" s="29">
        <f t="shared" ref="C46:O46" si="8">SUM(C44:C45)</f>
        <v>45155</v>
      </c>
      <c r="D46" s="29">
        <f t="shared" si="8"/>
        <v>36179</v>
      </c>
      <c r="E46" s="29">
        <f t="shared" si="8"/>
        <v>1136</v>
      </c>
      <c r="F46" s="29">
        <f t="shared" si="8"/>
        <v>7840</v>
      </c>
      <c r="G46" s="29">
        <f t="shared" si="8"/>
        <v>194287</v>
      </c>
      <c r="H46" s="29">
        <f t="shared" si="8"/>
        <v>91643</v>
      </c>
      <c r="I46" s="29">
        <f t="shared" si="8"/>
        <v>5588</v>
      </c>
      <c r="J46" s="29">
        <f t="shared" si="8"/>
        <v>97056</v>
      </c>
      <c r="K46" s="29">
        <f t="shared" si="8"/>
        <v>29894</v>
      </c>
      <c r="L46" s="29">
        <f t="shared" si="8"/>
        <v>0</v>
      </c>
      <c r="M46" s="29">
        <f t="shared" si="8"/>
        <v>17774</v>
      </c>
      <c r="N46" s="29">
        <f t="shared" si="8"/>
        <v>1239</v>
      </c>
      <c r="O46" s="29">
        <f t="shared" si="8"/>
        <v>1239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4924</v>
      </c>
      <c r="D47" s="28">
        <v>4393</v>
      </c>
      <c r="E47" s="28">
        <v>0</v>
      </c>
      <c r="F47" s="28">
        <f>SUM(C47-D47-E47)</f>
        <v>531</v>
      </c>
      <c r="G47" s="28">
        <v>5190</v>
      </c>
      <c r="H47" s="28">
        <v>3974</v>
      </c>
      <c r="I47" s="28">
        <v>0</v>
      </c>
      <c r="J47" s="28">
        <f>SUM(G47-H47-I47)</f>
        <v>1216</v>
      </c>
      <c r="K47" s="28">
        <v>2</v>
      </c>
      <c r="L47" s="28">
        <v>0</v>
      </c>
      <c r="M47" s="28">
        <v>51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14541</v>
      </c>
      <c r="D48" s="28">
        <v>11576</v>
      </c>
      <c r="E48" s="28">
        <v>94</v>
      </c>
      <c r="F48" s="28">
        <f>SUM(C48-D48-E48)</f>
        <v>2871</v>
      </c>
      <c r="G48" s="28">
        <v>27169</v>
      </c>
      <c r="H48" s="28">
        <v>21185</v>
      </c>
      <c r="I48" s="28">
        <v>339</v>
      </c>
      <c r="J48" s="28">
        <f>SUM(G48-H48-I48)</f>
        <v>5645</v>
      </c>
      <c r="K48" s="28">
        <v>49</v>
      </c>
      <c r="L48" s="28">
        <v>0</v>
      </c>
      <c r="M48" s="28">
        <v>923</v>
      </c>
      <c r="N48" s="28">
        <v>225</v>
      </c>
      <c r="O48" s="28">
        <v>225</v>
      </c>
    </row>
    <row r="49" spans="1:15" ht="12.75" customHeight="1">
      <c r="A49" s="4" t="s">
        <v>90</v>
      </c>
      <c r="B49" s="5" t="s">
        <v>91</v>
      </c>
      <c r="C49" s="28">
        <v>4805</v>
      </c>
      <c r="D49" s="28">
        <v>4404</v>
      </c>
      <c r="E49" s="28">
        <v>260</v>
      </c>
      <c r="F49" s="28">
        <f>SUM(C49-D49-E49)</f>
        <v>141</v>
      </c>
      <c r="G49" s="28">
        <v>6458</v>
      </c>
      <c r="H49" s="28">
        <v>5143</v>
      </c>
      <c r="I49" s="28">
        <v>719</v>
      </c>
      <c r="J49" s="28">
        <f>SUM(G49-H49-I49)</f>
        <v>596</v>
      </c>
      <c r="K49" s="28">
        <v>2802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45571</v>
      </c>
      <c r="D50" s="28">
        <v>44029</v>
      </c>
      <c r="E50" s="28">
        <v>445</v>
      </c>
      <c r="F50" s="28">
        <f>SUM(C50-D50-E50)</f>
        <v>1097</v>
      </c>
      <c r="G50" s="28">
        <v>99453</v>
      </c>
      <c r="H50" s="28">
        <v>72732</v>
      </c>
      <c r="I50" s="28">
        <v>2135</v>
      </c>
      <c r="J50" s="28">
        <f>SUM(G50-H50-I50)</f>
        <v>24586</v>
      </c>
      <c r="K50" s="28">
        <v>12658</v>
      </c>
      <c r="L50" s="28">
        <v>0</v>
      </c>
      <c r="M50" s="28">
        <v>6741</v>
      </c>
      <c r="N50" s="28">
        <v>2975</v>
      </c>
      <c r="O50" s="28">
        <v>2975</v>
      </c>
    </row>
    <row r="51" spans="1:15" ht="12.75" customHeight="1">
      <c r="A51" s="8"/>
      <c r="B51" s="9" t="s">
        <v>94</v>
      </c>
      <c r="C51" s="29">
        <f t="shared" ref="C51:O51" si="9">SUM(C47:C50)</f>
        <v>69841</v>
      </c>
      <c r="D51" s="29">
        <f t="shared" si="9"/>
        <v>64402</v>
      </c>
      <c r="E51" s="29">
        <f t="shared" si="9"/>
        <v>799</v>
      </c>
      <c r="F51" s="29">
        <f t="shared" si="9"/>
        <v>4640</v>
      </c>
      <c r="G51" s="29">
        <f t="shared" si="9"/>
        <v>138270</v>
      </c>
      <c r="H51" s="29">
        <f t="shared" si="9"/>
        <v>103034</v>
      </c>
      <c r="I51" s="29">
        <f t="shared" si="9"/>
        <v>3193</v>
      </c>
      <c r="J51" s="29">
        <f t="shared" si="9"/>
        <v>32043</v>
      </c>
      <c r="K51" s="29">
        <f t="shared" si="9"/>
        <v>15511</v>
      </c>
      <c r="L51" s="29">
        <f t="shared" si="9"/>
        <v>0</v>
      </c>
      <c r="M51" s="29">
        <f t="shared" si="9"/>
        <v>7715</v>
      </c>
      <c r="N51" s="29">
        <f t="shared" si="9"/>
        <v>3200</v>
      </c>
      <c r="O51" s="29">
        <f t="shared" si="9"/>
        <v>3200</v>
      </c>
    </row>
    <row r="52" spans="1:15" ht="12.75" customHeight="1">
      <c r="A52" s="4" t="s">
        <v>95</v>
      </c>
      <c r="B52" s="5" t="s">
        <v>96</v>
      </c>
      <c r="C52" s="28">
        <v>8015</v>
      </c>
      <c r="D52" s="28">
        <v>5707</v>
      </c>
      <c r="E52" s="28">
        <v>34</v>
      </c>
      <c r="F52" s="28">
        <f t="shared" ref="F52:F58" si="10">SUM(C52-D52-E52)</f>
        <v>2274</v>
      </c>
      <c r="G52" s="28">
        <v>26624</v>
      </c>
      <c r="H52" s="28">
        <v>14612</v>
      </c>
      <c r="I52" s="28">
        <v>128</v>
      </c>
      <c r="J52" s="28">
        <f t="shared" ref="J52:J58" si="11">SUM(G52-H52-I52)</f>
        <v>11884</v>
      </c>
      <c r="K52" s="28">
        <v>8174</v>
      </c>
      <c r="L52" s="28">
        <v>0</v>
      </c>
      <c r="M52" s="28">
        <v>273</v>
      </c>
      <c r="N52" s="28">
        <v>466</v>
      </c>
      <c r="O52" s="28">
        <v>466</v>
      </c>
    </row>
    <row r="53" spans="1:15" ht="12.75" customHeight="1">
      <c r="A53" s="4" t="s">
        <v>97</v>
      </c>
      <c r="B53" s="5" t="s">
        <v>98</v>
      </c>
      <c r="C53" s="28">
        <v>43974</v>
      </c>
      <c r="D53" s="28">
        <v>31855</v>
      </c>
      <c r="E53" s="28">
        <v>631</v>
      </c>
      <c r="F53" s="28">
        <f t="shared" si="10"/>
        <v>11488</v>
      </c>
      <c r="G53" s="28">
        <v>140488</v>
      </c>
      <c r="H53" s="28">
        <v>85214</v>
      </c>
      <c r="I53" s="28">
        <v>4364</v>
      </c>
      <c r="J53" s="28">
        <f t="shared" si="11"/>
        <v>50910</v>
      </c>
      <c r="K53" s="28">
        <v>4747</v>
      </c>
      <c r="L53" s="28">
        <v>0</v>
      </c>
      <c r="M53" s="28">
        <v>5119</v>
      </c>
      <c r="N53" s="28">
        <v>2081</v>
      </c>
      <c r="O53" s="28">
        <v>2081</v>
      </c>
    </row>
    <row r="54" spans="1:15" ht="12.75" customHeight="1">
      <c r="A54" s="4" t="s">
        <v>99</v>
      </c>
      <c r="B54" s="5" t="s">
        <v>100</v>
      </c>
      <c r="C54" s="28">
        <v>7532</v>
      </c>
      <c r="D54" s="28">
        <v>4230</v>
      </c>
      <c r="E54" s="28">
        <v>185</v>
      </c>
      <c r="F54" s="28">
        <f t="shared" si="10"/>
        <v>3117</v>
      </c>
      <c r="G54" s="28">
        <v>25885</v>
      </c>
      <c r="H54" s="28">
        <v>14133</v>
      </c>
      <c r="I54" s="28">
        <v>1698</v>
      </c>
      <c r="J54" s="28">
        <f t="shared" si="11"/>
        <v>10054</v>
      </c>
      <c r="K54" s="28">
        <v>314</v>
      </c>
      <c r="L54" s="28">
        <v>0</v>
      </c>
      <c r="M54" s="28">
        <v>2317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32859</v>
      </c>
      <c r="D55" s="28">
        <v>21992</v>
      </c>
      <c r="E55" s="28">
        <v>453</v>
      </c>
      <c r="F55" s="28">
        <f t="shared" si="10"/>
        <v>10414</v>
      </c>
      <c r="G55" s="28">
        <v>119781</v>
      </c>
      <c r="H55" s="28">
        <v>56027</v>
      </c>
      <c r="I55" s="28">
        <v>2120</v>
      </c>
      <c r="J55" s="28">
        <f t="shared" si="11"/>
        <v>61634</v>
      </c>
      <c r="K55" s="28">
        <v>14797</v>
      </c>
      <c r="L55" s="28">
        <v>7</v>
      </c>
      <c r="M55" s="28">
        <v>7814</v>
      </c>
      <c r="N55" s="28">
        <v>8870</v>
      </c>
      <c r="O55" s="28">
        <v>8870</v>
      </c>
    </row>
    <row r="56" spans="1:15" ht="12.75" customHeight="1">
      <c r="A56" s="4" t="s">
        <v>103</v>
      </c>
      <c r="B56" s="5" t="s">
        <v>104</v>
      </c>
      <c r="C56" s="28">
        <v>44341</v>
      </c>
      <c r="D56" s="28">
        <v>19002</v>
      </c>
      <c r="E56" s="28">
        <v>1743</v>
      </c>
      <c r="F56" s="28">
        <f t="shared" si="10"/>
        <v>23596</v>
      </c>
      <c r="G56" s="28">
        <v>155653</v>
      </c>
      <c r="H56" s="28">
        <v>46851</v>
      </c>
      <c r="I56" s="28">
        <v>9980</v>
      </c>
      <c r="J56" s="28">
        <f t="shared" si="11"/>
        <v>98822</v>
      </c>
      <c r="K56" s="28">
        <v>5971</v>
      </c>
      <c r="L56" s="28">
        <v>120</v>
      </c>
      <c r="M56" s="28">
        <v>13528</v>
      </c>
      <c r="N56" s="28">
        <v>30283</v>
      </c>
      <c r="O56" s="28">
        <v>2749</v>
      </c>
    </row>
    <row r="57" spans="1:15" ht="12.75" customHeight="1">
      <c r="A57" s="4" t="s">
        <v>105</v>
      </c>
      <c r="B57" s="5" t="s">
        <v>106</v>
      </c>
      <c r="C57" s="28">
        <v>40834</v>
      </c>
      <c r="D57" s="28">
        <v>22668</v>
      </c>
      <c r="E57" s="28">
        <v>1759</v>
      </c>
      <c r="F57" s="28">
        <f t="shared" si="10"/>
        <v>16407</v>
      </c>
      <c r="G57" s="28">
        <v>163302</v>
      </c>
      <c r="H57" s="28">
        <v>71949</v>
      </c>
      <c r="I57" s="28">
        <v>9250</v>
      </c>
      <c r="J57" s="28">
        <f t="shared" si="11"/>
        <v>82103</v>
      </c>
      <c r="K57" s="28">
        <v>2176</v>
      </c>
      <c r="L57" s="28">
        <v>0</v>
      </c>
      <c r="M57" s="28">
        <v>13501</v>
      </c>
      <c r="N57" s="28">
        <v>209</v>
      </c>
      <c r="O57" s="28">
        <v>209</v>
      </c>
    </row>
    <row r="58" spans="1:15" ht="12.75" customHeight="1">
      <c r="A58" s="4" t="s">
        <v>107</v>
      </c>
      <c r="B58" s="5" t="s">
        <v>108</v>
      </c>
      <c r="C58" s="28">
        <v>42494</v>
      </c>
      <c r="D58" s="28">
        <v>24351</v>
      </c>
      <c r="E58" s="28">
        <v>567</v>
      </c>
      <c r="F58" s="28">
        <f t="shared" si="10"/>
        <v>17576</v>
      </c>
      <c r="G58" s="28">
        <v>153352</v>
      </c>
      <c r="H58" s="28">
        <v>60831</v>
      </c>
      <c r="I58" s="28">
        <v>3242</v>
      </c>
      <c r="J58" s="28">
        <f t="shared" si="11"/>
        <v>89279</v>
      </c>
      <c r="K58" s="28">
        <v>5934</v>
      </c>
      <c r="L58" s="28">
        <v>120</v>
      </c>
      <c r="M58" s="28">
        <v>8282</v>
      </c>
      <c r="N58" s="28">
        <v>12665</v>
      </c>
      <c r="O58" s="28">
        <v>12665</v>
      </c>
    </row>
    <row r="59" spans="1:15" ht="12.75" customHeight="1">
      <c r="A59" s="8"/>
      <c r="B59" s="9" t="s">
        <v>109</v>
      </c>
      <c r="C59" s="29">
        <f t="shared" ref="C59:O59" si="12">SUM(C52:C58)</f>
        <v>220049</v>
      </c>
      <c r="D59" s="29">
        <f t="shared" si="12"/>
        <v>129805</v>
      </c>
      <c r="E59" s="29">
        <f t="shared" si="12"/>
        <v>5372</v>
      </c>
      <c r="F59" s="29">
        <f t="shared" si="12"/>
        <v>84872</v>
      </c>
      <c r="G59" s="29">
        <f t="shared" si="12"/>
        <v>785085</v>
      </c>
      <c r="H59" s="29">
        <f t="shared" si="12"/>
        <v>349617</v>
      </c>
      <c r="I59" s="29">
        <f t="shared" si="12"/>
        <v>30782</v>
      </c>
      <c r="J59" s="29">
        <f t="shared" si="12"/>
        <v>404686</v>
      </c>
      <c r="K59" s="29">
        <f t="shared" si="12"/>
        <v>42113</v>
      </c>
      <c r="L59" s="29">
        <f t="shared" si="12"/>
        <v>247</v>
      </c>
      <c r="M59" s="29">
        <f t="shared" si="12"/>
        <v>50834</v>
      </c>
      <c r="N59" s="29">
        <f t="shared" si="12"/>
        <v>54574</v>
      </c>
      <c r="O59" s="29">
        <f t="shared" si="12"/>
        <v>27040</v>
      </c>
    </row>
    <row r="60" spans="1:15" ht="12.75" customHeight="1">
      <c r="A60" s="4" t="s">
        <v>110</v>
      </c>
      <c r="B60" s="5" t="s">
        <v>111</v>
      </c>
      <c r="C60" s="28">
        <v>46677</v>
      </c>
      <c r="D60" s="28">
        <v>34257</v>
      </c>
      <c r="E60" s="28">
        <v>2625</v>
      </c>
      <c r="F60" s="28">
        <f t="shared" ref="F60:F68" si="13">SUM(C60-D60-E60)</f>
        <v>9795</v>
      </c>
      <c r="G60" s="28">
        <v>147605</v>
      </c>
      <c r="H60" s="28">
        <v>86907</v>
      </c>
      <c r="I60" s="28">
        <v>17623</v>
      </c>
      <c r="J60" s="28">
        <f t="shared" ref="J60:J68" si="14">SUM(G60-H60-I60)</f>
        <v>43075</v>
      </c>
      <c r="K60" s="28">
        <v>1964</v>
      </c>
      <c r="L60" s="28">
        <v>0</v>
      </c>
      <c r="M60" s="28">
        <v>4636</v>
      </c>
      <c r="N60" s="28">
        <v>1012</v>
      </c>
      <c r="O60" s="28">
        <v>1012</v>
      </c>
    </row>
    <row r="61" spans="1:15" ht="12.75" customHeight="1">
      <c r="A61" s="4" t="s">
        <v>112</v>
      </c>
      <c r="B61" s="5" t="s">
        <v>113</v>
      </c>
      <c r="C61" s="28">
        <v>13373</v>
      </c>
      <c r="D61" s="28">
        <v>9208</v>
      </c>
      <c r="E61" s="28">
        <v>194</v>
      </c>
      <c r="F61" s="28">
        <f t="shared" si="13"/>
        <v>3971</v>
      </c>
      <c r="G61" s="28">
        <v>38460</v>
      </c>
      <c r="H61" s="28">
        <v>24062</v>
      </c>
      <c r="I61" s="28">
        <v>1406</v>
      </c>
      <c r="J61" s="28">
        <f t="shared" si="14"/>
        <v>12992</v>
      </c>
      <c r="K61" s="28">
        <v>107</v>
      </c>
      <c r="L61" s="28">
        <v>0</v>
      </c>
      <c r="M61" s="28">
        <v>4430</v>
      </c>
      <c r="N61" s="28">
        <v>61</v>
      </c>
      <c r="O61" s="28">
        <v>61</v>
      </c>
    </row>
    <row r="62" spans="1:15" ht="12.75" customHeight="1">
      <c r="A62" s="4" t="s">
        <v>114</v>
      </c>
      <c r="B62" s="5" t="s">
        <v>115</v>
      </c>
      <c r="C62" s="28">
        <v>22192</v>
      </c>
      <c r="D62" s="28">
        <v>11206</v>
      </c>
      <c r="E62" s="28">
        <v>706</v>
      </c>
      <c r="F62" s="28">
        <f t="shared" si="13"/>
        <v>10280</v>
      </c>
      <c r="G62" s="28">
        <v>105322</v>
      </c>
      <c r="H62" s="28">
        <v>31670</v>
      </c>
      <c r="I62" s="28">
        <v>5230</v>
      </c>
      <c r="J62" s="28">
        <f t="shared" si="14"/>
        <v>68422</v>
      </c>
      <c r="K62" s="28">
        <v>2461</v>
      </c>
      <c r="L62" s="28">
        <v>60</v>
      </c>
      <c r="M62" s="28">
        <v>7221</v>
      </c>
      <c r="N62" s="28">
        <v>1739</v>
      </c>
      <c r="O62" s="28">
        <v>1739</v>
      </c>
    </row>
    <row r="63" spans="1:15" ht="12.75" customHeight="1">
      <c r="A63" s="4" t="s">
        <v>116</v>
      </c>
      <c r="B63" s="5" t="s">
        <v>117</v>
      </c>
      <c r="C63" s="28">
        <v>31051</v>
      </c>
      <c r="D63" s="28">
        <v>19962</v>
      </c>
      <c r="E63" s="28">
        <v>1156</v>
      </c>
      <c r="F63" s="28">
        <f t="shared" si="13"/>
        <v>9933</v>
      </c>
      <c r="G63" s="28">
        <v>104258</v>
      </c>
      <c r="H63" s="28">
        <v>59021</v>
      </c>
      <c r="I63" s="28">
        <v>10417</v>
      </c>
      <c r="J63" s="28">
        <f t="shared" si="14"/>
        <v>34820</v>
      </c>
      <c r="K63" s="28">
        <v>875</v>
      </c>
      <c r="L63" s="28">
        <v>0</v>
      </c>
      <c r="M63" s="28">
        <v>4844</v>
      </c>
      <c r="N63" s="28">
        <v>415</v>
      </c>
      <c r="O63" s="28">
        <v>415</v>
      </c>
    </row>
    <row r="64" spans="1:15" ht="12.75" customHeight="1">
      <c r="A64" s="4" t="s">
        <v>118</v>
      </c>
      <c r="B64" s="5" t="s">
        <v>119</v>
      </c>
      <c r="C64" s="28">
        <v>29679</v>
      </c>
      <c r="D64" s="28">
        <v>14887</v>
      </c>
      <c r="E64" s="28">
        <v>1428</v>
      </c>
      <c r="F64" s="28">
        <f t="shared" si="13"/>
        <v>13364</v>
      </c>
      <c r="G64" s="28">
        <v>113737</v>
      </c>
      <c r="H64" s="28">
        <v>45022</v>
      </c>
      <c r="I64" s="28">
        <v>8934</v>
      </c>
      <c r="J64" s="28">
        <f t="shared" si="14"/>
        <v>59781</v>
      </c>
      <c r="K64" s="28">
        <v>331</v>
      </c>
      <c r="L64" s="28">
        <v>15</v>
      </c>
      <c r="M64" s="28">
        <v>3031</v>
      </c>
      <c r="N64" s="28">
        <v>903</v>
      </c>
      <c r="O64" s="28">
        <v>903</v>
      </c>
    </row>
    <row r="65" spans="1:15" ht="12.75" customHeight="1">
      <c r="A65" s="4" t="s">
        <v>120</v>
      </c>
      <c r="B65" s="5" t="s">
        <v>121</v>
      </c>
      <c r="C65" s="28">
        <v>13683</v>
      </c>
      <c r="D65" s="28">
        <v>9604</v>
      </c>
      <c r="E65" s="28">
        <v>1059</v>
      </c>
      <c r="F65" s="28">
        <f t="shared" si="13"/>
        <v>3020</v>
      </c>
      <c r="G65" s="28">
        <v>76499</v>
      </c>
      <c r="H65" s="28">
        <v>28945</v>
      </c>
      <c r="I65" s="28">
        <v>7427</v>
      </c>
      <c r="J65" s="28">
        <f t="shared" si="14"/>
        <v>40127</v>
      </c>
      <c r="K65" s="28">
        <v>4492</v>
      </c>
      <c r="L65" s="28">
        <v>0</v>
      </c>
      <c r="M65" s="28">
        <v>7653</v>
      </c>
      <c r="N65" s="28">
        <v>695</v>
      </c>
      <c r="O65" s="28">
        <v>695</v>
      </c>
    </row>
    <row r="66" spans="1:15" ht="12.75" customHeight="1">
      <c r="A66" s="4" t="s">
        <v>122</v>
      </c>
      <c r="B66" s="5" t="s">
        <v>123</v>
      </c>
      <c r="C66" s="28">
        <v>28684</v>
      </c>
      <c r="D66" s="28">
        <v>9668</v>
      </c>
      <c r="E66" s="28">
        <v>396</v>
      </c>
      <c r="F66" s="28">
        <f t="shared" si="13"/>
        <v>18620</v>
      </c>
      <c r="G66" s="28">
        <v>144220</v>
      </c>
      <c r="H66" s="28">
        <v>29800</v>
      </c>
      <c r="I66" s="28">
        <v>2533</v>
      </c>
      <c r="J66" s="28">
        <f t="shared" si="14"/>
        <v>111887</v>
      </c>
      <c r="K66" s="28">
        <v>10951</v>
      </c>
      <c r="L66" s="28">
        <v>106</v>
      </c>
      <c r="M66" s="28">
        <v>22838</v>
      </c>
      <c r="N66" s="28">
        <v>283</v>
      </c>
      <c r="O66" s="28">
        <v>283</v>
      </c>
    </row>
    <row r="67" spans="1:15" ht="12.75" customHeight="1">
      <c r="A67" s="4" t="s">
        <v>124</v>
      </c>
      <c r="B67" s="5" t="s">
        <v>125</v>
      </c>
      <c r="C67" s="28">
        <v>38572</v>
      </c>
      <c r="D67" s="28">
        <v>11032</v>
      </c>
      <c r="E67" s="28">
        <v>0</v>
      </c>
      <c r="F67" s="28">
        <f t="shared" si="13"/>
        <v>27540</v>
      </c>
      <c r="G67" s="28">
        <v>165469</v>
      </c>
      <c r="H67" s="28">
        <v>30970</v>
      </c>
      <c r="I67" s="28">
        <v>0</v>
      </c>
      <c r="J67" s="28">
        <f t="shared" si="14"/>
        <v>134499</v>
      </c>
      <c r="K67" s="28">
        <v>8419</v>
      </c>
      <c r="L67" s="28">
        <v>0</v>
      </c>
      <c r="M67" s="28">
        <v>30894</v>
      </c>
      <c r="N67" s="28">
        <v>557</v>
      </c>
      <c r="O67" s="28">
        <v>557</v>
      </c>
    </row>
    <row r="68" spans="1:15" ht="12.75" customHeight="1">
      <c r="A68" s="4" t="s">
        <v>126</v>
      </c>
      <c r="B68" s="5" t="s">
        <v>127</v>
      </c>
      <c r="C68" s="28">
        <v>31080</v>
      </c>
      <c r="D68" s="28">
        <v>13349</v>
      </c>
      <c r="E68" s="28">
        <v>300</v>
      </c>
      <c r="F68" s="28">
        <f t="shared" si="13"/>
        <v>17431</v>
      </c>
      <c r="G68" s="28">
        <v>73163</v>
      </c>
      <c r="H68" s="28">
        <v>31893</v>
      </c>
      <c r="I68" s="28">
        <v>3006</v>
      </c>
      <c r="J68" s="28">
        <f t="shared" si="14"/>
        <v>38264</v>
      </c>
      <c r="K68" s="28">
        <v>333</v>
      </c>
      <c r="L68" s="28">
        <v>105</v>
      </c>
      <c r="M68" s="28">
        <v>1665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254991</v>
      </c>
      <c r="D69" s="29">
        <f t="shared" si="15"/>
        <v>133173</v>
      </c>
      <c r="E69" s="29">
        <f t="shared" si="15"/>
        <v>7864</v>
      </c>
      <c r="F69" s="29">
        <f t="shared" si="15"/>
        <v>113954</v>
      </c>
      <c r="G69" s="29">
        <f t="shared" si="15"/>
        <v>968733</v>
      </c>
      <c r="H69" s="29">
        <f t="shared" si="15"/>
        <v>368290</v>
      </c>
      <c r="I69" s="29">
        <f t="shared" si="15"/>
        <v>56576</v>
      </c>
      <c r="J69" s="29">
        <f t="shared" si="15"/>
        <v>543867</v>
      </c>
      <c r="K69" s="29">
        <f t="shared" si="15"/>
        <v>29933</v>
      </c>
      <c r="L69" s="29">
        <f t="shared" si="15"/>
        <v>286</v>
      </c>
      <c r="M69" s="29">
        <f t="shared" si="15"/>
        <v>87212</v>
      </c>
      <c r="N69" s="29">
        <f t="shared" si="15"/>
        <v>5665</v>
      </c>
      <c r="O69" s="29">
        <f t="shared" si="15"/>
        <v>5665</v>
      </c>
    </row>
    <row r="70" spans="1:15" ht="12.75" customHeight="1">
      <c r="A70" s="4" t="s">
        <v>129</v>
      </c>
      <c r="B70" s="5" t="s">
        <v>130</v>
      </c>
      <c r="C70" s="28">
        <v>16000</v>
      </c>
      <c r="D70" s="28">
        <v>11740</v>
      </c>
      <c r="E70" s="28">
        <v>900</v>
      </c>
      <c r="F70" s="28">
        <f t="shared" ref="F70:F79" si="16">SUM(C70-D70-E70)</f>
        <v>3360</v>
      </c>
      <c r="G70" s="28">
        <v>57472</v>
      </c>
      <c r="H70" s="28">
        <v>31884</v>
      </c>
      <c r="I70" s="28">
        <v>7866</v>
      </c>
      <c r="J70" s="28">
        <f t="shared" ref="J70:J79" si="17">SUM(G70-H70-I70)</f>
        <v>17722</v>
      </c>
      <c r="K70" s="28">
        <v>1658</v>
      </c>
      <c r="L70" s="28">
        <v>25</v>
      </c>
      <c r="M70" s="28">
        <v>3940</v>
      </c>
      <c r="N70" s="28">
        <v>149</v>
      </c>
      <c r="O70" s="28">
        <v>149</v>
      </c>
    </row>
    <row r="71" spans="1:15" ht="12.75" customHeight="1">
      <c r="A71" s="4" t="s">
        <v>131</v>
      </c>
      <c r="B71" s="5" t="s">
        <v>132</v>
      </c>
      <c r="C71" s="28">
        <v>60905</v>
      </c>
      <c r="D71" s="28">
        <v>40388</v>
      </c>
      <c r="E71" s="28">
        <v>1821</v>
      </c>
      <c r="F71" s="28">
        <f t="shared" si="16"/>
        <v>18696</v>
      </c>
      <c r="G71" s="28">
        <v>151358</v>
      </c>
      <c r="H71" s="28">
        <v>74471</v>
      </c>
      <c r="I71" s="28">
        <v>10533</v>
      </c>
      <c r="J71" s="28">
        <f t="shared" si="17"/>
        <v>66354</v>
      </c>
      <c r="K71" s="28">
        <v>7204</v>
      </c>
      <c r="L71" s="28">
        <v>0</v>
      </c>
      <c r="M71" s="28">
        <v>4948</v>
      </c>
      <c r="N71" s="28">
        <v>14771</v>
      </c>
      <c r="O71" s="28">
        <v>14771</v>
      </c>
    </row>
    <row r="72" spans="1:15" ht="12.75" customHeight="1">
      <c r="A72" s="4" t="s">
        <v>133</v>
      </c>
      <c r="B72" s="5" t="s">
        <v>134</v>
      </c>
      <c r="C72" s="28">
        <v>11223</v>
      </c>
      <c r="D72" s="28">
        <v>7656</v>
      </c>
      <c r="E72" s="28">
        <v>0</v>
      </c>
      <c r="F72" s="28">
        <f t="shared" si="16"/>
        <v>3567</v>
      </c>
      <c r="G72" s="28">
        <v>37758</v>
      </c>
      <c r="H72" s="28">
        <v>20996</v>
      </c>
      <c r="I72" s="28">
        <v>0</v>
      </c>
      <c r="J72" s="28">
        <f t="shared" si="17"/>
        <v>16762</v>
      </c>
      <c r="K72" s="28">
        <v>2869</v>
      </c>
      <c r="L72" s="28">
        <v>364</v>
      </c>
      <c r="M72" s="28">
        <v>7161</v>
      </c>
      <c r="N72" s="28">
        <v>259</v>
      </c>
      <c r="O72" s="28">
        <v>259</v>
      </c>
    </row>
    <row r="73" spans="1:15" ht="12.75" customHeight="1">
      <c r="A73" s="4" t="s">
        <v>135</v>
      </c>
      <c r="B73" s="5" t="s">
        <v>136</v>
      </c>
      <c r="C73" s="28">
        <v>26134</v>
      </c>
      <c r="D73" s="28">
        <v>19232</v>
      </c>
      <c r="E73" s="28">
        <v>140</v>
      </c>
      <c r="F73" s="28">
        <f t="shared" si="16"/>
        <v>6762</v>
      </c>
      <c r="G73" s="28">
        <v>78772</v>
      </c>
      <c r="H73" s="28">
        <v>46516</v>
      </c>
      <c r="I73" s="28">
        <v>544</v>
      </c>
      <c r="J73" s="28">
        <f t="shared" si="17"/>
        <v>31712</v>
      </c>
      <c r="K73" s="28">
        <v>3272</v>
      </c>
      <c r="L73" s="28">
        <v>36</v>
      </c>
      <c r="M73" s="28">
        <v>3227</v>
      </c>
      <c r="N73" s="28">
        <v>22713</v>
      </c>
      <c r="O73" s="28">
        <v>22713</v>
      </c>
    </row>
    <row r="74" spans="1:15" ht="12.75" customHeight="1">
      <c r="A74" s="4" t="s">
        <v>137</v>
      </c>
      <c r="B74" s="5" t="s">
        <v>138</v>
      </c>
      <c r="C74" s="28">
        <v>23482</v>
      </c>
      <c r="D74" s="28">
        <v>17587</v>
      </c>
      <c r="E74" s="28">
        <v>600</v>
      </c>
      <c r="F74" s="28">
        <f t="shared" si="16"/>
        <v>5295</v>
      </c>
      <c r="G74" s="28">
        <v>55545</v>
      </c>
      <c r="H74" s="28">
        <v>32853</v>
      </c>
      <c r="I74" s="28">
        <v>2968</v>
      </c>
      <c r="J74" s="28">
        <f t="shared" si="17"/>
        <v>19724</v>
      </c>
      <c r="K74" s="28">
        <v>2712</v>
      </c>
      <c r="L74" s="28">
        <v>0</v>
      </c>
      <c r="M74" s="28">
        <v>1355</v>
      </c>
      <c r="N74" s="28">
        <v>1581</v>
      </c>
      <c r="O74" s="28">
        <v>1581</v>
      </c>
    </row>
    <row r="75" spans="1:15" ht="12.75" customHeight="1">
      <c r="A75" s="4" t="s">
        <v>139</v>
      </c>
      <c r="B75" s="5" t="s">
        <v>140</v>
      </c>
      <c r="C75" s="28">
        <v>10597</v>
      </c>
      <c r="D75" s="28">
        <v>9745</v>
      </c>
      <c r="E75" s="28">
        <v>173</v>
      </c>
      <c r="F75" s="28">
        <f t="shared" si="16"/>
        <v>679</v>
      </c>
      <c r="G75" s="28">
        <v>21944</v>
      </c>
      <c r="H75" s="28">
        <v>17613</v>
      </c>
      <c r="I75" s="28">
        <v>1519</v>
      </c>
      <c r="J75" s="28">
        <f t="shared" si="17"/>
        <v>2812</v>
      </c>
      <c r="K75" s="28">
        <v>351</v>
      </c>
      <c r="L75" s="28">
        <v>0</v>
      </c>
      <c r="M75" s="28">
        <v>91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23247</v>
      </c>
      <c r="D76" s="28">
        <v>16374</v>
      </c>
      <c r="E76" s="28">
        <v>257</v>
      </c>
      <c r="F76" s="28">
        <f t="shared" si="16"/>
        <v>6616</v>
      </c>
      <c r="G76" s="28">
        <v>66679</v>
      </c>
      <c r="H76" s="28">
        <v>39573</v>
      </c>
      <c r="I76" s="28">
        <v>1305</v>
      </c>
      <c r="J76" s="28">
        <f t="shared" si="17"/>
        <v>25801</v>
      </c>
      <c r="K76" s="28">
        <v>1622</v>
      </c>
      <c r="L76" s="28">
        <v>376</v>
      </c>
      <c r="M76" s="28">
        <v>2503</v>
      </c>
      <c r="N76" s="28">
        <v>764</v>
      </c>
      <c r="O76" s="28">
        <v>764</v>
      </c>
    </row>
    <row r="77" spans="1:15" ht="12.75" customHeight="1">
      <c r="A77" s="4" t="s">
        <v>143</v>
      </c>
      <c r="B77" s="5" t="s">
        <v>144</v>
      </c>
      <c r="C77" s="28">
        <v>18703</v>
      </c>
      <c r="D77" s="28">
        <v>10875</v>
      </c>
      <c r="E77" s="28">
        <v>249</v>
      </c>
      <c r="F77" s="28">
        <f t="shared" si="16"/>
        <v>7579</v>
      </c>
      <c r="G77" s="28">
        <v>46058</v>
      </c>
      <c r="H77" s="28">
        <v>23166</v>
      </c>
      <c r="I77" s="28">
        <v>997</v>
      </c>
      <c r="J77" s="28">
        <f t="shared" si="17"/>
        <v>21895</v>
      </c>
      <c r="K77" s="28">
        <v>3472</v>
      </c>
      <c r="L77" s="28">
        <v>0</v>
      </c>
      <c r="M77" s="28">
        <v>2988</v>
      </c>
      <c r="N77" s="28">
        <v>401</v>
      </c>
      <c r="O77" s="28">
        <v>401</v>
      </c>
    </row>
    <row r="78" spans="1:15" ht="12.75" customHeight="1">
      <c r="A78" s="4" t="s">
        <v>145</v>
      </c>
      <c r="B78" s="5" t="s">
        <v>146</v>
      </c>
      <c r="C78" s="28">
        <v>13895</v>
      </c>
      <c r="D78" s="28">
        <v>9311</v>
      </c>
      <c r="E78" s="28">
        <v>0</v>
      </c>
      <c r="F78" s="28">
        <f t="shared" si="16"/>
        <v>4584</v>
      </c>
      <c r="G78" s="28">
        <v>30925</v>
      </c>
      <c r="H78" s="28">
        <v>19187</v>
      </c>
      <c r="I78" s="28">
        <v>0</v>
      </c>
      <c r="J78" s="28">
        <f t="shared" si="17"/>
        <v>11738</v>
      </c>
      <c r="K78" s="28">
        <v>796</v>
      </c>
      <c r="L78" s="28">
        <v>0</v>
      </c>
      <c r="M78" s="28">
        <v>50</v>
      </c>
      <c r="N78" s="28">
        <v>593</v>
      </c>
      <c r="O78" s="28">
        <v>593</v>
      </c>
    </row>
    <row r="79" spans="1:15" ht="12.75" customHeight="1">
      <c r="A79" s="4" t="s">
        <v>147</v>
      </c>
      <c r="B79" s="5" t="s">
        <v>148</v>
      </c>
      <c r="C79" s="28">
        <v>13815</v>
      </c>
      <c r="D79" s="28">
        <v>10147</v>
      </c>
      <c r="E79" s="28">
        <v>238</v>
      </c>
      <c r="F79" s="28">
        <f t="shared" si="16"/>
        <v>3430</v>
      </c>
      <c r="G79" s="28">
        <v>49113</v>
      </c>
      <c r="H79" s="28">
        <v>26467</v>
      </c>
      <c r="I79" s="28">
        <v>1773</v>
      </c>
      <c r="J79" s="28">
        <f t="shared" si="17"/>
        <v>20873</v>
      </c>
      <c r="K79" s="28">
        <v>3265</v>
      </c>
      <c r="L79" s="28">
        <v>0</v>
      </c>
      <c r="M79" s="28">
        <v>5450</v>
      </c>
      <c r="N79" s="28">
        <v>343</v>
      </c>
      <c r="O79" s="28">
        <v>343</v>
      </c>
    </row>
    <row r="80" spans="1:15" ht="12.75" customHeight="1">
      <c r="A80" s="8"/>
      <c r="B80" s="9" t="s">
        <v>149</v>
      </c>
      <c r="C80" s="29">
        <f t="shared" ref="C80:O80" si="18">SUM(C70:C79)</f>
        <v>218001</v>
      </c>
      <c r="D80" s="29">
        <f t="shared" si="18"/>
        <v>153055</v>
      </c>
      <c r="E80" s="29">
        <f t="shared" si="18"/>
        <v>4378</v>
      </c>
      <c r="F80" s="29">
        <f t="shared" si="18"/>
        <v>60568</v>
      </c>
      <c r="G80" s="29">
        <f t="shared" si="18"/>
        <v>595624</v>
      </c>
      <c r="H80" s="29">
        <f t="shared" si="18"/>
        <v>332726</v>
      </c>
      <c r="I80" s="29">
        <f t="shared" si="18"/>
        <v>27505</v>
      </c>
      <c r="J80" s="29">
        <f t="shared" si="18"/>
        <v>235393</v>
      </c>
      <c r="K80" s="29">
        <f t="shared" si="18"/>
        <v>27221</v>
      </c>
      <c r="L80" s="29">
        <f t="shared" si="18"/>
        <v>801</v>
      </c>
      <c r="M80" s="29">
        <f t="shared" si="18"/>
        <v>31713</v>
      </c>
      <c r="N80" s="29">
        <f t="shared" si="18"/>
        <v>41574</v>
      </c>
      <c r="O80" s="29">
        <f t="shared" si="18"/>
        <v>41574</v>
      </c>
    </row>
    <row r="81" spans="1:15" ht="12.75" customHeight="1">
      <c r="A81" s="4" t="s">
        <v>150</v>
      </c>
      <c r="B81" s="5" t="s">
        <v>151</v>
      </c>
      <c r="C81" s="28">
        <v>24158</v>
      </c>
      <c r="D81" s="28">
        <v>15060</v>
      </c>
      <c r="E81" s="28">
        <v>425</v>
      </c>
      <c r="F81" s="28">
        <f>SUM(C81-D81-E81)</f>
        <v>8673</v>
      </c>
      <c r="G81" s="28">
        <v>99449</v>
      </c>
      <c r="H81" s="28">
        <v>50545</v>
      </c>
      <c r="I81" s="28">
        <v>4664</v>
      </c>
      <c r="J81" s="28">
        <f>SUM(G81-H81-I81)</f>
        <v>44240</v>
      </c>
      <c r="K81" s="28">
        <v>1462</v>
      </c>
      <c r="L81" s="28">
        <v>825</v>
      </c>
      <c r="M81" s="28">
        <v>5426</v>
      </c>
      <c r="N81" s="28">
        <v>1551</v>
      </c>
      <c r="O81" s="28">
        <v>1551</v>
      </c>
    </row>
    <row r="82" spans="1:15" ht="12.75" customHeight="1">
      <c r="A82" s="4" t="s">
        <v>152</v>
      </c>
      <c r="B82" s="5" t="s">
        <v>153</v>
      </c>
      <c r="C82" s="28">
        <v>9041</v>
      </c>
      <c r="D82" s="28">
        <v>6462</v>
      </c>
      <c r="E82" s="28">
        <v>106</v>
      </c>
      <c r="F82" s="28">
        <f>SUM(C82-D82-E82)</f>
        <v>2473</v>
      </c>
      <c r="G82" s="28">
        <v>48478</v>
      </c>
      <c r="H82" s="28">
        <v>21602</v>
      </c>
      <c r="I82" s="28">
        <v>1002</v>
      </c>
      <c r="J82" s="28">
        <f>SUM(G82-H82-I82)</f>
        <v>25874</v>
      </c>
      <c r="K82" s="28">
        <v>623</v>
      </c>
      <c r="L82" s="28">
        <v>4</v>
      </c>
      <c r="M82" s="28">
        <v>5263</v>
      </c>
      <c r="N82" s="28">
        <v>271</v>
      </c>
      <c r="O82" s="28">
        <v>271</v>
      </c>
    </row>
    <row r="83" spans="1:15" ht="12.75" customHeight="1">
      <c r="A83" s="4" t="s">
        <v>154</v>
      </c>
      <c r="B83" s="5" t="s">
        <v>155</v>
      </c>
      <c r="C83" s="28">
        <v>2949</v>
      </c>
      <c r="D83" s="28">
        <v>2846</v>
      </c>
      <c r="E83" s="28">
        <v>100</v>
      </c>
      <c r="F83" s="28">
        <f>SUM(C83-D83-E83)</f>
        <v>3</v>
      </c>
      <c r="G83" s="28">
        <v>11928</v>
      </c>
      <c r="H83" s="28">
        <v>9709</v>
      </c>
      <c r="I83" s="28">
        <v>1103</v>
      </c>
      <c r="J83" s="28">
        <f>SUM(G83-H83-I83)</f>
        <v>1116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9723</v>
      </c>
      <c r="D84" s="28">
        <v>8620</v>
      </c>
      <c r="E84" s="28">
        <v>112</v>
      </c>
      <c r="F84" s="28">
        <f>SUM(C84-D84-E84)</f>
        <v>991</v>
      </c>
      <c r="G84" s="28">
        <v>47256</v>
      </c>
      <c r="H84" s="28">
        <v>29161</v>
      </c>
      <c r="I84" s="28">
        <v>1079</v>
      </c>
      <c r="J84" s="28">
        <f>SUM(G84-H84-I84)</f>
        <v>17016</v>
      </c>
      <c r="K84" s="28">
        <v>965</v>
      </c>
      <c r="L84" s="28">
        <v>0</v>
      </c>
      <c r="M84" s="28">
        <v>3814</v>
      </c>
      <c r="N84" s="28">
        <v>260</v>
      </c>
      <c r="O84" s="28">
        <v>260</v>
      </c>
    </row>
    <row r="85" spans="1:15" ht="12.75" customHeight="1">
      <c r="A85" s="4" t="s">
        <v>158</v>
      </c>
      <c r="B85" s="5" t="s">
        <v>159</v>
      </c>
      <c r="C85" s="28">
        <v>14479</v>
      </c>
      <c r="D85" s="28">
        <v>11727</v>
      </c>
      <c r="E85" s="28">
        <v>365</v>
      </c>
      <c r="F85" s="28">
        <f>SUM(C85-D85-E85)</f>
        <v>2387</v>
      </c>
      <c r="G85" s="28">
        <v>49462</v>
      </c>
      <c r="H85" s="28">
        <v>31897</v>
      </c>
      <c r="I85" s="28">
        <v>2494</v>
      </c>
      <c r="J85" s="28">
        <f>SUM(G85-H85-I85)</f>
        <v>15071</v>
      </c>
      <c r="K85" s="28">
        <v>1556</v>
      </c>
      <c r="L85" s="28">
        <v>289</v>
      </c>
      <c r="M85" s="28">
        <v>3338</v>
      </c>
      <c r="N85" s="28">
        <v>12700</v>
      </c>
      <c r="O85" s="28">
        <v>12700</v>
      </c>
    </row>
    <row r="86" spans="1:15" ht="12.75" customHeight="1">
      <c r="A86" s="8"/>
      <c r="B86" s="9" t="s">
        <v>160</v>
      </c>
      <c r="C86" s="29">
        <f t="shared" ref="C86:O86" si="19">SUM(C81:C85)</f>
        <v>60350</v>
      </c>
      <c r="D86" s="29">
        <f t="shared" si="19"/>
        <v>44715</v>
      </c>
      <c r="E86" s="29">
        <f t="shared" si="19"/>
        <v>1108</v>
      </c>
      <c r="F86" s="29">
        <f t="shared" si="19"/>
        <v>14527</v>
      </c>
      <c r="G86" s="29">
        <f t="shared" si="19"/>
        <v>256573</v>
      </c>
      <c r="H86" s="29">
        <f t="shared" si="19"/>
        <v>142914</v>
      </c>
      <c r="I86" s="29">
        <f t="shared" si="19"/>
        <v>10342</v>
      </c>
      <c r="J86" s="29">
        <f t="shared" si="19"/>
        <v>103317</v>
      </c>
      <c r="K86" s="29">
        <f t="shared" si="19"/>
        <v>4607</v>
      </c>
      <c r="L86" s="29">
        <f t="shared" si="19"/>
        <v>1118</v>
      </c>
      <c r="M86" s="29">
        <f t="shared" si="19"/>
        <v>17841</v>
      </c>
      <c r="N86" s="29">
        <f t="shared" si="19"/>
        <v>14782</v>
      </c>
      <c r="O86" s="29">
        <f t="shared" si="19"/>
        <v>14782</v>
      </c>
    </row>
    <row r="87" spans="1:15" ht="12.75" customHeight="1">
      <c r="A87" s="4" t="s">
        <v>161</v>
      </c>
      <c r="B87" s="5" t="s">
        <v>162</v>
      </c>
      <c r="C87" s="28">
        <v>25607</v>
      </c>
      <c r="D87" s="28">
        <v>19361</v>
      </c>
      <c r="E87" s="28">
        <v>0</v>
      </c>
      <c r="F87" s="28">
        <f>SUM(C87-D87-E87)</f>
        <v>6246</v>
      </c>
      <c r="G87" s="28">
        <v>117403</v>
      </c>
      <c r="H87" s="28">
        <v>59662</v>
      </c>
      <c r="I87" s="28">
        <v>0</v>
      </c>
      <c r="J87" s="28">
        <f>SUM(G87-H87-I87)</f>
        <v>57741</v>
      </c>
      <c r="K87" s="28">
        <v>1635</v>
      </c>
      <c r="L87" s="28">
        <v>22</v>
      </c>
      <c r="M87" s="28">
        <v>7463</v>
      </c>
      <c r="N87" s="28">
        <v>784</v>
      </c>
      <c r="O87" s="28">
        <v>784</v>
      </c>
    </row>
    <row r="88" spans="1:15" ht="12.75" customHeight="1">
      <c r="A88" s="4" t="s">
        <v>163</v>
      </c>
      <c r="B88" s="5" t="s">
        <v>164</v>
      </c>
      <c r="C88" s="28">
        <v>20020</v>
      </c>
      <c r="D88" s="28">
        <v>9804</v>
      </c>
      <c r="E88" s="28">
        <v>611</v>
      </c>
      <c r="F88" s="28">
        <f>SUM(C88-D88-E88)</f>
        <v>9605</v>
      </c>
      <c r="G88" s="28">
        <v>59912</v>
      </c>
      <c r="H88" s="28">
        <v>24319</v>
      </c>
      <c r="I88" s="28">
        <v>5261</v>
      </c>
      <c r="J88" s="28">
        <f>SUM(G88-H88-I88)</f>
        <v>30332</v>
      </c>
      <c r="K88" s="28">
        <v>688</v>
      </c>
      <c r="L88" s="28">
        <v>0</v>
      </c>
      <c r="M88" s="28">
        <v>2640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45627</v>
      </c>
      <c r="D89" s="29">
        <f t="shared" si="20"/>
        <v>29165</v>
      </c>
      <c r="E89" s="29">
        <f t="shared" si="20"/>
        <v>611</v>
      </c>
      <c r="F89" s="29">
        <f t="shared" si="20"/>
        <v>15851</v>
      </c>
      <c r="G89" s="29">
        <f t="shared" si="20"/>
        <v>177315</v>
      </c>
      <c r="H89" s="29">
        <f t="shared" si="20"/>
        <v>83981</v>
      </c>
      <c r="I89" s="29">
        <f t="shared" si="20"/>
        <v>5261</v>
      </c>
      <c r="J89" s="29">
        <f t="shared" si="20"/>
        <v>88073</v>
      </c>
      <c r="K89" s="29">
        <f t="shared" si="20"/>
        <v>2323</v>
      </c>
      <c r="L89" s="29">
        <f t="shared" si="20"/>
        <v>22</v>
      </c>
      <c r="M89" s="29">
        <f t="shared" si="20"/>
        <v>10103</v>
      </c>
      <c r="N89" s="29">
        <f t="shared" si="20"/>
        <v>784</v>
      </c>
      <c r="O89" s="29">
        <f t="shared" si="20"/>
        <v>784</v>
      </c>
    </row>
    <row r="90" spans="1:15" ht="12.75" customHeight="1">
      <c r="A90" s="4" t="s">
        <v>166</v>
      </c>
      <c r="B90" s="5" t="s">
        <v>167</v>
      </c>
      <c r="C90" s="28">
        <v>29290</v>
      </c>
      <c r="D90" s="28">
        <v>13748</v>
      </c>
      <c r="E90" s="28">
        <v>1192</v>
      </c>
      <c r="F90" s="28">
        <f>SUM(C90-D90-E90)</f>
        <v>14350</v>
      </c>
      <c r="G90" s="28">
        <v>127412</v>
      </c>
      <c r="H90" s="28">
        <v>45232</v>
      </c>
      <c r="I90" s="28">
        <v>9125</v>
      </c>
      <c r="J90" s="28">
        <f>SUM(G90-H90-I90)</f>
        <v>73055</v>
      </c>
      <c r="K90" s="28">
        <v>987</v>
      </c>
      <c r="L90" s="28">
        <v>0</v>
      </c>
      <c r="M90" s="28">
        <v>8348</v>
      </c>
      <c r="N90" s="28">
        <v>171</v>
      </c>
      <c r="O90" s="28">
        <v>171</v>
      </c>
    </row>
    <row r="91" spans="1:15" ht="12.75" customHeight="1">
      <c r="A91" s="4" t="s">
        <v>168</v>
      </c>
      <c r="B91" s="5" t="s">
        <v>169</v>
      </c>
      <c r="C91" s="28">
        <v>26082</v>
      </c>
      <c r="D91" s="28">
        <v>18825</v>
      </c>
      <c r="E91" s="28">
        <v>0</v>
      </c>
      <c r="F91" s="28">
        <f>SUM(C91-D91-E91)</f>
        <v>7257</v>
      </c>
      <c r="G91" s="28">
        <v>115134</v>
      </c>
      <c r="H91" s="28">
        <v>49477</v>
      </c>
      <c r="I91" s="28">
        <v>0</v>
      </c>
      <c r="J91" s="28">
        <f>SUM(G91-H91-I91)</f>
        <v>65657</v>
      </c>
      <c r="K91" s="28">
        <v>608</v>
      </c>
      <c r="L91" s="28">
        <v>82</v>
      </c>
      <c r="M91" s="28">
        <v>12403</v>
      </c>
      <c r="N91" s="28">
        <v>119</v>
      </c>
      <c r="O91" s="28">
        <v>119</v>
      </c>
    </row>
    <row r="92" spans="1:15" ht="12.75" customHeight="1">
      <c r="A92" s="4" t="s">
        <v>170</v>
      </c>
      <c r="B92" s="5" t="s">
        <v>171</v>
      </c>
      <c r="C92" s="28">
        <v>5043</v>
      </c>
      <c r="D92" s="28">
        <v>3965</v>
      </c>
      <c r="E92" s="28">
        <v>534</v>
      </c>
      <c r="F92" s="28">
        <f>SUM(C92-D92-E92)</f>
        <v>544</v>
      </c>
      <c r="G92" s="28">
        <v>19398</v>
      </c>
      <c r="H92" s="28">
        <v>10857</v>
      </c>
      <c r="I92" s="28">
        <v>5095</v>
      </c>
      <c r="J92" s="28">
        <f>SUM(G92-H92-I92)</f>
        <v>3446</v>
      </c>
      <c r="K92" s="28">
        <v>330</v>
      </c>
      <c r="L92" s="28">
        <v>0</v>
      </c>
      <c r="M92" s="28">
        <v>647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276732</v>
      </c>
      <c r="D93" s="28">
        <v>182024</v>
      </c>
      <c r="E93" s="28">
        <v>10811</v>
      </c>
      <c r="F93" s="28">
        <f>SUM(C93-D93-E93)</f>
        <v>83897</v>
      </c>
      <c r="G93" s="28">
        <v>821427</v>
      </c>
      <c r="H93" s="28">
        <v>319444</v>
      </c>
      <c r="I93" s="28">
        <v>38397</v>
      </c>
      <c r="J93" s="28">
        <f>SUM(G93-H93-I93)</f>
        <v>463586</v>
      </c>
      <c r="K93" s="28">
        <v>69277</v>
      </c>
      <c r="L93" s="28">
        <v>154</v>
      </c>
      <c r="M93" s="28">
        <v>43409</v>
      </c>
      <c r="N93" s="28">
        <v>8392</v>
      </c>
      <c r="O93" s="28">
        <v>8392</v>
      </c>
    </row>
    <row r="94" spans="1:15" ht="12.75" customHeight="1">
      <c r="A94" s="4" t="s">
        <v>174</v>
      </c>
      <c r="B94" s="5" t="s">
        <v>175</v>
      </c>
      <c r="C94" s="28">
        <v>18157</v>
      </c>
      <c r="D94" s="28">
        <v>5471</v>
      </c>
      <c r="E94" s="28">
        <v>326</v>
      </c>
      <c r="F94" s="28">
        <f>SUM(C94-D94-E94)</f>
        <v>12360</v>
      </c>
      <c r="G94" s="28">
        <v>54412</v>
      </c>
      <c r="H94" s="28">
        <v>17852</v>
      </c>
      <c r="I94" s="28">
        <v>2986</v>
      </c>
      <c r="J94" s="28">
        <f>SUM(G94-H94-I94)</f>
        <v>33574</v>
      </c>
      <c r="K94" s="28">
        <v>1109</v>
      </c>
      <c r="L94" s="28">
        <v>409</v>
      </c>
      <c r="M94" s="28">
        <v>6724</v>
      </c>
      <c r="N94" s="28">
        <v>250</v>
      </c>
      <c r="O94" s="28">
        <v>250</v>
      </c>
    </row>
    <row r="95" spans="1:15" ht="12.75" customHeight="1">
      <c r="A95" s="8"/>
      <c r="B95" s="9" t="s">
        <v>176</v>
      </c>
      <c r="C95" s="29">
        <f t="shared" ref="C95:O95" si="21">SUM(C90:C94)</f>
        <v>355304</v>
      </c>
      <c r="D95" s="29">
        <f t="shared" si="21"/>
        <v>224033</v>
      </c>
      <c r="E95" s="29">
        <f t="shared" si="21"/>
        <v>12863</v>
      </c>
      <c r="F95" s="29">
        <f t="shared" si="21"/>
        <v>118408</v>
      </c>
      <c r="G95" s="29">
        <f t="shared" si="21"/>
        <v>1137783</v>
      </c>
      <c r="H95" s="29">
        <f t="shared" si="21"/>
        <v>442862</v>
      </c>
      <c r="I95" s="29">
        <f t="shared" si="21"/>
        <v>55603</v>
      </c>
      <c r="J95" s="29">
        <f t="shared" si="21"/>
        <v>639318</v>
      </c>
      <c r="K95" s="29">
        <f t="shared" si="21"/>
        <v>72311</v>
      </c>
      <c r="L95" s="29">
        <f t="shared" si="21"/>
        <v>645</v>
      </c>
      <c r="M95" s="29">
        <f t="shared" si="21"/>
        <v>71531</v>
      </c>
      <c r="N95" s="29">
        <f t="shared" si="21"/>
        <v>8961</v>
      </c>
      <c r="O95" s="29">
        <f t="shared" si="21"/>
        <v>8961</v>
      </c>
    </row>
    <row r="96" spans="1:15" ht="12.75" customHeight="1">
      <c r="A96" s="4" t="s">
        <v>177</v>
      </c>
      <c r="B96" s="5" t="s">
        <v>178</v>
      </c>
      <c r="C96" s="28">
        <v>5115</v>
      </c>
      <c r="D96" s="28">
        <v>3848</v>
      </c>
      <c r="E96" s="28">
        <v>118</v>
      </c>
      <c r="F96" s="28">
        <f>SUM(C96-D96-E96)</f>
        <v>1149</v>
      </c>
      <c r="G96" s="28">
        <v>27873</v>
      </c>
      <c r="H96" s="28">
        <v>15057</v>
      </c>
      <c r="I96" s="28">
        <v>1190</v>
      </c>
      <c r="J96" s="28">
        <f>SUM(G96-H96-I96)</f>
        <v>11626</v>
      </c>
      <c r="K96" s="28">
        <v>14</v>
      </c>
      <c r="L96" s="28">
        <v>0</v>
      </c>
      <c r="M96" s="28">
        <v>4590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1662</v>
      </c>
      <c r="D97" s="28">
        <v>1521</v>
      </c>
      <c r="E97" s="28">
        <v>0</v>
      </c>
      <c r="F97" s="28">
        <f>SUM(C97-D97-E97)</f>
        <v>141</v>
      </c>
      <c r="G97" s="28">
        <v>6738</v>
      </c>
      <c r="H97" s="28">
        <v>5560</v>
      </c>
      <c r="I97" s="28">
        <v>0</v>
      </c>
      <c r="J97" s="28">
        <f>SUM(G97-H97-I97)</f>
        <v>1178</v>
      </c>
      <c r="K97" s="28">
        <v>15</v>
      </c>
      <c r="L97" s="28">
        <v>0</v>
      </c>
      <c r="M97" s="28">
        <v>334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6777</v>
      </c>
      <c r="D98" s="29">
        <f t="shared" si="22"/>
        <v>5369</v>
      </c>
      <c r="E98" s="29">
        <f t="shared" si="22"/>
        <v>118</v>
      </c>
      <c r="F98" s="29">
        <f t="shared" si="22"/>
        <v>1290</v>
      </c>
      <c r="G98" s="29">
        <f t="shared" si="22"/>
        <v>34611</v>
      </c>
      <c r="H98" s="29">
        <f t="shared" si="22"/>
        <v>20617</v>
      </c>
      <c r="I98" s="29">
        <f t="shared" si="22"/>
        <v>1190</v>
      </c>
      <c r="J98" s="29">
        <f t="shared" si="22"/>
        <v>12804</v>
      </c>
      <c r="K98" s="29">
        <f t="shared" si="22"/>
        <v>29</v>
      </c>
      <c r="L98" s="29">
        <f t="shared" si="22"/>
        <v>0</v>
      </c>
      <c r="M98" s="29">
        <f t="shared" si="22"/>
        <v>4924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13316</v>
      </c>
      <c r="D99" s="28">
        <v>10931</v>
      </c>
      <c r="E99" s="28">
        <v>322</v>
      </c>
      <c r="F99" s="28">
        <f>SUM(C99-D99-E99)</f>
        <v>2063</v>
      </c>
      <c r="G99" s="28">
        <v>63517</v>
      </c>
      <c r="H99" s="28">
        <v>35895</v>
      </c>
      <c r="I99" s="28">
        <v>2991</v>
      </c>
      <c r="J99" s="28">
        <f>SUM(G99-H99-I99)</f>
        <v>24631</v>
      </c>
      <c r="K99" s="28">
        <v>154</v>
      </c>
      <c r="L99" s="28">
        <v>0</v>
      </c>
      <c r="M99" s="28">
        <v>5911</v>
      </c>
      <c r="N99" s="28">
        <v>93</v>
      </c>
      <c r="O99" s="28">
        <v>93</v>
      </c>
    </row>
    <row r="100" spans="1:15" ht="12.75" customHeight="1">
      <c r="A100" s="4" t="s">
        <v>184</v>
      </c>
      <c r="B100" s="5" t="s">
        <v>185</v>
      </c>
      <c r="C100" s="28">
        <v>11612</v>
      </c>
      <c r="D100" s="28">
        <v>6590</v>
      </c>
      <c r="E100" s="28">
        <v>411</v>
      </c>
      <c r="F100" s="28">
        <f>SUM(C100-D100-E100)</f>
        <v>4611</v>
      </c>
      <c r="G100" s="28">
        <v>49696</v>
      </c>
      <c r="H100" s="28">
        <v>18653</v>
      </c>
      <c r="I100" s="28">
        <v>2391</v>
      </c>
      <c r="J100" s="28">
        <f>SUM(G100-H100-I100)</f>
        <v>28652</v>
      </c>
      <c r="K100" s="28">
        <v>1817</v>
      </c>
      <c r="L100" s="28">
        <v>0</v>
      </c>
      <c r="M100" s="28">
        <v>2398</v>
      </c>
      <c r="N100" s="28">
        <v>128</v>
      </c>
      <c r="O100" s="28">
        <v>128</v>
      </c>
    </row>
    <row r="101" spans="1:15" ht="12.75" customHeight="1">
      <c r="A101" s="4" t="s">
        <v>186</v>
      </c>
      <c r="B101" s="5" t="s">
        <v>187</v>
      </c>
      <c r="C101" s="28">
        <v>6769</v>
      </c>
      <c r="D101" s="28">
        <v>5341</v>
      </c>
      <c r="E101" s="28">
        <v>0</v>
      </c>
      <c r="F101" s="28">
        <f>SUM(C101-D101-E101)</f>
        <v>1428</v>
      </c>
      <c r="G101" s="28">
        <v>23291</v>
      </c>
      <c r="H101" s="28">
        <v>15298</v>
      </c>
      <c r="I101" s="28">
        <v>0</v>
      </c>
      <c r="J101" s="28">
        <f>SUM(G101-H101-I101)</f>
        <v>7993</v>
      </c>
      <c r="K101" s="28">
        <v>65</v>
      </c>
      <c r="L101" s="28">
        <v>0</v>
      </c>
      <c r="M101" s="28">
        <v>2089</v>
      </c>
      <c r="N101" s="28">
        <v>133</v>
      </c>
      <c r="O101" s="28">
        <v>133</v>
      </c>
    </row>
    <row r="102" spans="1:15" ht="12.75" customHeight="1">
      <c r="A102" s="4" t="s">
        <v>188</v>
      </c>
      <c r="B102" s="5" t="s">
        <v>189</v>
      </c>
      <c r="C102" s="28">
        <v>10908</v>
      </c>
      <c r="D102" s="28">
        <v>9286</v>
      </c>
      <c r="E102" s="28">
        <v>451</v>
      </c>
      <c r="F102" s="28">
        <f>SUM(C102-D102-E102)</f>
        <v>1171</v>
      </c>
      <c r="G102" s="28">
        <v>41891</v>
      </c>
      <c r="H102" s="28">
        <v>25390</v>
      </c>
      <c r="I102" s="28">
        <v>4645</v>
      </c>
      <c r="J102" s="28">
        <f>SUM(G102-H102-I102)</f>
        <v>11856</v>
      </c>
      <c r="K102" s="28">
        <v>1202</v>
      </c>
      <c r="L102" s="28">
        <v>0</v>
      </c>
      <c r="M102" s="28">
        <v>3056</v>
      </c>
      <c r="N102" s="28">
        <v>14</v>
      </c>
      <c r="O102" s="28">
        <v>14</v>
      </c>
    </row>
    <row r="103" spans="1:15" ht="12.75" customHeight="1">
      <c r="A103" s="8"/>
      <c r="B103" s="9" t="s">
        <v>190</v>
      </c>
      <c r="C103" s="29">
        <f t="shared" ref="C103:O103" si="23">SUM(C99:C102)</f>
        <v>42605</v>
      </c>
      <c r="D103" s="29">
        <f t="shared" si="23"/>
        <v>32148</v>
      </c>
      <c r="E103" s="29">
        <f t="shared" si="23"/>
        <v>1184</v>
      </c>
      <c r="F103" s="29">
        <f t="shared" si="23"/>
        <v>9273</v>
      </c>
      <c r="G103" s="29">
        <f t="shared" si="23"/>
        <v>178395</v>
      </c>
      <c r="H103" s="29">
        <f t="shared" si="23"/>
        <v>95236</v>
      </c>
      <c r="I103" s="29">
        <f t="shared" si="23"/>
        <v>10027</v>
      </c>
      <c r="J103" s="29">
        <f t="shared" si="23"/>
        <v>73132</v>
      </c>
      <c r="K103" s="29">
        <f t="shared" si="23"/>
        <v>3238</v>
      </c>
      <c r="L103" s="29">
        <f t="shared" si="23"/>
        <v>0</v>
      </c>
      <c r="M103" s="29">
        <f t="shared" si="23"/>
        <v>13454</v>
      </c>
      <c r="N103" s="29">
        <f t="shared" si="23"/>
        <v>368</v>
      </c>
      <c r="O103" s="29">
        <f t="shared" si="23"/>
        <v>368</v>
      </c>
    </row>
    <row r="104" spans="1:15" ht="12.75" customHeight="1">
      <c r="A104" s="4" t="s">
        <v>191</v>
      </c>
      <c r="B104" s="5" t="s">
        <v>192</v>
      </c>
      <c r="C104" s="28">
        <v>8046</v>
      </c>
      <c r="D104" s="28">
        <v>6654</v>
      </c>
      <c r="E104" s="28">
        <v>235</v>
      </c>
      <c r="F104" s="28">
        <f>SUM(C104-D104-E104)</f>
        <v>1157</v>
      </c>
      <c r="G104" s="28">
        <v>37294</v>
      </c>
      <c r="H104" s="28">
        <v>23063</v>
      </c>
      <c r="I104" s="28">
        <v>2302</v>
      </c>
      <c r="J104" s="28">
        <f>SUM(G104-H104-I104)</f>
        <v>11929</v>
      </c>
      <c r="K104" s="28">
        <v>377</v>
      </c>
      <c r="L104" s="28">
        <v>0</v>
      </c>
      <c r="M104" s="28">
        <v>863</v>
      </c>
      <c r="N104" s="28">
        <v>135</v>
      </c>
      <c r="O104" s="28">
        <v>135</v>
      </c>
    </row>
    <row r="105" spans="1:15" ht="12.75" customHeight="1">
      <c r="A105" s="4" t="s">
        <v>193</v>
      </c>
      <c r="B105" s="5" t="s">
        <v>194</v>
      </c>
      <c r="C105" s="28">
        <v>6503</v>
      </c>
      <c r="D105" s="28">
        <v>3840</v>
      </c>
      <c r="E105" s="28">
        <v>0</v>
      </c>
      <c r="F105" s="28">
        <f>SUM(C105-D105-E105)</f>
        <v>2663</v>
      </c>
      <c r="G105" s="28">
        <v>26945</v>
      </c>
      <c r="H105" s="28">
        <v>13724</v>
      </c>
      <c r="I105" s="28">
        <v>0</v>
      </c>
      <c r="J105" s="28">
        <f>SUM(G105-H105-I105)</f>
        <v>13221</v>
      </c>
      <c r="K105" s="28">
        <v>137</v>
      </c>
      <c r="L105" s="28">
        <v>0</v>
      </c>
      <c r="M105" s="28">
        <v>1681</v>
      </c>
      <c r="N105" s="28">
        <v>314</v>
      </c>
      <c r="O105" s="28">
        <v>314</v>
      </c>
    </row>
    <row r="106" spans="1:15" ht="12.75" customHeight="1">
      <c r="A106" s="4" t="s">
        <v>195</v>
      </c>
      <c r="B106" s="5" t="s">
        <v>196</v>
      </c>
      <c r="C106" s="28">
        <v>30596</v>
      </c>
      <c r="D106" s="28">
        <v>19685</v>
      </c>
      <c r="E106" s="28">
        <v>768</v>
      </c>
      <c r="F106" s="28">
        <f>SUM(C106-D106-E106)</f>
        <v>10143</v>
      </c>
      <c r="G106" s="28">
        <v>133578</v>
      </c>
      <c r="H106" s="28">
        <v>58759</v>
      </c>
      <c r="I106" s="28">
        <v>5698</v>
      </c>
      <c r="J106" s="28">
        <f>SUM(G106-H106-I106)</f>
        <v>69121</v>
      </c>
      <c r="K106" s="28">
        <v>402</v>
      </c>
      <c r="L106" s="28">
        <v>0</v>
      </c>
      <c r="M106" s="28">
        <v>23489</v>
      </c>
      <c r="N106" s="28">
        <v>349</v>
      </c>
      <c r="O106" s="28">
        <v>349</v>
      </c>
    </row>
    <row r="107" spans="1:15" ht="12.75" customHeight="1">
      <c r="A107" s="4" t="s">
        <v>197</v>
      </c>
      <c r="B107" s="5" t="s">
        <v>198</v>
      </c>
      <c r="C107" s="28">
        <v>101054</v>
      </c>
      <c r="D107" s="28">
        <v>70809</v>
      </c>
      <c r="E107" s="28">
        <v>2566</v>
      </c>
      <c r="F107" s="28">
        <f>SUM(C107-D107-E107)</f>
        <v>27679</v>
      </c>
      <c r="G107" s="28">
        <v>311857</v>
      </c>
      <c r="H107" s="28">
        <v>139586</v>
      </c>
      <c r="I107" s="28">
        <v>7052</v>
      </c>
      <c r="J107" s="28">
        <f>SUM(G107-H107-I107)</f>
        <v>165219</v>
      </c>
      <c r="K107" s="28">
        <v>10579</v>
      </c>
      <c r="L107" s="28">
        <v>0</v>
      </c>
      <c r="M107" s="28">
        <v>4540</v>
      </c>
      <c r="N107" s="28">
        <v>6626</v>
      </c>
      <c r="O107" s="28">
        <v>6626</v>
      </c>
    </row>
    <row r="108" spans="1:15" ht="12.75" customHeight="1">
      <c r="A108" s="4" t="s">
        <v>199</v>
      </c>
      <c r="B108" s="5" t="s">
        <v>200</v>
      </c>
      <c r="C108" s="28">
        <v>33098</v>
      </c>
      <c r="D108" s="28">
        <v>18242</v>
      </c>
      <c r="E108" s="28">
        <v>761</v>
      </c>
      <c r="F108" s="28">
        <f>SUM(C108-D108-E108)</f>
        <v>14095</v>
      </c>
      <c r="G108" s="28">
        <v>219004</v>
      </c>
      <c r="H108" s="28">
        <v>60402</v>
      </c>
      <c r="I108" s="28">
        <v>6371</v>
      </c>
      <c r="J108" s="28">
        <f>SUM(G108-H108-I108)</f>
        <v>152231</v>
      </c>
      <c r="K108" s="28">
        <v>1348</v>
      </c>
      <c r="L108" s="28">
        <v>0</v>
      </c>
      <c r="M108" s="28">
        <v>5206</v>
      </c>
      <c r="N108" s="28">
        <v>2676</v>
      </c>
      <c r="O108" s="28">
        <v>2676</v>
      </c>
    </row>
    <row r="109" spans="1:15" ht="12.75" customHeight="1">
      <c r="A109" s="8"/>
      <c r="B109" s="9" t="s">
        <v>201</v>
      </c>
      <c r="C109" s="29">
        <f t="shared" ref="C109:O109" si="24">SUM(C104:C108)</f>
        <v>179297</v>
      </c>
      <c r="D109" s="29">
        <f t="shared" si="24"/>
        <v>119230</v>
      </c>
      <c r="E109" s="29">
        <f t="shared" si="24"/>
        <v>4330</v>
      </c>
      <c r="F109" s="29">
        <f t="shared" si="24"/>
        <v>55737</v>
      </c>
      <c r="G109" s="29">
        <f t="shared" si="24"/>
        <v>728678</v>
      </c>
      <c r="H109" s="29">
        <f t="shared" si="24"/>
        <v>295534</v>
      </c>
      <c r="I109" s="29">
        <f t="shared" si="24"/>
        <v>21423</v>
      </c>
      <c r="J109" s="29">
        <f t="shared" si="24"/>
        <v>411721</v>
      </c>
      <c r="K109" s="29">
        <f t="shared" si="24"/>
        <v>12843</v>
      </c>
      <c r="L109" s="29">
        <f t="shared" si="24"/>
        <v>0</v>
      </c>
      <c r="M109" s="29">
        <f t="shared" si="24"/>
        <v>35779</v>
      </c>
      <c r="N109" s="29">
        <f t="shared" si="24"/>
        <v>10100</v>
      </c>
      <c r="O109" s="29">
        <f t="shared" si="24"/>
        <v>10100</v>
      </c>
    </row>
    <row r="110" spans="1:15" ht="12.75" customHeight="1">
      <c r="A110" s="4" t="s">
        <v>202</v>
      </c>
      <c r="B110" s="5" t="s">
        <v>203</v>
      </c>
      <c r="C110" s="28">
        <v>48482</v>
      </c>
      <c r="D110" s="28">
        <v>39097</v>
      </c>
      <c r="E110" s="28">
        <v>251</v>
      </c>
      <c r="F110" s="28">
        <f t="shared" ref="F110:F115" si="25">SUM(C110-D110-E110)</f>
        <v>9134</v>
      </c>
      <c r="G110" s="28">
        <v>220682</v>
      </c>
      <c r="H110" s="28">
        <v>135279</v>
      </c>
      <c r="I110" s="28">
        <v>2711</v>
      </c>
      <c r="J110" s="28">
        <f t="shared" ref="J110:J115" si="26">SUM(G110-H110-I110)</f>
        <v>82692</v>
      </c>
      <c r="K110" s="28">
        <v>3057</v>
      </c>
      <c r="L110" s="28">
        <v>0</v>
      </c>
      <c r="M110" s="28">
        <v>22400</v>
      </c>
      <c r="N110" s="28">
        <v>675</v>
      </c>
      <c r="O110" s="28">
        <v>675</v>
      </c>
    </row>
    <row r="111" spans="1:15" ht="12.75" customHeight="1">
      <c r="A111" s="4" t="s">
        <v>204</v>
      </c>
      <c r="B111" s="5" t="s">
        <v>205</v>
      </c>
      <c r="C111" s="28">
        <v>6217</v>
      </c>
      <c r="D111" s="28">
        <v>5919</v>
      </c>
      <c r="E111" s="28">
        <v>69</v>
      </c>
      <c r="F111" s="28">
        <f t="shared" si="25"/>
        <v>229</v>
      </c>
      <c r="G111" s="28">
        <v>20895</v>
      </c>
      <c r="H111" s="28">
        <v>19022</v>
      </c>
      <c r="I111" s="28">
        <v>803</v>
      </c>
      <c r="J111" s="28">
        <f t="shared" si="26"/>
        <v>1070</v>
      </c>
      <c r="K111" s="28">
        <v>15</v>
      </c>
      <c r="L111" s="28">
        <v>0</v>
      </c>
      <c r="M111" s="28">
        <v>472</v>
      </c>
      <c r="N111" s="28">
        <v>184</v>
      </c>
      <c r="O111" s="28">
        <v>184</v>
      </c>
    </row>
    <row r="112" spans="1:15" ht="12.75" customHeight="1">
      <c r="A112" s="4" t="s">
        <v>206</v>
      </c>
      <c r="B112" s="5" t="s">
        <v>207</v>
      </c>
      <c r="C112" s="28">
        <v>15729</v>
      </c>
      <c r="D112" s="28">
        <v>11400</v>
      </c>
      <c r="E112" s="28">
        <v>0</v>
      </c>
      <c r="F112" s="28">
        <f t="shared" si="25"/>
        <v>4329</v>
      </c>
      <c r="G112" s="28">
        <v>57000</v>
      </c>
      <c r="H112" s="28">
        <v>36357</v>
      </c>
      <c r="I112" s="28">
        <v>0</v>
      </c>
      <c r="J112" s="28">
        <f t="shared" si="26"/>
        <v>20643</v>
      </c>
      <c r="K112" s="28">
        <v>17166</v>
      </c>
      <c r="L112" s="28">
        <v>0</v>
      </c>
      <c r="M112" s="28">
        <v>5786</v>
      </c>
      <c r="N112" s="28">
        <v>81</v>
      </c>
      <c r="O112" s="28">
        <v>81</v>
      </c>
    </row>
    <row r="113" spans="1:15" ht="12.75" customHeight="1">
      <c r="A113" s="4" t="s">
        <v>208</v>
      </c>
      <c r="B113" s="5" t="s">
        <v>209</v>
      </c>
      <c r="C113" s="28">
        <v>14411</v>
      </c>
      <c r="D113" s="28">
        <v>9309</v>
      </c>
      <c r="E113" s="28">
        <v>133</v>
      </c>
      <c r="F113" s="28">
        <f t="shared" si="25"/>
        <v>4969</v>
      </c>
      <c r="G113" s="28">
        <v>62479</v>
      </c>
      <c r="H113" s="28">
        <v>30196</v>
      </c>
      <c r="I113" s="28">
        <v>1052</v>
      </c>
      <c r="J113" s="28">
        <f t="shared" si="26"/>
        <v>31231</v>
      </c>
      <c r="K113" s="28">
        <v>1484</v>
      </c>
      <c r="L113" s="28">
        <v>0</v>
      </c>
      <c r="M113" s="28">
        <v>12861</v>
      </c>
      <c r="N113" s="28">
        <v>331</v>
      </c>
      <c r="O113" s="28">
        <v>331</v>
      </c>
    </row>
    <row r="114" spans="1:15" ht="12.75" customHeight="1">
      <c r="A114" s="4" t="s">
        <v>210</v>
      </c>
      <c r="B114" s="5" t="s">
        <v>211</v>
      </c>
      <c r="C114" s="28">
        <v>34814</v>
      </c>
      <c r="D114" s="28">
        <v>24728</v>
      </c>
      <c r="E114" s="28">
        <v>0</v>
      </c>
      <c r="F114" s="28">
        <f t="shared" si="25"/>
        <v>10086</v>
      </c>
      <c r="G114" s="28">
        <v>108223</v>
      </c>
      <c r="H114" s="28">
        <v>61819</v>
      </c>
      <c r="I114" s="28">
        <v>0</v>
      </c>
      <c r="J114" s="28">
        <f t="shared" si="26"/>
        <v>46404</v>
      </c>
      <c r="K114" s="28">
        <v>5318</v>
      </c>
      <c r="L114" s="28">
        <v>0</v>
      </c>
      <c r="M114" s="28">
        <v>12669</v>
      </c>
      <c r="N114" s="28">
        <v>914</v>
      </c>
      <c r="O114" s="28">
        <v>914</v>
      </c>
    </row>
    <row r="115" spans="1:15" ht="12.75" customHeight="1">
      <c r="A115" s="4" t="s">
        <v>212</v>
      </c>
      <c r="B115" s="5" t="s">
        <v>213</v>
      </c>
      <c r="C115" s="28">
        <v>22910</v>
      </c>
      <c r="D115" s="28">
        <v>19639</v>
      </c>
      <c r="E115" s="28">
        <v>0</v>
      </c>
      <c r="F115" s="28">
        <f t="shared" si="25"/>
        <v>3271</v>
      </c>
      <c r="G115" s="28">
        <v>83407</v>
      </c>
      <c r="H115" s="28">
        <v>62616</v>
      </c>
      <c r="I115" s="28">
        <v>0</v>
      </c>
      <c r="J115" s="28">
        <f t="shared" si="26"/>
        <v>20791</v>
      </c>
      <c r="K115" s="28">
        <v>3582</v>
      </c>
      <c r="L115" s="28">
        <v>0</v>
      </c>
      <c r="M115" s="28">
        <v>9141</v>
      </c>
      <c r="N115" s="28">
        <v>995</v>
      </c>
      <c r="O115" s="28">
        <v>995</v>
      </c>
    </row>
    <row r="116" spans="1:15" ht="12.75" customHeight="1">
      <c r="A116" s="8"/>
      <c r="B116" s="9" t="s">
        <v>214</v>
      </c>
      <c r="C116" s="29">
        <f t="shared" ref="C116:O116" si="27">SUM(C110:C115)</f>
        <v>142563</v>
      </c>
      <c r="D116" s="29">
        <f t="shared" si="27"/>
        <v>110092</v>
      </c>
      <c r="E116" s="29">
        <f t="shared" si="27"/>
        <v>453</v>
      </c>
      <c r="F116" s="29">
        <f t="shared" si="27"/>
        <v>32018</v>
      </c>
      <c r="G116" s="29">
        <f t="shared" si="27"/>
        <v>552686</v>
      </c>
      <c r="H116" s="29">
        <f t="shared" si="27"/>
        <v>345289</v>
      </c>
      <c r="I116" s="29">
        <f t="shared" si="27"/>
        <v>4566</v>
      </c>
      <c r="J116" s="29">
        <f t="shared" si="27"/>
        <v>202831</v>
      </c>
      <c r="K116" s="29">
        <f t="shared" si="27"/>
        <v>30622</v>
      </c>
      <c r="L116" s="29">
        <f t="shared" si="27"/>
        <v>0</v>
      </c>
      <c r="M116" s="29">
        <f t="shared" si="27"/>
        <v>63329</v>
      </c>
      <c r="N116" s="29">
        <f t="shared" si="27"/>
        <v>3180</v>
      </c>
      <c r="O116" s="29">
        <f t="shared" si="27"/>
        <v>3180</v>
      </c>
    </row>
    <row r="117" spans="1:15" ht="12.75" customHeight="1">
      <c r="A117" s="4" t="s">
        <v>215</v>
      </c>
      <c r="B117" s="5" t="s">
        <v>216</v>
      </c>
      <c r="C117" s="28">
        <v>5425</v>
      </c>
      <c r="D117" s="28">
        <v>3815</v>
      </c>
      <c r="E117" s="28">
        <v>0</v>
      </c>
      <c r="F117" s="28">
        <f>SUM(C117-D117-E117)</f>
        <v>1610</v>
      </c>
      <c r="G117" s="28">
        <v>24125</v>
      </c>
      <c r="H117" s="28">
        <v>14835</v>
      </c>
      <c r="I117" s="28">
        <v>0</v>
      </c>
      <c r="J117" s="28">
        <f>SUM(G117-H117-I117)</f>
        <v>9290</v>
      </c>
      <c r="K117" s="28">
        <v>0</v>
      </c>
      <c r="L117" s="28">
        <v>0</v>
      </c>
      <c r="M117" s="28">
        <v>7019</v>
      </c>
      <c r="N117" s="28">
        <v>201</v>
      </c>
      <c r="O117" s="28">
        <v>201</v>
      </c>
    </row>
    <row r="118" spans="1:15" ht="12.75" customHeight="1">
      <c r="A118" s="4" t="s">
        <v>217</v>
      </c>
      <c r="B118" s="5" t="s">
        <v>218</v>
      </c>
      <c r="C118" s="28">
        <v>12671</v>
      </c>
      <c r="D118" s="28">
        <v>10395</v>
      </c>
      <c r="E118" s="28">
        <v>175</v>
      </c>
      <c r="F118" s="28">
        <f>SUM(C118-D118-E118)</f>
        <v>2101</v>
      </c>
      <c r="G118" s="28">
        <v>50239</v>
      </c>
      <c r="H118" s="28">
        <v>32192</v>
      </c>
      <c r="I118" s="28">
        <v>1663</v>
      </c>
      <c r="J118" s="28">
        <f>SUM(G118-H118-I118)</f>
        <v>16384</v>
      </c>
      <c r="K118" s="28">
        <v>105</v>
      </c>
      <c r="L118" s="28">
        <v>0</v>
      </c>
      <c r="M118" s="28">
        <v>5001</v>
      </c>
      <c r="N118" s="28">
        <v>404</v>
      </c>
      <c r="O118" s="28">
        <v>404</v>
      </c>
    </row>
    <row r="119" spans="1:15" ht="12.75" customHeight="1">
      <c r="A119" s="8"/>
      <c r="B119" s="9" t="s">
        <v>219</v>
      </c>
      <c r="C119" s="29">
        <f t="shared" ref="C119:O119" si="28">SUM(C117:C118)</f>
        <v>18096</v>
      </c>
      <c r="D119" s="29">
        <f t="shared" si="28"/>
        <v>14210</v>
      </c>
      <c r="E119" s="29">
        <f t="shared" si="28"/>
        <v>175</v>
      </c>
      <c r="F119" s="29">
        <f t="shared" si="28"/>
        <v>3711</v>
      </c>
      <c r="G119" s="29">
        <f t="shared" si="28"/>
        <v>74364</v>
      </c>
      <c r="H119" s="29">
        <f t="shared" si="28"/>
        <v>47027</v>
      </c>
      <c r="I119" s="29">
        <f t="shared" si="28"/>
        <v>1663</v>
      </c>
      <c r="J119" s="29">
        <f t="shared" si="28"/>
        <v>25674</v>
      </c>
      <c r="K119" s="29">
        <f t="shared" si="28"/>
        <v>105</v>
      </c>
      <c r="L119" s="29">
        <f t="shared" si="28"/>
        <v>0</v>
      </c>
      <c r="M119" s="29">
        <f t="shared" si="28"/>
        <v>12020</v>
      </c>
      <c r="N119" s="29">
        <f t="shared" si="28"/>
        <v>605</v>
      </c>
      <c r="O119" s="29">
        <f t="shared" si="28"/>
        <v>605</v>
      </c>
    </row>
    <row r="120" spans="1:15" ht="12.75" customHeight="1">
      <c r="A120" s="4" t="s">
        <v>220</v>
      </c>
      <c r="B120" s="5" t="s">
        <v>221</v>
      </c>
      <c r="C120" s="28">
        <v>14019</v>
      </c>
      <c r="D120" s="28">
        <v>12429</v>
      </c>
      <c r="E120" s="28">
        <v>165</v>
      </c>
      <c r="F120" s="28">
        <f>SUM(C120-D120-E120)</f>
        <v>1425</v>
      </c>
      <c r="G120" s="28">
        <v>49221</v>
      </c>
      <c r="H120" s="28">
        <v>37125</v>
      </c>
      <c r="I120" s="28">
        <v>2064</v>
      </c>
      <c r="J120" s="28">
        <f>SUM(G120-H120-I120)</f>
        <v>10032</v>
      </c>
      <c r="K120" s="28">
        <v>2157</v>
      </c>
      <c r="L120" s="28">
        <v>0</v>
      </c>
      <c r="M120" s="28">
        <v>2227</v>
      </c>
      <c r="N120" s="28">
        <v>2239</v>
      </c>
      <c r="O120" s="28">
        <v>2239</v>
      </c>
    </row>
    <row r="121" spans="1:15" ht="12.75" customHeight="1">
      <c r="A121" s="4" t="s">
        <v>222</v>
      </c>
      <c r="B121" s="5" t="s">
        <v>223</v>
      </c>
      <c r="C121" s="28">
        <v>22353</v>
      </c>
      <c r="D121" s="28">
        <v>20388</v>
      </c>
      <c r="E121" s="28">
        <v>435</v>
      </c>
      <c r="F121" s="28">
        <f>SUM(C121-D121-E121)</f>
        <v>1530</v>
      </c>
      <c r="G121" s="28">
        <v>87438</v>
      </c>
      <c r="H121" s="28">
        <v>61941</v>
      </c>
      <c r="I121" s="28">
        <v>3687</v>
      </c>
      <c r="J121" s="28">
        <f>SUM(G121-H121-I121)</f>
        <v>21810</v>
      </c>
      <c r="K121" s="28">
        <v>382</v>
      </c>
      <c r="L121" s="28">
        <v>0</v>
      </c>
      <c r="M121" s="28">
        <v>5595</v>
      </c>
      <c r="N121" s="28">
        <v>324</v>
      </c>
      <c r="O121" s="28">
        <v>324</v>
      </c>
    </row>
    <row r="122" spans="1:15" ht="12.75" customHeight="1">
      <c r="A122" s="4" t="s">
        <v>224</v>
      </c>
      <c r="B122" s="5" t="s">
        <v>225</v>
      </c>
      <c r="C122" s="28">
        <v>4080</v>
      </c>
      <c r="D122" s="28">
        <v>3524</v>
      </c>
      <c r="E122" s="28">
        <v>0</v>
      </c>
      <c r="F122" s="28">
        <f>SUM(C122-D122-E122)</f>
        <v>556</v>
      </c>
      <c r="G122" s="28">
        <v>14542</v>
      </c>
      <c r="H122" s="28">
        <v>9685</v>
      </c>
      <c r="I122" s="28">
        <v>0</v>
      </c>
      <c r="J122" s="28">
        <f>SUM(G122-H122-I122)</f>
        <v>4857</v>
      </c>
      <c r="K122" s="28">
        <v>115</v>
      </c>
      <c r="L122" s="28">
        <v>0</v>
      </c>
      <c r="M122" s="28">
        <v>5043</v>
      </c>
      <c r="N122" s="28">
        <v>101</v>
      </c>
      <c r="O122" s="28">
        <v>101</v>
      </c>
    </row>
    <row r="123" spans="1:15" ht="12.75" customHeight="1">
      <c r="A123" s="4" t="s">
        <v>226</v>
      </c>
      <c r="B123" s="5" t="s">
        <v>227</v>
      </c>
      <c r="C123" s="28">
        <v>21341</v>
      </c>
      <c r="D123" s="28">
        <v>17774</v>
      </c>
      <c r="E123" s="28">
        <v>242</v>
      </c>
      <c r="F123" s="28">
        <f>SUM(C123-D123-E123)</f>
        <v>3325</v>
      </c>
      <c r="G123" s="28">
        <v>74887</v>
      </c>
      <c r="H123" s="28">
        <v>47012</v>
      </c>
      <c r="I123" s="28">
        <v>1946</v>
      </c>
      <c r="J123" s="28">
        <f>SUM(G123-H123-I123)</f>
        <v>25929</v>
      </c>
      <c r="K123" s="28">
        <v>1284</v>
      </c>
      <c r="L123" s="28">
        <v>0</v>
      </c>
      <c r="M123" s="28">
        <v>3127</v>
      </c>
      <c r="N123" s="28">
        <v>892</v>
      </c>
      <c r="O123" s="28">
        <v>892</v>
      </c>
    </row>
    <row r="124" spans="1:15" ht="12.75" customHeight="1">
      <c r="A124" s="4" t="s">
        <v>228</v>
      </c>
      <c r="B124" s="5" t="s">
        <v>229</v>
      </c>
      <c r="C124" s="28">
        <v>7254</v>
      </c>
      <c r="D124" s="28">
        <v>6496</v>
      </c>
      <c r="E124" s="28">
        <v>171</v>
      </c>
      <c r="F124" s="28">
        <f>SUM(C124-D124-E124)</f>
        <v>587</v>
      </c>
      <c r="G124" s="28">
        <v>22858</v>
      </c>
      <c r="H124" s="28">
        <v>17164</v>
      </c>
      <c r="I124" s="28">
        <v>1574</v>
      </c>
      <c r="J124" s="28">
        <f>SUM(G124-H124-I124)</f>
        <v>4120</v>
      </c>
      <c r="K124" s="28">
        <v>294</v>
      </c>
      <c r="L124" s="28">
        <v>0</v>
      </c>
      <c r="M124" s="28">
        <v>70</v>
      </c>
      <c r="N124" s="28">
        <v>353</v>
      </c>
      <c r="O124" s="28">
        <v>353</v>
      </c>
    </row>
    <row r="125" spans="1:15" ht="12.75" customHeight="1">
      <c r="A125" s="8"/>
      <c r="B125" s="9" t="s">
        <v>230</v>
      </c>
      <c r="C125" s="29">
        <f t="shared" ref="C125:O125" si="29">SUM(C120:C124)</f>
        <v>69047</v>
      </c>
      <c r="D125" s="29">
        <f t="shared" si="29"/>
        <v>60611</v>
      </c>
      <c r="E125" s="29">
        <f t="shared" si="29"/>
        <v>1013</v>
      </c>
      <c r="F125" s="29">
        <f t="shared" si="29"/>
        <v>7423</v>
      </c>
      <c r="G125" s="29">
        <f t="shared" si="29"/>
        <v>248946</v>
      </c>
      <c r="H125" s="29">
        <f t="shared" si="29"/>
        <v>172927</v>
      </c>
      <c r="I125" s="29">
        <f t="shared" si="29"/>
        <v>9271</v>
      </c>
      <c r="J125" s="29">
        <f t="shared" si="29"/>
        <v>66748</v>
      </c>
      <c r="K125" s="29">
        <f t="shared" si="29"/>
        <v>4232</v>
      </c>
      <c r="L125" s="29">
        <f t="shared" si="29"/>
        <v>0</v>
      </c>
      <c r="M125" s="29">
        <f t="shared" si="29"/>
        <v>16062</v>
      </c>
      <c r="N125" s="29">
        <f t="shared" si="29"/>
        <v>3909</v>
      </c>
      <c r="O125" s="29">
        <f t="shared" si="29"/>
        <v>3909</v>
      </c>
    </row>
    <row r="126" spans="1:15" ht="12.75" customHeight="1">
      <c r="A126" s="4" t="s">
        <v>231</v>
      </c>
      <c r="B126" s="5" t="s">
        <v>232</v>
      </c>
      <c r="C126" s="28">
        <v>14189</v>
      </c>
      <c r="D126" s="28">
        <v>10483</v>
      </c>
      <c r="E126" s="28">
        <v>0</v>
      </c>
      <c r="F126" s="28">
        <f t="shared" ref="F126:F134" si="30">SUM(C126-D126-E126)</f>
        <v>3706</v>
      </c>
      <c r="G126" s="28">
        <v>43624</v>
      </c>
      <c r="H126" s="28">
        <v>24808</v>
      </c>
      <c r="I126" s="28">
        <v>0</v>
      </c>
      <c r="J126" s="28">
        <f t="shared" ref="J126:J134" si="31">SUM(G126-H126-I126)</f>
        <v>18816</v>
      </c>
      <c r="K126" s="28">
        <v>271</v>
      </c>
      <c r="L126" s="28">
        <v>0</v>
      </c>
      <c r="M126" s="28">
        <v>3897</v>
      </c>
      <c r="N126" s="28">
        <v>203</v>
      </c>
      <c r="O126" s="28">
        <v>203</v>
      </c>
    </row>
    <row r="127" spans="1:15" ht="12.75" customHeight="1">
      <c r="A127" s="4" t="s">
        <v>233</v>
      </c>
      <c r="B127" s="5" t="s">
        <v>234</v>
      </c>
      <c r="C127" s="28">
        <v>6895</v>
      </c>
      <c r="D127" s="28">
        <v>5740</v>
      </c>
      <c r="E127" s="28">
        <v>0</v>
      </c>
      <c r="F127" s="28">
        <f t="shared" si="30"/>
        <v>1155</v>
      </c>
      <c r="G127" s="28">
        <v>24977</v>
      </c>
      <c r="H127" s="28">
        <v>19748</v>
      </c>
      <c r="I127" s="28">
        <v>0</v>
      </c>
      <c r="J127" s="28">
        <f t="shared" si="31"/>
        <v>5229</v>
      </c>
      <c r="K127" s="28">
        <v>76</v>
      </c>
      <c r="L127" s="28">
        <v>0</v>
      </c>
      <c r="M127" s="28">
        <v>1110</v>
      </c>
      <c r="N127" s="28">
        <v>172</v>
      </c>
      <c r="O127" s="28">
        <v>172</v>
      </c>
    </row>
    <row r="128" spans="1:15" ht="12.75" customHeight="1">
      <c r="A128" s="4" t="s">
        <v>235</v>
      </c>
      <c r="B128" s="5" t="s">
        <v>236</v>
      </c>
      <c r="C128" s="28">
        <v>46726</v>
      </c>
      <c r="D128" s="28">
        <v>35916</v>
      </c>
      <c r="E128" s="28">
        <v>843</v>
      </c>
      <c r="F128" s="28">
        <f t="shared" si="30"/>
        <v>9967</v>
      </c>
      <c r="G128" s="28">
        <v>117958</v>
      </c>
      <c r="H128" s="28">
        <v>78517</v>
      </c>
      <c r="I128" s="28">
        <v>4056</v>
      </c>
      <c r="J128" s="28">
        <f t="shared" si="31"/>
        <v>35385</v>
      </c>
      <c r="K128" s="28">
        <v>2226</v>
      </c>
      <c r="L128" s="28">
        <v>0</v>
      </c>
      <c r="M128" s="28">
        <v>6993</v>
      </c>
      <c r="N128" s="28">
        <v>1069</v>
      </c>
      <c r="O128" s="28">
        <v>1069</v>
      </c>
    </row>
    <row r="129" spans="1:15" ht="12.75" customHeight="1">
      <c r="A129" s="4" t="s">
        <v>237</v>
      </c>
      <c r="B129" s="5" t="s">
        <v>238</v>
      </c>
      <c r="C129" s="28">
        <v>5018</v>
      </c>
      <c r="D129" s="28">
        <v>3861</v>
      </c>
      <c r="E129" s="28">
        <v>214</v>
      </c>
      <c r="F129" s="28">
        <f t="shared" si="30"/>
        <v>943</v>
      </c>
      <c r="G129" s="28">
        <v>20160</v>
      </c>
      <c r="H129" s="28">
        <v>9488</v>
      </c>
      <c r="I129" s="28">
        <v>2224</v>
      </c>
      <c r="J129" s="28">
        <f t="shared" si="31"/>
        <v>8448</v>
      </c>
      <c r="K129" s="28">
        <v>242</v>
      </c>
      <c r="L129" s="28">
        <v>0</v>
      </c>
      <c r="M129" s="28">
        <v>3723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28947</v>
      </c>
      <c r="D130" s="28">
        <v>24091</v>
      </c>
      <c r="E130" s="28">
        <v>1435</v>
      </c>
      <c r="F130" s="28">
        <f t="shared" si="30"/>
        <v>3421</v>
      </c>
      <c r="G130" s="28">
        <v>77978</v>
      </c>
      <c r="H130" s="28">
        <v>41877</v>
      </c>
      <c r="I130" s="28">
        <v>7086</v>
      </c>
      <c r="J130" s="28">
        <f t="shared" si="31"/>
        <v>29015</v>
      </c>
      <c r="K130" s="28">
        <v>1628</v>
      </c>
      <c r="L130" s="28">
        <v>0</v>
      </c>
      <c r="M130" s="28">
        <v>763</v>
      </c>
      <c r="N130" s="28">
        <v>3629</v>
      </c>
      <c r="O130" s="28">
        <v>3629</v>
      </c>
    </row>
    <row r="131" spans="1:15" ht="12.75" customHeight="1">
      <c r="A131" s="4" t="s">
        <v>241</v>
      </c>
      <c r="B131" s="5" t="s">
        <v>242</v>
      </c>
      <c r="C131" s="28">
        <v>52711</v>
      </c>
      <c r="D131" s="28">
        <v>45415</v>
      </c>
      <c r="E131" s="28">
        <v>346</v>
      </c>
      <c r="F131" s="28">
        <f t="shared" si="30"/>
        <v>6950</v>
      </c>
      <c r="G131" s="28">
        <v>147144</v>
      </c>
      <c r="H131" s="28">
        <v>75267</v>
      </c>
      <c r="I131" s="28">
        <v>2209</v>
      </c>
      <c r="J131" s="28">
        <f t="shared" si="31"/>
        <v>69668</v>
      </c>
      <c r="K131" s="28">
        <v>2232</v>
      </c>
      <c r="L131" s="28">
        <v>0</v>
      </c>
      <c r="M131" s="28">
        <v>2692</v>
      </c>
      <c r="N131" s="28">
        <v>1008</v>
      </c>
      <c r="O131" s="28">
        <v>1008</v>
      </c>
    </row>
    <row r="132" spans="1:15" ht="12.75" customHeight="1">
      <c r="A132" s="4" t="s">
        <v>243</v>
      </c>
      <c r="B132" s="5" t="s">
        <v>244</v>
      </c>
      <c r="C132" s="28">
        <v>25486</v>
      </c>
      <c r="D132" s="28">
        <v>21165</v>
      </c>
      <c r="E132" s="28">
        <v>0</v>
      </c>
      <c r="F132" s="28">
        <f t="shared" si="30"/>
        <v>4321</v>
      </c>
      <c r="G132" s="28">
        <v>76891</v>
      </c>
      <c r="H132" s="28">
        <v>45043</v>
      </c>
      <c r="I132" s="28">
        <v>0</v>
      </c>
      <c r="J132" s="28">
        <f t="shared" si="31"/>
        <v>31848</v>
      </c>
      <c r="K132" s="28">
        <v>2649</v>
      </c>
      <c r="L132" s="28">
        <v>0</v>
      </c>
      <c r="M132" s="28">
        <v>5428</v>
      </c>
      <c r="N132" s="28">
        <v>310</v>
      </c>
      <c r="O132" s="28">
        <v>310</v>
      </c>
    </row>
    <row r="133" spans="1:15" ht="12.75" customHeight="1">
      <c r="A133" s="4" t="s">
        <v>245</v>
      </c>
      <c r="B133" s="5" t="s">
        <v>246</v>
      </c>
      <c r="C133" s="28">
        <v>23698</v>
      </c>
      <c r="D133" s="28">
        <v>20735</v>
      </c>
      <c r="E133" s="28">
        <v>0</v>
      </c>
      <c r="F133" s="28">
        <f t="shared" si="30"/>
        <v>2963</v>
      </c>
      <c r="G133" s="28">
        <v>58979</v>
      </c>
      <c r="H133" s="28">
        <v>46416</v>
      </c>
      <c r="I133" s="28">
        <v>0</v>
      </c>
      <c r="J133" s="28">
        <f t="shared" si="31"/>
        <v>12563</v>
      </c>
      <c r="K133" s="28">
        <v>7587</v>
      </c>
      <c r="L133" s="28">
        <v>0</v>
      </c>
      <c r="M133" s="28">
        <v>3971</v>
      </c>
      <c r="N133" s="28">
        <v>568</v>
      </c>
      <c r="O133" s="28">
        <v>568</v>
      </c>
    </row>
    <row r="134" spans="1:15" ht="12.75" customHeight="1">
      <c r="A134" s="4" t="s">
        <v>247</v>
      </c>
      <c r="B134" s="5" t="s">
        <v>248</v>
      </c>
      <c r="C134" s="28">
        <v>13619</v>
      </c>
      <c r="D134" s="28">
        <v>10751</v>
      </c>
      <c r="E134" s="28">
        <v>0</v>
      </c>
      <c r="F134" s="28">
        <f t="shared" si="30"/>
        <v>2868</v>
      </c>
      <c r="G134" s="28">
        <v>33624</v>
      </c>
      <c r="H134" s="28">
        <v>23577</v>
      </c>
      <c r="I134" s="28">
        <v>0</v>
      </c>
      <c r="J134" s="28">
        <f t="shared" si="31"/>
        <v>10047</v>
      </c>
      <c r="K134" s="28">
        <v>139</v>
      </c>
      <c r="L134" s="28">
        <v>0</v>
      </c>
      <c r="M134" s="28">
        <v>4444</v>
      </c>
      <c r="N134" s="28">
        <v>84</v>
      </c>
      <c r="O134" s="28">
        <v>84</v>
      </c>
    </row>
    <row r="135" spans="1:15" ht="12.75" customHeight="1">
      <c r="A135" s="10"/>
      <c r="B135" s="9" t="s">
        <v>249</v>
      </c>
      <c r="C135" s="29">
        <f t="shared" ref="C135:O135" si="32">SUM(C126:C134)</f>
        <v>217289</v>
      </c>
      <c r="D135" s="29">
        <f t="shared" si="32"/>
        <v>178157</v>
      </c>
      <c r="E135" s="29">
        <f t="shared" si="32"/>
        <v>2838</v>
      </c>
      <c r="F135" s="29">
        <f t="shared" si="32"/>
        <v>36294</v>
      </c>
      <c r="G135" s="29">
        <f t="shared" si="32"/>
        <v>601335</v>
      </c>
      <c r="H135" s="29">
        <f t="shared" si="32"/>
        <v>364741</v>
      </c>
      <c r="I135" s="29">
        <f t="shared" si="32"/>
        <v>15575</v>
      </c>
      <c r="J135" s="29">
        <f t="shared" si="32"/>
        <v>221019</v>
      </c>
      <c r="K135" s="29">
        <f t="shared" si="32"/>
        <v>17050</v>
      </c>
      <c r="L135" s="29">
        <f t="shared" si="32"/>
        <v>0</v>
      </c>
      <c r="M135" s="29">
        <f t="shared" si="32"/>
        <v>33021</v>
      </c>
      <c r="N135" s="29">
        <f t="shared" si="32"/>
        <v>7043</v>
      </c>
      <c r="O135" s="29">
        <f t="shared" si="32"/>
        <v>7043</v>
      </c>
    </row>
    <row r="136" spans="1:15" ht="12.75" customHeight="1">
      <c r="A136" s="4" t="s">
        <v>250</v>
      </c>
      <c r="B136" s="5" t="s">
        <v>251</v>
      </c>
      <c r="C136" s="28">
        <v>32789</v>
      </c>
      <c r="D136" s="28">
        <v>30235</v>
      </c>
      <c r="E136" s="28">
        <v>0</v>
      </c>
      <c r="F136" s="28">
        <f t="shared" ref="F136:F143" si="33">SUM(C136-D136-E136)</f>
        <v>2554</v>
      </c>
      <c r="G136" s="28">
        <v>82153</v>
      </c>
      <c r="H136" s="28">
        <v>62372</v>
      </c>
      <c r="I136" s="28">
        <v>0</v>
      </c>
      <c r="J136" s="28">
        <f t="shared" ref="J136:J143" si="34">SUM(G136-H136-I136)</f>
        <v>19781</v>
      </c>
      <c r="K136" s="28">
        <v>8967</v>
      </c>
      <c r="L136" s="28">
        <v>3661</v>
      </c>
      <c r="M136" s="28">
        <v>3346</v>
      </c>
      <c r="N136" s="28">
        <v>11772</v>
      </c>
      <c r="O136" s="28">
        <v>11772</v>
      </c>
    </row>
    <row r="137" spans="1:15" ht="12.75" customHeight="1">
      <c r="A137" s="4" t="s">
        <v>252</v>
      </c>
      <c r="B137" s="5" t="s">
        <v>253</v>
      </c>
      <c r="C137" s="28">
        <v>4655</v>
      </c>
      <c r="D137" s="28">
        <v>4652</v>
      </c>
      <c r="E137" s="28">
        <v>0</v>
      </c>
      <c r="F137" s="28">
        <f t="shared" si="33"/>
        <v>3</v>
      </c>
      <c r="G137" s="28">
        <v>10517</v>
      </c>
      <c r="H137" s="28">
        <v>10417</v>
      </c>
      <c r="I137" s="28">
        <v>0</v>
      </c>
      <c r="J137" s="28">
        <f t="shared" si="34"/>
        <v>100</v>
      </c>
      <c r="K137" s="28">
        <v>280</v>
      </c>
      <c r="L137" s="28">
        <v>0</v>
      </c>
      <c r="M137" s="28">
        <v>0</v>
      </c>
      <c r="N137" s="28">
        <v>877</v>
      </c>
      <c r="O137" s="28">
        <v>877</v>
      </c>
    </row>
    <row r="138" spans="1:15" ht="12.75" customHeight="1">
      <c r="A138" s="4" t="s">
        <v>254</v>
      </c>
      <c r="B138" s="5" t="s">
        <v>255</v>
      </c>
      <c r="C138" s="28">
        <v>3041</v>
      </c>
      <c r="D138" s="28">
        <v>3015</v>
      </c>
      <c r="E138" s="28">
        <v>0</v>
      </c>
      <c r="F138" s="28">
        <f t="shared" si="33"/>
        <v>26</v>
      </c>
      <c r="G138" s="28">
        <v>11122</v>
      </c>
      <c r="H138" s="28">
        <v>9606</v>
      </c>
      <c r="I138" s="28">
        <v>0</v>
      </c>
      <c r="J138" s="28">
        <f t="shared" si="34"/>
        <v>1516</v>
      </c>
      <c r="K138" s="28">
        <v>1171</v>
      </c>
      <c r="L138" s="28">
        <v>0</v>
      </c>
      <c r="M138" s="28">
        <v>1157</v>
      </c>
      <c r="N138" s="28">
        <v>1874</v>
      </c>
      <c r="O138" s="28">
        <v>1874</v>
      </c>
    </row>
    <row r="139" spans="1:15" ht="12.75" customHeight="1">
      <c r="A139" s="4" t="s">
        <v>256</v>
      </c>
      <c r="B139" s="5" t="s">
        <v>257</v>
      </c>
      <c r="C139" s="28">
        <v>7901</v>
      </c>
      <c r="D139" s="28">
        <v>7271</v>
      </c>
      <c r="E139" s="28">
        <v>0</v>
      </c>
      <c r="F139" s="28">
        <f t="shared" si="33"/>
        <v>630</v>
      </c>
      <c r="G139" s="28">
        <v>24316</v>
      </c>
      <c r="H139" s="28">
        <v>20430</v>
      </c>
      <c r="I139" s="28">
        <v>0</v>
      </c>
      <c r="J139" s="28">
        <f t="shared" si="34"/>
        <v>3886</v>
      </c>
      <c r="K139" s="28">
        <v>5647</v>
      </c>
      <c r="L139" s="28">
        <v>184</v>
      </c>
      <c r="M139" s="28">
        <v>3066</v>
      </c>
      <c r="N139" s="28">
        <v>1537</v>
      </c>
      <c r="O139" s="28">
        <v>1537</v>
      </c>
    </row>
    <row r="140" spans="1:15" ht="12.75" customHeight="1">
      <c r="A140" s="4" t="s">
        <v>258</v>
      </c>
      <c r="B140" s="5" t="s">
        <v>259</v>
      </c>
      <c r="C140" s="28">
        <v>1645</v>
      </c>
      <c r="D140" s="28">
        <v>1635</v>
      </c>
      <c r="E140" s="28">
        <v>0</v>
      </c>
      <c r="F140" s="28">
        <f t="shared" si="33"/>
        <v>10</v>
      </c>
      <c r="G140" s="28">
        <v>3583</v>
      </c>
      <c r="H140" s="28">
        <v>3515</v>
      </c>
      <c r="I140" s="28">
        <v>0</v>
      </c>
      <c r="J140" s="28">
        <f t="shared" si="34"/>
        <v>68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8916</v>
      </c>
      <c r="D141" s="28">
        <v>8542</v>
      </c>
      <c r="E141" s="28">
        <v>0</v>
      </c>
      <c r="F141" s="28">
        <f t="shared" si="33"/>
        <v>374</v>
      </c>
      <c r="G141" s="28">
        <v>19087</v>
      </c>
      <c r="H141" s="28">
        <v>17329</v>
      </c>
      <c r="I141" s="28">
        <v>0</v>
      </c>
      <c r="J141" s="28">
        <f t="shared" si="34"/>
        <v>1758</v>
      </c>
      <c r="K141" s="28">
        <v>109</v>
      </c>
      <c r="L141" s="28">
        <v>0</v>
      </c>
      <c r="M141" s="28">
        <v>8</v>
      </c>
      <c r="N141" s="28">
        <v>1215</v>
      </c>
      <c r="O141" s="28">
        <v>1215</v>
      </c>
    </row>
    <row r="142" spans="1:15" ht="12.75" customHeight="1">
      <c r="A142" s="4" t="s">
        <v>262</v>
      </c>
      <c r="B142" s="5" t="s">
        <v>263</v>
      </c>
      <c r="C142" s="28">
        <v>7767</v>
      </c>
      <c r="D142" s="28">
        <v>5771</v>
      </c>
      <c r="E142" s="28">
        <v>0</v>
      </c>
      <c r="F142" s="28">
        <f t="shared" si="33"/>
        <v>1996</v>
      </c>
      <c r="G142" s="28">
        <v>25302</v>
      </c>
      <c r="H142" s="28">
        <v>19799</v>
      </c>
      <c r="I142" s="28">
        <v>0</v>
      </c>
      <c r="J142" s="28">
        <f t="shared" si="34"/>
        <v>5503</v>
      </c>
      <c r="K142" s="28">
        <v>3724</v>
      </c>
      <c r="L142" s="28">
        <v>0</v>
      </c>
      <c r="M142" s="28">
        <v>3717</v>
      </c>
      <c r="N142" s="28">
        <v>3050</v>
      </c>
      <c r="O142" s="28">
        <v>3050</v>
      </c>
    </row>
    <row r="143" spans="1:15" ht="12.75" customHeight="1">
      <c r="A143" s="4" t="s">
        <v>264</v>
      </c>
      <c r="B143" s="5" t="s">
        <v>265</v>
      </c>
      <c r="C143" s="28">
        <v>20079</v>
      </c>
      <c r="D143" s="28">
        <v>16508</v>
      </c>
      <c r="E143" s="28">
        <v>0</v>
      </c>
      <c r="F143" s="28">
        <f t="shared" si="33"/>
        <v>3571</v>
      </c>
      <c r="G143" s="28">
        <v>67613</v>
      </c>
      <c r="H143" s="28">
        <v>31063</v>
      </c>
      <c r="I143" s="28">
        <v>0</v>
      </c>
      <c r="J143" s="28">
        <f t="shared" si="34"/>
        <v>36550</v>
      </c>
      <c r="K143" s="28">
        <v>23406</v>
      </c>
      <c r="L143" s="28">
        <v>421</v>
      </c>
      <c r="M143" s="28">
        <v>5986</v>
      </c>
      <c r="N143" s="28">
        <v>4303</v>
      </c>
      <c r="O143" s="28">
        <v>4303</v>
      </c>
    </row>
    <row r="144" spans="1:15" ht="12.75" customHeight="1">
      <c r="A144" s="10"/>
      <c r="B144" s="9" t="s">
        <v>266</v>
      </c>
      <c r="C144" s="30">
        <f t="shared" ref="C144:O144" si="35">SUM(C136:C143)</f>
        <v>86793</v>
      </c>
      <c r="D144" s="30">
        <f t="shared" si="35"/>
        <v>77629</v>
      </c>
      <c r="E144" s="30">
        <f t="shared" si="35"/>
        <v>0</v>
      </c>
      <c r="F144" s="30">
        <f t="shared" si="35"/>
        <v>9164</v>
      </c>
      <c r="G144" s="30">
        <f t="shared" si="35"/>
        <v>243693</v>
      </c>
      <c r="H144" s="30">
        <f t="shared" si="35"/>
        <v>174531</v>
      </c>
      <c r="I144" s="30">
        <f t="shared" si="35"/>
        <v>0</v>
      </c>
      <c r="J144" s="30">
        <f t="shared" si="35"/>
        <v>69162</v>
      </c>
      <c r="K144" s="30">
        <f t="shared" si="35"/>
        <v>43304</v>
      </c>
      <c r="L144" s="30">
        <f t="shared" si="35"/>
        <v>4266</v>
      </c>
      <c r="M144" s="30">
        <f t="shared" si="35"/>
        <v>17280</v>
      </c>
      <c r="N144" s="30">
        <f t="shared" si="35"/>
        <v>24628</v>
      </c>
      <c r="O144" s="30">
        <f t="shared" si="35"/>
        <v>24628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2932904</v>
      </c>
      <c r="D145" s="31">
        <f t="shared" si="36"/>
        <v>2109318</v>
      </c>
      <c r="E145" s="31">
        <f t="shared" si="36"/>
        <v>69723</v>
      </c>
      <c r="F145" s="31">
        <f t="shared" si="36"/>
        <v>753863</v>
      </c>
      <c r="G145" s="31">
        <f t="shared" si="36"/>
        <v>9410652</v>
      </c>
      <c r="H145" s="31">
        <f t="shared" si="36"/>
        <v>4823458</v>
      </c>
      <c r="I145" s="31">
        <f t="shared" si="36"/>
        <v>380946</v>
      </c>
      <c r="J145" s="31">
        <f t="shared" si="36"/>
        <v>4206248</v>
      </c>
      <c r="K145" s="31">
        <f t="shared" si="36"/>
        <v>446891</v>
      </c>
      <c r="L145" s="31">
        <f t="shared" si="36"/>
        <v>7538</v>
      </c>
      <c r="M145" s="31">
        <f t="shared" si="36"/>
        <v>629739</v>
      </c>
      <c r="N145" s="31">
        <f t="shared" si="36"/>
        <v>355261</v>
      </c>
      <c r="O145" s="31">
        <f t="shared" si="36"/>
        <v>197679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2017-08-01T13:13:15Z</dcterms:modified>
</cp:coreProperties>
</file>