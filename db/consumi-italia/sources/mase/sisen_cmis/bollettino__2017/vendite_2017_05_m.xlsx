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l="1"/>
  <c r="P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<sst xmlns="http://schemas.openxmlformats.org/spreadsheetml/2006/main" count="182" uniqueCount="91">
  <si>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</si>
  <si>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</si>
  <si>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</si>
  <si>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</si>
  <si>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</si>
  <si>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</si>
  <si>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</si>
  <si>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maggio 2017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</si>
  <si>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</si>
  <si>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</si>
  <si>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</si>
  <si>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</si>
  <si>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</si>
  <si>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</si>
  <si>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</si>
  <si>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</si>
  <si>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</si>
  <si>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</si>
  <si>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</si>
  <si>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</si>
  <si>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</si>
  <si>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</si>
  <si>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</si>
  <si>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</si>
  <si>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</si>
  <si>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</si>
  <si>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</si>
  <si>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</si>
  <si>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</si>
  <si>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</si>
  <si>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</si>
  <si>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</si>
  <si>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</si>
  <si>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</si>
  <si>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</si>
  <si>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</si>
  <si>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</si>
  <si>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</si>
  <si>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</si>
  <si>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</si>
  <si>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</si>
  <si>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</si>
  <si>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</si>
  <si>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</si>
  <si>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</si>
  <si>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</si>
  <si>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</si>
  <si>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</si>
  <si>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</si>
  <si>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</si>
  <si>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</si>
  <si>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</si>
  <si>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</si>
  <si>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</si>
  <si>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</si>
  <si>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</si>
  <si>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</si>
  <si>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</si>
  <si>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</si>
  <si>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</si>
  <si>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</si>
  <si>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</si>
  <si>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</si>
  <si>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</si>
  <si>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</si>
  <si>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</si>
  <si>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</si>
  <si>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</si>
  <si>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</si>
  <si>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</si>
  <si>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</si>
  <si>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</si>
  <si>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</si>
  <si>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</si>
  <si>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</si>
  <si>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</si>
  <si>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</si>
  <si>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</si>
  <si>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</si>
  <si>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</si>
  <si>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</si>
  <si>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</si>
  <si>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</si>
  <si>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</si>
  <si>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</si>
  <si>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</si>
  <si>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</si>
  <si>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</si>
  <si>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</si>
  <si>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</si>
  <si>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gennaio-maggio 2017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</si>
</sst>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45764</v>
      </c>
      <c r="E10" s="29">
        <v>1238</v>
      </c>
      <c r="F10" s="29">
        <v>0</v>
      </c>
      <c r="G10" s="29">
        <v>0</v>
      </c>
      <c r="H10" s="29">
        <v>0</v>
      </c>
      <c r="I10" s="29">
        <v>0</v>
      </c>
      <c r="J10" s="29">
        <v>5241</v>
      </c>
      <c r="K10" s="29">
        <v>315</v>
      </c>
      <c r="L10" s="29">
        <v>52576</v>
      </c>
      <c r="M10" s="29">
        <v>167</v>
      </c>
      <c r="N10" s="30">
        <f t="shared" ref="N10:N42" si="0">SUM(C10:M10)</f>
        <v>105301</v>
      </c>
      <c r="O10" s="29">
        <v>0</v>
      </c>
      <c r="P10" s="30">
        <f t="shared" ref="P10:P42" si="1">SUM(N10:O10)</f>
        <v>105301</v>
      </c>
    </row>
    <row r="11" spans="1:16" ht="15" customHeight="1">
      <c r="A11" s="11" t="s">
        <v>26</v>
      </c>
      <c r="B11" s="12" t="s">
        <v>27</v>
      </c>
      <c r="C11" s="29">
        <v>67870</v>
      </c>
      <c r="D11" s="29">
        <v>4306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75758</v>
      </c>
      <c r="M11" s="29">
        <v>1363</v>
      </c>
      <c r="N11" s="30">
        <f t="shared" si="0"/>
        <v>149297</v>
      </c>
      <c r="O11" s="29">
        <v>0</v>
      </c>
      <c r="P11" s="30">
        <f t="shared" si="1"/>
        <v>149297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2210</v>
      </c>
      <c r="K12" s="29">
        <v>0</v>
      </c>
      <c r="L12" s="29">
        <v>0</v>
      </c>
      <c r="M12" s="29">
        <v>0</v>
      </c>
      <c r="N12" s="30">
        <f t="shared" si="0"/>
        <v>2210</v>
      </c>
      <c r="O12" s="29">
        <v>0</v>
      </c>
      <c r="P12" s="30">
        <f t="shared" si="1"/>
        <v>2210</v>
      </c>
    </row>
    <row r="13" spans="1:16" ht="15" customHeight="1">
      <c r="A13" s="11" t="s">
        <v>30</v>
      </c>
      <c r="B13" s="12" t="s">
        <v>31</v>
      </c>
      <c r="C13" s="29">
        <v>479179</v>
      </c>
      <c r="D13" s="29">
        <v>1644</v>
      </c>
      <c r="E13" s="29">
        <v>119</v>
      </c>
      <c r="F13" s="29">
        <v>0</v>
      </c>
      <c r="G13" s="29">
        <v>95</v>
      </c>
      <c r="H13" s="29">
        <v>0</v>
      </c>
      <c r="I13" s="29">
        <v>0</v>
      </c>
      <c r="J13" s="29">
        <v>539</v>
      </c>
      <c r="K13" s="29">
        <v>157</v>
      </c>
      <c r="L13" s="29">
        <v>155147</v>
      </c>
      <c r="M13" s="29">
        <v>7631</v>
      </c>
      <c r="N13" s="30">
        <f t="shared" si="0"/>
        <v>644511</v>
      </c>
      <c r="O13" s="29">
        <v>0</v>
      </c>
      <c r="P13" s="30">
        <f t="shared" si="1"/>
        <v>644511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142</v>
      </c>
      <c r="I14" s="29">
        <v>0</v>
      </c>
      <c r="J14" s="29">
        <v>0</v>
      </c>
      <c r="K14" s="29">
        <v>2</v>
      </c>
      <c r="L14" s="29">
        <v>0</v>
      </c>
      <c r="M14" s="29">
        <v>0</v>
      </c>
      <c r="N14" s="30">
        <f t="shared" si="0"/>
        <v>144</v>
      </c>
      <c r="O14" s="29">
        <v>0</v>
      </c>
      <c r="P14" s="30">
        <f t="shared" si="1"/>
        <v>144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96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96</v>
      </c>
      <c r="O15" s="29">
        <v>0</v>
      </c>
      <c r="P15" s="30">
        <f t="shared" si="1"/>
        <v>96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73</v>
      </c>
      <c r="F16" s="29">
        <v>0</v>
      </c>
      <c r="G16" s="29">
        <v>0</v>
      </c>
      <c r="H16" s="29">
        <v>0</v>
      </c>
      <c r="I16" s="29">
        <v>0</v>
      </c>
      <c r="J16" s="29">
        <v>757</v>
      </c>
      <c r="K16" s="29">
        <v>0</v>
      </c>
      <c r="L16" s="29">
        <v>178</v>
      </c>
      <c r="M16" s="29">
        <v>0</v>
      </c>
      <c r="N16" s="30">
        <f t="shared" si="0"/>
        <v>1008</v>
      </c>
      <c r="O16" s="29">
        <v>0</v>
      </c>
      <c r="P16" s="30">
        <f t="shared" si="1"/>
        <v>1008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201</v>
      </c>
      <c r="M17" s="29">
        <v>0</v>
      </c>
      <c r="N17" s="30">
        <f t="shared" si="0"/>
        <v>203</v>
      </c>
      <c r="O17" s="29">
        <v>0</v>
      </c>
      <c r="P17" s="30">
        <f t="shared" si="1"/>
        <v>203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365486</v>
      </c>
      <c r="I18" s="29">
        <v>0</v>
      </c>
      <c r="J18" s="29">
        <v>105</v>
      </c>
      <c r="K18" s="29">
        <v>765</v>
      </c>
      <c r="L18" s="29">
        <v>68</v>
      </c>
      <c r="M18" s="29">
        <v>9098</v>
      </c>
      <c r="N18" s="30">
        <f t="shared" si="0"/>
        <v>375522</v>
      </c>
      <c r="O18" s="29">
        <v>0</v>
      </c>
      <c r="P18" s="30">
        <f t="shared" si="1"/>
        <v>375522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1</v>
      </c>
      <c r="O19" s="29">
        <v>0</v>
      </c>
      <c r="P19" s="30">
        <f t="shared" si="1"/>
        <v>1</v>
      </c>
    </row>
    <row r="20" spans="1:16" ht="15" customHeight="1">
      <c r="A20" s="11" t="s">
        <v>44</v>
      </c>
      <c r="B20" s="12" t="s">
        <v>45</v>
      </c>
      <c r="C20" s="29">
        <v>1116595</v>
      </c>
      <c r="D20" s="29">
        <v>76767</v>
      </c>
      <c r="E20" s="29">
        <v>196025</v>
      </c>
      <c r="F20" s="29">
        <v>2983</v>
      </c>
      <c r="G20" s="29">
        <v>29344</v>
      </c>
      <c r="H20" s="29">
        <v>0</v>
      </c>
      <c r="I20" s="29">
        <v>275</v>
      </c>
      <c r="J20" s="29">
        <v>4203</v>
      </c>
      <c r="K20" s="29">
        <v>5471</v>
      </c>
      <c r="L20" s="29">
        <v>793294</v>
      </c>
      <c r="M20" s="29">
        <v>48427</v>
      </c>
      <c r="N20" s="30">
        <f t="shared" si="0"/>
        <v>2273384</v>
      </c>
      <c r="O20" s="29">
        <v>33077</v>
      </c>
      <c r="P20" s="30">
        <f t="shared" si="1"/>
        <v>2306461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1319</v>
      </c>
      <c r="E21" s="29">
        <v>10</v>
      </c>
      <c r="F21" s="29">
        <v>0</v>
      </c>
      <c r="G21" s="29">
        <v>1940</v>
      </c>
      <c r="H21" s="29">
        <v>0</v>
      </c>
      <c r="I21" s="29">
        <v>0</v>
      </c>
      <c r="J21" s="29">
        <v>32</v>
      </c>
      <c r="K21" s="29">
        <v>583</v>
      </c>
      <c r="L21" s="29">
        <v>35591</v>
      </c>
      <c r="M21" s="29">
        <v>472</v>
      </c>
      <c r="N21" s="30">
        <f t="shared" si="0"/>
        <v>39947</v>
      </c>
      <c r="O21" s="29">
        <v>8623</v>
      </c>
      <c r="P21" s="30">
        <f t="shared" si="1"/>
        <v>48570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152</v>
      </c>
      <c r="E22" s="29">
        <v>0</v>
      </c>
      <c r="F22" s="29">
        <v>0</v>
      </c>
      <c r="G22" s="29">
        <v>0</v>
      </c>
      <c r="H22" s="29">
        <v>0</v>
      </c>
      <c r="I22" s="29">
        <v>777</v>
      </c>
      <c r="J22" s="29">
        <v>0</v>
      </c>
      <c r="K22" s="29">
        <v>0</v>
      </c>
      <c r="L22" s="29">
        <v>0</v>
      </c>
      <c r="M22" s="29">
        <v>3435</v>
      </c>
      <c r="N22" s="30">
        <f t="shared" si="0"/>
        <v>4364</v>
      </c>
      <c r="O22" s="29">
        <v>0</v>
      </c>
      <c r="P22" s="30">
        <f t="shared" si="1"/>
        <v>4364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19997</v>
      </c>
      <c r="J23" s="29">
        <v>0</v>
      </c>
      <c r="K23" s="29">
        <v>0</v>
      </c>
      <c r="L23" s="29">
        <v>11381</v>
      </c>
      <c r="M23" s="29">
        <v>0</v>
      </c>
      <c r="N23" s="30">
        <f t="shared" si="0"/>
        <v>31378</v>
      </c>
      <c r="O23" s="29">
        <v>124674</v>
      </c>
      <c r="P23" s="30">
        <f t="shared" si="1"/>
        <v>156052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1037</v>
      </c>
      <c r="E24" s="29">
        <v>661</v>
      </c>
      <c r="F24" s="29">
        <v>0</v>
      </c>
      <c r="G24" s="29">
        <v>0</v>
      </c>
      <c r="H24" s="29">
        <v>0</v>
      </c>
      <c r="I24" s="29">
        <v>0</v>
      </c>
      <c r="J24" s="29">
        <v>1130</v>
      </c>
      <c r="K24" s="29">
        <v>175</v>
      </c>
      <c r="L24" s="29">
        <v>24180</v>
      </c>
      <c r="M24" s="29">
        <v>12896</v>
      </c>
      <c r="N24" s="30">
        <f t="shared" si="0"/>
        <v>40079</v>
      </c>
      <c r="O24" s="29">
        <v>95644</v>
      </c>
      <c r="P24" s="30">
        <f t="shared" si="1"/>
        <v>135723</v>
      </c>
    </row>
    <row r="25" spans="1:16" ht="15" customHeight="1">
      <c r="A25" s="11" t="s">
        <v>54</v>
      </c>
      <c r="B25" s="12" t="s">
        <v>55</v>
      </c>
      <c r="C25" s="29">
        <v>171</v>
      </c>
      <c r="D25" s="29">
        <v>6324</v>
      </c>
      <c r="E25" s="29">
        <v>875</v>
      </c>
      <c r="F25" s="29">
        <v>39</v>
      </c>
      <c r="G25" s="29">
        <v>226</v>
      </c>
      <c r="H25" s="29">
        <v>5</v>
      </c>
      <c r="I25" s="29">
        <v>80</v>
      </c>
      <c r="J25" s="29">
        <v>3015</v>
      </c>
      <c r="K25" s="29">
        <v>30</v>
      </c>
      <c r="L25" s="29">
        <v>5050</v>
      </c>
      <c r="M25" s="29">
        <v>892</v>
      </c>
      <c r="N25" s="30">
        <f t="shared" si="0"/>
        <v>16707</v>
      </c>
      <c r="O25" s="29">
        <v>2977</v>
      </c>
      <c r="P25" s="30">
        <f t="shared" si="1"/>
        <v>19684</v>
      </c>
    </row>
    <row r="26" spans="1:16" ht="15" customHeight="1">
      <c r="A26" s="11" t="s">
        <v>56</v>
      </c>
      <c r="B26" s="12" t="s">
        <v>57</v>
      </c>
      <c r="C26" s="29">
        <v>4</v>
      </c>
      <c r="D26" s="29">
        <v>4301</v>
      </c>
      <c r="E26" s="29">
        <v>148</v>
      </c>
      <c r="F26" s="29">
        <v>4</v>
      </c>
      <c r="G26" s="29">
        <v>94</v>
      </c>
      <c r="H26" s="29">
        <v>17</v>
      </c>
      <c r="I26" s="29">
        <v>50</v>
      </c>
      <c r="J26" s="29">
        <v>10384</v>
      </c>
      <c r="K26" s="29">
        <v>5</v>
      </c>
      <c r="L26" s="29">
        <v>2198</v>
      </c>
      <c r="M26" s="29">
        <v>434</v>
      </c>
      <c r="N26" s="30">
        <f t="shared" si="0"/>
        <v>17639</v>
      </c>
      <c r="O26" s="29">
        <v>264</v>
      </c>
      <c r="P26" s="30">
        <f t="shared" si="1"/>
        <v>17903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42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133</v>
      </c>
      <c r="K27" s="29">
        <v>0</v>
      </c>
      <c r="L27" s="29">
        <v>7</v>
      </c>
      <c r="M27" s="29">
        <v>0</v>
      </c>
      <c r="N27" s="30">
        <f t="shared" si="0"/>
        <v>182</v>
      </c>
      <c r="O27" s="29">
        <v>0</v>
      </c>
      <c r="P27" s="30">
        <f t="shared" si="1"/>
        <v>182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3</v>
      </c>
      <c r="E28" s="29">
        <v>0</v>
      </c>
      <c r="F28" s="29">
        <v>0</v>
      </c>
      <c r="G28" s="29">
        <v>0</v>
      </c>
      <c r="H28" s="29">
        <v>0</v>
      </c>
      <c r="I28" s="29">
        <v>21</v>
      </c>
      <c r="J28" s="29">
        <v>156</v>
      </c>
      <c r="K28" s="29">
        <v>0</v>
      </c>
      <c r="L28" s="29">
        <v>46</v>
      </c>
      <c r="M28" s="29">
        <v>0</v>
      </c>
      <c r="N28" s="30">
        <f t="shared" si="0"/>
        <v>226</v>
      </c>
      <c r="O28" s="29">
        <v>0</v>
      </c>
      <c r="P28" s="30">
        <f t="shared" si="1"/>
        <v>226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96</v>
      </c>
      <c r="K29" s="29">
        <v>0</v>
      </c>
      <c r="L29" s="29">
        <v>80</v>
      </c>
      <c r="M29" s="29">
        <v>8762</v>
      </c>
      <c r="N29" s="30">
        <f t="shared" si="0"/>
        <v>8938</v>
      </c>
      <c r="O29" s="29">
        <v>0</v>
      </c>
      <c r="P29" s="30">
        <f t="shared" si="1"/>
        <v>8938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30">
        <f t="shared" si="0"/>
        <v>0</v>
      </c>
      <c r="O30" s="29">
        <v>0</v>
      </c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8877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76706</v>
      </c>
      <c r="K32" s="29">
        <v>0</v>
      </c>
      <c r="L32" s="29">
        <v>70002</v>
      </c>
      <c r="M32" s="29">
        <v>3824</v>
      </c>
      <c r="N32" s="30">
        <f t="shared" si="0"/>
        <v>159409</v>
      </c>
      <c r="O32" s="29">
        <v>0</v>
      </c>
      <c r="P32" s="30">
        <f t="shared" si="1"/>
        <v>159409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6997</v>
      </c>
      <c r="K33" s="29">
        <v>0</v>
      </c>
      <c r="L33" s="29">
        <v>0</v>
      </c>
      <c r="M33" s="29">
        <v>0</v>
      </c>
      <c r="N33" s="30">
        <f t="shared" si="0"/>
        <v>6997</v>
      </c>
      <c r="O33" s="29">
        <v>0</v>
      </c>
      <c r="P33" s="30">
        <f t="shared" si="1"/>
        <v>6997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4</v>
      </c>
      <c r="D35" s="29">
        <v>60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4097</v>
      </c>
      <c r="K35" s="29">
        <v>0</v>
      </c>
      <c r="L35" s="29">
        <v>47</v>
      </c>
      <c r="M35" s="29">
        <v>0</v>
      </c>
      <c r="N35" s="30">
        <f t="shared" si="0"/>
        <v>4208</v>
      </c>
      <c r="O35" s="29">
        <v>0</v>
      </c>
      <c r="P35" s="30">
        <f t="shared" si="1"/>
        <v>4208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3413</v>
      </c>
      <c r="K36" s="29">
        <v>0</v>
      </c>
      <c r="L36" s="29">
        <v>15259</v>
      </c>
      <c r="M36" s="29">
        <v>26675</v>
      </c>
      <c r="N36" s="30">
        <f t="shared" si="0"/>
        <v>45347</v>
      </c>
      <c r="O36" s="29">
        <v>0</v>
      </c>
      <c r="P36" s="30">
        <f t="shared" si="1"/>
        <v>45347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2409</v>
      </c>
      <c r="K37" s="29">
        <v>0</v>
      </c>
      <c r="L37" s="29">
        <v>286</v>
      </c>
      <c r="M37" s="29">
        <v>3105</v>
      </c>
      <c r="N37" s="30">
        <f t="shared" si="0"/>
        <v>5800</v>
      </c>
      <c r="O37" s="29">
        <v>0</v>
      </c>
      <c r="P37" s="30">
        <f t="shared" si="1"/>
        <v>5800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9</v>
      </c>
      <c r="K38" s="29">
        <v>0</v>
      </c>
      <c r="L38" s="29">
        <v>0</v>
      </c>
      <c r="M38" s="29">
        <v>0</v>
      </c>
      <c r="N38" s="30">
        <f t="shared" si="0"/>
        <v>9</v>
      </c>
      <c r="O38" s="29">
        <v>0</v>
      </c>
      <c r="P38" s="30">
        <f t="shared" si="1"/>
        <v>9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7476</v>
      </c>
      <c r="M39" s="29">
        <v>0</v>
      </c>
      <c r="N39" s="30">
        <f t="shared" si="0"/>
        <v>7476</v>
      </c>
      <c r="O39" s="29">
        <v>0</v>
      </c>
      <c r="P39" s="30">
        <f t="shared" si="1"/>
        <v>7476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1663823</v>
      </c>
      <c r="D43" s="31">
        <f t="shared" si="2"/>
        <v>150599</v>
      </c>
      <c r="E43" s="31">
        <f t="shared" si="2"/>
        <v>199149</v>
      </c>
      <c r="F43" s="31">
        <f t="shared" si="2"/>
        <v>3026</v>
      </c>
      <c r="G43" s="31">
        <f t="shared" si="2"/>
        <v>31699</v>
      </c>
      <c r="H43" s="31">
        <f t="shared" si="2"/>
        <v>365746</v>
      </c>
      <c r="I43" s="31">
        <f t="shared" si="2"/>
        <v>21200</v>
      </c>
      <c r="J43" s="31">
        <f t="shared" si="2"/>
        <v>121632</v>
      </c>
      <c r="K43" s="31">
        <f t="shared" si="2"/>
        <v>7503</v>
      </c>
      <c r="L43" s="31">
        <f t="shared" si="2"/>
        <v>1248825</v>
      </c>
      <c r="M43" s="31">
        <f t="shared" si="2"/>
        <v>127181</v>
      </c>
      <c r="N43" s="31">
        <f t="shared" si="2"/>
        <v>3940383</v>
      </c>
      <c r="O43" s="31">
        <f t="shared" si="2"/>
        <v>265259</v>
      </c>
      <c r="P43" s="31">
        <f t="shared" si="2"/>
        <v>4205642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384544</v>
      </c>
      <c r="E10" s="29">
        <v>8972</v>
      </c>
      <c r="F10" s="29">
        <v>0</v>
      </c>
      <c r="G10" s="29">
        <v>0</v>
      </c>
      <c r="H10" s="29">
        <v>0</v>
      </c>
      <c r="I10" s="29">
        <v>0</v>
      </c>
      <c r="J10" s="29">
        <v>32383</v>
      </c>
      <c r="K10" s="29">
        <v>2130</v>
      </c>
      <c r="L10" s="29">
        <v>358060</v>
      </c>
      <c r="M10" s="29">
        <v>1366</v>
      </c>
      <c r="N10" s="30">
        <f t="shared" ref="N10:N42" si="0">SUM(C10:M10)</f>
        <v>787455</v>
      </c>
      <c r="O10" s="29">
        <v>0</v>
      </c>
      <c r="P10" s="30">
        <f t="shared" ref="P10:P42" si="1">SUM(N10:O10)</f>
        <v>787455</v>
      </c>
    </row>
    <row r="11" spans="1:16" ht="15" customHeight="1">
      <c r="A11" s="11" t="s">
        <v>26</v>
      </c>
      <c r="B11" s="12" t="s">
        <v>27</v>
      </c>
      <c r="C11" s="29">
        <v>320734</v>
      </c>
      <c r="D11" s="29">
        <v>20834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344264</v>
      </c>
      <c r="M11" s="29">
        <v>6062</v>
      </c>
      <c r="N11" s="30">
        <f t="shared" si="0"/>
        <v>691894</v>
      </c>
      <c r="O11" s="29">
        <v>0</v>
      </c>
      <c r="P11" s="30">
        <f t="shared" si="1"/>
        <v>691894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9616</v>
      </c>
      <c r="K12" s="29">
        <v>0</v>
      </c>
      <c r="L12" s="29">
        <v>0</v>
      </c>
      <c r="M12" s="29">
        <v>0</v>
      </c>
      <c r="N12" s="30">
        <f t="shared" si="0"/>
        <v>9616</v>
      </c>
      <c r="O12" s="29">
        <v>0</v>
      </c>
      <c r="P12" s="30">
        <f t="shared" si="1"/>
        <v>9616</v>
      </c>
    </row>
    <row r="13" spans="1:16" ht="15" customHeight="1">
      <c r="A13" s="11" t="s">
        <v>30</v>
      </c>
      <c r="B13" s="12" t="s">
        <v>31</v>
      </c>
      <c r="C13" s="29">
        <v>2179042</v>
      </c>
      <c r="D13" s="29">
        <v>8484</v>
      </c>
      <c r="E13" s="29">
        <v>365</v>
      </c>
      <c r="F13" s="29">
        <v>0</v>
      </c>
      <c r="G13" s="29">
        <v>344</v>
      </c>
      <c r="H13" s="29">
        <v>0</v>
      </c>
      <c r="I13" s="29">
        <v>0</v>
      </c>
      <c r="J13" s="29">
        <v>5270</v>
      </c>
      <c r="K13" s="29">
        <v>450</v>
      </c>
      <c r="L13" s="29">
        <v>697852</v>
      </c>
      <c r="M13" s="29">
        <v>41737</v>
      </c>
      <c r="N13" s="30">
        <f t="shared" si="0"/>
        <v>2933544</v>
      </c>
      <c r="O13" s="29">
        <v>0</v>
      </c>
      <c r="P13" s="30">
        <f t="shared" si="1"/>
        <v>2933544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494</v>
      </c>
      <c r="I14" s="29">
        <v>0</v>
      </c>
      <c r="J14" s="29">
        <v>0</v>
      </c>
      <c r="K14" s="29">
        <v>19</v>
      </c>
      <c r="L14" s="29">
        <v>0</v>
      </c>
      <c r="M14" s="29">
        <v>0</v>
      </c>
      <c r="N14" s="30">
        <f t="shared" si="0"/>
        <v>513</v>
      </c>
      <c r="O14" s="29">
        <v>0</v>
      </c>
      <c r="P14" s="30">
        <f t="shared" si="1"/>
        <v>513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374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374</v>
      </c>
      <c r="O15" s="29">
        <v>0</v>
      </c>
      <c r="P15" s="30">
        <f t="shared" si="1"/>
        <v>374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324</v>
      </c>
      <c r="F16" s="29">
        <v>0</v>
      </c>
      <c r="G16" s="29">
        <v>0</v>
      </c>
      <c r="H16" s="29">
        <v>0</v>
      </c>
      <c r="I16" s="29">
        <v>0</v>
      </c>
      <c r="J16" s="29">
        <v>2465</v>
      </c>
      <c r="K16" s="29">
        <v>0</v>
      </c>
      <c r="L16" s="29">
        <v>564</v>
      </c>
      <c r="M16" s="29">
        <v>0</v>
      </c>
      <c r="N16" s="30">
        <f t="shared" si="0"/>
        <v>3353</v>
      </c>
      <c r="O16" s="29">
        <v>0</v>
      </c>
      <c r="P16" s="30">
        <f t="shared" si="1"/>
        <v>3353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16</v>
      </c>
      <c r="K17" s="29">
        <v>0</v>
      </c>
      <c r="L17" s="29">
        <v>1862</v>
      </c>
      <c r="M17" s="29">
        <v>0</v>
      </c>
      <c r="N17" s="30">
        <f t="shared" si="0"/>
        <v>1898</v>
      </c>
      <c r="O17" s="29">
        <v>0</v>
      </c>
      <c r="P17" s="30">
        <f t="shared" si="1"/>
        <v>1898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1503102</v>
      </c>
      <c r="I18" s="29">
        <v>0</v>
      </c>
      <c r="J18" s="29">
        <v>342</v>
      </c>
      <c r="K18" s="29">
        <v>29381</v>
      </c>
      <c r="L18" s="29">
        <v>121</v>
      </c>
      <c r="M18" s="29">
        <v>24108</v>
      </c>
      <c r="N18" s="30">
        <f t="shared" si="0"/>
        <v>1557054</v>
      </c>
      <c r="O18" s="29">
        <v>0</v>
      </c>
      <c r="P18" s="30">
        <f t="shared" si="1"/>
        <v>1557054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27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7</v>
      </c>
      <c r="M19" s="29">
        <v>0</v>
      </c>
      <c r="N19" s="30">
        <f t="shared" si="0"/>
        <v>34</v>
      </c>
      <c r="O19" s="29">
        <v>0</v>
      </c>
      <c r="P19" s="30">
        <f t="shared" si="1"/>
        <v>34</v>
      </c>
    </row>
    <row r="20" spans="1:16" ht="15" customHeight="1">
      <c r="A20" s="11" t="s">
        <v>44</v>
      </c>
      <c r="B20" s="12" t="s">
        <v>45</v>
      </c>
      <c r="C20" s="29">
        <v>5204404</v>
      </c>
      <c r="D20" s="29">
        <v>339469</v>
      </c>
      <c r="E20" s="29">
        <v>629733</v>
      </c>
      <c r="F20" s="29">
        <v>14336</v>
      </c>
      <c r="G20" s="29">
        <v>108858</v>
      </c>
      <c r="H20" s="29">
        <v>0</v>
      </c>
      <c r="I20" s="29">
        <v>1758</v>
      </c>
      <c r="J20" s="29">
        <v>30196</v>
      </c>
      <c r="K20" s="29">
        <v>9483</v>
      </c>
      <c r="L20" s="29">
        <v>3550281</v>
      </c>
      <c r="M20" s="29">
        <v>261738</v>
      </c>
      <c r="N20" s="30">
        <f t="shared" si="0"/>
        <v>10150256</v>
      </c>
      <c r="O20" s="29">
        <v>148440</v>
      </c>
      <c r="P20" s="30">
        <f t="shared" si="1"/>
        <v>10298696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17308</v>
      </c>
      <c r="E21" s="29">
        <v>118</v>
      </c>
      <c r="F21" s="29">
        <v>0</v>
      </c>
      <c r="G21" s="29">
        <v>3785</v>
      </c>
      <c r="H21" s="29">
        <v>0</v>
      </c>
      <c r="I21" s="29">
        <v>14004</v>
      </c>
      <c r="J21" s="29">
        <v>1168</v>
      </c>
      <c r="K21" s="29">
        <v>9879</v>
      </c>
      <c r="L21" s="29">
        <v>392363</v>
      </c>
      <c r="M21" s="29">
        <v>8265</v>
      </c>
      <c r="N21" s="30">
        <f t="shared" si="0"/>
        <v>446890</v>
      </c>
      <c r="O21" s="29">
        <v>36101</v>
      </c>
      <c r="P21" s="30">
        <f t="shared" si="1"/>
        <v>482991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581</v>
      </c>
      <c r="E22" s="29">
        <v>0</v>
      </c>
      <c r="F22" s="29">
        <v>0</v>
      </c>
      <c r="G22" s="29">
        <v>0</v>
      </c>
      <c r="H22" s="29">
        <v>0</v>
      </c>
      <c r="I22" s="29">
        <v>4685</v>
      </c>
      <c r="J22" s="29">
        <v>0</v>
      </c>
      <c r="K22" s="29">
        <v>0</v>
      </c>
      <c r="L22" s="29">
        <v>0</v>
      </c>
      <c r="M22" s="29">
        <v>17573</v>
      </c>
      <c r="N22" s="30">
        <f t="shared" si="0"/>
        <v>22839</v>
      </c>
      <c r="O22" s="29">
        <v>0</v>
      </c>
      <c r="P22" s="30">
        <f t="shared" si="1"/>
        <v>22839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129321</v>
      </c>
      <c r="J23" s="29">
        <v>0</v>
      </c>
      <c r="K23" s="29">
        <v>0</v>
      </c>
      <c r="L23" s="29">
        <v>28260</v>
      </c>
      <c r="M23" s="29">
        <v>0</v>
      </c>
      <c r="N23" s="30">
        <f t="shared" si="0"/>
        <v>157581</v>
      </c>
      <c r="O23" s="29">
        <v>579108</v>
      </c>
      <c r="P23" s="30">
        <f t="shared" si="1"/>
        <v>736689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8075</v>
      </c>
      <c r="E24" s="29">
        <v>3199</v>
      </c>
      <c r="F24" s="29">
        <v>0</v>
      </c>
      <c r="G24" s="29">
        <v>0</v>
      </c>
      <c r="H24" s="29">
        <v>0</v>
      </c>
      <c r="I24" s="29">
        <v>0</v>
      </c>
      <c r="J24" s="29">
        <v>7370</v>
      </c>
      <c r="K24" s="29">
        <v>565</v>
      </c>
      <c r="L24" s="29">
        <v>118502</v>
      </c>
      <c r="M24" s="29">
        <v>60533</v>
      </c>
      <c r="N24" s="30">
        <f t="shared" si="0"/>
        <v>198244</v>
      </c>
      <c r="O24" s="29">
        <v>434568</v>
      </c>
      <c r="P24" s="30">
        <f t="shared" si="1"/>
        <v>632812</v>
      </c>
    </row>
    <row r="25" spans="1:16" ht="15" customHeight="1">
      <c r="A25" s="11" t="s">
        <v>54</v>
      </c>
      <c r="B25" s="12" t="s">
        <v>55</v>
      </c>
      <c r="C25" s="29">
        <v>625</v>
      </c>
      <c r="D25" s="29">
        <v>31607</v>
      </c>
      <c r="E25" s="29">
        <v>3502</v>
      </c>
      <c r="F25" s="29">
        <v>181</v>
      </c>
      <c r="G25" s="29">
        <v>1061</v>
      </c>
      <c r="H25" s="29">
        <v>29</v>
      </c>
      <c r="I25" s="29">
        <v>297</v>
      </c>
      <c r="J25" s="29">
        <v>13316</v>
      </c>
      <c r="K25" s="29">
        <v>199</v>
      </c>
      <c r="L25" s="29">
        <v>25754</v>
      </c>
      <c r="M25" s="29">
        <v>3625</v>
      </c>
      <c r="N25" s="30">
        <f t="shared" si="0"/>
        <v>80196</v>
      </c>
      <c r="O25" s="29">
        <v>11796</v>
      </c>
      <c r="P25" s="30">
        <f t="shared" si="1"/>
        <v>91992</v>
      </c>
    </row>
    <row r="26" spans="1:16" ht="15" customHeight="1">
      <c r="A26" s="11" t="s">
        <v>56</v>
      </c>
      <c r="B26" s="12" t="s">
        <v>57</v>
      </c>
      <c r="C26" s="29">
        <v>18</v>
      </c>
      <c r="D26" s="29">
        <v>17957</v>
      </c>
      <c r="E26" s="29">
        <v>670</v>
      </c>
      <c r="F26" s="29">
        <v>24</v>
      </c>
      <c r="G26" s="29">
        <v>392</v>
      </c>
      <c r="H26" s="29">
        <v>131</v>
      </c>
      <c r="I26" s="29">
        <v>222</v>
      </c>
      <c r="J26" s="29">
        <v>47044</v>
      </c>
      <c r="K26" s="29">
        <v>60</v>
      </c>
      <c r="L26" s="29">
        <v>12721</v>
      </c>
      <c r="M26" s="29">
        <v>3536</v>
      </c>
      <c r="N26" s="30">
        <f t="shared" si="0"/>
        <v>82775</v>
      </c>
      <c r="O26" s="29">
        <v>1050</v>
      </c>
      <c r="P26" s="30">
        <f t="shared" si="1"/>
        <v>83825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179</v>
      </c>
      <c r="E27" s="29">
        <v>3</v>
      </c>
      <c r="F27" s="29">
        <v>0</v>
      </c>
      <c r="G27" s="29">
        <v>0</v>
      </c>
      <c r="H27" s="29">
        <v>0</v>
      </c>
      <c r="I27" s="29">
        <v>0</v>
      </c>
      <c r="J27" s="29">
        <v>1407</v>
      </c>
      <c r="K27" s="29">
        <v>0</v>
      </c>
      <c r="L27" s="29">
        <v>55</v>
      </c>
      <c r="M27" s="29">
        <v>0</v>
      </c>
      <c r="N27" s="30">
        <f t="shared" si="0"/>
        <v>1644</v>
      </c>
      <c r="O27" s="29">
        <v>0</v>
      </c>
      <c r="P27" s="30">
        <f t="shared" si="1"/>
        <v>1644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21</v>
      </c>
      <c r="E28" s="29">
        <v>0</v>
      </c>
      <c r="F28" s="29">
        <v>0</v>
      </c>
      <c r="G28" s="29">
        <v>0</v>
      </c>
      <c r="H28" s="29">
        <v>0</v>
      </c>
      <c r="I28" s="29">
        <v>85</v>
      </c>
      <c r="J28" s="29">
        <v>818</v>
      </c>
      <c r="K28" s="29">
        <v>0</v>
      </c>
      <c r="L28" s="29">
        <v>193</v>
      </c>
      <c r="M28" s="29">
        <v>1</v>
      </c>
      <c r="N28" s="30">
        <f t="shared" si="0"/>
        <v>1118</v>
      </c>
      <c r="O28" s="29">
        <v>0</v>
      </c>
      <c r="P28" s="30">
        <f t="shared" si="1"/>
        <v>1118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446</v>
      </c>
      <c r="K29" s="29">
        <v>0</v>
      </c>
      <c r="L29" s="29">
        <v>326</v>
      </c>
      <c r="M29" s="29">
        <v>46062</v>
      </c>
      <c r="N29" s="30">
        <f t="shared" si="0"/>
        <v>46834</v>
      </c>
      <c r="O29" s="29">
        <v>0</v>
      </c>
      <c r="P29" s="30">
        <f t="shared" si="1"/>
        <v>46834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7</v>
      </c>
      <c r="M30" s="29">
        <v>0</v>
      </c>
      <c r="N30" s="30">
        <f t="shared" si="0"/>
        <v>7</v>
      </c>
      <c r="O30" s="29">
        <v>0</v>
      </c>
      <c r="P30" s="30">
        <f t="shared" si="1"/>
        <v>7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30">
        <f t="shared" si="0"/>
        <v>0</v>
      </c>
      <c r="O31" s="29">
        <v>0</v>
      </c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28447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261420</v>
      </c>
      <c r="K32" s="29">
        <v>0</v>
      </c>
      <c r="L32" s="29">
        <v>221526</v>
      </c>
      <c r="M32" s="29">
        <v>19817</v>
      </c>
      <c r="N32" s="30">
        <f t="shared" si="0"/>
        <v>531210</v>
      </c>
      <c r="O32" s="29">
        <v>0</v>
      </c>
      <c r="P32" s="30">
        <f t="shared" si="1"/>
        <v>531210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41770</v>
      </c>
      <c r="K33" s="29">
        <v>0</v>
      </c>
      <c r="L33" s="29">
        <v>0</v>
      </c>
      <c r="M33" s="29">
        <v>0</v>
      </c>
      <c r="N33" s="30">
        <f t="shared" si="0"/>
        <v>41770</v>
      </c>
      <c r="O33" s="29">
        <v>0</v>
      </c>
      <c r="P33" s="30">
        <f t="shared" si="1"/>
        <v>41770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30</v>
      </c>
      <c r="D35" s="29">
        <v>351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19215</v>
      </c>
      <c r="K35" s="29">
        <v>0</v>
      </c>
      <c r="L35" s="29">
        <v>561</v>
      </c>
      <c r="M35" s="29">
        <v>0</v>
      </c>
      <c r="N35" s="30">
        <f t="shared" si="0"/>
        <v>20157</v>
      </c>
      <c r="O35" s="29">
        <v>0</v>
      </c>
      <c r="P35" s="30">
        <f t="shared" si="1"/>
        <v>20157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26356</v>
      </c>
      <c r="K36" s="29">
        <v>0</v>
      </c>
      <c r="L36" s="29">
        <v>64734</v>
      </c>
      <c r="M36" s="29">
        <v>137197</v>
      </c>
      <c r="N36" s="30">
        <f t="shared" si="0"/>
        <v>228287</v>
      </c>
      <c r="O36" s="29">
        <v>0</v>
      </c>
      <c r="P36" s="30">
        <f t="shared" si="1"/>
        <v>228287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9448</v>
      </c>
      <c r="K37" s="29">
        <v>0</v>
      </c>
      <c r="L37" s="29">
        <v>1606</v>
      </c>
      <c r="M37" s="29">
        <v>6117</v>
      </c>
      <c r="N37" s="30">
        <f t="shared" si="0"/>
        <v>17171</v>
      </c>
      <c r="O37" s="29">
        <v>0</v>
      </c>
      <c r="P37" s="30">
        <f t="shared" si="1"/>
        <v>17171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89</v>
      </c>
      <c r="K38" s="29">
        <v>0</v>
      </c>
      <c r="L38" s="29">
        <v>0</v>
      </c>
      <c r="M38" s="29">
        <v>0</v>
      </c>
      <c r="N38" s="30">
        <f t="shared" si="0"/>
        <v>89</v>
      </c>
      <c r="O38" s="29">
        <v>0</v>
      </c>
      <c r="P38" s="30">
        <f t="shared" si="1"/>
        <v>89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12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70</v>
      </c>
      <c r="K39" s="29">
        <v>0</v>
      </c>
      <c r="L39" s="29">
        <v>28250</v>
      </c>
      <c r="M39" s="29">
        <v>0</v>
      </c>
      <c r="N39" s="30">
        <f t="shared" si="0"/>
        <v>28332</v>
      </c>
      <c r="O39" s="29">
        <v>0</v>
      </c>
      <c r="P39" s="30">
        <f t="shared" si="1"/>
        <v>28332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7704853</v>
      </c>
      <c r="D43" s="31">
        <f t="shared" si="2"/>
        <v>857916</v>
      </c>
      <c r="E43" s="31">
        <f t="shared" si="2"/>
        <v>646886</v>
      </c>
      <c r="F43" s="31">
        <f t="shared" si="2"/>
        <v>14541</v>
      </c>
      <c r="G43" s="31">
        <f t="shared" si="2"/>
        <v>114440</v>
      </c>
      <c r="H43" s="31">
        <f t="shared" si="2"/>
        <v>1504130</v>
      </c>
      <c r="I43" s="31">
        <f t="shared" si="2"/>
        <v>150372</v>
      </c>
      <c r="J43" s="31">
        <f t="shared" si="2"/>
        <v>510225</v>
      </c>
      <c r="K43" s="31">
        <f t="shared" si="2"/>
        <v>52166</v>
      </c>
      <c r="L43" s="31">
        <f t="shared" si="2"/>
        <v>5847869</v>
      </c>
      <c r="M43" s="31">
        <f t="shared" si="2"/>
        <v>637737</v>
      </c>
      <c r="N43" s="31">
        <f t="shared" si="2"/>
        <v>18041135</v>
      </c>
      <c r="O43" s="31">
        <f t="shared" si="2"/>
        <v>1211063</v>
      </c>
      <c r="P43" s="31">
        <f t="shared" si="2"/>
        <v>19252198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2017-08-01T13:05:41Z</dcterms:modified>
</cp:coreProperties>
</file>