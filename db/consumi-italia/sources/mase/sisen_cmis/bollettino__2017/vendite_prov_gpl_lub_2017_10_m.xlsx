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D146" s="1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6" s="1"/>
  <c r="F125"/>
  <c r="G125"/>
  <c r="H125"/>
  <c r="I125"/>
  <c r="I146" s="1"/>
  <c r="C135"/>
  <c r="D135"/>
  <c r="E135"/>
  <c r="F135"/>
  <c r="F146" s="1"/>
  <c r="G135"/>
  <c r="H135"/>
  <c r="I135"/>
  <c r="C145"/>
  <c r="C146" s="1"/>
  <c r="D145"/>
  <c r="E145"/>
  <c r="F145"/>
  <c r="G145"/>
  <c r="G146" s="1"/>
  <c r="H145"/>
  <c r="I145"/>
  <c r="H146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F125"/>
  <c r="F146" s="1"/>
  <c r="G125"/>
  <c r="H125"/>
  <c r="I125"/>
  <c r="C135"/>
  <c r="C146" s="1"/>
  <c r="D135"/>
  <c r="E135"/>
  <c r="F135"/>
  <c r="G135"/>
  <c r="G146" s="1"/>
  <c r="H135"/>
  <c r="I135"/>
  <c r="C145"/>
  <c r="D145"/>
  <c r="D146" s="1"/>
  <c r="E145"/>
  <c r="F145"/>
  <c r="G145"/>
  <c r="H145"/>
  <c r="H146" s="1"/>
  <c r="I145"/>
  <c r="E146"/>
  <c r="I146"/>
</calcChain>
</file>

<file path=xl/sharedStrings.xml><?xml version="1.0" encoding="utf-8"?>
<sst xmlns="http://schemas.openxmlformats.org/spreadsheetml/2006/main" count="530" uniqueCount="266">
  <si>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</si>
  <si>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</si>
  <si>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</si>
  <si>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</si>
  <si>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</si>
  <si>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</si>
  <si>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provvisori</t>
  </si>
  <si>
    <t>Periodo: ottobre 2017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</si>
  <si>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</si>
  <si>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</si>
  <si>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</si>
  <si>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</si>
  <si>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</si>
  <si>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</si>
  <si>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</si>
  <si>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</si>
  <si>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</si>
  <si>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</si>
  <si>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</si>
  <si>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</si>
  <si>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</si>
  <si>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</si>
  <si>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</si>
  <si>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</si>
  <si>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</si>
  <si>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</si>
  <si>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</si>
  <si>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</si>
  <si>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</si>
  <si>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</si>
  <si>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</si>
  <si>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</si>
  <si>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</si>
  <si>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</si>
  <si>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</si>
  <si>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</si>
  <si>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</si>
  <si>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</si>
  <si>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</si>
  <si>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</si>
  <si>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</si>
  <si>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</si>
  <si>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</si>
  <si>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</si>
  <si>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</si>
  <si>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</si>
  <si>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</si>
  <si>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</si>
  <si>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</si>
  <si>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</si>
  <si>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</si>
  <si>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</si>
  <si>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</si>
  <si>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</si>
  <si>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</si>
  <si>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</si>
  <si>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</si>
  <si>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</si>
  <si>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</si>
  <si>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</si>
  <si>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</si>
  <si>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</si>
  <si>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</si>
  <si>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</si>
  <si>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</si>
  <si>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</si>
  <si>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</si>
  <si>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</si>
  <si>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</si>
  <si>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</si>
  <si>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</si>
  <si>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</si>
  <si>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</si>
  <si>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</si>
  <si>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</si>
  <si>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</si>
  <si>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</si>
  <si>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</si>
  <si>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</si>
  <si>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</si>
  <si>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</si>
  <si>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</si>
  <si>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</si>
  <si>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</si>
  <si>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</si>
  <si>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</si>
  <si>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</si>
  <si>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</si>
  <si>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</si>
  <si>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</si>
  <si>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</si>
  <si>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</si>
  <si>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</si>
  <si>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</si>
  <si>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</si>
  <si>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</si>
  <si>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</si>
  <si>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</si>
  <si>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</si>
  <si>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</si>
  <si>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</si>
  <si>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</si>
  <si>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</si>
  <si>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</si>
  <si>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</si>
  <si>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</si>
  <si>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</si>
  <si>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</si>
  <si>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</si>
  <si>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</si>
  <si>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</si>
  <si>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</si>
  <si>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</si>
  <si>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</si>
  <si>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</si>
  <si>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</si>
  <si>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</si>
  <si>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</si>
  <si>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</si>
  <si>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</si>
  <si>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</si>
  <si>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</si>
  <si>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</si>
  <si>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</si>
  <si>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</si>
  <si>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</si>
  <si>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</si>
  <si>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</si>
  <si>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</si>
  <si>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</si>
  <si>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</si>
  <si>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</si>
  <si>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</si>
  <si>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</si>
  <si>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</si>
  <si>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</si>
  <si>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</si>
  <si>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</si>
  <si>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</si>
  <si>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</si>
  <si>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</si>
  <si>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</si>
  <si>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</si>
  <si>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</si>
  <si>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</si>
  <si>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</si>
  <si>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</si>
  <si>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</si>
  <si>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</si>
  <si>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</si>
  <si>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</si>
  <si>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</si>
  <si>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</si>
  <si>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</si>
  <si>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</si>
  <si>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</si>
  <si>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</si>
  <si>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</si>
  <si>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</si>
  <si>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</si>
  <si>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</si>
  <si>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</si>
  <si>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</si>
  <si>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</si>
  <si>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</si>
  <si>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</si>
  <si>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</si>
  <si>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</si>
  <si>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</si>
  <si>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</si>
  <si>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</si>
  <si>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</si>
  <si>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</si>
  <si>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</si>
  <si>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</si>
  <si>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</si>
  <si>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</si>
  <si>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</si>
  <si>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</si>
  <si>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</si>
  <si>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</si>
  <si>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</si>
  <si>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</si>
  <si>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</si>
  <si>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</si>
  <si>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</si>
  <si>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</si>
  <si>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</si>
  <si>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</si>
  <si>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</si>
  <si>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</si>
  <si>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</si>
  <si>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</si>
  <si>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</si>
  <si>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</si>
  <si>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</si>
  <si>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</si>
  <si>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</si>
  <si>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</si>
  <si>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</si>
  <si>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</si>
  <si>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</si>
  <si>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</si>
  <si>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</si>
  <si>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</si>
  <si>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</si>
  <si>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</si>
  <si>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</si>
  <si>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</si>
  <si>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</si>
  <si>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</si>
  <si>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</si>
  <si>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</si>
  <si>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</si>
  <si>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</si>
  <si>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</si>
  <si>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</si>
  <si>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</si>
  <si>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</si>
  <si>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</si>
  <si>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</si>
  <si>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</si>
  <si>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</si>
  <si>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</si>
  <si>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</si>
  <si>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</si>
  <si>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</si>
  <si>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</si>
  <si>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</si>
  <si>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</si>
  <si>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</si>
  <si>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</si>
  <si>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</si>
  <si>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</si>
  <si>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</si>
  <si>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</si>
  <si>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</si>
  <si>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</si>
  <si>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</si>
  <si>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</si>
  <si>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</si>
  <si>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</si>
  <si>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</si>
  <si>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</si>
  <si>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</si>
  <si>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</si>
  <si>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</si>
  <si>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</si>
  <si>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</si>
  <si>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</si>
  <si>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</si>
  <si>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</si>
  <si>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</si>
  <si>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</si>
  <si>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</si>
  <si>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</si>
  <si>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</si>
  <si>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</si>
  <si>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</si>
  <si>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SU</t>
  </si>
  <si>
    <t>SUD SARDEGNA</t>
  </si>
  <si>
    <t>SARDEGNA</t>
  </si>
  <si>
    <t>TT</t>
  </si>
  <si>
    <t>TOTALE  ITALIA</t>
  </si>
  <si>
    <t>DGSAIE DIV.6</t>
  </si>
  <si>
    <t>Periodo: gennaio-ottobre 2017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</si>
</sst>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10"/>
      <color indexed="8"/>
      <name val="Calibri"/>
    </font>
    <font>
      <b/>
      <sz val="10"/>
      <color indexed="10"/>
      <name val="Calibri"/>
    </font>
    <font>
      <b/>
      <sz val="12"/>
      <color indexed="10"/>
      <name val="Calibri"/>
    </font>
    <font>
      <sz val="10"/>
      <color indexed="10"/>
      <name val="Calibri"/>
    </font>
    <font>
      <sz val="8"/>
      <color indexed="13"/>
      <name val="Calibri"/>
    </font>
    <font>
      <b/>
      <sz val="11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sz val="10"/>
      <color indexed="9"/>
      <name val="Calibri"/>
    </font>
    <font>
      <b/>
      <sz val="10"/>
      <color indexed="9"/>
      <name val="Calibri"/>
    </font>
    <font>
      <b/>
      <sz val="10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0"/>
        <bgColor indexed="16"/>
      </patternFill>
    </fill>
  </fills>
  <borders count="21">
    <border>
      <left/>
      <right/>
      <top/>
      <bottom/>
      <diagonal/>
    </border>
    <border>
      <left style="double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double">
        <color indexed="15"/>
      </top>
      <bottom style="thin">
        <color indexed="14"/>
      </bottom>
      <diagonal/>
    </border>
    <border>
      <left/>
      <right/>
      <top style="double">
        <color indexed="15"/>
      </top>
      <bottom style="thin">
        <color indexed="14"/>
      </bottom>
      <diagonal/>
    </border>
    <border>
      <left style="thin">
        <color indexed="14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thin">
        <color indexed="15"/>
      </left>
      <right style="thin">
        <color indexed="15"/>
      </right>
      <top style="double">
        <color indexed="15"/>
      </top>
      <bottom style="thin">
        <color indexed="14"/>
      </bottom>
      <diagonal/>
    </border>
    <border>
      <left style="double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 style="thin">
        <color indexed="15"/>
      </right>
      <top/>
      <bottom style="thin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double">
        <color indexed="15"/>
      </left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/>
      <top style="thin">
        <color indexed="14"/>
      </top>
      <bottom style="double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double">
        <color indexed="14"/>
      </bottom>
      <diagonal/>
    </border>
    <border>
      <left/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hair">
        <color indexed="15"/>
      </left>
      <right style="thin">
        <color indexed="15"/>
      </right>
      <top style="thin">
        <color indexed="14"/>
      </top>
      <bottom style="double">
        <color indexed="14"/>
      </bottom>
      <diagonal/>
    </border>
    <border>
      <left style="thin">
        <color indexed="15"/>
      </left>
      <right style="thin">
        <color indexed="15"/>
      </right>
      <top/>
      <bottom style="thin">
        <color indexed="15"/>
      </bottom>
      <diagonal/>
    </border>
    <border>
      <left style="thin">
        <color indexed="15"/>
      </left>
      <right/>
      <top/>
      <bottom style="thin">
        <color indexed="15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hair">
        <color indexed="15"/>
      </top>
      <bottom style="thin">
        <color indexed="15"/>
      </bottom>
      <diagonal/>
    </border>
  </borders>
  <cellStyleXfs count="1">
    <xf numFmtId="0" fontId="0" fillId="0" borderId="0" applyFill="0" applyProtection="0"/>
  </cellStyleXfs>
  <cellXfs count="48">
    <xf numFmtId="0" fontId="0" fillId="0" borderId="0" xfId="0" applyFill="1" applyProtection="1"/>
    <xf numFmtId="0" fontId="1" fillId="0" borderId="0" xfId="0" applyFont="1" applyFill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4" fillId="2" borderId="0" xfId="0" applyFont="1" applyFill="1" applyProtection="1"/>
    <xf numFmtId="0" fontId="2" fillId="2" borderId="0" xfId="0" applyFont="1" applyFill="1" applyProtection="1"/>
    <xf numFmtId="0" fontId="0" fillId="0" borderId="0" xfId="0" applyFill="1" applyAlignment="1" applyProtection="1">
      <alignment vertical="center"/>
    </xf>
    <xf numFmtId="0" fontId="8" fillId="2" borderId="9" xfId="0" applyFont="1" applyFill="1" applyBorder="1" applyAlignment="1" applyProtection="1">
      <alignment horizontal="center" vertical="center"/>
    </xf>
    <xf numFmtId="0" fontId="8" fillId="2" borderId="10" xfId="0" applyFont="1" applyFill="1" applyBorder="1" applyAlignment="1" applyProtection="1">
      <alignment horizontal="center" vertical="center"/>
    </xf>
    <xf numFmtId="0" fontId="8" fillId="2" borderId="11" xfId="0" applyFont="1" applyFill="1" applyBorder="1" applyAlignment="1" applyProtection="1">
      <alignment horizontal="center" vertical="center"/>
    </xf>
    <xf numFmtId="0" fontId="8" fillId="2" borderId="12" xfId="0" applyFont="1" applyFill="1" applyBorder="1" applyAlignment="1" applyProtection="1">
      <alignment horizontal="center" vertical="center"/>
    </xf>
    <xf numFmtId="0" fontId="8" fillId="2" borderId="13" xfId="0" applyFont="1" applyFill="1" applyBorder="1" applyAlignment="1" applyProtection="1">
      <alignment horizontal="center" vertical="center"/>
    </xf>
    <xf numFmtId="0" fontId="8" fillId="2" borderId="14" xfId="0" applyFont="1" applyFill="1" applyBorder="1" applyAlignment="1" applyProtection="1">
      <alignment horizontal="center" vertical="center"/>
    </xf>
    <xf numFmtId="0" fontId="8" fillId="2" borderId="15" xfId="0" applyFont="1" applyFill="1" applyBorder="1" applyAlignment="1" applyProtection="1">
      <alignment horizontal="center" vertical="center"/>
    </xf>
    <xf numFmtId="0" fontId="0" fillId="0" borderId="0" xfId="0" applyFill="1" applyAlignment="1" applyProtection="1">
      <alignment horizontal="center" vertical="center"/>
    </xf>
    <xf numFmtId="0" fontId="9" fillId="0" borderId="16" xfId="0" applyFont="1" applyFill="1" applyBorder="1" applyAlignment="1" applyProtection="1">
      <alignment horizontal="center"/>
    </xf>
    <xf numFmtId="0" fontId="9" fillId="0" borderId="17" xfId="0" applyFont="1" applyFill="1" applyBorder="1" applyProtection="1"/>
    <xf numFmtId="2" fontId="1" fillId="0" borderId="16" xfId="0" applyNumberFormat="1" applyFont="1" applyFill="1" applyBorder="1" applyProtection="1">
      <protection locked="0"/>
    </xf>
    <xf numFmtId="0" fontId="9" fillId="0" borderId="18" xfId="0" applyFont="1" applyFill="1" applyBorder="1" applyAlignment="1" applyProtection="1">
      <alignment horizontal="center"/>
    </xf>
    <xf numFmtId="0" fontId="9" fillId="0" borderId="19" xfId="0" applyFont="1" applyFill="1" applyBorder="1" applyProtection="1"/>
    <xf numFmtId="2" fontId="1" fillId="0" borderId="18" xfId="0" applyNumberFormat="1" applyFont="1" applyFill="1" applyBorder="1" applyProtection="1">
      <protection locked="0"/>
    </xf>
    <xf numFmtId="0" fontId="10" fillId="3" borderId="18" xfId="0" applyFont="1" applyFill="1" applyBorder="1" applyAlignment="1" applyProtection="1">
      <alignment horizontal="center"/>
    </xf>
    <xf numFmtId="0" fontId="11" fillId="3" borderId="19" xfId="0" applyFont="1" applyFill="1" applyBorder="1" applyProtection="1"/>
    <xf numFmtId="2" fontId="12" fillId="3" borderId="18" xfId="0" applyNumberFormat="1" applyFont="1" applyFill="1" applyBorder="1" applyProtection="1"/>
    <xf numFmtId="2" fontId="1" fillId="0" borderId="18" xfId="0" applyNumberFormat="1" applyFont="1" applyFill="1" applyBorder="1" applyProtection="1"/>
    <xf numFmtId="0" fontId="11" fillId="3" borderId="18" xfId="0" applyFont="1" applyFill="1" applyBorder="1" applyAlignment="1" applyProtection="1">
      <alignment horizontal="center"/>
    </xf>
    <xf numFmtId="0" fontId="9" fillId="0" borderId="18" xfId="0" applyFont="1" applyFill="1" applyBorder="1" applyAlignment="1" applyProtection="1">
      <alignment horizontal="left"/>
    </xf>
    <xf numFmtId="2" fontId="1" fillId="0" borderId="18" xfId="0" applyNumberFormat="1" applyFont="1" applyFill="1" applyBorder="1" applyAlignment="1" applyProtection="1">
      <alignment horizontal="right"/>
      <protection locked="0"/>
    </xf>
    <xf numFmtId="0" fontId="10" fillId="3" borderId="18" xfId="0" applyFont="1" applyFill="1" applyBorder="1" applyAlignment="1" applyProtection="1">
      <alignment horizontal="left"/>
    </xf>
    <xf numFmtId="0" fontId="9" fillId="0" borderId="18" xfId="0" applyFont="1" applyFill="1" applyBorder="1" applyProtection="1"/>
    <xf numFmtId="0" fontId="10" fillId="3" borderId="18" xfId="0" applyFont="1" applyFill="1" applyBorder="1" applyProtection="1"/>
    <xf numFmtId="2" fontId="1" fillId="0" borderId="20" xfId="0" applyNumberFormat="1" applyFont="1" applyFill="1" applyBorder="1" applyProtection="1">
      <protection locked="0"/>
    </xf>
    <xf numFmtId="2" fontId="13" fillId="3" borderId="18" xfId="0" applyNumberFormat="1" applyFont="1" applyFill="1" applyBorder="1" applyProtection="1"/>
    <xf numFmtId="0" fontId="14" fillId="0" borderId="19" xfId="0" applyFont="1" applyFill="1" applyBorder="1" applyProtection="1"/>
    <xf numFmtId="0" fontId="2" fillId="2" borderId="0" xfId="0" applyFont="1" applyFill="1" applyAlignment="1" applyProtection="1">
      <alignment horizontal="center"/>
    </xf>
    <xf numFmtId="0" fontId="3" fillId="2" borderId="0" xfId="0" applyFont="1" applyFill="1" applyAlignment="1" applyProtection="1">
      <alignment horizontal="center"/>
    </xf>
    <xf numFmtId="0" fontId="4" fillId="2" borderId="0" xfId="0" applyFont="1" applyFill="1" applyAlignment="1" applyProtection="1">
      <alignment horizontal="center"/>
    </xf>
    <xf numFmtId="0" fontId="5" fillId="2" borderId="0" xfId="0" applyFont="1" applyFill="1" applyAlignment="1" applyProtection="1">
      <alignment horizontal="center"/>
    </xf>
    <xf numFmtId="0" fontId="6" fillId="2" borderId="0" xfId="0" applyFont="1" applyFill="1" applyAlignment="1" applyProtection="1">
      <alignment horizontal="center"/>
    </xf>
    <xf numFmtId="0" fontId="2" fillId="2" borderId="1" xfId="0" applyFont="1" applyFill="1" applyBorder="1" applyAlignment="1" applyProtection="1">
      <alignment horizontal="center" vertical="center"/>
    </xf>
    <xf numFmtId="0" fontId="2" fillId="2" borderId="2" xfId="0" applyFont="1" applyFill="1" applyBorder="1" applyAlignment="1" applyProtection="1">
      <alignment horizontal="center" vertical="center"/>
    </xf>
    <xf numFmtId="0" fontId="7" fillId="2" borderId="3" xfId="0" applyFont="1" applyFill="1" applyBorder="1" applyAlignment="1" applyProtection="1">
      <alignment horizontal="center" vertical="center" wrapText="1"/>
    </xf>
    <xf numFmtId="0" fontId="7" fillId="2" borderId="4" xfId="0" applyFont="1" applyFill="1" applyBorder="1" applyAlignment="1" applyProtection="1">
      <alignment horizontal="center" vertical="center"/>
    </xf>
    <xf numFmtId="0" fontId="2" fillId="2" borderId="5" xfId="0" applyFont="1" applyFill="1" applyBorder="1" applyAlignment="1" applyProtection="1">
      <alignment horizontal="center" vertical="center"/>
    </xf>
    <xf numFmtId="0" fontId="7" fillId="2" borderId="6" xfId="0" applyFont="1" applyFill="1" applyBorder="1" applyAlignment="1" applyProtection="1">
      <alignment horizontal="center" vertical="center"/>
    </xf>
    <xf numFmtId="0" fontId="2" fillId="2" borderId="7" xfId="0" applyFont="1" applyFill="1" applyBorder="1" applyAlignment="1" applyProtection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CCCCFF"/>
      <rgbColor rgb="00FF0000"/>
      <rgbColor rgb="00212121"/>
      <rgbColor rgb="003A3935"/>
      <rgbColor rgb="00003366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6"/>
  <sheetViews>
    <sheetView showGridLines="0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7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2080</v>
      </c>
      <c r="D15" s="18">
        <v>960</v>
      </c>
      <c r="E15" s="18">
        <v>924</v>
      </c>
      <c r="F15" s="18">
        <v>66</v>
      </c>
      <c r="G15" s="18">
        <v>588</v>
      </c>
      <c r="H15" s="18">
        <v>469</v>
      </c>
      <c r="I15" s="18">
        <v>1</v>
      </c>
    </row>
    <row r="16" spans="1:19" ht="12.75" customHeight="1">
      <c r="A16" s="19" t="s">
        <v>22</v>
      </c>
      <c r="B16" s="20" t="s">
        <v>23</v>
      </c>
      <c r="C16" s="21">
        <v>886</v>
      </c>
      <c r="D16" s="21">
        <v>431</v>
      </c>
      <c r="E16" s="21">
        <v>431</v>
      </c>
      <c r="F16" s="21">
        <v>70</v>
      </c>
      <c r="G16" s="21">
        <v>385</v>
      </c>
      <c r="H16" s="21">
        <v>43</v>
      </c>
      <c r="I16" s="21">
        <v>2</v>
      </c>
    </row>
    <row r="17" spans="1:9" ht="12.75" customHeight="1">
      <c r="A17" s="19" t="s">
        <v>24</v>
      </c>
      <c r="B17" s="20" t="s">
        <v>25</v>
      </c>
      <c r="C17" s="21">
        <v>426</v>
      </c>
      <c r="D17" s="21">
        <v>230</v>
      </c>
      <c r="E17" s="21">
        <v>225</v>
      </c>
      <c r="F17" s="21">
        <v>50</v>
      </c>
      <c r="G17" s="21">
        <v>145</v>
      </c>
      <c r="H17" s="21">
        <v>58</v>
      </c>
      <c r="I17" s="21">
        <v>1</v>
      </c>
    </row>
    <row r="18" spans="1:9" ht="12.75" customHeight="1">
      <c r="A18" s="19" t="s">
        <v>26</v>
      </c>
      <c r="B18" s="20" t="s">
        <v>27</v>
      </c>
      <c r="C18" s="21">
        <v>3467</v>
      </c>
      <c r="D18" s="21">
        <v>1439</v>
      </c>
      <c r="E18" s="21">
        <v>499</v>
      </c>
      <c r="F18" s="21">
        <v>235</v>
      </c>
      <c r="G18" s="21">
        <v>1338</v>
      </c>
      <c r="H18" s="21">
        <v>873</v>
      </c>
      <c r="I18" s="21">
        <v>1</v>
      </c>
    </row>
    <row r="19" spans="1:9" ht="12.75" customHeight="1">
      <c r="A19" s="19" t="s">
        <v>28</v>
      </c>
      <c r="B19" s="20" t="s">
        <v>29</v>
      </c>
      <c r="C19" s="21">
        <v>2003</v>
      </c>
      <c r="D19" s="21">
        <v>781</v>
      </c>
      <c r="E19" s="21">
        <v>701</v>
      </c>
      <c r="F19" s="21">
        <v>20</v>
      </c>
      <c r="G19" s="21">
        <v>1017</v>
      </c>
      <c r="H19" s="21">
        <v>131</v>
      </c>
      <c r="I19" s="21">
        <v>2</v>
      </c>
    </row>
    <row r="20" spans="1:9" ht="12.75" customHeight="1">
      <c r="A20" s="19" t="s">
        <v>30</v>
      </c>
      <c r="B20" s="20" t="s">
        <v>31</v>
      </c>
      <c r="C20" s="21">
        <v>8143</v>
      </c>
      <c r="D20" s="21">
        <v>4673</v>
      </c>
      <c r="E20" s="21">
        <v>4215</v>
      </c>
      <c r="F20" s="21">
        <v>366</v>
      </c>
      <c r="G20" s="21">
        <v>2026</v>
      </c>
      <c r="H20" s="21">
        <v>2218</v>
      </c>
      <c r="I20" s="21">
        <v>11</v>
      </c>
    </row>
    <row r="21" spans="1:9" ht="12.75" customHeight="1">
      <c r="A21" s="19" t="s">
        <v>32</v>
      </c>
      <c r="B21" s="20" t="s">
        <v>33</v>
      </c>
      <c r="C21" s="21">
        <v>347</v>
      </c>
      <c r="D21" s="21">
        <v>152</v>
      </c>
      <c r="E21" s="21">
        <v>152</v>
      </c>
      <c r="F21" s="21">
        <v>26</v>
      </c>
      <c r="G21" s="21">
        <v>168</v>
      </c>
      <c r="H21" s="21">
        <v>27</v>
      </c>
      <c r="I21" s="21">
        <v>1</v>
      </c>
    </row>
    <row r="22" spans="1:9" ht="12.75" customHeight="1">
      <c r="A22" s="19" t="s">
        <v>34</v>
      </c>
      <c r="B22" s="20" t="s">
        <v>35</v>
      </c>
      <c r="C22" s="21">
        <v>625</v>
      </c>
      <c r="D22" s="21">
        <v>367</v>
      </c>
      <c r="E22" s="21">
        <v>367</v>
      </c>
      <c r="F22" s="21">
        <v>32</v>
      </c>
      <c r="G22" s="21">
        <v>225</v>
      </c>
      <c r="H22" s="21">
        <v>93</v>
      </c>
      <c r="I22" s="21">
        <v>1</v>
      </c>
    </row>
    <row r="23" spans="1:9" ht="12.75" customHeight="1">
      <c r="A23" s="22"/>
      <c r="B23" s="23" t="s">
        <v>36</v>
      </c>
      <c r="C23" s="24">
        <f t="shared" ref="C23:I23" si="0">SUM(C15:C22)</f>
        <v>17977</v>
      </c>
      <c r="D23" s="24">
        <f t="shared" si="0"/>
        <v>9033</v>
      </c>
      <c r="E23" s="24">
        <f t="shared" si="0"/>
        <v>7514</v>
      </c>
      <c r="F23" s="24">
        <f t="shared" si="0"/>
        <v>865</v>
      </c>
      <c r="G23" s="24">
        <f t="shared" si="0"/>
        <v>5892</v>
      </c>
      <c r="H23" s="24">
        <f t="shared" si="0"/>
        <v>3912</v>
      </c>
      <c r="I23" s="24">
        <f t="shared" si="0"/>
        <v>20</v>
      </c>
    </row>
    <row r="24" spans="1:9" ht="14.25" customHeight="1">
      <c r="A24" s="19" t="s">
        <v>37</v>
      </c>
      <c r="B24" s="20" t="s">
        <v>38</v>
      </c>
      <c r="C24" s="25">
        <v>602</v>
      </c>
      <c r="D24" s="25">
        <v>73</v>
      </c>
      <c r="E24" s="25">
        <v>28</v>
      </c>
      <c r="F24" s="25">
        <v>84</v>
      </c>
      <c r="G24" s="25">
        <v>160</v>
      </c>
      <c r="H24" s="25">
        <v>36</v>
      </c>
      <c r="I24" s="25">
        <v>1</v>
      </c>
    </row>
    <row r="25" spans="1:9" ht="14.25" customHeight="1">
      <c r="A25" s="26"/>
      <c r="B25" s="23" t="s">
        <v>39</v>
      </c>
      <c r="C25" s="24">
        <f t="shared" ref="C25:I25" si="1">SUM(C24)</f>
        <v>602</v>
      </c>
      <c r="D25" s="24">
        <f t="shared" si="1"/>
        <v>73</v>
      </c>
      <c r="E25" s="24">
        <f t="shared" si="1"/>
        <v>28</v>
      </c>
      <c r="F25" s="24">
        <f t="shared" si="1"/>
        <v>84</v>
      </c>
      <c r="G25" s="24">
        <f t="shared" si="1"/>
        <v>160</v>
      </c>
      <c r="H25" s="24">
        <f t="shared" si="1"/>
        <v>36</v>
      </c>
      <c r="I25" s="24">
        <f t="shared" si="1"/>
        <v>1</v>
      </c>
    </row>
    <row r="26" spans="1:9" ht="12.75" customHeight="1">
      <c r="A26" s="19" t="s">
        <v>40</v>
      </c>
      <c r="B26" s="20" t="s">
        <v>41</v>
      </c>
      <c r="C26" s="25">
        <v>2184</v>
      </c>
      <c r="D26" s="25">
        <v>1412</v>
      </c>
      <c r="E26" s="25">
        <v>370</v>
      </c>
      <c r="F26" s="25">
        <v>110</v>
      </c>
      <c r="G26" s="25">
        <v>165</v>
      </c>
      <c r="H26" s="25">
        <v>207</v>
      </c>
      <c r="I26" s="25">
        <v>3</v>
      </c>
    </row>
    <row r="27" spans="1:9" ht="12.75" customHeight="1">
      <c r="A27" s="19" t="s">
        <v>42</v>
      </c>
      <c r="B27" s="20" t="s">
        <v>43</v>
      </c>
      <c r="C27" s="25">
        <v>882</v>
      </c>
      <c r="D27" s="25">
        <v>32</v>
      </c>
      <c r="E27" s="25">
        <v>32</v>
      </c>
      <c r="F27" s="25">
        <v>129</v>
      </c>
      <c r="G27" s="25">
        <v>488</v>
      </c>
      <c r="H27" s="25">
        <v>30</v>
      </c>
      <c r="I27" s="25">
        <v>1</v>
      </c>
    </row>
    <row r="28" spans="1:9" ht="12.75" customHeight="1">
      <c r="A28" s="19" t="s">
        <v>44</v>
      </c>
      <c r="B28" s="20" t="s">
        <v>45</v>
      </c>
      <c r="C28" s="25">
        <v>322</v>
      </c>
      <c r="D28" s="25">
        <v>227</v>
      </c>
      <c r="E28" s="25">
        <v>200</v>
      </c>
      <c r="F28" s="25">
        <v>9</v>
      </c>
      <c r="G28" s="25">
        <v>40</v>
      </c>
      <c r="H28" s="25">
        <v>83</v>
      </c>
      <c r="I28" s="25">
        <v>0</v>
      </c>
    </row>
    <row r="29" spans="1:9" ht="12.75" customHeight="1">
      <c r="A29" s="19" t="s">
        <v>46</v>
      </c>
      <c r="B29" s="20" t="s">
        <v>47</v>
      </c>
      <c r="C29" s="25">
        <v>568</v>
      </c>
      <c r="D29" s="25">
        <v>42</v>
      </c>
      <c r="E29" s="25">
        <v>42</v>
      </c>
      <c r="F29" s="25">
        <v>58</v>
      </c>
      <c r="G29" s="25">
        <v>300</v>
      </c>
      <c r="H29" s="25">
        <v>76</v>
      </c>
      <c r="I29" s="25">
        <v>2</v>
      </c>
    </row>
    <row r="30" spans="1:9" ht="12.75" customHeight="1">
      <c r="A30" s="22"/>
      <c r="B30" s="23" t="s">
        <v>48</v>
      </c>
      <c r="C30" s="24">
        <f t="shared" ref="C30:I30" si="2">SUM(C26:C29)</f>
        <v>3956</v>
      </c>
      <c r="D30" s="24">
        <f t="shared" si="2"/>
        <v>1713</v>
      </c>
      <c r="E30" s="24">
        <f t="shared" si="2"/>
        <v>644</v>
      </c>
      <c r="F30" s="24">
        <f t="shared" si="2"/>
        <v>306</v>
      </c>
      <c r="G30" s="24">
        <f t="shared" si="2"/>
        <v>993</v>
      </c>
      <c r="H30" s="24">
        <f t="shared" si="2"/>
        <v>396</v>
      </c>
      <c r="I30" s="24">
        <f t="shared" si="2"/>
        <v>6</v>
      </c>
    </row>
    <row r="31" spans="1:9" ht="12.75" customHeight="1">
      <c r="A31" s="19" t="s">
        <v>49</v>
      </c>
      <c r="B31" s="20" t="s">
        <v>50</v>
      </c>
      <c r="C31" s="25">
        <v>2904</v>
      </c>
      <c r="D31" s="25">
        <v>726</v>
      </c>
      <c r="E31" s="25">
        <v>721</v>
      </c>
      <c r="F31" s="25">
        <v>155</v>
      </c>
      <c r="G31" s="25">
        <v>1695</v>
      </c>
      <c r="H31" s="25">
        <v>896</v>
      </c>
      <c r="I31" s="25">
        <v>3</v>
      </c>
    </row>
    <row r="32" spans="1:9" ht="12.75" customHeight="1">
      <c r="A32" s="19" t="s">
        <v>51</v>
      </c>
      <c r="B32" s="20" t="s">
        <v>52</v>
      </c>
      <c r="C32" s="25">
        <v>5127</v>
      </c>
      <c r="D32" s="25">
        <v>2861</v>
      </c>
      <c r="E32" s="25">
        <v>1884</v>
      </c>
      <c r="F32" s="25">
        <v>195</v>
      </c>
      <c r="G32" s="25">
        <v>1318</v>
      </c>
      <c r="H32" s="25">
        <v>1684</v>
      </c>
      <c r="I32" s="25">
        <v>6</v>
      </c>
    </row>
    <row r="33" spans="1:9" ht="12.75" customHeight="1">
      <c r="A33" s="19" t="s">
        <v>53</v>
      </c>
      <c r="B33" s="20" t="s">
        <v>54</v>
      </c>
      <c r="C33" s="25">
        <v>683</v>
      </c>
      <c r="D33" s="25">
        <v>214</v>
      </c>
      <c r="E33" s="25">
        <v>214</v>
      </c>
      <c r="F33" s="25">
        <v>70</v>
      </c>
      <c r="G33" s="25">
        <v>299</v>
      </c>
      <c r="H33" s="25">
        <v>313</v>
      </c>
      <c r="I33" s="25">
        <v>3</v>
      </c>
    </row>
    <row r="34" spans="1:9" ht="12.75" customHeight="1">
      <c r="A34" s="19" t="s">
        <v>55</v>
      </c>
      <c r="B34" s="20" t="s">
        <v>56</v>
      </c>
      <c r="C34" s="25">
        <v>1799</v>
      </c>
      <c r="D34" s="25">
        <v>1139</v>
      </c>
      <c r="E34" s="25">
        <v>358</v>
      </c>
      <c r="F34" s="25">
        <v>29</v>
      </c>
      <c r="G34" s="25">
        <v>136</v>
      </c>
      <c r="H34" s="25">
        <v>437</v>
      </c>
      <c r="I34" s="25">
        <v>2</v>
      </c>
    </row>
    <row r="35" spans="1:9" ht="12.75" customHeight="1">
      <c r="A35" s="19" t="s">
        <v>57</v>
      </c>
      <c r="B35" s="20" t="s">
        <v>58</v>
      </c>
      <c r="C35" s="25">
        <v>491</v>
      </c>
      <c r="D35" s="25">
        <v>247</v>
      </c>
      <c r="E35" s="25">
        <v>247</v>
      </c>
      <c r="F35" s="25">
        <v>33</v>
      </c>
      <c r="G35" s="25">
        <v>194</v>
      </c>
      <c r="H35" s="25">
        <v>235</v>
      </c>
      <c r="I35" s="25">
        <v>0</v>
      </c>
    </row>
    <row r="36" spans="1:9" ht="12.75" customHeight="1">
      <c r="A36" s="19" t="s">
        <v>59</v>
      </c>
      <c r="B36" s="20" t="s">
        <v>60</v>
      </c>
      <c r="C36" s="25">
        <v>397</v>
      </c>
      <c r="D36" s="25">
        <v>319</v>
      </c>
      <c r="E36" s="25">
        <v>268</v>
      </c>
      <c r="F36" s="25">
        <v>11</v>
      </c>
      <c r="G36" s="25">
        <v>56</v>
      </c>
      <c r="H36" s="25">
        <v>269</v>
      </c>
      <c r="I36" s="25">
        <v>2</v>
      </c>
    </row>
    <row r="37" spans="1:9" ht="12.75" customHeight="1">
      <c r="A37" s="19" t="s">
        <v>61</v>
      </c>
      <c r="B37" s="20" t="s">
        <v>62</v>
      </c>
      <c r="C37" s="25">
        <v>1780</v>
      </c>
      <c r="D37" s="25">
        <v>816</v>
      </c>
      <c r="E37" s="25">
        <v>471</v>
      </c>
      <c r="F37" s="25">
        <v>69</v>
      </c>
      <c r="G37" s="25">
        <v>523</v>
      </c>
      <c r="H37" s="25">
        <v>501</v>
      </c>
      <c r="I37" s="25">
        <v>2</v>
      </c>
    </row>
    <row r="38" spans="1:9" ht="12.75" customHeight="1">
      <c r="A38" s="19" t="s">
        <v>63</v>
      </c>
      <c r="B38" s="20" t="s">
        <v>64</v>
      </c>
      <c r="C38" s="25">
        <v>6981</v>
      </c>
      <c r="D38" s="25">
        <v>5706</v>
      </c>
      <c r="E38" s="25">
        <v>3035</v>
      </c>
      <c r="F38" s="25">
        <v>118</v>
      </c>
      <c r="G38" s="25">
        <v>462</v>
      </c>
      <c r="H38" s="25">
        <v>3393</v>
      </c>
      <c r="I38" s="25">
        <v>9</v>
      </c>
    </row>
    <row r="39" spans="1:9" ht="12.75" customHeight="1">
      <c r="A39" s="19" t="s">
        <v>65</v>
      </c>
      <c r="B39" s="20" t="s">
        <v>66</v>
      </c>
      <c r="C39" s="25">
        <v>1355</v>
      </c>
      <c r="D39" s="25">
        <v>1109</v>
      </c>
      <c r="E39" s="25">
        <v>938</v>
      </c>
      <c r="F39" s="25">
        <v>40</v>
      </c>
      <c r="G39" s="25">
        <v>99</v>
      </c>
      <c r="H39" s="25">
        <v>725</v>
      </c>
      <c r="I39" s="25">
        <v>1</v>
      </c>
    </row>
    <row r="40" spans="1:9" ht="12.75" customHeight="1">
      <c r="A40" s="19" t="s">
        <v>67</v>
      </c>
      <c r="B40" s="20" t="s">
        <v>68</v>
      </c>
      <c r="C40" s="25">
        <v>1292</v>
      </c>
      <c r="D40" s="25">
        <v>744</v>
      </c>
      <c r="E40" s="25">
        <v>567</v>
      </c>
      <c r="F40" s="25">
        <v>42</v>
      </c>
      <c r="G40" s="25">
        <v>395</v>
      </c>
      <c r="H40" s="25">
        <v>452</v>
      </c>
      <c r="I40" s="25">
        <v>2</v>
      </c>
    </row>
    <row r="41" spans="1:9" ht="12.75" customHeight="1">
      <c r="A41" s="19" t="s">
        <v>69</v>
      </c>
      <c r="B41" s="20" t="s">
        <v>70</v>
      </c>
      <c r="C41" s="25">
        <v>961</v>
      </c>
      <c r="D41" s="25">
        <v>106</v>
      </c>
      <c r="E41" s="25">
        <v>93</v>
      </c>
      <c r="F41" s="25">
        <v>140</v>
      </c>
      <c r="G41" s="25">
        <v>232</v>
      </c>
      <c r="H41" s="25">
        <v>67</v>
      </c>
      <c r="I41" s="25">
        <v>0</v>
      </c>
    </row>
    <row r="42" spans="1:9" ht="12.75" customHeight="1">
      <c r="A42" s="19" t="s">
        <v>71</v>
      </c>
      <c r="B42" s="20" t="s">
        <v>72</v>
      </c>
      <c r="C42" s="25">
        <v>985</v>
      </c>
      <c r="D42" s="25">
        <v>684</v>
      </c>
      <c r="E42" s="25">
        <v>601</v>
      </c>
      <c r="F42" s="25">
        <v>67</v>
      </c>
      <c r="G42" s="25">
        <v>229</v>
      </c>
      <c r="H42" s="25">
        <v>326</v>
      </c>
      <c r="I42" s="25">
        <v>7</v>
      </c>
    </row>
    <row r="43" spans="1:9" ht="12.75" customHeight="1">
      <c r="A43" s="22"/>
      <c r="B43" s="23" t="s">
        <v>73</v>
      </c>
      <c r="C43" s="24">
        <f t="shared" ref="C43:I43" si="3">SUM(C31:C42)</f>
        <v>24755</v>
      </c>
      <c r="D43" s="24">
        <f t="shared" si="3"/>
        <v>14671</v>
      </c>
      <c r="E43" s="24">
        <f t="shared" si="3"/>
        <v>9397</v>
      </c>
      <c r="F43" s="24">
        <f t="shared" si="3"/>
        <v>969</v>
      </c>
      <c r="G43" s="24">
        <f t="shared" si="3"/>
        <v>5638</v>
      </c>
      <c r="H43" s="24">
        <f t="shared" si="3"/>
        <v>9298</v>
      </c>
      <c r="I43" s="24">
        <f t="shared" si="3"/>
        <v>37</v>
      </c>
    </row>
    <row r="44" spans="1:9" ht="12.75" customHeight="1">
      <c r="A44" s="19" t="s">
        <v>74</v>
      </c>
      <c r="B44" s="20" t="s">
        <v>75</v>
      </c>
      <c r="C44" s="25">
        <v>1273</v>
      </c>
      <c r="D44" s="25">
        <v>222</v>
      </c>
      <c r="E44" s="25">
        <v>202</v>
      </c>
      <c r="F44" s="25">
        <v>251</v>
      </c>
      <c r="G44" s="25">
        <v>614</v>
      </c>
      <c r="H44" s="25">
        <v>187</v>
      </c>
      <c r="I44" s="25">
        <v>6</v>
      </c>
    </row>
    <row r="45" spans="1:9" ht="12.75" customHeight="1">
      <c r="A45" s="19" t="s">
        <v>76</v>
      </c>
      <c r="B45" s="20" t="s">
        <v>77</v>
      </c>
      <c r="C45" s="25">
        <v>1909</v>
      </c>
      <c r="D45" s="25">
        <v>677</v>
      </c>
      <c r="E45" s="25">
        <v>554</v>
      </c>
      <c r="F45" s="25">
        <v>238</v>
      </c>
      <c r="G45" s="25">
        <v>994</v>
      </c>
      <c r="H45" s="25">
        <v>398</v>
      </c>
      <c r="I45" s="25">
        <v>3</v>
      </c>
    </row>
    <row r="46" spans="1:9" ht="12.75" customHeight="1">
      <c r="A46" s="22"/>
      <c r="B46" s="23" t="s">
        <v>78</v>
      </c>
      <c r="C46" s="24">
        <f t="shared" ref="C46:I46" si="4">SUM(C44:C45)</f>
        <v>3182</v>
      </c>
      <c r="D46" s="24">
        <f t="shared" si="4"/>
        <v>899</v>
      </c>
      <c r="E46" s="24">
        <f t="shared" si="4"/>
        <v>756</v>
      </c>
      <c r="F46" s="24">
        <f t="shared" si="4"/>
        <v>489</v>
      </c>
      <c r="G46" s="24">
        <f t="shared" si="4"/>
        <v>1608</v>
      </c>
      <c r="H46" s="24">
        <f t="shared" si="4"/>
        <v>585</v>
      </c>
      <c r="I46" s="24">
        <f t="shared" si="4"/>
        <v>9</v>
      </c>
    </row>
    <row r="47" spans="1:9" ht="12.75" customHeight="1">
      <c r="A47" s="27" t="s">
        <v>79</v>
      </c>
      <c r="B47" s="20" t="s">
        <v>80</v>
      </c>
      <c r="C47" s="28">
        <v>87</v>
      </c>
      <c r="D47" s="28">
        <v>17</v>
      </c>
      <c r="E47" s="28">
        <v>17</v>
      </c>
      <c r="F47" s="25">
        <v>21</v>
      </c>
      <c r="G47" s="25">
        <v>49</v>
      </c>
      <c r="H47" s="25">
        <v>63</v>
      </c>
      <c r="I47" s="25">
        <v>1</v>
      </c>
    </row>
    <row r="48" spans="1:9" ht="12.75" customHeight="1">
      <c r="A48" s="27" t="s">
        <v>81</v>
      </c>
      <c r="B48" s="20" t="s">
        <v>82</v>
      </c>
      <c r="C48" s="28">
        <v>1063</v>
      </c>
      <c r="D48" s="28">
        <v>209</v>
      </c>
      <c r="E48" s="28">
        <v>151</v>
      </c>
      <c r="F48" s="25">
        <v>113</v>
      </c>
      <c r="G48" s="25">
        <v>598</v>
      </c>
      <c r="H48" s="25">
        <v>227</v>
      </c>
      <c r="I48" s="25">
        <v>1</v>
      </c>
    </row>
    <row r="49" spans="1:9" ht="12.75" customHeight="1">
      <c r="A49" s="27" t="s">
        <v>83</v>
      </c>
      <c r="B49" s="20" t="s">
        <v>84</v>
      </c>
      <c r="C49" s="28">
        <v>133</v>
      </c>
      <c r="D49" s="28">
        <v>10</v>
      </c>
      <c r="E49" s="28">
        <v>0</v>
      </c>
      <c r="F49" s="25">
        <v>54</v>
      </c>
      <c r="G49" s="25">
        <v>70</v>
      </c>
      <c r="H49" s="25">
        <v>94</v>
      </c>
      <c r="I49" s="25">
        <v>0</v>
      </c>
    </row>
    <row r="50" spans="1:9" ht="12.75" customHeight="1">
      <c r="A50" s="27" t="s">
        <v>85</v>
      </c>
      <c r="B50" s="20" t="s">
        <v>86</v>
      </c>
      <c r="C50" s="28">
        <v>3432</v>
      </c>
      <c r="D50" s="28">
        <v>473</v>
      </c>
      <c r="E50" s="28">
        <v>155</v>
      </c>
      <c r="F50" s="25">
        <v>312</v>
      </c>
      <c r="G50" s="25">
        <v>2369</v>
      </c>
      <c r="H50" s="25">
        <v>540</v>
      </c>
      <c r="I50" s="25">
        <v>4</v>
      </c>
    </row>
    <row r="51" spans="1:9" ht="12.75" customHeight="1">
      <c r="A51" s="29"/>
      <c r="B51" s="23" t="s">
        <v>87</v>
      </c>
      <c r="C51" s="24">
        <f t="shared" ref="C51:I51" si="5">SUM(C47:C50)</f>
        <v>4715</v>
      </c>
      <c r="D51" s="24">
        <f t="shared" si="5"/>
        <v>709</v>
      </c>
      <c r="E51" s="24">
        <f t="shared" si="5"/>
        <v>323</v>
      </c>
      <c r="F51" s="24">
        <f t="shared" si="5"/>
        <v>500</v>
      </c>
      <c r="G51" s="24">
        <f t="shared" si="5"/>
        <v>3086</v>
      </c>
      <c r="H51" s="24">
        <f t="shared" si="5"/>
        <v>924</v>
      </c>
      <c r="I51" s="24">
        <f t="shared" si="5"/>
        <v>6</v>
      </c>
    </row>
    <row r="52" spans="1:9" ht="12.75" customHeight="1">
      <c r="A52" s="27" t="s">
        <v>88</v>
      </c>
      <c r="B52" s="20" t="s">
        <v>89</v>
      </c>
      <c r="C52" s="28">
        <v>1269</v>
      </c>
      <c r="D52" s="28">
        <v>223</v>
      </c>
      <c r="E52" s="28">
        <v>102</v>
      </c>
      <c r="F52" s="25">
        <v>128</v>
      </c>
      <c r="G52" s="25">
        <v>895</v>
      </c>
      <c r="H52" s="25">
        <v>22</v>
      </c>
      <c r="I52" s="25">
        <v>0</v>
      </c>
    </row>
    <row r="53" spans="1:9" ht="12.75" customHeight="1">
      <c r="A53" s="27" t="s">
        <v>90</v>
      </c>
      <c r="B53" s="20" t="s">
        <v>91</v>
      </c>
      <c r="C53" s="28">
        <v>4347</v>
      </c>
      <c r="D53" s="28">
        <v>2775</v>
      </c>
      <c r="E53" s="28">
        <v>1501</v>
      </c>
      <c r="F53" s="25">
        <v>169</v>
      </c>
      <c r="G53" s="25">
        <v>860</v>
      </c>
      <c r="H53" s="25">
        <v>487</v>
      </c>
      <c r="I53" s="25">
        <v>7</v>
      </c>
    </row>
    <row r="54" spans="1:9" ht="12.75" customHeight="1">
      <c r="A54" s="27" t="s">
        <v>92</v>
      </c>
      <c r="B54" s="20" t="s">
        <v>93</v>
      </c>
      <c r="C54" s="28">
        <v>1007</v>
      </c>
      <c r="D54" s="28">
        <v>597</v>
      </c>
      <c r="E54" s="28">
        <v>247</v>
      </c>
      <c r="F54" s="25">
        <v>63</v>
      </c>
      <c r="G54" s="25">
        <v>233</v>
      </c>
      <c r="H54" s="25">
        <v>288</v>
      </c>
      <c r="I54" s="25">
        <v>1</v>
      </c>
    </row>
    <row r="55" spans="1:9" ht="12.75" customHeight="1">
      <c r="A55" s="27" t="s">
        <v>94</v>
      </c>
      <c r="B55" s="20" t="s">
        <v>95</v>
      </c>
      <c r="C55" s="28">
        <v>2619</v>
      </c>
      <c r="D55" s="28">
        <v>1173</v>
      </c>
      <c r="E55" s="28">
        <v>813</v>
      </c>
      <c r="F55" s="25">
        <v>250</v>
      </c>
      <c r="G55" s="25">
        <v>1145</v>
      </c>
      <c r="H55" s="25">
        <v>427</v>
      </c>
      <c r="I55" s="25">
        <v>3</v>
      </c>
    </row>
    <row r="56" spans="1:9" ht="12.75" customHeight="1">
      <c r="A56" s="27" t="s">
        <v>96</v>
      </c>
      <c r="B56" s="20" t="s">
        <v>97</v>
      </c>
      <c r="C56" s="28">
        <v>5773</v>
      </c>
      <c r="D56" s="28">
        <v>3947</v>
      </c>
      <c r="E56" s="28">
        <v>925</v>
      </c>
      <c r="F56" s="25">
        <v>83</v>
      </c>
      <c r="G56" s="25">
        <v>1280</v>
      </c>
      <c r="H56" s="25">
        <v>288</v>
      </c>
      <c r="I56" s="25">
        <v>4</v>
      </c>
    </row>
    <row r="57" spans="1:9" ht="12.75" customHeight="1">
      <c r="A57" s="27" t="s">
        <v>98</v>
      </c>
      <c r="B57" s="20" t="s">
        <v>99</v>
      </c>
      <c r="C57" s="28">
        <v>6778</v>
      </c>
      <c r="D57" s="28">
        <v>3037</v>
      </c>
      <c r="E57" s="28">
        <v>1349</v>
      </c>
      <c r="F57" s="25">
        <v>173</v>
      </c>
      <c r="G57" s="25">
        <v>2146</v>
      </c>
      <c r="H57" s="25">
        <v>292</v>
      </c>
      <c r="I57" s="25">
        <v>10</v>
      </c>
    </row>
    <row r="58" spans="1:9" ht="12.75" customHeight="1">
      <c r="A58" s="27" t="s">
        <v>100</v>
      </c>
      <c r="B58" s="20" t="s">
        <v>101</v>
      </c>
      <c r="C58" s="28">
        <v>2344</v>
      </c>
      <c r="D58" s="28">
        <v>1317</v>
      </c>
      <c r="E58" s="28">
        <v>1049</v>
      </c>
      <c r="F58" s="25">
        <v>129</v>
      </c>
      <c r="G58" s="25">
        <v>605</v>
      </c>
      <c r="H58" s="25">
        <v>951</v>
      </c>
      <c r="I58" s="25">
        <v>3</v>
      </c>
    </row>
    <row r="59" spans="1:9" ht="12.75" customHeight="1">
      <c r="A59" s="29"/>
      <c r="B59" s="23" t="s">
        <v>102</v>
      </c>
      <c r="C59" s="24">
        <f t="shared" ref="C59:I59" si="6">SUM(C52:C58)</f>
        <v>24137</v>
      </c>
      <c r="D59" s="24">
        <f t="shared" si="6"/>
        <v>13069</v>
      </c>
      <c r="E59" s="24">
        <f t="shared" si="6"/>
        <v>5986</v>
      </c>
      <c r="F59" s="24">
        <f t="shared" si="6"/>
        <v>995</v>
      </c>
      <c r="G59" s="24">
        <f t="shared" si="6"/>
        <v>7164</v>
      </c>
      <c r="H59" s="24">
        <f t="shared" si="6"/>
        <v>2755</v>
      </c>
      <c r="I59" s="24">
        <f t="shared" si="6"/>
        <v>28</v>
      </c>
    </row>
    <row r="60" spans="1:9" ht="12.75" customHeight="1">
      <c r="A60" s="27" t="s">
        <v>103</v>
      </c>
      <c r="B60" s="20" t="s">
        <v>104</v>
      </c>
      <c r="C60" s="28">
        <v>4586</v>
      </c>
      <c r="D60" s="28">
        <v>3428</v>
      </c>
      <c r="E60" s="28">
        <v>781</v>
      </c>
      <c r="F60" s="25">
        <v>103</v>
      </c>
      <c r="G60" s="25">
        <v>938</v>
      </c>
      <c r="H60" s="25">
        <v>583</v>
      </c>
      <c r="I60" s="25">
        <v>13</v>
      </c>
    </row>
    <row r="61" spans="1:9" ht="12.75" customHeight="1">
      <c r="A61" s="27" t="s">
        <v>105</v>
      </c>
      <c r="B61" s="20" t="s">
        <v>106</v>
      </c>
      <c r="C61" s="28">
        <v>1316</v>
      </c>
      <c r="D61" s="28">
        <v>782</v>
      </c>
      <c r="E61" s="28">
        <v>658</v>
      </c>
      <c r="F61" s="25">
        <v>56</v>
      </c>
      <c r="G61" s="25">
        <v>479</v>
      </c>
      <c r="H61" s="25">
        <v>181</v>
      </c>
      <c r="I61" s="25">
        <v>1</v>
      </c>
    </row>
    <row r="62" spans="1:9" ht="12.75" customHeight="1">
      <c r="A62" s="27" t="s">
        <v>107</v>
      </c>
      <c r="B62" s="20" t="s">
        <v>108</v>
      </c>
      <c r="C62" s="28">
        <v>3923</v>
      </c>
      <c r="D62" s="28">
        <v>2832</v>
      </c>
      <c r="E62" s="28">
        <v>609</v>
      </c>
      <c r="F62" s="25">
        <v>111</v>
      </c>
      <c r="G62" s="25">
        <v>911</v>
      </c>
      <c r="H62" s="25">
        <v>653</v>
      </c>
      <c r="I62" s="25">
        <v>1</v>
      </c>
    </row>
    <row r="63" spans="1:9" ht="12.75" customHeight="1">
      <c r="A63" s="27" t="s">
        <v>109</v>
      </c>
      <c r="B63" s="20" t="s">
        <v>110</v>
      </c>
      <c r="C63" s="28">
        <v>1872</v>
      </c>
      <c r="D63" s="28">
        <v>1455</v>
      </c>
      <c r="E63" s="28">
        <v>1042</v>
      </c>
      <c r="F63" s="25">
        <v>64</v>
      </c>
      <c r="G63" s="25">
        <v>329</v>
      </c>
      <c r="H63" s="25">
        <v>824</v>
      </c>
      <c r="I63" s="25">
        <v>3</v>
      </c>
    </row>
    <row r="64" spans="1:9" ht="12.75" customHeight="1">
      <c r="A64" s="27" t="s">
        <v>111</v>
      </c>
      <c r="B64" s="20" t="s">
        <v>112</v>
      </c>
      <c r="C64" s="28">
        <v>17416</v>
      </c>
      <c r="D64" s="28">
        <v>14510</v>
      </c>
      <c r="E64" s="28">
        <v>730</v>
      </c>
      <c r="F64" s="25">
        <v>29</v>
      </c>
      <c r="G64" s="25">
        <v>1519</v>
      </c>
      <c r="H64" s="25">
        <v>299</v>
      </c>
      <c r="I64" s="25">
        <v>4</v>
      </c>
    </row>
    <row r="65" spans="1:9" ht="12.75" customHeight="1">
      <c r="A65" s="27" t="s">
        <v>113</v>
      </c>
      <c r="B65" s="20" t="s">
        <v>114</v>
      </c>
      <c r="C65" s="28">
        <v>1257</v>
      </c>
      <c r="D65" s="28">
        <v>710</v>
      </c>
      <c r="E65" s="28">
        <v>537</v>
      </c>
      <c r="F65" s="25">
        <v>21</v>
      </c>
      <c r="G65" s="25">
        <v>263</v>
      </c>
      <c r="H65" s="25">
        <v>187</v>
      </c>
      <c r="I65" s="25">
        <v>4</v>
      </c>
    </row>
    <row r="66" spans="1:9" ht="12.75" customHeight="1">
      <c r="A66" s="27" t="s">
        <v>115</v>
      </c>
      <c r="B66" s="20" t="s">
        <v>116</v>
      </c>
      <c r="C66" s="28">
        <v>1245</v>
      </c>
      <c r="D66" s="28">
        <v>854</v>
      </c>
      <c r="E66" s="28">
        <v>684</v>
      </c>
      <c r="F66" s="25">
        <v>36</v>
      </c>
      <c r="G66" s="25">
        <v>150</v>
      </c>
      <c r="H66" s="25">
        <v>683</v>
      </c>
      <c r="I66" s="25">
        <v>6</v>
      </c>
    </row>
    <row r="67" spans="1:9" ht="12.75" customHeight="1">
      <c r="A67" s="27" t="s">
        <v>117</v>
      </c>
      <c r="B67" s="20" t="s">
        <v>118</v>
      </c>
      <c r="C67" s="28">
        <v>2336</v>
      </c>
      <c r="D67" s="28">
        <v>1684</v>
      </c>
      <c r="E67" s="28">
        <v>654</v>
      </c>
      <c r="F67" s="25">
        <v>57</v>
      </c>
      <c r="G67" s="25">
        <v>401</v>
      </c>
      <c r="H67" s="25">
        <v>492</v>
      </c>
      <c r="I67" s="25">
        <v>1</v>
      </c>
    </row>
    <row r="68" spans="1:9" ht="12.75" customHeight="1">
      <c r="A68" s="27" t="s">
        <v>119</v>
      </c>
      <c r="B68" s="20" t="s">
        <v>120</v>
      </c>
      <c r="C68" s="28">
        <v>1093</v>
      </c>
      <c r="D68" s="28">
        <v>783</v>
      </c>
      <c r="E68" s="28">
        <v>428</v>
      </c>
      <c r="F68" s="25">
        <v>46</v>
      </c>
      <c r="G68" s="25">
        <v>180</v>
      </c>
      <c r="H68" s="25">
        <v>68</v>
      </c>
      <c r="I68" s="25">
        <v>5</v>
      </c>
    </row>
    <row r="69" spans="1:9" ht="12.75" customHeight="1">
      <c r="A69" s="22"/>
      <c r="B69" s="23" t="s">
        <v>121</v>
      </c>
      <c r="C69" s="24">
        <f t="shared" ref="C69:I69" si="7">SUM(C60:C68)</f>
        <v>35044</v>
      </c>
      <c r="D69" s="24">
        <f t="shared" si="7"/>
        <v>27038</v>
      </c>
      <c r="E69" s="24">
        <f t="shared" si="7"/>
        <v>6123</v>
      </c>
      <c r="F69" s="24">
        <f t="shared" si="7"/>
        <v>523</v>
      </c>
      <c r="G69" s="24">
        <f t="shared" si="7"/>
        <v>5170</v>
      </c>
      <c r="H69" s="24">
        <f t="shared" si="7"/>
        <v>3970</v>
      </c>
      <c r="I69" s="24">
        <f t="shared" si="7"/>
        <v>38</v>
      </c>
    </row>
    <row r="70" spans="1:9" ht="12.75" customHeight="1">
      <c r="A70" s="27" t="s">
        <v>122</v>
      </c>
      <c r="B70" s="20" t="s">
        <v>123</v>
      </c>
      <c r="C70" s="28">
        <v>1900</v>
      </c>
      <c r="D70" s="28">
        <v>1114</v>
      </c>
      <c r="E70" s="28">
        <v>768</v>
      </c>
      <c r="F70" s="25">
        <v>116</v>
      </c>
      <c r="G70" s="25">
        <v>533</v>
      </c>
      <c r="H70" s="25">
        <v>366</v>
      </c>
      <c r="I70" s="25">
        <v>3</v>
      </c>
    </row>
    <row r="71" spans="1:9" ht="12.75" customHeight="1">
      <c r="A71" s="27" t="s">
        <v>124</v>
      </c>
      <c r="B71" s="20" t="s">
        <v>125</v>
      </c>
      <c r="C71" s="28">
        <v>2956</v>
      </c>
      <c r="D71" s="28">
        <v>1858</v>
      </c>
      <c r="E71" s="28">
        <v>1731</v>
      </c>
      <c r="F71" s="25">
        <v>164</v>
      </c>
      <c r="G71" s="25">
        <v>575</v>
      </c>
      <c r="H71" s="25">
        <v>376</v>
      </c>
      <c r="I71" s="25">
        <v>5</v>
      </c>
    </row>
    <row r="72" spans="1:9" ht="12.75" customHeight="1">
      <c r="A72" s="27" t="s">
        <v>126</v>
      </c>
      <c r="B72" s="20" t="s">
        <v>127</v>
      </c>
      <c r="C72" s="28">
        <v>886</v>
      </c>
      <c r="D72" s="28">
        <v>314</v>
      </c>
      <c r="E72" s="28">
        <v>292</v>
      </c>
      <c r="F72" s="25">
        <v>171</v>
      </c>
      <c r="G72" s="25">
        <v>400</v>
      </c>
      <c r="H72" s="25">
        <v>55</v>
      </c>
      <c r="I72" s="25">
        <v>2</v>
      </c>
    </row>
    <row r="73" spans="1:9" ht="12.75" customHeight="1">
      <c r="A73" s="27" t="s">
        <v>128</v>
      </c>
      <c r="B73" s="20" t="s">
        <v>129</v>
      </c>
      <c r="C73" s="28">
        <v>1020</v>
      </c>
      <c r="D73" s="28">
        <v>280</v>
      </c>
      <c r="E73" s="28">
        <v>263</v>
      </c>
      <c r="F73" s="25">
        <v>69</v>
      </c>
      <c r="G73" s="25">
        <v>612</v>
      </c>
      <c r="H73" s="25">
        <v>107</v>
      </c>
      <c r="I73" s="25">
        <v>2</v>
      </c>
    </row>
    <row r="74" spans="1:9" ht="12.75" customHeight="1">
      <c r="A74" s="27" t="s">
        <v>130</v>
      </c>
      <c r="B74" s="20" t="s">
        <v>131</v>
      </c>
      <c r="C74" s="28">
        <v>1305</v>
      </c>
      <c r="D74" s="28">
        <v>611</v>
      </c>
      <c r="E74" s="28">
        <v>559</v>
      </c>
      <c r="F74" s="25">
        <v>125</v>
      </c>
      <c r="G74" s="25">
        <v>365</v>
      </c>
      <c r="H74" s="25">
        <v>241</v>
      </c>
      <c r="I74" s="25">
        <v>2</v>
      </c>
    </row>
    <row r="75" spans="1:9" ht="12.75" customHeight="1">
      <c r="A75" s="27" t="s">
        <v>132</v>
      </c>
      <c r="B75" s="20" t="s">
        <v>133</v>
      </c>
      <c r="C75" s="28">
        <v>668</v>
      </c>
      <c r="D75" s="28">
        <v>219</v>
      </c>
      <c r="E75" s="28">
        <v>118</v>
      </c>
      <c r="F75" s="25">
        <v>63</v>
      </c>
      <c r="G75" s="25">
        <v>174</v>
      </c>
      <c r="H75" s="25">
        <v>568</v>
      </c>
      <c r="I75" s="25">
        <v>2</v>
      </c>
    </row>
    <row r="76" spans="1:9" ht="12.75" customHeight="1">
      <c r="A76" s="30" t="s">
        <v>134</v>
      </c>
      <c r="B76" s="20" t="s">
        <v>135</v>
      </c>
      <c r="C76" s="28">
        <v>1065</v>
      </c>
      <c r="D76" s="28">
        <v>746</v>
      </c>
      <c r="E76" s="28">
        <v>715</v>
      </c>
      <c r="F76" s="25">
        <v>62</v>
      </c>
      <c r="G76" s="25">
        <v>221</v>
      </c>
      <c r="H76" s="25">
        <v>122</v>
      </c>
      <c r="I76" s="25">
        <v>1</v>
      </c>
    </row>
    <row r="77" spans="1:9" ht="12.75" customHeight="1">
      <c r="A77" s="30" t="s">
        <v>136</v>
      </c>
      <c r="B77" s="20" t="s">
        <v>137</v>
      </c>
      <c r="C77" s="28">
        <v>1983</v>
      </c>
      <c r="D77" s="28">
        <v>420</v>
      </c>
      <c r="E77" s="28">
        <v>313</v>
      </c>
      <c r="F77" s="25">
        <v>107</v>
      </c>
      <c r="G77" s="25">
        <v>551</v>
      </c>
      <c r="H77" s="25">
        <v>177</v>
      </c>
      <c r="I77" s="25">
        <v>2</v>
      </c>
    </row>
    <row r="78" spans="1:9" ht="12.75" customHeight="1">
      <c r="A78" s="30" t="s">
        <v>138</v>
      </c>
      <c r="B78" s="20" t="s">
        <v>139</v>
      </c>
      <c r="C78" s="28">
        <v>408</v>
      </c>
      <c r="D78" s="28">
        <v>309</v>
      </c>
      <c r="E78" s="28">
        <v>309</v>
      </c>
      <c r="F78" s="25">
        <v>41</v>
      </c>
      <c r="G78" s="25">
        <v>58</v>
      </c>
      <c r="H78" s="25">
        <v>56</v>
      </c>
      <c r="I78" s="25">
        <v>1</v>
      </c>
    </row>
    <row r="79" spans="1:9" ht="12.75" customHeight="1">
      <c r="A79" s="30" t="s">
        <v>140</v>
      </c>
      <c r="B79" s="20" t="s">
        <v>141</v>
      </c>
      <c r="C79" s="28">
        <v>1236</v>
      </c>
      <c r="D79" s="28">
        <v>405</v>
      </c>
      <c r="E79" s="28">
        <v>315</v>
      </c>
      <c r="F79" s="25">
        <v>82</v>
      </c>
      <c r="G79" s="25">
        <v>618</v>
      </c>
      <c r="H79" s="25">
        <v>127</v>
      </c>
      <c r="I79" s="25">
        <v>5</v>
      </c>
    </row>
    <row r="80" spans="1:9" ht="12.75" customHeight="1">
      <c r="A80" s="31"/>
      <c r="B80" s="23" t="s">
        <v>142</v>
      </c>
      <c r="C80" s="24">
        <f t="shared" ref="C80:I80" si="8">SUM(C70:C79)</f>
        <v>13427</v>
      </c>
      <c r="D80" s="24">
        <f t="shared" si="8"/>
        <v>6276</v>
      </c>
      <c r="E80" s="24">
        <f t="shared" si="8"/>
        <v>5383</v>
      </c>
      <c r="F80" s="24">
        <f t="shared" si="8"/>
        <v>1000</v>
      </c>
      <c r="G80" s="24">
        <f t="shared" si="8"/>
        <v>4107</v>
      </c>
      <c r="H80" s="24">
        <f t="shared" si="8"/>
        <v>2195</v>
      </c>
      <c r="I80" s="24">
        <f t="shared" si="8"/>
        <v>25</v>
      </c>
    </row>
    <row r="81" spans="1:9" ht="12.75" customHeight="1">
      <c r="A81" s="30" t="s">
        <v>143</v>
      </c>
      <c r="B81" s="20" t="s">
        <v>144</v>
      </c>
      <c r="C81" s="21">
        <v>2869</v>
      </c>
      <c r="D81" s="21">
        <v>1797</v>
      </c>
      <c r="E81" s="21">
        <v>570</v>
      </c>
      <c r="F81" s="25">
        <v>58</v>
      </c>
      <c r="G81" s="25">
        <v>539</v>
      </c>
      <c r="H81" s="25">
        <v>295</v>
      </c>
      <c r="I81" s="25">
        <v>3</v>
      </c>
    </row>
    <row r="82" spans="1:9" ht="12.75" customHeight="1">
      <c r="A82" s="30" t="s">
        <v>145</v>
      </c>
      <c r="B82" s="20" t="s">
        <v>146</v>
      </c>
      <c r="C82" s="21">
        <v>848</v>
      </c>
      <c r="D82" s="21">
        <v>570</v>
      </c>
      <c r="E82" s="21">
        <v>400</v>
      </c>
      <c r="F82" s="25">
        <v>27</v>
      </c>
      <c r="G82" s="25">
        <v>206</v>
      </c>
      <c r="H82" s="25">
        <v>400</v>
      </c>
      <c r="I82" s="25">
        <v>1</v>
      </c>
    </row>
    <row r="83" spans="1:9" ht="12.75" customHeight="1">
      <c r="A83" s="30" t="s">
        <v>147</v>
      </c>
      <c r="B83" s="20" t="s">
        <v>148</v>
      </c>
      <c r="C83" s="21">
        <v>372</v>
      </c>
      <c r="D83" s="21">
        <v>107</v>
      </c>
      <c r="E83" s="21">
        <v>99</v>
      </c>
      <c r="F83" s="25">
        <v>21</v>
      </c>
      <c r="G83" s="25">
        <v>151</v>
      </c>
      <c r="H83" s="25">
        <v>41</v>
      </c>
      <c r="I83" s="25">
        <v>1</v>
      </c>
    </row>
    <row r="84" spans="1:9" ht="12.75" customHeight="1">
      <c r="A84" s="30" t="s">
        <v>149</v>
      </c>
      <c r="B84" s="20" t="s">
        <v>150</v>
      </c>
      <c r="C84" s="21">
        <v>1454</v>
      </c>
      <c r="D84" s="21">
        <v>875</v>
      </c>
      <c r="E84" s="21">
        <v>321</v>
      </c>
      <c r="F84" s="25">
        <v>111</v>
      </c>
      <c r="G84" s="25">
        <v>467</v>
      </c>
      <c r="H84" s="25">
        <v>135</v>
      </c>
      <c r="I84" s="25">
        <v>2</v>
      </c>
    </row>
    <row r="85" spans="1:9" ht="12.75" customHeight="1">
      <c r="A85" s="30" t="s">
        <v>151</v>
      </c>
      <c r="B85" s="20" t="s">
        <v>152</v>
      </c>
      <c r="C85" s="21">
        <v>1043</v>
      </c>
      <c r="D85" s="21">
        <v>470</v>
      </c>
      <c r="E85" s="21">
        <v>364</v>
      </c>
      <c r="F85" s="25">
        <v>56</v>
      </c>
      <c r="G85" s="25">
        <v>365</v>
      </c>
      <c r="H85" s="25">
        <v>81</v>
      </c>
      <c r="I85" s="25">
        <v>6</v>
      </c>
    </row>
    <row r="86" spans="1:9" ht="12.75" customHeight="1">
      <c r="A86" s="31"/>
      <c r="B86" s="23" t="s">
        <v>153</v>
      </c>
      <c r="C86" s="24">
        <f t="shared" ref="C86:I86" si="9">SUM(C81:C85)</f>
        <v>6586</v>
      </c>
      <c r="D86" s="24">
        <f t="shared" si="9"/>
        <v>3819</v>
      </c>
      <c r="E86" s="24">
        <f t="shared" si="9"/>
        <v>1754</v>
      </c>
      <c r="F86" s="24">
        <f t="shared" si="9"/>
        <v>273</v>
      </c>
      <c r="G86" s="24">
        <f t="shared" si="9"/>
        <v>1728</v>
      </c>
      <c r="H86" s="24">
        <f t="shared" si="9"/>
        <v>952</v>
      </c>
      <c r="I86" s="24">
        <f t="shared" si="9"/>
        <v>13</v>
      </c>
    </row>
    <row r="87" spans="1:9" ht="12.75" customHeight="1">
      <c r="A87" s="30" t="s">
        <v>154</v>
      </c>
      <c r="B87" s="20" t="s">
        <v>155</v>
      </c>
      <c r="C87" s="21">
        <v>3288</v>
      </c>
      <c r="D87" s="21">
        <v>1429</v>
      </c>
      <c r="E87" s="21">
        <v>1280</v>
      </c>
      <c r="F87" s="25">
        <v>143</v>
      </c>
      <c r="G87" s="25">
        <v>1408</v>
      </c>
      <c r="H87" s="25">
        <v>397</v>
      </c>
      <c r="I87" s="25">
        <v>4</v>
      </c>
    </row>
    <row r="88" spans="1:9" ht="12.75" customHeight="1">
      <c r="A88" s="30" t="s">
        <v>156</v>
      </c>
      <c r="B88" s="20" t="s">
        <v>157</v>
      </c>
      <c r="C88" s="21">
        <v>1788</v>
      </c>
      <c r="D88" s="21">
        <v>765</v>
      </c>
      <c r="E88" s="21">
        <v>765</v>
      </c>
      <c r="F88" s="25">
        <v>55</v>
      </c>
      <c r="G88" s="25">
        <v>343</v>
      </c>
      <c r="H88" s="25">
        <v>186</v>
      </c>
      <c r="I88" s="25">
        <v>1</v>
      </c>
    </row>
    <row r="89" spans="1:9" ht="12.75" customHeight="1">
      <c r="A89" s="31"/>
      <c r="B89" s="23" t="s">
        <v>158</v>
      </c>
      <c r="C89" s="24">
        <f t="shared" ref="C89:I89" si="10">SUM(C87:C88)</f>
        <v>5076</v>
      </c>
      <c r="D89" s="24">
        <f t="shared" si="10"/>
        <v>2194</v>
      </c>
      <c r="E89" s="24">
        <f t="shared" si="10"/>
        <v>2045</v>
      </c>
      <c r="F89" s="24">
        <f t="shared" si="10"/>
        <v>198</v>
      </c>
      <c r="G89" s="24">
        <f t="shared" si="10"/>
        <v>1751</v>
      </c>
      <c r="H89" s="24">
        <f t="shared" si="10"/>
        <v>583</v>
      </c>
      <c r="I89" s="24">
        <f t="shared" si="10"/>
        <v>5</v>
      </c>
    </row>
    <row r="90" spans="1:9" ht="12.75" customHeight="1">
      <c r="A90" s="30" t="s">
        <v>159</v>
      </c>
      <c r="B90" s="20" t="s">
        <v>160</v>
      </c>
      <c r="C90" s="21">
        <v>2964</v>
      </c>
      <c r="D90" s="21">
        <v>1584</v>
      </c>
      <c r="E90" s="21">
        <v>970</v>
      </c>
      <c r="F90" s="25">
        <v>148</v>
      </c>
      <c r="G90" s="25">
        <v>855</v>
      </c>
      <c r="H90" s="25">
        <v>254</v>
      </c>
      <c r="I90" s="25">
        <v>5</v>
      </c>
    </row>
    <row r="91" spans="1:9" ht="12.75" customHeight="1">
      <c r="A91" s="30" t="s">
        <v>161</v>
      </c>
      <c r="B91" s="20" t="s">
        <v>162</v>
      </c>
      <c r="C91" s="21">
        <v>1856</v>
      </c>
      <c r="D91" s="21">
        <v>679</v>
      </c>
      <c r="E91" s="21">
        <v>531</v>
      </c>
      <c r="F91" s="25">
        <v>202</v>
      </c>
      <c r="G91" s="25">
        <v>770</v>
      </c>
      <c r="H91" s="25">
        <v>194</v>
      </c>
      <c r="I91" s="25">
        <v>4</v>
      </c>
    </row>
    <row r="92" spans="1:9" ht="12.75" customHeight="1">
      <c r="A92" s="30" t="s">
        <v>163</v>
      </c>
      <c r="B92" s="20" t="s">
        <v>164</v>
      </c>
      <c r="C92" s="21">
        <v>881</v>
      </c>
      <c r="D92" s="21">
        <v>364</v>
      </c>
      <c r="E92" s="21">
        <v>351</v>
      </c>
      <c r="F92" s="25">
        <v>55</v>
      </c>
      <c r="G92" s="25">
        <v>452</v>
      </c>
      <c r="H92" s="25">
        <v>17</v>
      </c>
      <c r="I92" s="25">
        <v>1</v>
      </c>
    </row>
    <row r="93" spans="1:9" ht="12.75" customHeight="1">
      <c r="A93" s="30" t="s">
        <v>165</v>
      </c>
      <c r="B93" s="20" t="s">
        <v>166</v>
      </c>
      <c r="C93" s="21">
        <v>30769</v>
      </c>
      <c r="D93" s="21">
        <v>22418</v>
      </c>
      <c r="E93" s="21">
        <v>10635</v>
      </c>
      <c r="F93" s="25">
        <v>701</v>
      </c>
      <c r="G93" s="25">
        <v>2913</v>
      </c>
      <c r="H93" s="25">
        <v>1570</v>
      </c>
      <c r="I93" s="25">
        <v>34</v>
      </c>
    </row>
    <row r="94" spans="1:9" ht="12.75" customHeight="1">
      <c r="A94" s="30" t="s">
        <v>167</v>
      </c>
      <c r="B94" s="20" t="s">
        <v>168</v>
      </c>
      <c r="C94" s="21">
        <v>1929</v>
      </c>
      <c r="D94" s="21">
        <v>513</v>
      </c>
      <c r="E94" s="21">
        <v>409</v>
      </c>
      <c r="F94" s="25">
        <v>112</v>
      </c>
      <c r="G94" s="25">
        <v>777</v>
      </c>
      <c r="H94" s="25">
        <v>84</v>
      </c>
      <c r="I94" s="25">
        <v>2</v>
      </c>
    </row>
    <row r="95" spans="1:9" ht="12.75" customHeight="1">
      <c r="A95" s="31"/>
      <c r="B95" s="23" t="s">
        <v>169</v>
      </c>
      <c r="C95" s="24">
        <f t="shared" ref="C95:I95" si="11">SUM(C90:C94)</f>
        <v>38399</v>
      </c>
      <c r="D95" s="24">
        <f t="shared" si="11"/>
        <v>25558</v>
      </c>
      <c r="E95" s="24">
        <f t="shared" si="11"/>
        <v>12896</v>
      </c>
      <c r="F95" s="24">
        <f t="shared" si="11"/>
        <v>1218</v>
      </c>
      <c r="G95" s="24">
        <f t="shared" si="11"/>
        <v>5767</v>
      </c>
      <c r="H95" s="24">
        <f t="shared" si="11"/>
        <v>2119</v>
      </c>
      <c r="I95" s="24">
        <f t="shared" si="11"/>
        <v>46</v>
      </c>
    </row>
    <row r="96" spans="1:9" ht="12.75" customHeight="1">
      <c r="A96" s="30" t="s">
        <v>170</v>
      </c>
      <c r="B96" s="20" t="s">
        <v>171</v>
      </c>
      <c r="C96" s="21">
        <v>411</v>
      </c>
      <c r="D96" s="21">
        <v>211</v>
      </c>
      <c r="E96" s="21">
        <v>190</v>
      </c>
      <c r="F96" s="25">
        <v>16</v>
      </c>
      <c r="G96" s="25">
        <v>185</v>
      </c>
      <c r="H96" s="25">
        <v>433</v>
      </c>
      <c r="I96" s="25">
        <v>1</v>
      </c>
    </row>
    <row r="97" spans="1:9" ht="12.75" customHeight="1">
      <c r="A97" s="30" t="s">
        <v>172</v>
      </c>
      <c r="B97" s="20" t="s">
        <v>173</v>
      </c>
      <c r="C97" s="21">
        <v>221</v>
      </c>
      <c r="D97" s="21">
        <v>78</v>
      </c>
      <c r="E97" s="21">
        <v>49</v>
      </c>
      <c r="F97" s="25">
        <v>9</v>
      </c>
      <c r="G97" s="25">
        <v>110</v>
      </c>
      <c r="H97" s="25">
        <v>14</v>
      </c>
      <c r="I97" s="25">
        <v>0</v>
      </c>
    </row>
    <row r="98" spans="1:9" ht="12.75" customHeight="1">
      <c r="A98" s="31"/>
      <c r="B98" s="23" t="s">
        <v>174</v>
      </c>
      <c r="C98" s="24">
        <f t="shared" ref="C98:I98" si="12">SUM(C96:C97)</f>
        <v>632</v>
      </c>
      <c r="D98" s="24">
        <f t="shared" si="12"/>
        <v>289</v>
      </c>
      <c r="E98" s="24">
        <f t="shared" si="12"/>
        <v>239</v>
      </c>
      <c r="F98" s="24">
        <f t="shared" si="12"/>
        <v>25</v>
      </c>
      <c r="G98" s="24">
        <f t="shared" si="12"/>
        <v>295</v>
      </c>
      <c r="H98" s="24">
        <f t="shared" si="12"/>
        <v>447</v>
      </c>
      <c r="I98" s="24">
        <f t="shared" si="12"/>
        <v>1</v>
      </c>
    </row>
    <row r="99" spans="1:9" ht="12.75" customHeight="1">
      <c r="A99" s="30" t="s">
        <v>175</v>
      </c>
      <c r="B99" s="20" t="s">
        <v>176</v>
      </c>
      <c r="C99" s="21">
        <v>1563</v>
      </c>
      <c r="D99" s="21">
        <v>763</v>
      </c>
      <c r="E99" s="21">
        <v>252</v>
      </c>
      <c r="F99" s="25">
        <v>73</v>
      </c>
      <c r="G99" s="25">
        <v>563</v>
      </c>
      <c r="H99" s="25">
        <v>236</v>
      </c>
      <c r="I99" s="25">
        <v>5</v>
      </c>
    </row>
    <row r="100" spans="1:9" ht="12.75" customHeight="1">
      <c r="A100" s="30" t="s">
        <v>177</v>
      </c>
      <c r="B100" s="20" t="s">
        <v>178</v>
      </c>
      <c r="C100" s="21">
        <v>584</v>
      </c>
      <c r="D100" s="21">
        <v>352</v>
      </c>
      <c r="E100" s="21">
        <v>252</v>
      </c>
      <c r="F100" s="25">
        <v>48</v>
      </c>
      <c r="G100" s="25">
        <v>177</v>
      </c>
      <c r="H100" s="25">
        <v>90</v>
      </c>
      <c r="I100" s="25">
        <v>2</v>
      </c>
    </row>
    <row r="101" spans="1:9" ht="12.75" customHeight="1">
      <c r="A101" s="30" t="s">
        <v>179</v>
      </c>
      <c r="B101" s="20" t="s">
        <v>180</v>
      </c>
      <c r="C101" s="21">
        <v>1769</v>
      </c>
      <c r="D101" s="21">
        <v>873</v>
      </c>
      <c r="E101" s="21">
        <v>97</v>
      </c>
      <c r="F101" s="25">
        <v>123</v>
      </c>
      <c r="G101" s="25">
        <v>644</v>
      </c>
      <c r="H101" s="25">
        <v>178</v>
      </c>
      <c r="I101" s="25">
        <v>1</v>
      </c>
    </row>
    <row r="102" spans="1:9" ht="12.75" customHeight="1">
      <c r="A102" s="30" t="s">
        <v>181</v>
      </c>
      <c r="B102" s="20" t="s">
        <v>182</v>
      </c>
      <c r="C102" s="21">
        <v>900</v>
      </c>
      <c r="D102" s="21">
        <v>516</v>
      </c>
      <c r="E102" s="21">
        <v>433</v>
      </c>
      <c r="F102" s="25">
        <v>47</v>
      </c>
      <c r="G102" s="25">
        <v>337</v>
      </c>
      <c r="H102" s="25">
        <v>349</v>
      </c>
      <c r="I102" s="25">
        <v>1</v>
      </c>
    </row>
    <row r="103" spans="1:9" ht="12.75" customHeight="1">
      <c r="A103" s="31"/>
      <c r="B103" s="23" t="s">
        <v>183</v>
      </c>
      <c r="C103" s="24">
        <f t="shared" ref="C103:I103" si="13">SUM(C99:C102)</f>
        <v>4816</v>
      </c>
      <c r="D103" s="24">
        <f t="shared" si="13"/>
        <v>2504</v>
      </c>
      <c r="E103" s="24">
        <f t="shared" si="13"/>
        <v>1034</v>
      </c>
      <c r="F103" s="24">
        <f t="shared" si="13"/>
        <v>291</v>
      </c>
      <c r="G103" s="24">
        <f t="shared" si="13"/>
        <v>1721</v>
      </c>
      <c r="H103" s="24">
        <f t="shared" si="13"/>
        <v>853</v>
      </c>
      <c r="I103" s="24">
        <f t="shared" si="13"/>
        <v>9</v>
      </c>
    </row>
    <row r="104" spans="1:9" ht="12.75" customHeight="1">
      <c r="A104" s="30" t="s">
        <v>184</v>
      </c>
      <c r="B104" s="20" t="s">
        <v>185</v>
      </c>
      <c r="C104" s="21">
        <v>1103</v>
      </c>
      <c r="D104" s="21">
        <v>477</v>
      </c>
      <c r="E104" s="21">
        <v>110</v>
      </c>
      <c r="F104" s="25">
        <v>50</v>
      </c>
      <c r="G104" s="25">
        <v>248</v>
      </c>
      <c r="H104" s="25">
        <v>404</v>
      </c>
      <c r="I104" s="25">
        <v>1</v>
      </c>
    </row>
    <row r="105" spans="1:9" ht="12.75" customHeight="1">
      <c r="A105" s="30" t="s">
        <v>186</v>
      </c>
      <c r="B105" s="20" t="s">
        <v>187</v>
      </c>
      <c r="C105" s="21">
        <v>1026</v>
      </c>
      <c r="D105" s="21">
        <v>335</v>
      </c>
      <c r="E105" s="21">
        <v>140</v>
      </c>
      <c r="F105" s="25">
        <v>34</v>
      </c>
      <c r="G105" s="25">
        <v>222</v>
      </c>
      <c r="H105" s="25">
        <v>87</v>
      </c>
      <c r="I105" s="25">
        <v>0</v>
      </c>
    </row>
    <row r="106" spans="1:9" ht="12.75" customHeight="1">
      <c r="A106" s="30" t="s">
        <v>188</v>
      </c>
      <c r="B106" s="20" t="s">
        <v>189</v>
      </c>
      <c r="C106" s="21">
        <v>5461</v>
      </c>
      <c r="D106" s="21">
        <v>3033</v>
      </c>
      <c r="E106" s="21">
        <v>1073</v>
      </c>
      <c r="F106" s="25">
        <v>238</v>
      </c>
      <c r="G106" s="25">
        <v>644</v>
      </c>
      <c r="H106" s="25">
        <v>258</v>
      </c>
      <c r="I106" s="25">
        <v>5</v>
      </c>
    </row>
    <row r="107" spans="1:9" ht="12.75" customHeight="1">
      <c r="A107" s="30" t="s">
        <v>190</v>
      </c>
      <c r="B107" s="20" t="s">
        <v>191</v>
      </c>
      <c r="C107" s="21">
        <v>18031</v>
      </c>
      <c r="D107" s="21">
        <v>9323</v>
      </c>
      <c r="E107" s="21">
        <v>1259</v>
      </c>
      <c r="F107" s="25">
        <v>1445</v>
      </c>
      <c r="G107" s="25">
        <v>880</v>
      </c>
      <c r="H107" s="25">
        <v>1251</v>
      </c>
      <c r="I107" s="25">
        <v>9</v>
      </c>
    </row>
    <row r="108" spans="1:9" ht="12.75" customHeight="1">
      <c r="A108" s="30" t="s">
        <v>192</v>
      </c>
      <c r="B108" s="20" t="s">
        <v>193</v>
      </c>
      <c r="C108" s="21">
        <v>5824</v>
      </c>
      <c r="D108" s="21">
        <v>2266</v>
      </c>
      <c r="E108" s="21">
        <v>519</v>
      </c>
      <c r="F108" s="25">
        <v>406</v>
      </c>
      <c r="G108" s="25">
        <v>600</v>
      </c>
      <c r="H108" s="25">
        <v>374</v>
      </c>
      <c r="I108" s="25">
        <v>2</v>
      </c>
    </row>
    <row r="109" spans="1:9" ht="12.75" customHeight="1">
      <c r="A109" s="31"/>
      <c r="B109" s="23" t="s">
        <v>194</v>
      </c>
      <c r="C109" s="24">
        <f t="shared" ref="C109:I109" si="14">SUM(C104:C108)</f>
        <v>31445</v>
      </c>
      <c r="D109" s="24">
        <f t="shared" si="14"/>
        <v>15434</v>
      </c>
      <c r="E109" s="24">
        <f t="shared" si="14"/>
        <v>3101</v>
      </c>
      <c r="F109" s="24">
        <f t="shared" si="14"/>
        <v>2173</v>
      </c>
      <c r="G109" s="24">
        <f t="shared" si="14"/>
        <v>2594</v>
      </c>
      <c r="H109" s="24">
        <f t="shared" si="14"/>
        <v>2374</v>
      </c>
      <c r="I109" s="24">
        <f t="shared" si="14"/>
        <v>17</v>
      </c>
    </row>
    <row r="110" spans="1:9" ht="12.75" customHeight="1">
      <c r="A110" s="19" t="s">
        <v>195</v>
      </c>
      <c r="B110" s="20" t="s">
        <v>196</v>
      </c>
      <c r="C110" s="21">
        <v>3509</v>
      </c>
      <c r="D110" s="21">
        <v>2204</v>
      </c>
      <c r="E110" s="21">
        <v>1309</v>
      </c>
      <c r="F110" s="25">
        <v>202</v>
      </c>
      <c r="G110" s="25">
        <v>726</v>
      </c>
      <c r="H110" s="25">
        <v>566</v>
      </c>
      <c r="I110" s="25">
        <v>8</v>
      </c>
    </row>
    <row r="111" spans="1:9" ht="12.75" customHeight="1">
      <c r="A111" s="19" t="s">
        <v>197</v>
      </c>
      <c r="B111" s="20" t="s">
        <v>198</v>
      </c>
      <c r="C111" s="21">
        <v>464</v>
      </c>
      <c r="D111" s="21">
        <v>310</v>
      </c>
      <c r="E111" s="21">
        <v>310</v>
      </c>
      <c r="F111" s="25">
        <v>29</v>
      </c>
      <c r="G111" s="25">
        <v>124</v>
      </c>
      <c r="H111" s="25">
        <v>33</v>
      </c>
      <c r="I111" s="25">
        <v>1</v>
      </c>
    </row>
    <row r="112" spans="1:9" ht="12.75" customHeight="1">
      <c r="A112" s="19" t="s">
        <v>199</v>
      </c>
      <c r="B112" s="20" t="s">
        <v>200</v>
      </c>
      <c r="C112" s="21">
        <v>881</v>
      </c>
      <c r="D112" s="21">
        <v>457</v>
      </c>
      <c r="E112" s="21">
        <v>314</v>
      </c>
      <c r="F112" s="25">
        <v>156</v>
      </c>
      <c r="G112" s="25">
        <v>246</v>
      </c>
      <c r="H112" s="25">
        <v>115</v>
      </c>
      <c r="I112" s="25">
        <v>3</v>
      </c>
    </row>
    <row r="113" spans="1:9" ht="12.75" customHeight="1">
      <c r="A113" s="19" t="s">
        <v>201</v>
      </c>
      <c r="B113" s="20" t="s">
        <v>202</v>
      </c>
      <c r="C113" s="21">
        <v>2788</v>
      </c>
      <c r="D113" s="21">
        <v>1717</v>
      </c>
      <c r="E113" s="21">
        <v>268</v>
      </c>
      <c r="F113" s="25">
        <v>227</v>
      </c>
      <c r="G113" s="25">
        <v>515</v>
      </c>
      <c r="H113" s="25">
        <v>424</v>
      </c>
      <c r="I113" s="25">
        <v>1</v>
      </c>
    </row>
    <row r="114" spans="1:9" ht="12.75" customHeight="1">
      <c r="A114" s="19" t="s">
        <v>203</v>
      </c>
      <c r="B114" s="20" t="s">
        <v>204</v>
      </c>
      <c r="C114" s="21">
        <v>2535</v>
      </c>
      <c r="D114" s="21">
        <v>1270</v>
      </c>
      <c r="E114" s="21">
        <v>722</v>
      </c>
      <c r="F114" s="25">
        <v>213</v>
      </c>
      <c r="G114" s="25">
        <v>307</v>
      </c>
      <c r="H114" s="25">
        <v>220</v>
      </c>
      <c r="I114" s="25">
        <v>5</v>
      </c>
    </row>
    <row r="115" spans="1:9" ht="12.75" customHeight="1">
      <c r="A115" s="19" t="s">
        <v>205</v>
      </c>
      <c r="B115" s="20" t="s">
        <v>206</v>
      </c>
      <c r="C115" s="21">
        <v>1121</v>
      </c>
      <c r="D115" s="21">
        <v>781</v>
      </c>
      <c r="E115" s="21">
        <v>492</v>
      </c>
      <c r="F115" s="25">
        <v>138</v>
      </c>
      <c r="G115" s="25">
        <v>181</v>
      </c>
      <c r="H115" s="25">
        <v>935</v>
      </c>
      <c r="I115" s="25">
        <v>2</v>
      </c>
    </row>
    <row r="116" spans="1:9" ht="12.75" customHeight="1">
      <c r="A116" s="22"/>
      <c r="B116" s="23" t="s">
        <v>207</v>
      </c>
      <c r="C116" s="24">
        <f t="shared" ref="C116:I116" si="15">SUM(C110:C115)</f>
        <v>11298</v>
      </c>
      <c r="D116" s="24">
        <f t="shared" si="15"/>
        <v>6739</v>
      </c>
      <c r="E116" s="24">
        <f t="shared" si="15"/>
        <v>3415</v>
      </c>
      <c r="F116" s="24">
        <f t="shared" si="15"/>
        <v>965</v>
      </c>
      <c r="G116" s="24">
        <f t="shared" si="15"/>
        <v>2099</v>
      </c>
      <c r="H116" s="24">
        <f t="shared" si="15"/>
        <v>2293</v>
      </c>
      <c r="I116" s="24">
        <f t="shared" si="15"/>
        <v>20</v>
      </c>
    </row>
    <row r="117" spans="1:9" ht="12.75" customHeight="1">
      <c r="A117" s="19" t="s">
        <v>208</v>
      </c>
      <c r="B117" s="20" t="s">
        <v>209</v>
      </c>
      <c r="C117" s="21">
        <v>311</v>
      </c>
      <c r="D117" s="21">
        <v>206</v>
      </c>
      <c r="E117" s="21">
        <v>109</v>
      </c>
      <c r="F117" s="25">
        <v>17</v>
      </c>
      <c r="G117" s="25">
        <v>89</v>
      </c>
      <c r="H117" s="25">
        <v>67</v>
      </c>
      <c r="I117" s="25">
        <v>0</v>
      </c>
    </row>
    <row r="118" spans="1:9" ht="12.75" customHeight="1">
      <c r="A118" s="19" t="s">
        <v>210</v>
      </c>
      <c r="B118" s="20" t="s">
        <v>211</v>
      </c>
      <c r="C118" s="32">
        <v>1220</v>
      </c>
      <c r="D118" s="32">
        <v>422</v>
      </c>
      <c r="E118" s="21">
        <v>283</v>
      </c>
      <c r="F118" s="25">
        <v>202</v>
      </c>
      <c r="G118" s="25">
        <v>490</v>
      </c>
      <c r="H118" s="25">
        <v>159</v>
      </c>
      <c r="I118" s="25">
        <v>1</v>
      </c>
    </row>
    <row r="119" spans="1:9" ht="12.75" customHeight="1">
      <c r="A119" s="22"/>
      <c r="B119" s="23" t="s">
        <v>212</v>
      </c>
      <c r="C119" s="24">
        <f t="shared" ref="C119:I119" si="16">SUM(C117:C118)</f>
        <v>1531</v>
      </c>
      <c r="D119" s="24">
        <f t="shared" si="16"/>
        <v>628</v>
      </c>
      <c r="E119" s="24">
        <f t="shared" si="16"/>
        <v>392</v>
      </c>
      <c r="F119" s="24">
        <f t="shared" si="16"/>
        <v>219</v>
      </c>
      <c r="G119" s="24">
        <f t="shared" si="16"/>
        <v>579</v>
      </c>
      <c r="H119" s="24">
        <f t="shared" si="16"/>
        <v>226</v>
      </c>
      <c r="I119" s="24">
        <f t="shared" si="16"/>
        <v>1</v>
      </c>
    </row>
    <row r="120" spans="1:9" ht="12.75" customHeight="1">
      <c r="A120" s="19" t="s">
        <v>213</v>
      </c>
      <c r="B120" s="20" t="s">
        <v>214</v>
      </c>
      <c r="C120" s="21">
        <v>1541</v>
      </c>
      <c r="D120" s="21">
        <v>564</v>
      </c>
      <c r="E120" s="21">
        <v>244</v>
      </c>
      <c r="F120" s="25">
        <v>380</v>
      </c>
      <c r="G120" s="25">
        <v>452</v>
      </c>
      <c r="H120" s="25">
        <v>59</v>
      </c>
      <c r="I120" s="25">
        <v>4</v>
      </c>
    </row>
    <row r="121" spans="1:9" ht="12.75" customHeight="1">
      <c r="A121" s="19" t="s">
        <v>215</v>
      </c>
      <c r="B121" s="20" t="s">
        <v>216</v>
      </c>
      <c r="C121" s="21">
        <v>1786</v>
      </c>
      <c r="D121" s="21">
        <v>404</v>
      </c>
      <c r="E121" s="21">
        <v>249</v>
      </c>
      <c r="F121" s="25">
        <v>492</v>
      </c>
      <c r="G121" s="25">
        <v>842</v>
      </c>
      <c r="H121" s="25">
        <v>109</v>
      </c>
      <c r="I121" s="25">
        <v>2</v>
      </c>
    </row>
    <row r="122" spans="1:9" ht="12.75" customHeight="1">
      <c r="A122" s="19" t="s">
        <v>217</v>
      </c>
      <c r="B122" s="20" t="s">
        <v>218</v>
      </c>
      <c r="C122" s="21">
        <v>472</v>
      </c>
      <c r="D122" s="21">
        <v>158</v>
      </c>
      <c r="E122" s="21">
        <v>54</v>
      </c>
      <c r="F122" s="25">
        <v>74</v>
      </c>
      <c r="G122" s="25">
        <v>145</v>
      </c>
      <c r="H122" s="25">
        <v>33</v>
      </c>
      <c r="I122" s="25">
        <v>2</v>
      </c>
    </row>
    <row r="123" spans="1:9" ht="12.75" customHeight="1">
      <c r="A123" s="19" t="s">
        <v>219</v>
      </c>
      <c r="B123" s="20" t="s">
        <v>220</v>
      </c>
      <c r="C123" s="21">
        <v>1669</v>
      </c>
      <c r="D123" s="21">
        <v>489</v>
      </c>
      <c r="E123" s="21">
        <v>303</v>
      </c>
      <c r="F123" s="25">
        <v>572</v>
      </c>
      <c r="G123" s="25">
        <v>554</v>
      </c>
      <c r="H123" s="25">
        <v>136</v>
      </c>
      <c r="I123" s="25">
        <v>4</v>
      </c>
    </row>
    <row r="124" spans="1:9" ht="12.75" customHeight="1">
      <c r="A124" s="19" t="s">
        <v>221</v>
      </c>
      <c r="B124" s="20" t="s">
        <v>222</v>
      </c>
      <c r="C124" s="21">
        <v>422</v>
      </c>
      <c r="D124" s="21">
        <v>57</v>
      </c>
      <c r="E124" s="21">
        <v>44</v>
      </c>
      <c r="F124" s="25">
        <v>65</v>
      </c>
      <c r="G124" s="25">
        <v>241</v>
      </c>
      <c r="H124" s="25">
        <v>16</v>
      </c>
      <c r="I124" s="25">
        <v>1</v>
      </c>
    </row>
    <row r="125" spans="1:9" ht="12.75" customHeight="1">
      <c r="A125" s="22"/>
      <c r="B125" s="23" t="s">
        <v>223</v>
      </c>
      <c r="C125" s="24">
        <f t="shared" ref="C125:I125" si="17">SUM(C120:C124)</f>
        <v>5890</v>
      </c>
      <c r="D125" s="24">
        <f t="shared" si="17"/>
        <v>1672</v>
      </c>
      <c r="E125" s="24">
        <f t="shared" si="17"/>
        <v>894</v>
      </c>
      <c r="F125" s="24">
        <f t="shared" si="17"/>
        <v>1583</v>
      </c>
      <c r="G125" s="24">
        <f t="shared" si="17"/>
        <v>2234</v>
      </c>
      <c r="H125" s="24">
        <f t="shared" si="17"/>
        <v>353</v>
      </c>
      <c r="I125" s="24">
        <f t="shared" si="17"/>
        <v>13</v>
      </c>
    </row>
    <row r="126" spans="1:9" ht="12.75" customHeight="1">
      <c r="A126" s="19" t="s">
        <v>224</v>
      </c>
      <c r="B126" s="20" t="s">
        <v>225</v>
      </c>
      <c r="C126" s="21">
        <v>569</v>
      </c>
      <c r="D126" s="21">
        <v>52</v>
      </c>
      <c r="E126" s="21">
        <v>15</v>
      </c>
      <c r="F126" s="25">
        <v>338</v>
      </c>
      <c r="G126" s="25">
        <v>179</v>
      </c>
      <c r="H126" s="25">
        <v>129</v>
      </c>
      <c r="I126" s="25">
        <v>1</v>
      </c>
    </row>
    <row r="127" spans="1:9" ht="12.75" customHeight="1">
      <c r="A127" s="19" t="s">
        <v>226</v>
      </c>
      <c r="B127" s="20" t="s">
        <v>227</v>
      </c>
      <c r="C127" s="21">
        <v>202</v>
      </c>
      <c r="D127" s="21">
        <v>28</v>
      </c>
      <c r="E127" s="21">
        <v>13</v>
      </c>
      <c r="F127" s="25">
        <v>98</v>
      </c>
      <c r="G127" s="25">
        <v>75</v>
      </c>
      <c r="H127" s="25">
        <v>42</v>
      </c>
      <c r="I127" s="25">
        <v>1</v>
      </c>
    </row>
    <row r="128" spans="1:9" ht="12.75" customHeight="1">
      <c r="A128" s="19" t="s">
        <v>228</v>
      </c>
      <c r="B128" s="20" t="s">
        <v>229</v>
      </c>
      <c r="C128" s="21">
        <v>3875</v>
      </c>
      <c r="D128" s="21">
        <v>1393</v>
      </c>
      <c r="E128" s="21">
        <v>273</v>
      </c>
      <c r="F128" s="25">
        <v>1959</v>
      </c>
      <c r="G128" s="25">
        <v>392</v>
      </c>
      <c r="H128" s="25">
        <v>185</v>
      </c>
      <c r="I128" s="25">
        <v>4</v>
      </c>
    </row>
    <row r="129" spans="1:9" ht="12.75" customHeight="1">
      <c r="A129" s="19" t="s">
        <v>230</v>
      </c>
      <c r="B129" s="20" t="s">
        <v>231</v>
      </c>
      <c r="C129" s="21">
        <v>2671</v>
      </c>
      <c r="D129" s="21">
        <v>1281</v>
      </c>
      <c r="E129" s="21">
        <v>124</v>
      </c>
      <c r="F129" s="25">
        <v>55</v>
      </c>
      <c r="G129" s="25">
        <v>45</v>
      </c>
      <c r="H129" s="25">
        <v>51</v>
      </c>
      <c r="I129" s="25">
        <v>1</v>
      </c>
    </row>
    <row r="130" spans="1:9" ht="12.75" customHeight="1">
      <c r="A130" s="19" t="s">
        <v>232</v>
      </c>
      <c r="B130" s="20" t="s">
        <v>233</v>
      </c>
      <c r="C130" s="21">
        <v>1481</v>
      </c>
      <c r="D130" s="21">
        <v>647</v>
      </c>
      <c r="E130" s="21">
        <v>597</v>
      </c>
      <c r="F130" s="25">
        <v>372</v>
      </c>
      <c r="G130" s="25">
        <v>462</v>
      </c>
      <c r="H130" s="25">
        <v>151</v>
      </c>
      <c r="I130" s="25">
        <v>3</v>
      </c>
    </row>
    <row r="131" spans="1:9" ht="12.75" customHeight="1">
      <c r="A131" s="19" t="s">
        <v>234</v>
      </c>
      <c r="B131" s="20" t="s">
        <v>235</v>
      </c>
      <c r="C131" s="21">
        <v>4822</v>
      </c>
      <c r="D131" s="21">
        <v>2868</v>
      </c>
      <c r="E131" s="21">
        <v>1131</v>
      </c>
      <c r="F131" s="25">
        <v>1538</v>
      </c>
      <c r="G131" s="25">
        <v>342</v>
      </c>
      <c r="H131" s="25">
        <v>101</v>
      </c>
      <c r="I131" s="25">
        <v>6</v>
      </c>
    </row>
    <row r="132" spans="1:9" ht="12.75" customHeight="1">
      <c r="A132" s="19" t="s">
        <v>236</v>
      </c>
      <c r="B132" s="20" t="s">
        <v>237</v>
      </c>
      <c r="C132" s="21">
        <v>1801</v>
      </c>
      <c r="D132" s="21">
        <v>527</v>
      </c>
      <c r="E132" s="21">
        <v>160</v>
      </c>
      <c r="F132" s="25">
        <v>861</v>
      </c>
      <c r="G132" s="25">
        <v>152</v>
      </c>
      <c r="H132" s="25">
        <v>112</v>
      </c>
      <c r="I132" s="25">
        <v>1</v>
      </c>
    </row>
    <row r="133" spans="1:9" ht="12.75" customHeight="1">
      <c r="A133" s="19" t="s">
        <v>238</v>
      </c>
      <c r="B133" s="20" t="s">
        <v>239</v>
      </c>
      <c r="C133" s="21">
        <v>1097</v>
      </c>
      <c r="D133" s="21">
        <v>681</v>
      </c>
      <c r="E133" s="21">
        <v>222</v>
      </c>
      <c r="F133" s="25">
        <v>161</v>
      </c>
      <c r="G133" s="25">
        <v>256</v>
      </c>
      <c r="H133" s="25">
        <v>70</v>
      </c>
      <c r="I133" s="25">
        <v>2</v>
      </c>
    </row>
    <row r="134" spans="1:9" ht="12.75" customHeight="1">
      <c r="A134" s="19" t="s">
        <v>240</v>
      </c>
      <c r="B134" s="20" t="s">
        <v>241</v>
      </c>
      <c r="C134" s="21">
        <v>1111</v>
      </c>
      <c r="D134" s="21">
        <v>267</v>
      </c>
      <c r="E134" s="21">
        <v>207</v>
      </c>
      <c r="F134" s="25">
        <v>629</v>
      </c>
      <c r="G134" s="25">
        <v>215</v>
      </c>
      <c r="H134" s="25">
        <v>84</v>
      </c>
      <c r="I134" s="25">
        <v>2</v>
      </c>
    </row>
    <row r="135" spans="1:9" ht="12.75" customHeight="1">
      <c r="A135" s="26"/>
      <c r="B135" s="23" t="s">
        <v>242</v>
      </c>
      <c r="C135" s="24">
        <f t="shared" ref="C135:I135" si="18">SUM(C126:C134)</f>
        <v>17629</v>
      </c>
      <c r="D135" s="24">
        <f t="shared" si="18"/>
        <v>7744</v>
      </c>
      <c r="E135" s="24">
        <f t="shared" si="18"/>
        <v>2742</v>
      </c>
      <c r="F135" s="24">
        <f t="shared" si="18"/>
        <v>6011</v>
      </c>
      <c r="G135" s="24">
        <f t="shared" si="18"/>
        <v>2118</v>
      </c>
      <c r="H135" s="24">
        <f t="shared" si="18"/>
        <v>925</v>
      </c>
      <c r="I135" s="24">
        <f t="shared" si="18"/>
        <v>21</v>
      </c>
    </row>
    <row r="136" spans="1:9" ht="12.75" customHeight="1">
      <c r="A136" s="19" t="s">
        <v>243</v>
      </c>
      <c r="B136" s="20" t="s">
        <v>244</v>
      </c>
      <c r="C136" s="21">
        <v>4304</v>
      </c>
      <c r="D136" s="21">
        <v>586</v>
      </c>
      <c r="E136" s="21">
        <v>376</v>
      </c>
      <c r="F136" s="25">
        <v>1742</v>
      </c>
      <c r="G136" s="25">
        <v>575</v>
      </c>
      <c r="H136" s="25">
        <v>459</v>
      </c>
      <c r="I136" s="25">
        <v>4</v>
      </c>
    </row>
    <row r="137" spans="1:9" ht="12.75" customHeight="1">
      <c r="A137" s="19" t="s">
        <v>245</v>
      </c>
      <c r="B137" s="20" t="s">
        <v>246</v>
      </c>
      <c r="C137" s="21">
        <v>646</v>
      </c>
      <c r="D137" s="21">
        <v>38</v>
      </c>
      <c r="E137" s="21">
        <v>38</v>
      </c>
      <c r="F137" s="25">
        <v>63</v>
      </c>
      <c r="G137" s="25">
        <v>545</v>
      </c>
      <c r="H137" s="25">
        <v>6</v>
      </c>
      <c r="I137" s="25">
        <v>1</v>
      </c>
    </row>
    <row r="138" spans="1:9" ht="12.75" customHeight="1">
      <c r="A138" s="19" t="s">
        <v>247</v>
      </c>
      <c r="B138" s="20" t="s">
        <v>248</v>
      </c>
      <c r="C138" s="21">
        <v>1013</v>
      </c>
      <c r="D138" s="21">
        <v>11</v>
      </c>
      <c r="E138" s="21">
        <v>11</v>
      </c>
      <c r="F138" s="25">
        <v>274</v>
      </c>
      <c r="G138" s="25">
        <v>729</v>
      </c>
      <c r="H138" s="25">
        <v>2</v>
      </c>
      <c r="I138" s="25">
        <v>0</v>
      </c>
    </row>
    <row r="139" spans="1:9" ht="12.75" customHeight="1">
      <c r="A139" s="19" t="s">
        <v>249</v>
      </c>
      <c r="B139" s="20" t="s">
        <v>250</v>
      </c>
      <c r="C139" s="21">
        <v>1248</v>
      </c>
      <c r="D139" s="21">
        <v>107</v>
      </c>
      <c r="E139" s="21">
        <v>44</v>
      </c>
      <c r="F139" s="25">
        <v>453</v>
      </c>
      <c r="G139" s="25">
        <v>280</v>
      </c>
      <c r="H139" s="25">
        <v>17</v>
      </c>
      <c r="I139" s="25">
        <v>2</v>
      </c>
    </row>
    <row r="140" spans="1:9" ht="12.75" customHeight="1">
      <c r="A140" s="19" t="s">
        <v>251</v>
      </c>
      <c r="B140" s="20" t="s">
        <v>252</v>
      </c>
      <c r="C140" s="21">
        <v>270</v>
      </c>
      <c r="D140" s="21">
        <v>0</v>
      </c>
      <c r="E140" s="21">
        <v>0</v>
      </c>
      <c r="F140" s="25">
        <v>128</v>
      </c>
      <c r="G140" s="25">
        <v>66</v>
      </c>
      <c r="H140" s="25">
        <v>0</v>
      </c>
      <c r="I140" s="25">
        <v>0</v>
      </c>
    </row>
    <row r="141" spans="1:9" ht="12.75" customHeight="1">
      <c r="A141" s="19" t="s">
        <v>253</v>
      </c>
      <c r="B141" s="20" t="s">
        <v>254</v>
      </c>
      <c r="C141" s="21">
        <v>308</v>
      </c>
      <c r="D141" s="21">
        <v>59</v>
      </c>
      <c r="E141" s="21">
        <v>59</v>
      </c>
      <c r="F141" s="25">
        <v>111</v>
      </c>
      <c r="G141" s="25">
        <v>137</v>
      </c>
      <c r="H141" s="25">
        <v>10</v>
      </c>
      <c r="I141" s="25">
        <v>2</v>
      </c>
    </row>
    <row r="142" spans="1:9" ht="12.75" customHeight="1">
      <c r="A142" s="19" t="s">
        <v>255</v>
      </c>
      <c r="B142" s="20" t="s">
        <v>256</v>
      </c>
      <c r="C142" s="21">
        <v>734</v>
      </c>
      <c r="D142" s="21">
        <v>87</v>
      </c>
      <c r="E142" s="21">
        <v>8</v>
      </c>
      <c r="F142" s="25">
        <v>274</v>
      </c>
      <c r="G142" s="25">
        <v>203</v>
      </c>
      <c r="H142" s="25">
        <v>18</v>
      </c>
      <c r="I142" s="25">
        <v>2</v>
      </c>
    </row>
    <row r="143" spans="1:9" ht="12.75" customHeight="1">
      <c r="A143" s="19" t="s">
        <v>257</v>
      </c>
      <c r="B143" s="20" t="s">
        <v>258</v>
      </c>
      <c r="C143" s="21">
        <v>1859</v>
      </c>
      <c r="D143" s="21">
        <v>351</v>
      </c>
      <c r="E143" s="21">
        <v>121</v>
      </c>
      <c r="F143" s="25">
        <v>608</v>
      </c>
      <c r="G143" s="25">
        <v>760</v>
      </c>
      <c r="H143" s="25">
        <v>68</v>
      </c>
      <c r="I143" s="25">
        <v>1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10382</v>
      </c>
      <c r="D145" s="33">
        <f t="shared" si="19"/>
        <v>1239</v>
      </c>
      <c r="E145" s="33">
        <f t="shared" si="19"/>
        <v>657</v>
      </c>
      <c r="F145" s="33">
        <f t="shared" si="19"/>
        <v>3653</v>
      </c>
      <c r="G145" s="33">
        <f t="shared" si="19"/>
        <v>3295</v>
      </c>
      <c r="H145" s="33">
        <f t="shared" si="19"/>
        <v>580</v>
      </c>
      <c r="I145" s="33">
        <f t="shared" si="19"/>
        <v>12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261479</v>
      </c>
      <c r="D146" s="25">
        <f t="shared" si="20"/>
        <v>141301</v>
      </c>
      <c r="E146" s="25">
        <f t="shared" si="20"/>
        <v>65323</v>
      </c>
      <c r="F146" s="25">
        <f t="shared" si="20"/>
        <v>22340</v>
      </c>
      <c r="G146" s="25">
        <f t="shared" si="20"/>
        <v>57999</v>
      </c>
      <c r="H146" s="25">
        <f t="shared" si="20"/>
        <v>35776</v>
      </c>
      <c r="I146" s="25">
        <f t="shared" si="20"/>
        <v>328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6"/>
  <sheetViews>
    <sheetView tabSelected="1" workbookViewId="0">
      <selection activeCell="C144" sqref="C144"/>
    </sheetView>
  </sheetViews>
  <sheetFormatPr defaultRowHeight="12.75" customHeight="1"/>
  <cols>
    <col min="1" max="1" width="7.109375" style="1" customWidth="1"/>
    <col min="2" max="2" width="25.6640625" style="1" customWidth="1"/>
    <col min="3" max="3" width="14.33203125" style="1" customWidth="1"/>
    <col min="4" max="4" width="13" style="1" customWidth="1"/>
    <col min="5" max="5" width="16.109375" style="1" customWidth="1"/>
    <col min="6" max="6" width="11.6640625" style="1" customWidth="1"/>
    <col min="7" max="7" width="13.77734375" style="1" customWidth="1"/>
    <col min="8" max="8" width="10.109375" style="1" customWidth="1"/>
    <col min="9" max="9" width="16.6640625" style="1" customWidth="1"/>
    <col min="10" max="19" width="8.77734375" customWidth="1"/>
  </cols>
  <sheetData>
    <row r="1" spans="1:19" ht="15.75" customHeight="1">
      <c r="A1" s="35" t="s">
        <v>0</v>
      </c>
      <c r="B1" s="35"/>
      <c r="C1" s="35"/>
      <c r="D1" s="36" t="s">
        <v>1</v>
      </c>
      <c r="E1" s="36"/>
      <c r="F1" s="36"/>
      <c r="G1" s="36"/>
      <c r="H1" s="36"/>
      <c r="I1" s="3"/>
    </row>
    <row r="2" spans="1:19" ht="12" customHeight="1">
      <c r="A2" s="37" t="s">
        <v>264</v>
      </c>
      <c r="B2" s="37"/>
      <c r="C2" s="37"/>
      <c r="D2" s="4"/>
      <c r="E2" s="3"/>
      <c r="F2" s="4"/>
      <c r="G2" s="4"/>
      <c r="H2" s="4"/>
      <c r="I2" s="5"/>
    </row>
    <row r="3" spans="1:19" ht="10.5" customHeight="1">
      <c r="A3" s="37"/>
      <c r="B3" s="37"/>
      <c r="C3" s="37"/>
      <c r="D3" s="35" t="s">
        <v>3</v>
      </c>
      <c r="E3" s="35"/>
      <c r="F3" s="35"/>
      <c r="G3" s="35"/>
      <c r="H3" s="35"/>
      <c r="I3" s="6"/>
    </row>
    <row r="4" spans="1:19" ht="12.75" customHeight="1">
      <c r="A4" s="38" t="s">
        <v>4</v>
      </c>
      <c r="B4" s="38"/>
      <c r="C4" s="38"/>
      <c r="D4" s="37" t="s">
        <v>5</v>
      </c>
      <c r="E4" s="37"/>
      <c r="F4" s="37"/>
      <c r="G4" s="37"/>
      <c r="H4" s="37"/>
      <c r="I4" s="5"/>
    </row>
    <row r="5" spans="1:19" ht="12.75" customHeight="1">
      <c r="A5" s="4"/>
      <c r="B5" s="4"/>
      <c r="C5" s="4"/>
      <c r="D5" s="2"/>
      <c r="E5" s="4"/>
      <c r="F5" s="4"/>
      <c r="G5" s="4"/>
      <c r="H5" s="4"/>
      <c r="I5" s="4"/>
    </row>
    <row r="6" spans="1:19" ht="12.75" customHeight="1">
      <c r="A6" s="4"/>
      <c r="B6" s="4"/>
      <c r="C6" s="5"/>
      <c r="D6" s="5"/>
      <c r="E6" s="5"/>
      <c r="F6" s="5"/>
      <c r="G6" s="5"/>
      <c r="H6" s="5"/>
      <c r="I6" s="5"/>
    </row>
    <row r="7" spans="1:19" ht="12.75" customHeight="1">
      <c r="A7" s="4"/>
      <c r="B7" s="4"/>
      <c r="C7" s="5"/>
      <c r="D7" s="5"/>
      <c r="E7" s="5"/>
      <c r="F7" s="37" t="s">
        <v>6</v>
      </c>
      <c r="G7" s="37"/>
      <c r="H7" s="37"/>
      <c r="I7" s="37"/>
    </row>
    <row r="8" spans="1:19" ht="15" customHeight="1">
      <c r="A8" s="5"/>
      <c r="B8" s="5"/>
      <c r="C8" s="5"/>
      <c r="D8" s="5"/>
      <c r="E8" s="5"/>
      <c r="F8" s="37" t="s">
        <v>265</v>
      </c>
      <c r="G8" s="37"/>
      <c r="H8" s="37"/>
      <c r="I8" s="37"/>
    </row>
    <row r="9" spans="1:19" ht="15" customHeight="1">
      <c r="A9" s="39"/>
      <c r="B9" s="39"/>
      <c r="C9" s="39"/>
      <c r="D9" s="39"/>
      <c r="E9" s="39"/>
      <c r="F9" s="5"/>
      <c r="G9" s="5"/>
      <c r="H9" s="5"/>
      <c r="I9" s="5"/>
    </row>
    <row r="10" spans="1:19" ht="4.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19" s="7" customFormat="1" ht="17.25" customHeight="1">
      <c r="A11" s="40" t="s">
        <v>8</v>
      </c>
      <c r="B11" s="40"/>
      <c r="C11" s="41" t="s">
        <v>9</v>
      </c>
      <c r="D11" s="41"/>
      <c r="E11" s="42" t="s">
        <v>10</v>
      </c>
      <c r="F11" s="43" t="s">
        <v>11</v>
      </c>
      <c r="G11" s="43"/>
      <c r="H11" s="44" t="s">
        <v>12</v>
      </c>
      <c r="I11" s="44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46" t="s">
        <v>14</v>
      </c>
      <c r="C12" s="47" t="s">
        <v>15</v>
      </c>
      <c r="D12" s="46" t="s">
        <v>16</v>
      </c>
      <c r="E12" s="42"/>
      <c r="F12" s="47" t="s">
        <v>17</v>
      </c>
      <c r="G12" s="46" t="s">
        <v>18</v>
      </c>
      <c r="H12" s="47" t="s">
        <v>15</v>
      </c>
      <c r="I12" s="46" t="s">
        <v>19</v>
      </c>
    </row>
    <row r="13" spans="1:19" ht="12.75" customHeight="1">
      <c r="A13" s="45"/>
      <c r="B13" s="46"/>
      <c r="C13" s="47"/>
      <c r="D13" s="46"/>
      <c r="E13" s="42"/>
      <c r="F13" s="47"/>
      <c r="G13" s="46"/>
      <c r="H13" s="47"/>
      <c r="I13" s="46"/>
    </row>
    <row r="14" spans="1:19" s="15" customFormat="1" ht="10.5" customHeight="1">
      <c r="A14" s="8">
        <v>1</v>
      </c>
      <c r="B14" s="9">
        <v>2</v>
      </c>
      <c r="C14" s="10">
        <v>3</v>
      </c>
      <c r="D14" s="11">
        <v>4</v>
      </c>
      <c r="E14" s="9">
        <v>5</v>
      </c>
      <c r="F14" s="10">
        <v>6</v>
      </c>
      <c r="G14" s="12">
        <v>7</v>
      </c>
      <c r="H14" s="13">
        <v>8</v>
      </c>
      <c r="I14" s="14">
        <v>10</v>
      </c>
    </row>
    <row r="15" spans="1:19" ht="12.75" customHeight="1">
      <c r="A15" s="16" t="s">
        <v>20</v>
      </c>
      <c r="B15" s="17" t="s">
        <v>21</v>
      </c>
      <c r="C15" s="18">
        <v>16437</v>
      </c>
      <c r="D15" s="18">
        <v>9943</v>
      </c>
      <c r="E15" s="18">
        <v>9111</v>
      </c>
      <c r="F15" s="18">
        <v>641</v>
      </c>
      <c r="G15" s="18">
        <v>4059</v>
      </c>
      <c r="H15" s="18">
        <v>4277</v>
      </c>
      <c r="I15" s="18">
        <v>9</v>
      </c>
    </row>
    <row r="16" spans="1:19" ht="12.75" customHeight="1">
      <c r="A16" s="19" t="s">
        <v>22</v>
      </c>
      <c r="B16" s="20" t="s">
        <v>23</v>
      </c>
      <c r="C16" s="21">
        <v>8018</v>
      </c>
      <c r="D16" s="21">
        <v>3636</v>
      </c>
      <c r="E16" s="21">
        <v>3587</v>
      </c>
      <c r="F16" s="21">
        <v>682</v>
      </c>
      <c r="G16" s="21">
        <v>3505</v>
      </c>
      <c r="H16" s="21">
        <v>445</v>
      </c>
      <c r="I16" s="21">
        <v>8</v>
      </c>
    </row>
    <row r="17" spans="1:9" ht="12.75" customHeight="1">
      <c r="A17" s="19" t="s">
        <v>24</v>
      </c>
      <c r="B17" s="20" t="s">
        <v>25</v>
      </c>
      <c r="C17" s="21">
        <v>4203</v>
      </c>
      <c r="D17" s="21">
        <v>2347</v>
      </c>
      <c r="E17" s="21">
        <v>2336</v>
      </c>
      <c r="F17" s="21">
        <v>502</v>
      </c>
      <c r="G17" s="21">
        <v>1355</v>
      </c>
      <c r="H17" s="21">
        <v>551</v>
      </c>
      <c r="I17" s="21">
        <v>4</v>
      </c>
    </row>
    <row r="18" spans="1:9" ht="12.75" customHeight="1">
      <c r="A18" s="19" t="s">
        <v>26</v>
      </c>
      <c r="B18" s="20" t="s">
        <v>27</v>
      </c>
      <c r="C18" s="21">
        <v>30288</v>
      </c>
      <c r="D18" s="21">
        <v>10831</v>
      </c>
      <c r="E18" s="21">
        <v>4400</v>
      </c>
      <c r="F18" s="21">
        <v>2383</v>
      </c>
      <c r="G18" s="21">
        <v>13591</v>
      </c>
      <c r="H18" s="21">
        <v>8285</v>
      </c>
      <c r="I18" s="21">
        <v>12</v>
      </c>
    </row>
    <row r="19" spans="1:9" ht="12.75" customHeight="1">
      <c r="A19" s="19" t="s">
        <v>28</v>
      </c>
      <c r="B19" s="20" t="s">
        <v>29</v>
      </c>
      <c r="C19" s="21">
        <v>16077</v>
      </c>
      <c r="D19" s="21">
        <v>6948</v>
      </c>
      <c r="E19" s="21">
        <v>6491</v>
      </c>
      <c r="F19" s="21">
        <v>218</v>
      </c>
      <c r="G19" s="21">
        <v>7678</v>
      </c>
      <c r="H19" s="21">
        <v>1249</v>
      </c>
      <c r="I19" s="21">
        <v>8</v>
      </c>
    </row>
    <row r="20" spans="1:9" ht="12.75" customHeight="1">
      <c r="A20" s="19" t="s">
        <v>30</v>
      </c>
      <c r="B20" s="20" t="s">
        <v>31</v>
      </c>
      <c r="C20" s="21">
        <v>75492</v>
      </c>
      <c r="D20" s="21">
        <v>42315</v>
      </c>
      <c r="E20" s="21">
        <v>39132</v>
      </c>
      <c r="F20" s="21">
        <v>3892</v>
      </c>
      <c r="G20" s="21">
        <v>20825</v>
      </c>
      <c r="H20" s="21">
        <v>18853</v>
      </c>
      <c r="I20" s="21">
        <v>59</v>
      </c>
    </row>
    <row r="21" spans="1:9" ht="12.75" customHeight="1">
      <c r="A21" s="19" t="s">
        <v>32</v>
      </c>
      <c r="B21" s="20" t="s">
        <v>33</v>
      </c>
      <c r="C21" s="21">
        <v>3223</v>
      </c>
      <c r="D21" s="21">
        <v>1562</v>
      </c>
      <c r="E21" s="21">
        <v>1562</v>
      </c>
      <c r="F21" s="21">
        <v>284</v>
      </c>
      <c r="G21" s="21">
        <v>1374</v>
      </c>
      <c r="H21" s="21">
        <v>269</v>
      </c>
      <c r="I21" s="21">
        <v>8</v>
      </c>
    </row>
    <row r="22" spans="1:9" ht="12.75" customHeight="1">
      <c r="A22" s="19" t="s">
        <v>34</v>
      </c>
      <c r="B22" s="20" t="s">
        <v>35</v>
      </c>
      <c r="C22" s="21">
        <v>5171</v>
      </c>
      <c r="D22" s="21">
        <v>3244</v>
      </c>
      <c r="E22" s="21">
        <v>3244</v>
      </c>
      <c r="F22" s="21">
        <v>297</v>
      </c>
      <c r="G22" s="21">
        <v>1630</v>
      </c>
      <c r="H22" s="21">
        <v>694</v>
      </c>
      <c r="I22" s="21">
        <v>8</v>
      </c>
    </row>
    <row r="23" spans="1:9" ht="12.75" customHeight="1">
      <c r="A23" s="22"/>
      <c r="B23" s="23" t="s">
        <v>36</v>
      </c>
      <c r="C23" s="24">
        <f t="shared" ref="C23:I23" si="0">SUM(C15:C22)</f>
        <v>158909</v>
      </c>
      <c r="D23" s="24">
        <f t="shared" si="0"/>
        <v>80826</v>
      </c>
      <c r="E23" s="24">
        <f t="shared" si="0"/>
        <v>69863</v>
      </c>
      <c r="F23" s="24">
        <f t="shared" si="0"/>
        <v>8899</v>
      </c>
      <c r="G23" s="24">
        <f t="shared" si="0"/>
        <v>54017</v>
      </c>
      <c r="H23" s="24">
        <f t="shared" si="0"/>
        <v>34623</v>
      </c>
      <c r="I23" s="24">
        <f t="shared" si="0"/>
        <v>116</v>
      </c>
    </row>
    <row r="24" spans="1:9" ht="14.25" customHeight="1">
      <c r="A24" s="19" t="s">
        <v>37</v>
      </c>
      <c r="B24" s="20" t="s">
        <v>38</v>
      </c>
      <c r="C24" s="25">
        <v>6655</v>
      </c>
      <c r="D24" s="25">
        <v>720</v>
      </c>
      <c r="E24" s="25">
        <v>524</v>
      </c>
      <c r="F24" s="25">
        <v>842</v>
      </c>
      <c r="G24" s="25">
        <v>2123</v>
      </c>
      <c r="H24" s="25">
        <v>359</v>
      </c>
      <c r="I24" s="25">
        <v>6</v>
      </c>
    </row>
    <row r="25" spans="1:9" ht="14.25" customHeight="1">
      <c r="A25" s="26"/>
      <c r="B25" s="23" t="s">
        <v>39</v>
      </c>
      <c r="C25" s="24">
        <f t="shared" ref="C25:I25" si="1">SUM(C24)</f>
        <v>6655</v>
      </c>
      <c r="D25" s="24">
        <f t="shared" si="1"/>
        <v>720</v>
      </c>
      <c r="E25" s="24">
        <f t="shared" si="1"/>
        <v>524</v>
      </c>
      <c r="F25" s="24">
        <f t="shared" si="1"/>
        <v>842</v>
      </c>
      <c r="G25" s="24">
        <f t="shared" si="1"/>
        <v>2123</v>
      </c>
      <c r="H25" s="24">
        <f t="shared" si="1"/>
        <v>359</v>
      </c>
      <c r="I25" s="24">
        <f t="shared" si="1"/>
        <v>6</v>
      </c>
    </row>
    <row r="26" spans="1:9" ht="12.75" customHeight="1">
      <c r="A26" s="19" t="s">
        <v>40</v>
      </c>
      <c r="B26" s="20" t="s">
        <v>41</v>
      </c>
      <c r="C26" s="25">
        <v>22998</v>
      </c>
      <c r="D26" s="25">
        <v>14214</v>
      </c>
      <c r="E26" s="25">
        <v>2837</v>
      </c>
      <c r="F26" s="25">
        <v>1370</v>
      </c>
      <c r="G26" s="25">
        <v>2331</v>
      </c>
      <c r="H26" s="25">
        <v>2613</v>
      </c>
      <c r="I26" s="25">
        <v>34</v>
      </c>
    </row>
    <row r="27" spans="1:9" ht="12.75" customHeight="1">
      <c r="A27" s="19" t="s">
        <v>42</v>
      </c>
      <c r="B27" s="20" t="s">
        <v>43</v>
      </c>
      <c r="C27" s="25">
        <v>8937</v>
      </c>
      <c r="D27" s="25">
        <v>388</v>
      </c>
      <c r="E27" s="25">
        <v>375</v>
      </c>
      <c r="F27" s="25">
        <v>1649</v>
      </c>
      <c r="G27" s="25">
        <v>5074</v>
      </c>
      <c r="H27" s="25">
        <v>194</v>
      </c>
      <c r="I27" s="25">
        <v>10</v>
      </c>
    </row>
    <row r="28" spans="1:9" ht="12.75" customHeight="1">
      <c r="A28" s="19" t="s">
        <v>44</v>
      </c>
      <c r="B28" s="20" t="s">
        <v>45</v>
      </c>
      <c r="C28" s="25">
        <v>3960</v>
      </c>
      <c r="D28" s="25">
        <v>1833</v>
      </c>
      <c r="E28" s="25">
        <v>1785</v>
      </c>
      <c r="F28" s="25">
        <v>121</v>
      </c>
      <c r="G28" s="25">
        <v>858</v>
      </c>
      <c r="H28" s="25">
        <v>606</v>
      </c>
      <c r="I28" s="25">
        <v>11</v>
      </c>
    </row>
    <row r="29" spans="1:9" ht="12.75" customHeight="1">
      <c r="A29" s="19" t="s">
        <v>46</v>
      </c>
      <c r="B29" s="20" t="s">
        <v>47</v>
      </c>
      <c r="C29" s="25">
        <v>5447</v>
      </c>
      <c r="D29" s="25">
        <v>527</v>
      </c>
      <c r="E29" s="25">
        <v>503</v>
      </c>
      <c r="F29" s="25">
        <v>771</v>
      </c>
      <c r="G29" s="25">
        <v>3260</v>
      </c>
      <c r="H29" s="25">
        <v>829</v>
      </c>
      <c r="I29" s="25">
        <v>13</v>
      </c>
    </row>
    <row r="30" spans="1:9" ht="12.75" customHeight="1">
      <c r="A30" s="22"/>
      <c r="B30" s="23" t="s">
        <v>48</v>
      </c>
      <c r="C30" s="24">
        <f t="shared" ref="C30:I30" si="2">SUM(C26:C29)</f>
        <v>41342</v>
      </c>
      <c r="D30" s="24">
        <f t="shared" si="2"/>
        <v>16962</v>
      </c>
      <c r="E30" s="24">
        <f t="shared" si="2"/>
        <v>5500</v>
      </c>
      <c r="F30" s="24">
        <f t="shared" si="2"/>
        <v>3911</v>
      </c>
      <c r="G30" s="24">
        <f t="shared" si="2"/>
        <v>11523</v>
      </c>
      <c r="H30" s="24">
        <f t="shared" si="2"/>
        <v>4242</v>
      </c>
      <c r="I30" s="24">
        <f t="shared" si="2"/>
        <v>68</v>
      </c>
    </row>
    <row r="31" spans="1:9" ht="12.75" customHeight="1">
      <c r="A31" s="19" t="s">
        <v>49</v>
      </c>
      <c r="B31" s="20" t="s">
        <v>50</v>
      </c>
      <c r="C31" s="25">
        <v>32074</v>
      </c>
      <c r="D31" s="25">
        <v>7541</v>
      </c>
      <c r="E31" s="25">
        <v>7075</v>
      </c>
      <c r="F31" s="25">
        <v>1453</v>
      </c>
      <c r="G31" s="25">
        <v>20344</v>
      </c>
      <c r="H31" s="25">
        <v>7402</v>
      </c>
      <c r="I31" s="25">
        <v>19</v>
      </c>
    </row>
    <row r="32" spans="1:9" ht="12.75" customHeight="1">
      <c r="A32" s="19" t="s">
        <v>51</v>
      </c>
      <c r="B32" s="20" t="s">
        <v>52</v>
      </c>
      <c r="C32" s="25">
        <v>46388</v>
      </c>
      <c r="D32" s="25">
        <v>28104</v>
      </c>
      <c r="E32" s="25">
        <v>18050</v>
      </c>
      <c r="F32" s="25">
        <v>1814</v>
      </c>
      <c r="G32" s="25">
        <v>12070</v>
      </c>
      <c r="H32" s="25">
        <v>15646</v>
      </c>
      <c r="I32" s="25">
        <v>27</v>
      </c>
    </row>
    <row r="33" spans="1:9" ht="12.75" customHeight="1">
      <c r="A33" s="19" t="s">
        <v>53</v>
      </c>
      <c r="B33" s="20" t="s">
        <v>54</v>
      </c>
      <c r="C33" s="25">
        <v>7123</v>
      </c>
      <c r="D33" s="25">
        <v>2067</v>
      </c>
      <c r="E33" s="25">
        <v>2067</v>
      </c>
      <c r="F33" s="25">
        <v>711</v>
      </c>
      <c r="G33" s="25">
        <v>3224</v>
      </c>
      <c r="H33" s="25">
        <v>2614</v>
      </c>
      <c r="I33" s="25">
        <v>18</v>
      </c>
    </row>
    <row r="34" spans="1:9" ht="12.75" customHeight="1">
      <c r="A34" s="19" t="s">
        <v>55</v>
      </c>
      <c r="B34" s="20" t="s">
        <v>56</v>
      </c>
      <c r="C34" s="25">
        <v>21464</v>
      </c>
      <c r="D34" s="25">
        <v>11623</v>
      </c>
      <c r="E34" s="25">
        <v>3568</v>
      </c>
      <c r="F34" s="25">
        <v>279</v>
      </c>
      <c r="G34" s="25">
        <v>1443</v>
      </c>
      <c r="H34" s="25">
        <v>3977</v>
      </c>
      <c r="I34" s="25">
        <v>11</v>
      </c>
    </row>
    <row r="35" spans="1:9" ht="12.75" customHeight="1">
      <c r="A35" s="19" t="s">
        <v>57</v>
      </c>
      <c r="B35" s="20" t="s">
        <v>58</v>
      </c>
      <c r="C35" s="25">
        <v>4710</v>
      </c>
      <c r="D35" s="25">
        <v>2010</v>
      </c>
      <c r="E35" s="25">
        <v>2010</v>
      </c>
      <c r="F35" s="25">
        <v>379</v>
      </c>
      <c r="G35" s="25">
        <v>2185</v>
      </c>
      <c r="H35" s="25">
        <v>2523</v>
      </c>
      <c r="I35" s="25">
        <v>8</v>
      </c>
    </row>
    <row r="36" spans="1:9" ht="12.75" customHeight="1">
      <c r="A36" s="19" t="s">
        <v>59</v>
      </c>
      <c r="B36" s="20" t="s">
        <v>60</v>
      </c>
      <c r="C36" s="25">
        <v>3570</v>
      </c>
      <c r="D36" s="25">
        <v>2614</v>
      </c>
      <c r="E36" s="25">
        <v>2528</v>
      </c>
      <c r="F36" s="25">
        <v>98</v>
      </c>
      <c r="G36" s="25">
        <v>471</v>
      </c>
      <c r="H36" s="25">
        <v>2819</v>
      </c>
      <c r="I36" s="25">
        <v>8</v>
      </c>
    </row>
    <row r="37" spans="1:9" ht="12.75" customHeight="1">
      <c r="A37" s="19" t="s">
        <v>61</v>
      </c>
      <c r="B37" s="20" t="s">
        <v>62</v>
      </c>
      <c r="C37" s="25">
        <v>22145</v>
      </c>
      <c r="D37" s="25">
        <v>12922</v>
      </c>
      <c r="E37" s="25">
        <v>4244</v>
      </c>
      <c r="F37" s="25">
        <v>605</v>
      </c>
      <c r="G37" s="25">
        <v>4951</v>
      </c>
      <c r="H37" s="25">
        <v>4798</v>
      </c>
      <c r="I37" s="25">
        <v>14</v>
      </c>
    </row>
    <row r="38" spans="1:9" ht="12.75" customHeight="1">
      <c r="A38" s="19" t="s">
        <v>63</v>
      </c>
      <c r="B38" s="20" t="s">
        <v>64</v>
      </c>
      <c r="C38" s="25">
        <v>63326</v>
      </c>
      <c r="D38" s="25">
        <v>45029</v>
      </c>
      <c r="E38" s="25">
        <v>28341</v>
      </c>
      <c r="F38" s="25">
        <v>1094</v>
      </c>
      <c r="G38" s="25">
        <v>5199</v>
      </c>
      <c r="H38" s="25">
        <v>31169</v>
      </c>
      <c r="I38" s="25">
        <v>91</v>
      </c>
    </row>
    <row r="39" spans="1:9" ht="12.75" customHeight="1">
      <c r="A39" s="19" t="s">
        <v>65</v>
      </c>
      <c r="B39" s="20" t="s">
        <v>66</v>
      </c>
      <c r="C39" s="25">
        <v>9331</v>
      </c>
      <c r="D39" s="25">
        <v>7547</v>
      </c>
      <c r="E39" s="25">
        <v>7306</v>
      </c>
      <c r="F39" s="25">
        <v>422</v>
      </c>
      <c r="G39" s="25">
        <v>1068</v>
      </c>
      <c r="H39" s="25">
        <v>6221</v>
      </c>
      <c r="I39" s="25">
        <v>12</v>
      </c>
    </row>
    <row r="40" spans="1:9" ht="12.75" customHeight="1">
      <c r="A40" s="19" t="s">
        <v>67</v>
      </c>
      <c r="B40" s="20" t="s">
        <v>68</v>
      </c>
      <c r="C40" s="25">
        <v>9641</v>
      </c>
      <c r="D40" s="25">
        <v>6436</v>
      </c>
      <c r="E40" s="25">
        <v>4674</v>
      </c>
      <c r="F40" s="25">
        <v>446</v>
      </c>
      <c r="G40" s="25">
        <v>1983</v>
      </c>
      <c r="H40" s="25">
        <v>3924</v>
      </c>
      <c r="I40" s="25">
        <v>14</v>
      </c>
    </row>
    <row r="41" spans="1:9" ht="12.75" customHeight="1">
      <c r="A41" s="19" t="s">
        <v>69</v>
      </c>
      <c r="B41" s="20" t="s">
        <v>70</v>
      </c>
      <c r="C41" s="25">
        <v>7950</v>
      </c>
      <c r="D41" s="25">
        <v>1088</v>
      </c>
      <c r="E41" s="25">
        <v>868</v>
      </c>
      <c r="F41" s="25">
        <v>1445</v>
      </c>
      <c r="G41" s="25">
        <v>2818</v>
      </c>
      <c r="H41" s="25">
        <v>705</v>
      </c>
      <c r="I41" s="25">
        <v>4</v>
      </c>
    </row>
    <row r="42" spans="1:9" ht="12.75" customHeight="1">
      <c r="A42" s="19" t="s">
        <v>71</v>
      </c>
      <c r="B42" s="20" t="s">
        <v>72</v>
      </c>
      <c r="C42" s="25">
        <v>8872</v>
      </c>
      <c r="D42" s="25">
        <v>5676</v>
      </c>
      <c r="E42" s="25">
        <v>5105</v>
      </c>
      <c r="F42" s="25">
        <v>672</v>
      </c>
      <c r="G42" s="25">
        <v>2494</v>
      </c>
      <c r="H42" s="25">
        <v>2729</v>
      </c>
      <c r="I42" s="25">
        <v>30</v>
      </c>
    </row>
    <row r="43" spans="1:9" ht="12.75" customHeight="1">
      <c r="A43" s="22"/>
      <c r="B43" s="23" t="s">
        <v>73</v>
      </c>
      <c r="C43" s="24">
        <f t="shared" ref="C43:I43" si="3">SUM(C31:C42)</f>
        <v>236594</v>
      </c>
      <c r="D43" s="24">
        <f t="shared" si="3"/>
        <v>132657</v>
      </c>
      <c r="E43" s="24">
        <f t="shared" si="3"/>
        <v>85836</v>
      </c>
      <c r="F43" s="24">
        <f t="shared" si="3"/>
        <v>9418</v>
      </c>
      <c r="G43" s="24">
        <f t="shared" si="3"/>
        <v>58250</v>
      </c>
      <c r="H43" s="24">
        <f t="shared" si="3"/>
        <v>84527</v>
      </c>
      <c r="I43" s="24">
        <f t="shared" si="3"/>
        <v>256</v>
      </c>
    </row>
    <row r="44" spans="1:9" ht="12.75" customHeight="1">
      <c r="A44" s="19" t="s">
        <v>74</v>
      </c>
      <c r="B44" s="20" t="s">
        <v>75</v>
      </c>
      <c r="C44" s="25">
        <v>12367</v>
      </c>
      <c r="D44" s="25">
        <v>2670</v>
      </c>
      <c r="E44" s="25">
        <v>2151</v>
      </c>
      <c r="F44" s="25">
        <v>2344</v>
      </c>
      <c r="G44" s="25">
        <v>5962</v>
      </c>
      <c r="H44" s="25">
        <v>1881</v>
      </c>
      <c r="I44" s="25">
        <v>23</v>
      </c>
    </row>
    <row r="45" spans="1:9" ht="12.75" customHeight="1">
      <c r="A45" s="19" t="s">
        <v>76</v>
      </c>
      <c r="B45" s="20" t="s">
        <v>77</v>
      </c>
      <c r="C45" s="25">
        <v>19214</v>
      </c>
      <c r="D45" s="25">
        <v>7110</v>
      </c>
      <c r="E45" s="25">
        <v>6343</v>
      </c>
      <c r="F45" s="25">
        <v>2401</v>
      </c>
      <c r="G45" s="25">
        <v>9703</v>
      </c>
      <c r="H45" s="25">
        <v>3736</v>
      </c>
      <c r="I45" s="25">
        <v>20</v>
      </c>
    </row>
    <row r="46" spans="1:9" ht="12.75" customHeight="1">
      <c r="A46" s="22"/>
      <c r="B46" s="23" t="s">
        <v>78</v>
      </c>
      <c r="C46" s="24">
        <f t="shared" ref="C46:I46" si="4">SUM(C44:C45)</f>
        <v>31581</v>
      </c>
      <c r="D46" s="24">
        <f t="shared" si="4"/>
        <v>9780</v>
      </c>
      <c r="E46" s="24">
        <f t="shared" si="4"/>
        <v>8494</v>
      </c>
      <c r="F46" s="24">
        <f t="shared" si="4"/>
        <v>4745</v>
      </c>
      <c r="G46" s="24">
        <f t="shared" si="4"/>
        <v>15665</v>
      </c>
      <c r="H46" s="24">
        <f t="shared" si="4"/>
        <v>5617</v>
      </c>
      <c r="I46" s="24">
        <f t="shared" si="4"/>
        <v>43</v>
      </c>
    </row>
    <row r="47" spans="1:9" ht="12.75" customHeight="1">
      <c r="A47" s="27" t="s">
        <v>79</v>
      </c>
      <c r="B47" s="20" t="s">
        <v>80</v>
      </c>
      <c r="C47" s="28">
        <v>1025</v>
      </c>
      <c r="D47" s="28">
        <v>157</v>
      </c>
      <c r="E47" s="28">
        <v>157</v>
      </c>
      <c r="F47" s="25">
        <v>206</v>
      </c>
      <c r="G47" s="25">
        <v>662</v>
      </c>
      <c r="H47" s="25">
        <v>518</v>
      </c>
      <c r="I47" s="25">
        <v>3</v>
      </c>
    </row>
    <row r="48" spans="1:9" ht="12.75" customHeight="1">
      <c r="A48" s="27" t="s">
        <v>81</v>
      </c>
      <c r="B48" s="20" t="s">
        <v>82</v>
      </c>
      <c r="C48" s="28">
        <v>10080</v>
      </c>
      <c r="D48" s="28">
        <v>2101</v>
      </c>
      <c r="E48" s="28">
        <v>1857</v>
      </c>
      <c r="F48" s="25">
        <v>978</v>
      </c>
      <c r="G48" s="25">
        <v>6206</v>
      </c>
      <c r="H48" s="25">
        <v>1765</v>
      </c>
      <c r="I48" s="25">
        <v>5</v>
      </c>
    </row>
    <row r="49" spans="1:9" ht="12.75" customHeight="1">
      <c r="A49" s="27" t="s">
        <v>83</v>
      </c>
      <c r="B49" s="20" t="s">
        <v>84</v>
      </c>
      <c r="C49" s="28">
        <v>1440</v>
      </c>
      <c r="D49" s="28">
        <v>80</v>
      </c>
      <c r="E49" s="28">
        <v>11</v>
      </c>
      <c r="F49" s="25">
        <v>623</v>
      </c>
      <c r="G49" s="25">
        <v>738</v>
      </c>
      <c r="H49" s="25">
        <v>572</v>
      </c>
      <c r="I49" s="25">
        <v>3</v>
      </c>
    </row>
    <row r="50" spans="1:9" ht="12.75" customHeight="1">
      <c r="A50" s="27" t="s">
        <v>85</v>
      </c>
      <c r="B50" s="20" t="s">
        <v>86</v>
      </c>
      <c r="C50" s="28">
        <v>33996</v>
      </c>
      <c r="D50" s="28">
        <v>3853</v>
      </c>
      <c r="E50" s="28">
        <v>1711</v>
      </c>
      <c r="F50" s="25">
        <v>3216</v>
      </c>
      <c r="G50" s="25">
        <v>23107</v>
      </c>
      <c r="H50" s="25">
        <v>3202</v>
      </c>
      <c r="I50" s="25">
        <v>19</v>
      </c>
    </row>
    <row r="51" spans="1:9" ht="12.75" customHeight="1">
      <c r="A51" s="29"/>
      <c r="B51" s="23" t="s">
        <v>87</v>
      </c>
      <c r="C51" s="24">
        <f t="shared" ref="C51:I51" si="5">SUM(C47:C50)</f>
        <v>46541</v>
      </c>
      <c r="D51" s="24">
        <f t="shared" si="5"/>
        <v>6191</v>
      </c>
      <c r="E51" s="24">
        <f t="shared" si="5"/>
        <v>3736</v>
      </c>
      <c r="F51" s="24">
        <f t="shared" si="5"/>
        <v>5023</v>
      </c>
      <c r="G51" s="24">
        <f t="shared" si="5"/>
        <v>30713</v>
      </c>
      <c r="H51" s="24">
        <f t="shared" si="5"/>
        <v>6057</v>
      </c>
      <c r="I51" s="24">
        <f t="shared" si="5"/>
        <v>30</v>
      </c>
    </row>
    <row r="52" spans="1:9" ht="12.75" customHeight="1">
      <c r="A52" s="27" t="s">
        <v>88</v>
      </c>
      <c r="B52" s="20" t="s">
        <v>89</v>
      </c>
      <c r="C52" s="28">
        <v>12472</v>
      </c>
      <c r="D52" s="28">
        <v>2118</v>
      </c>
      <c r="E52" s="28">
        <v>1069</v>
      </c>
      <c r="F52" s="25">
        <v>1377</v>
      </c>
      <c r="G52" s="25">
        <v>8793</v>
      </c>
      <c r="H52" s="25">
        <v>304</v>
      </c>
      <c r="I52" s="25">
        <v>3</v>
      </c>
    </row>
    <row r="53" spans="1:9" ht="12.75" customHeight="1">
      <c r="A53" s="27" t="s">
        <v>90</v>
      </c>
      <c r="B53" s="20" t="s">
        <v>91</v>
      </c>
      <c r="C53" s="28">
        <v>42625</v>
      </c>
      <c r="D53" s="28">
        <v>26858</v>
      </c>
      <c r="E53" s="28">
        <v>15175</v>
      </c>
      <c r="F53" s="25">
        <v>1639</v>
      </c>
      <c r="G53" s="25">
        <v>9372</v>
      </c>
      <c r="H53" s="25">
        <v>4723</v>
      </c>
      <c r="I53" s="25">
        <v>22</v>
      </c>
    </row>
    <row r="54" spans="1:9" ht="12.75" customHeight="1">
      <c r="A54" s="27" t="s">
        <v>92</v>
      </c>
      <c r="B54" s="20" t="s">
        <v>93</v>
      </c>
      <c r="C54" s="28">
        <v>9860</v>
      </c>
      <c r="D54" s="28">
        <v>5793</v>
      </c>
      <c r="E54" s="28">
        <v>2530</v>
      </c>
      <c r="F54" s="25">
        <v>583</v>
      </c>
      <c r="G54" s="25">
        <v>2530</v>
      </c>
      <c r="H54" s="25">
        <v>4417</v>
      </c>
      <c r="I54" s="25">
        <v>4</v>
      </c>
    </row>
    <row r="55" spans="1:9" ht="12.75" customHeight="1">
      <c r="A55" s="27" t="s">
        <v>94</v>
      </c>
      <c r="B55" s="20" t="s">
        <v>95</v>
      </c>
      <c r="C55" s="28">
        <v>25884</v>
      </c>
      <c r="D55" s="28">
        <v>10664</v>
      </c>
      <c r="E55" s="28">
        <v>7500</v>
      </c>
      <c r="F55" s="25">
        <v>2382</v>
      </c>
      <c r="G55" s="25">
        <v>12527</v>
      </c>
      <c r="H55" s="25">
        <v>3833</v>
      </c>
      <c r="I55" s="25">
        <v>13</v>
      </c>
    </row>
    <row r="56" spans="1:9" ht="12.75" customHeight="1">
      <c r="A56" s="27" t="s">
        <v>96</v>
      </c>
      <c r="B56" s="20" t="s">
        <v>97</v>
      </c>
      <c r="C56" s="28">
        <v>51247</v>
      </c>
      <c r="D56" s="28">
        <v>34113</v>
      </c>
      <c r="E56" s="28">
        <v>9165</v>
      </c>
      <c r="F56" s="25">
        <v>1119</v>
      </c>
      <c r="G56" s="25">
        <v>11716</v>
      </c>
      <c r="H56" s="25">
        <v>2613</v>
      </c>
      <c r="I56" s="25">
        <v>20</v>
      </c>
    </row>
    <row r="57" spans="1:9" ht="12.75" customHeight="1">
      <c r="A57" s="27" t="s">
        <v>98</v>
      </c>
      <c r="B57" s="20" t="s">
        <v>99</v>
      </c>
      <c r="C57" s="28">
        <v>61890</v>
      </c>
      <c r="D57" s="28">
        <v>37124</v>
      </c>
      <c r="E57" s="28">
        <v>13863</v>
      </c>
      <c r="F57" s="25">
        <v>1792</v>
      </c>
      <c r="G57" s="25">
        <v>15908</v>
      </c>
      <c r="H57" s="25">
        <v>3223</v>
      </c>
      <c r="I57" s="25">
        <v>36</v>
      </c>
    </row>
    <row r="58" spans="1:9" ht="12.75" customHeight="1">
      <c r="A58" s="27" t="s">
        <v>100</v>
      </c>
      <c r="B58" s="20" t="s">
        <v>101</v>
      </c>
      <c r="C58" s="28">
        <v>23424</v>
      </c>
      <c r="D58" s="28">
        <v>13203</v>
      </c>
      <c r="E58" s="28">
        <v>10076</v>
      </c>
      <c r="F58" s="25">
        <v>1231</v>
      </c>
      <c r="G58" s="25">
        <v>6044</v>
      </c>
      <c r="H58" s="25">
        <v>9110</v>
      </c>
      <c r="I58" s="25">
        <v>36</v>
      </c>
    </row>
    <row r="59" spans="1:9" ht="12.75" customHeight="1">
      <c r="A59" s="29"/>
      <c r="B59" s="23" t="s">
        <v>102</v>
      </c>
      <c r="C59" s="24">
        <f t="shared" ref="C59:I59" si="6">SUM(C52:C58)</f>
        <v>227402</v>
      </c>
      <c r="D59" s="24">
        <f t="shared" si="6"/>
        <v>129873</v>
      </c>
      <c r="E59" s="24">
        <f t="shared" si="6"/>
        <v>59378</v>
      </c>
      <c r="F59" s="24">
        <f t="shared" si="6"/>
        <v>10123</v>
      </c>
      <c r="G59" s="24">
        <f t="shared" si="6"/>
        <v>66890</v>
      </c>
      <c r="H59" s="24">
        <f t="shared" si="6"/>
        <v>28223</v>
      </c>
      <c r="I59" s="24">
        <f t="shared" si="6"/>
        <v>134</v>
      </c>
    </row>
    <row r="60" spans="1:9" ht="12.75" customHeight="1">
      <c r="A60" s="27" t="s">
        <v>103</v>
      </c>
      <c r="B60" s="20" t="s">
        <v>104</v>
      </c>
      <c r="C60" s="28">
        <v>39581</v>
      </c>
      <c r="D60" s="28">
        <v>25690</v>
      </c>
      <c r="E60" s="28">
        <v>8152</v>
      </c>
      <c r="F60" s="25">
        <v>978</v>
      </c>
      <c r="G60" s="25">
        <v>11566</v>
      </c>
      <c r="H60" s="25">
        <v>5451</v>
      </c>
      <c r="I60" s="25">
        <v>42</v>
      </c>
    </row>
    <row r="61" spans="1:9" ht="12.75" customHeight="1">
      <c r="A61" s="27" t="s">
        <v>105</v>
      </c>
      <c r="B61" s="20" t="s">
        <v>106</v>
      </c>
      <c r="C61" s="28">
        <v>14720</v>
      </c>
      <c r="D61" s="28">
        <v>8292</v>
      </c>
      <c r="E61" s="28">
        <v>7104</v>
      </c>
      <c r="F61" s="25">
        <v>726</v>
      </c>
      <c r="G61" s="25">
        <v>5527</v>
      </c>
      <c r="H61" s="25">
        <v>1712</v>
      </c>
      <c r="I61" s="25">
        <v>9</v>
      </c>
    </row>
    <row r="62" spans="1:9" ht="12.75" customHeight="1">
      <c r="A62" s="27" t="s">
        <v>107</v>
      </c>
      <c r="B62" s="20" t="s">
        <v>108</v>
      </c>
      <c r="C62" s="28">
        <v>35999</v>
      </c>
      <c r="D62" s="28">
        <v>25074</v>
      </c>
      <c r="E62" s="28">
        <v>6272</v>
      </c>
      <c r="F62" s="25">
        <v>1198</v>
      </c>
      <c r="G62" s="25">
        <v>8891</v>
      </c>
      <c r="H62" s="25">
        <v>6030</v>
      </c>
      <c r="I62" s="25">
        <v>16</v>
      </c>
    </row>
    <row r="63" spans="1:9" ht="12.75" customHeight="1">
      <c r="A63" s="27" t="s">
        <v>109</v>
      </c>
      <c r="B63" s="20" t="s">
        <v>110</v>
      </c>
      <c r="C63" s="28">
        <v>17736</v>
      </c>
      <c r="D63" s="28">
        <v>13429</v>
      </c>
      <c r="E63" s="28">
        <v>9992</v>
      </c>
      <c r="F63" s="25">
        <v>646</v>
      </c>
      <c r="G63" s="25">
        <v>3601</v>
      </c>
      <c r="H63" s="25">
        <v>6921</v>
      </c>
      <c r="I63" s="25">
        <v>17</v>
      </c>
    </row>
    <row r="64" spans="1:9" ht="12.75" customHeight="1">
      <c r="A64" s="27" t="s">
        <v>111</v>
      </c>
      <c r="B64" s="20" t="s">
        <v>112</v>
      </c>
      <c r="C64" s="28">
        <v>179499</v>
      </c>
      <c r="D64" s="28">
        <v>146494</v>
      </c>
      <c r="E64" s="28">
        <v>6781</v>
      </c>
      <c r="F64" s="25">
        <v>328</v>
      </c>
      <c r="G64" s="25">
        <v>15491</v>
      </c>
      <c r="H64" s="25">
        <v>2817</v>
      </c>
      <c r="I64" s="25">
        <v>18</v>
      </c>
    </row>
    <row r="65" spans="1:9" ht="12.75" customHeight="1">
      <c r="A65" s="27" t="s">
        <v>113</v>
      </c>
      <c r="B65" s="20" t="s">
        <v>114</v>
      </c>
      <c r="C65" s="28">
        <v>10576</v>
      </c>
      <c r="D65" s="28">
        <v>7102</v>
      </c>
      <c r="E65" s="28">
        <v>5624</v>
      </c>
      <c r="F65" s="25">
        <v>294</v>
      </c>
      <c r="G65" s="25">
        <v>2882</v>
      </c>
      <c r="H65" s="25">
        <v>1685</v>
      </c>
      <c r="I65" s="25">
        <v>11</v>
      </c>
    </row>
    <row r="66" spans="1:9" ht="12.75" customHeight="1">
      <c r="A66" s="27" t="s">
        <v>115</v>
      </c>
      <c r="B66" s="20" t="s">
        <v>116</v>
      </c>
      <c r="C66" s="28">
        <v>12692</v>
      </c>
      <c r="D66" s="28">
        <v>8675</v>
      </c>
      <c r="E66" s="28">
        <v>5894</v>
      </c>
      <c r="F66" s="25">
        <v>404</v>
      </c>
      <c r="G66" s="25">
        <v>1669</v>
      </c>
      <c r="H66" s="25">
        <v>5885</v>
      </c>
      <c r="I66" s="25">
        <v>11</v>
      </c>
    </row>
    <row r="67" spans="1:9" ht="12.75" customHeight="1">
      <c r="A67" s="27" t="s">
        <v>117</v>
      </c>
      <c r="B67" s="20" t="s">
        <v>118</v>
      </c>
      <c r="C67" s="28">
        <v>22878</v>
      </c>
      <c r="D67" s="28">
        <v>16910</v>
      </c>
      <c r="E67" s="28">
        <v>6473</v>
      </c>
      <c r="F67" s="25">
        <v>575</v>
      </c>
      <c r="G67" s="25">
        <v>4223</v>
      </c>
      <c r="H67" s="25">
        <v>4027</v>
      </c>
      <c r="I67" s="25">
        <v>7</v>
      </c>
    </row>
    <row r="68" spans="1:9" ht="12.75" customHeight="1">
      <c r="A68" s="27" t="s">
        <v>119</v>
      </c>
      <c r="B68" s="20" t="s">
        <v>120</v>
      </c>
      <c r="C68" s="28">
        <v>12024</v>
      </c>
      <c r="D68" s="28">
        <v>7919</v>
      </c>
      <c r="E68" s="28">
        <v>4588</v>
      </c>
      <c r="F68" s="25">
        <v>502</v>
      </c>
      <c r="G68" s="25">
        <v>2034</v>
      </c>
      <c r="H68" s="25">
        <v>601</v>
      </c>
      <c r="I68" s="25">
        <v>19</v>
      </c>
    </row>
    <row r="69" spans="1:9" ht="12.75" customHeight="1">
      <c r="A69" s="22"/>
      <c r="B69" s="23" t="s">
        <v>121</v>
      </c>
      <c r="C69" s="24">
        <f t="shared" ref="C69:I69" si="7">SUM(C60:C68)</f>
        <v>345705</v>
      </c>
      <c r="D69" s="24">
        <f t="shared" si="7"/>
        <v>259585</v>
      </c>
      <c r="E69" s="24">
        <f t="shared" si="7"/>
        <v>60880</v>
      </c>
      <c r="F69" s="24">
        <f t="shared" si="7"/>
        <v>5651</v>
      </c>
      <c r="G69" s="24">
        <f t="shared" si="7"/>
        <v>55884</v>
      </c>
      <c r="H69" s="24">
        <f t="shared" si="7"/>
        <v>35129</v>
      </c>
      <c r="I69" s="24">
        <f t="shared" si="7"/>
        <v>150</v>
      </c>
    </row>
    <row r="70" spans="1:9" ht="12.75" customHeight="1">
      <c r="A70" s="27" t="s">
        <v>122</v>
      </c>
      <c r="B70" s="20" t="s">
        <v>123</v>
      </c>
      <c r="C70" s="28">
        <v>18549</v>
      </c>
      <c r="D70" s="28">
        <v>10749</v>
      </c>
      <c r="E70" s="28">
        <v>7473</v>
      </c>
      <c r="F70" s="25">
        <v>1174</v>
      </c>
      <c r="G70" s="25">
        <v>5191</v>
      </c>
      <c r="H70" s="25">
        <v>3366</v>
      </c>
      <c r="I70" s="25">
        <v>16</v>
      </c>
    </row>
    <row r="71" spans="1:9" ht="12.75" customHeight="1">
      <c r="A71" s="27" t="s">
        <v>124</v>
      </c>
      <c r="B71" s="20" t="s">
        <v>125</v>
      </c>
      <c r="C71" s="28">
        <v>32852</v>
      </c>
      <c r="D71" s="28">
        <v>17776</v>
      </c>
      <c r="E71" s="28">
        <v>16430</v>
      </c>
      <c r="F71" s="25">
        <v>1658</v>
      </c>
      <c r="G71" s="25">
        <v>6630</v>
      </c>
      <c r="H71" s="25">
        <v>3302</v>
      </c>
      <c r="I71" s="25">
        <v>35</v>
      </c>
    </row>
    <row r="72" spans="1:9" ht="12.75" customHeight="1">
      <c r="A72" s="27" t="s">
        <v>126</v>
      </c>
      <c r="B72" s="20" t="s">
        <v>127</v>
      </c>
      <c r="C72" s="28">
        <v>10591</v>
      </c>
      <c r="D72" s="28">
        <v>3608</v>
      </c>
      <c r="E72" s="28">
        <v>3375</v>
      </c>
      <c r="F72" s="25">
        <v>1694</v>
      </c>
      <c r="G72" s="25">
        <v>5267</v>
      </c>
      <c r="H72" s="25">
        <v>585</v>
      </c>
      <c r="I72" s="25">
        <v>7</v>
      </c>
    </row>
    <row r="73" spans="1:9" ht="12.75" customHeight="1">
      <c r="A73" s="27" t="s">
        <v>128</v>
      </c>
      <c r="B73" s="20" t="s">
        <v>129</v>
      </c>
      <c r="C73" s="28">
        <v>12205</v>
      </c>
      <c r="D73" s="28">
        <v>3461</v>
      </c>
      <c r="E73" s="28">
        <v>3326</v>
      </c>
      <c r="F73" s="25">
        <v>1186</v>
      </c>
      <c r="G73" s="25">
        <v>7439</v>
      </c>
      <c r="H73" s="25">
        <v>1168</v>
      </c>
      <c r="I73" s="25">
        <v>17</v>
      </c>
    </row>
    <row r="74" spans="1:9" ht="12.75" customHeight="1">
      <c r="A74" s="27" t="s">
        <v>130</v>
      </c>
      <c r="B74" s="20" t="s">
        <v>131</v>
      </c>
      <c r="C74" s="28">
        <v>13583</v>
      </c>
      <c r="D74" s="28">
        <v>5659</v>
      </c>
      <c r="E74" s="28">
        <v>5136</v>
      </c>
      <c r="F74" s="25">
        <v>1186</v>
      </c>
      <c r="G74" s="25">
        <v>4028</v>
      </c>
      <c r="H74" s="25">
        <v>2179</v>
      </c>
      <c r="I74" s="25">
        <v>17</v>
      </c>
    </row>
    <row r="75" spans="1:9" ht="12.75" customHeight="1">
      <c r="A75" s="27" t="s">
        <v>132</v>
      </c>
      <c r="B75" s="20" t="s">
        <v>133</v>
      </c>
      <c r="C75" s="28">
        <v>6041</v>
      </c>
      <c r="D75" s="28">
        <v>1878</v>
      </c>
      <c r="E75" s="28">
        <v>1221</v>
      </c>
      <c r="F75" s="25">
        <v>935</v>
      </c>
      <c r="G75" s="25">
        <v>1156</v>
      </c>
      <c r="H75" s="25">
        <v>5110</v>
      </c>
      <c r="I75" s="25">
        <v>8</v>
      </c>
    </row>
    <row r="76" spans="1:9" ht="12.75" customHeight="1">
      <c r="A76" s="30" t="s">
        <v>134</v>
      </c>
      <c r="B76" s="20" t="s">
        <v>135</v>
      </c>
      <c r="C76" s="28">
        <v>11931</v>
      </c>
      <c r="D76" s="28">
        <v>8283</v>
      </c>
      <c r="E76" s="28">
        <v>7135</v>
      </c>
      <c r="F76" s="25">
        <v>712</v>
      </c>
      <c r="G76" s="25">
        <v>2694</v>
      </c>
      <c r="H76" s="25">
        <v>1055</v>
      </c>
      <c r="I76" s="25">
        <v>13</v>
      </c>
    </row>
    <row r="77" spans="1:9" ht="12.75" customHeight="1">
      <c r="A77" s="30" t="s">
        <v>136</v>
      </c>
      <c r="B77" s="20" t="s">
        <v>137</v>
      </c>
      <c r="C77" s="28">
        <v>19018</v>
      </c>
      <c r="D77" s="28">
        <v>3899</v>
      </c>
      <c r="E77" s="28">
        <v>3077</v>
      </c>
      <c r="F77" s="25">
        <v>1058</v>
      </c>
      <c r="G77" s="25">
        <v>5564</v>
      </c>
      <c r="H77" s="25">
        <v>1193</v>
      </c>
      <c r="I77" s="25">
        <v>15</v>
      </c>
    </row>
    <row r="78" spans="1:9" ht="12.75" customHeight="1">
      <c r="A78" s="30" t="s">
        <v>138</v>
      </c>
      <c r="B78" s="20" t="s">
        <v>139</v>
      </c>
      <c r="C78" s="28">
        <v>4018</v>
      </c>
      <c r="D78" s="28">
        <v>2957</v>
      </c>
      <c r="E78" s="28">
        <v>2957</v>
      </c>
      <c r="F78" s="25">
        <v>430</v>
      </c>
      <c r="G78" s="25">
        <v>630</v>
      </c>
      <c r="H78" s="25">
        <v>585</v>
      </c>
      <c r="I78" s="25">
        <v>6</v>
      </c>
    </row>
    <row r="79" spans="1:9" ht="12.75" customHeight="1">
      <c r="A79" s="30" t="s">
        <v>140</v>
      </c>
      <c r="B79" s="20" t="s">
        <v>141</v>
      </c>
      <c r="C79" s="28">
        <v>12235</v>
      </c>
      <c r="D79" s="28">
        <v>3734</v>
      </c>
      <c r="E79" s="28">
        <v>3132</v>
      </c>
      <c r="F79" s="25">
        <v>839</v>
      </c>
      <c r="G79" s="25">
        <v>5421</v>
      </c>
      <c r="H79" s="25">
        <v>1005</v>
      </c>
      <c r="I79" s="25">
        <v>14</v>
      </c>
    </row>
    <row r="80" spans="1:9" ht="12.75" customHeight="1">
      <c r="A80" s="31"/>
      <c r="B80" s="23" t="s">
        <v>142</v>
      </c>
      <c r="C80" s="24">
        <f t="shared" ref="C80:I80" si="8">SUM(C70:C79)</f>
        <v>141023</v>
      </c>
      <c r="D80" s="24">
        <f t="shared" si="8"/>
        <v>62004</v>
      </c>
      <c r="E80" s="24">
        <f t="shared" si="8"/>
        <v>53262</v>
      </c>
      <c r="F80" s="24">
        <f t="shared" si="8"/>
        <v>10872</v>
      </c>
      <c r="G80" s="24">
        <f t="shared" si="8"/>
        <v>44020</v>
      </c>
      <c r="H80" s="24">
        <f t="shared" si="8"/>
        <v>19548</v>
      </c>
      <c r="I80" s="24">
        <f t="shared" si="8"/>
        <v>148</v>
      </c>
    </row>
    <row r="81" spans="1:9" ht="12.75" customHeight="1">
      <c r="A81" s="30" t="s">
        <v>143</v>
      </c>
      <c r="B81" s="20" t="s">
        <v>144</v>
      </c>
      <c r="C81" s="21">
        <v>27948</v>
      </c>
      <c r="D81" s="21">
        <v>18255</v>
      </c>
      <c r="E81" s="21">
        <v>6365</v>
      </c>
      <c r="F81" s="25">
        <v>645</v>
      </c>
      <c r="G81" s="25">
        <v>6110</v>
      </c>
      <c r="H81" s="25">
        <v>2848</v>
      </c>
      <c r="I81" s="25">
        <v>13</v>
      </c>
    </row>
    <row r="82" spans="1:9" ht="12.75" customHeight="1">
      <c r="A82" s="30" t="s">
        <v>145</v>
      </c>
      <c r="B82" s="20" t="s">
        <v>146</v>
      </c>
      <c r="C82" s="21">
        <v>9010</v>
      </c>
      <c r="D82" s="21">
        <v>6181</v>
      </c>
      <c r="E82" s="21">
        <v>4316</v>
      </c>
      <c r="F82" s="25">
        <v>298</v>
      </c>
      <c r="G82" s="25">
        <v>1956</v>
      </c>
      <c r="H82" s="25">
        <v>2568</v>
      </c>
      <c r="I82" s="25">
        <v>6</v>
      </c>
    </row>
    <row r="83" spans="1:9" ht="12.75" customHeight="1">
      <c r="A83" s="30" t="s">
        <v>147</v>
      </c>
      <c r="B83" s="20" t="s">
        <v>148</v>
      </c>
      <c r="C83" s="21">
        <v>3174</v>
      </c>
      <c r="D83" s="21">
        <v>823</v>
      </c>
      <c r="E83" s="21">
        <v>753</v>
      </c>
      <c r="F83" s="25">
        <v>242</v>
      </c>
      <c r="G83" s="25">
        <v>651</v>
      </c>
      <c r="H83" s="25">
        <v>379</v>
      </c>
      <c r="I83" s="25">
        <v>2</v>
      </c>
    </row>
    <row r="84" spans="1:9" ht="12.75" customHeight="1">
      <c r="A84" s="30" t="s">
        <v>149</v>
      </c>
      <c r="B84" s="20" t="s">
        <v>150</v>
      </c>
      <c r="C84" s="21">
        <v>15614</v>
      </c>
      <c r="D84" s="21">
        <v>8379</v>
      </c>
      <c r="E84" s="21">
        <v>3299</v>
      </c>
      <c r="F84" s="25">
        <v>1198</v>
      </c>
      <c r="G84" s="25">
        <v>5924</v>
      </c>
      <c r="H84" s="25">
        <v>1462</v>
      </c>
      <c r="I84" s="25">
        <v>8</v>
      </c>
    </row>
    <row r="85" spans="1:9" ht="12.75" customHeight="1">
      <c r="A85" s="30" t="s">
        <v>151</v>
      </c>
      <c r="B85" s="20" t="s">
        <v>152</v>
      </c>
      <c r="C85" s="21">
        <v>11947</v>
      </c>
      <c r="D85" s="21">
        <v>5596</v>
      </c>
      <c r="E85" s="21">
        <v>4044</v>
      </c>
      <c r="F85" s="25">
        <v>621</v>
      </c>
      <c r="G85" s="25">
        <v>4254</v>
      </c>
      <c r="H85" s="25">
        <v>1146</v>
      </c>
      <c r="I85" s="25">
        <v>11</v>
      </c>
    </row>
    <row r="86" spans="1:9" ht="12.75" customHeight="1">
      <c r="A86" s="31"/>
      <c r="B86" s="23" t="s">
        <v>153</v>
      </c>
      <c r="C86" s="24">
        <f t="shared" ref="C86:I86" si="9">SUM(C81:C85)</f>
        <v>67693</v>
      </c>
      <c r="D86" s="24">
        <f t="shared" si="9"/>
        <v>39234</v>
      </c>
      <c r="E86" s="24">
        <f t="shared" si="9"/>
        <v>18777</v>
      </c>
      <c r="F86" s="24">
        <f t="shared" si="9"/>
        <v>3004</v>
      </c>
      <c r="G86" s="24">
        <f t="shared" si="9"/>
        <v>18895</v>
      </c>
      <c r="H86" s="24">
        <f t="shared" si="9"/>
        <v>8403</v>
      </c>
      <c r="I86" s="24">
        <f t="shared" si="9"/>
        <v>40</v>
      </c>
    </row>
    <row r="87" spans="1:9" ht="12.75" customHeight="1">
      <c r="A87" s="30" t="s">
        <v>154</v>
      </c>
      <c r="B87" s="20" t="s">
        <v>155</v>
      </c>
      <c r="C87" s="21">
        <v>30455</v>
      </c>
      <c r="D87" s="21">
        <v>13285</v>
      </c>
      <c r="E87" s="21">
        <v>12058</v>
      </c>
      <c r="F87" s="25">
        <v>1474</v>
      </c>
      <c r="G87" s="25">
        <v>11935</v>
      </c>
      <c r="H87" s="25">
        <v>3723</v>
      </c>
      <c r="I87" s="25">
        <v>23</v>
      </c>
    </row>
    <row r="88" spans="1:9" ht="12.75" customHeight="1">
      <c r="A88" s="30" t="s">
        <v>156</v>
      </c>
      <c r="B88" s="20" t="s">
        <v>157</v>
      </c>
      <c r="C88" s="21">
        <v>20813</v>
      </c>
      <c r="D88" s="21">
        <v>7718</v>
      </c>
      <c r="E88" s="21">
        <v>7286</v>
      </c>
      <c r="F88" s="25">
        <v>522</v>
      </c>
      <c r="G88" s="25">
        <v>3259</v>
      </c>
      <c r="H88" s="25">
        <v>1585</v>
      </c>
      <c r="I88" s="25">
        <v>9</v>
      </c>
    </row>
    <row r="89" spans="1:9" ht="12.75" customHeight="1">
      <c r="A89" s="31"/>
      <c r="B89" s="23" t="s">
        <v>158</v>
      </c>
      <c r="C89" s="24">
        <f t="shared" ref="C89:I89" si="10">SUM(C87:C88)</f>
        <v>51268</v>
      </c>
      <c r="D89" s="24">
        <f t="shared" si="10"/>
        <v>21003</v>
      </c>
      <c r="E89" s="24">
        <f t="shared" si="10"/>
        <v>19344</v>
      </c>
      <c r="F89" s="24">
        <f t="shared" si="10"/>
        <v>1996</v>
      </c>
      <c r="G89" s="24">
        <f t="shared" si="10"/>
        <v>15194</v>
      </c>
      <c r="H89" s="24">
        <f t="shared" si="10"/>
        <v>5308</v>
      </c>
      <c r="I89" s="24">
        <f t="shared" si="10"/>
        <v>32</v>
      </c>
    </row>
    <row r="90" spans="1:9" ht="12.75" customHeight="1">
      <c r="A90" s="30" t="s">
        <v>159</v>
      </c>
      <c r="B90" s="20" t="s">
        <v>160</v>
      </c>
      <c r="C90" s="21">
        <v>42678</v>
      </c>
      <c r="D90" s="21">
        <v>16974</v>
      </c>
      <c r="E90" s="21">
        <v>10225</v>
      </c>
      <c r="F90" s="25">
        <v>1396</v>
      </c>
      <c r="G90" s="25">
        <v>13152</v>
      </c>
      <c r="H90" s="25">
        <v>1893</v>
      </c>
      <c r="I90" s="25">
        <v>24</v>
      </c>
    </row>
    <row r="91" spans="1:9" ht="12.75" customHeight="1">
      <c r="A91" s="30" t="s">
        <v>161</v>
      </c>
      <c r="B91" s="20" t="s">
        <v>162</v>
      </c>
      <c r="C91" s="21">
        <v>22644</v>
      </c>
      <c r="D91" s="21">
        <v>7005</v>
      </c>
      <c r="E91" s="21">
        <v>6337</v>
      </c>
      <c r="F91" s="25">
        <v>2116</v>
      </c>
      <c r="G91" s="25">
        <v>7482</v>
      </c>
      <c r="H91" s="25">
        <v>1733</v>
      </c>
      <c r="I91" s="25">
        <v>21</v>
      </c>
    </row>
    <row r="92" spans="1:9" ht="12.75" customHeight="1">
      <c r="A92" s="30" t="s">
        <v>163</v>
      </c>
      <c r="B92" s="20" t="s">
        <v>164</v>
      </c>
      <c r="C92" s="21">
        <v>8953</v>
      </c>
      <c r="D92" s="21">
        <v>3390</v>
      </c>
      <c r="E92" s="21">
        <v>3354</v>
      </c>
      <c r="F92" s="25">
        <v>830</v>
      </c>
      <c r="G92" s="25">
        <v>4705</v>
      </c>
      <c r="H92" s="25">
        <v>147</v>
      </c>
      <c r="I92" s="25">
        <v>4</v>
      </c>
    </row>
    <row r="93" spans="1:9" ht="12.75" customHeight="1">
      <c r="A93" s="30" t="s">
        <v>165</v>
      </c>
      <c r="B93" s="20" t="s">
        <v>166</v>
      </c>
      <c r="C93" s="21">
        <v>325383</v>
      </c>
      <c r="D93" s="21">
        <v>233973</v>
      </c>
      <c r="E93" s="21">
        <v>108400</v>
      </c>
      <c r="F93" s="25">
        <v>4944</v>
      </c>
      <c r="G93" s="25">
        <v>34105</v>
      </c>
      <c r="H93" s="25">
        <v>16975</v>
      </c>
      <c r="I93" s="25">
        <v>160</v>
      </c>
    </row>
    <row r="94" spans="1:9" ht="12.75" customHeight="1">
      <c r="A94" s="30" t="s">
        <v>167</v>
      </c>
      <c r="B94" s="20" t="s">
        <v>168</v>
      </c>
      <c r="C94" s="21">
        <v>19376</v>
      </c>
      <c r="D94" s="21">
        <v>5293</v>
      </c>
      <c r="E94" s="21">
        <v>4682</v>
      </c>
      <c r="F94" s="25">
        <v>1319</v>
      </c>
      <c r="G94" s="25">
        <v>7142</v>
      </c>
      <c r="H94" s="25">
        <v>773</v>
      </c>
      <c r="I94" s="25">
        <v>7</v>
      </c>
    </row>
    <row r="95" spans="1:9" ht="12.75" customHeight="1">
      <c r="A95" s="31"/>
      <c r="B95" s="23" t="s">
        <v>169</v>
      </c>
      <c r="C95" s="24">
        <f t="shared" ref="C95:I95" si="11">SUM(C90:C94)</f>
        <v>419034</v>
      </c>
      <c r="D95" s="24">
        <f t="shared" si="11"/>
        <v>266635</v>
      </c>
      <c r="E95" s="24">
        <f t="shared" si="11"/>
        <v>132998</v>
      </c>
      <c r="F95" s="24">
        <f t="shared" si="11"/>
        <v>10605</v>
      </c>
      <c r="G95" s="24">
        <f t="shared" si="11"/>
        <v>66586</v>
      </c>
      <c r="H95" s="24">
        <f t="shared" si="11"/>
        <v>21521</v>
      </c>
      <c r="I95" s="24">
        <f t="shared" si="11"/>
        <v>216</v>
      </c>
    </row>
    <row r="96" spans="1:9" ht="12.75" customHeight="1">
      <c r="A96" s="30" t="s">
        <v>170</v>
      </c>
      <c r="B96" s="20" t="s">
        <v>171</v>
      </c>
      <c r="C96" s="21">
        <v>4669</v>
      </c>
      <c r="D96" s="21">
        <v>2467</v>
      </c>
      <c r="E96" s="21">
        <v>2309</v>
      </c>
      <c r="F96" s="25">
        <v>195</v>
      </c>
      <c r="G96" s="25">
        <v>2008</v>
      </c>
      <c r="H96" s="25">
        <v>3849</v>
      </c>
      <c r="I96" s="25">
        <v>8</v>
      </c>
    </row>
    <row r="97" spans="1:9" ht="12.75" customHeight="1">
      <c r="A97" s="30" t="s">
        <v>172</v>
      </c>
      <c r="B97" s="20" t="s">
        <v>173</v>
      </c>
      <c r="C97" s="21">
        <v>3152</v>
      </c>
      <c r="D97" s="21">
        <v>800</v>
      </c>
      <c r="E97" s="21">
        <v>486</v>
      </c>
      <c r="F97" s="25">
        <v>110</v>
      </c>
      <c r="G97" s="25">
        <v>977</v>
      </c>
      <c r="H97" s="25">
        <v>167</v>
      </c>
      <c r="I97" s="25">
        <v>1</v>
      </c>
    </row>
    <row r="98" spans="1:9" ht="12.75" customHeight="1">
      <c r="A98" s="31"/>
      <c r="B98" s="23" t="s">
        <v>174</v>
      </c>
      <c r="C98" s="24">
        <f t="shared" ref="C98:I98" si="12">SUM(C96:C97)</f>
        <v>7821</v>
      </c>
      <c r="D98" s="24">
        <f t="shared" si="12"/>
        <v>3267</v>
      </c>
      <c r="E98" s="24">
        <f t="shared" si="12"/>
        <v>2795</v>
      </c>
      <c r="F98" s="24">
        <f t="shared" si="12"/>
        <v>305</v>
      </c>
      <c r="G98" s="24">
        <f t="shared" si="12"/>
        <v>2985</v>
      </c>
      <c r="H98" s="24">
        <f t="shared" si="12"/>
        <v>4016</v>
      </c>
      <c r="I98" s="24">
        <f t="shared" si="12"/>
        <v>9</v>
      </c>
    </row>
    <row r="99" spans="1:9" ht="12.75" customHeight="1">
      <c r="A99" s="30" t="s">
        <v>175</v>
      </c>
      <c r="B99" s="20" t="s">
        <v>176</v>
      </c>
      <c r="C99" s="21">
        <v>15857</v>
      </c>
      <c r="D99" s="21">
        <v>8515</v>
      </c>
      <c r="E99" s="21">
        <v>3366</v>
      </c>
      <c r="F99" s="25">
        <v>928</v>
      </c>
      <c r="G99" s="25">
        <v>4902</v>
      </c>
      <c r="H99" s="25">
        <v>2127</v>
      </c>
      <c r="I99" s="25">
        <v>18</v>
      </c>
    </row>
    <row r="100" spans="1:9" ht="12.75" customHeight="1">
      <c r="A100" s="30" t="s">
        <v>177</v>
      </c>
      <c r="B100" s="20" t="s">
        <v>178</v>
      </c>
      <c r="C100" s="21">
        <v>6407</v>
      </c>
      <c r="D100" s="21">
        <v>3536</v>
      </c>
      <c r="E100" s="21">
        <v>2597</v>
      </c>
      <c r="F100" s="25">
        <v>456</v>
      </c>
      <c r="G100" s="25">
        <v>2353</v>
      </c>
      <c r="H100" s="25">
        <v>1084</v>
      </c>
      <c r="I100" s="25">
        <v>9</v>
      </c>
    </row>
    <row r="101" spans="1:9" ht="12.75" customHeight="1">
      <c r="A101" s="30" t="s">
        <v>179</v>
      </c>
      <c r="B101" s="20" t="s">
        <v>180</v>
      </c>
      <c r="C101" s="21">
        <v>17802</v>
      </c>
      <c r="D101" s="21">
        <v>9275</v>
      </c>
      <c r="E101" s="21">
        <v>1805</v>
      </c>
      <c r="F101" s="25">
        <v>1420</v>
      </c>
      <c r="G101" s="25">
        <v>5849</v>
      </c>
      <c r="H101" s="25">
        <v>1428</v>
      </c>
      <c r="I101" s="25">
        <v>5</v>
      </c>
    </row>
    <row r="102" spans="1:9" ht="12.75" customHeight="1">
      <c r="A102" s="30" t="s">
        <v>181</v>
      </c>
      <c r="B102" s="20" t="s">
        <v>182</v>
      </c>
      <c r="C102" s="21">
        <v>9529</v>
      </c>
      <c r="D102" s="21">
        <v>5858</v>
      </c>
      <c r="E102" s="21">
        <v>4750</v>
      </c>
      <c r="F102" s="25">
        <v>520</v>
      </c>
      <c r="G102" s="25">
        <v>3127</v>
      </c>
      <c r="H102" s="25">
        <v>2711</v>
      </c>
      <c r="I102" s="25">
        <v>12</v>
      </c>
    </row>
    <row r="103" spans="1:9" ht="12.75" customHeight="1">
      <c r="A103" s="31"/>
      <c r="B103" s="23" t="s">
        <v>183</v>
      </c>
      <c r="C103" s="24">
        <f t="shared" ref="C103:I103" si="13">SUM(C99:C102)</f>
        <v>49595</v>
      </c>
      <c r="D103" s="24">
        <f t="shared" si="13"/>
        <v>27184</v>
      </c>
      <c r="E103" s="24">
        <f t="shared" si="13"/>
        <v>12518</v>
      </c>
      <c r="F103" s="24">
        <f t="shared" si="13"/>
        <v>3324</v>
      </c>
      <c r="G103" s="24">
        <f t="shared" si="13"/>
        <v>16231</v>
      </c>
      <c r="H103" s="24">
        <f t="shared" si="13"/>
        <v>7350</v>
      </c>
      <c r="I103" s="24">
        <f t="shared" si="13"/>
        <v>44</v>
      </c>
    </row>
    <row r="104" spans="1:9" ht="12.75" customHeight="1">
      <c r="A104" s="30" t="s">
        <v>184</v>
      </c>
      <c r="B104" s="20" t="s">
        <v>185</v>
      </c>
      <c r="C104" s="21">
        <v>12155</v>
      </c>
      <c r="D104" s="21">
        <v>4595</v>
      </c>
      <c r="E104" s="21">
        <v>1089</v>
      </c>
      <c r="F104" s="25">
        <v>524</v>
      </c>
      <c r="G104" s="25">
        <v>2591</v>
      </c>
      <c r="H104" s="25">
        <v>3619</v>
      </c>
      <c r="I104" s="25">
        <v>8</v>
      </c>
    </row>
    <row r="105" spans="1:9" ht="12.75" customHeight="1">
      <c r="A105" s="30" t="s">
        <v>186</v>
      </c>
      <c r="B105" s="20" t="s">
        <v>187</v>
      </c>
      <c r="C105" s="21">
        <v>12487</v>
      </c>
      <c r="D105" s="21">
        <v>3394</v>
      </c>
      <c r="E105" s="21">
        <v>1318</v>
      </c>
      <c r="F105" s="25">
        <v>833</v>
      </c>
      <c r="G105" s="25">
        <v>2713</v>
      </c>
      <c r="H105" s="25">
        <v>846</v>
      </c>
      <c r="I105" s="25">
        <v>5</v>
      </c>
    </row>
    <row r="106" spans="1:9" ht="12.75" customHeight="1">
      <c r="A106" s="30" t="s">
        <v>188</v>
      </c>
      <c r="B106" s="20" t="s">
        <v>189</v>
      </c>
      <c r="C106" s="21">
        <v>66235</v>
      </c>
      <c r="D106" s="21">
        <v>35704</v>
      </c>
      <c r="E106" s="21">
        <v>10840</v>
      </c>
      <c r="F106" s="25">
        <v>1739</v>
      </c>
      <c r="G106" s="25">
        <v>8542</v>
      </c>
      <c r="H106" s="25">
        <v>2536</v>
      </c>
      <c r="I106" s="25">
        <v>17</v>
      </c>
    </row>
    <row r="107" spans="1:9" ht="12.75" customHeight="1">
      <c r="A107" s="30" t="s">
        <v>190</v>
      </c>
      <c r="B107" s="20" t="s">
        <v>191</v>
      </c>
      <c r="C107" s="21">
        <v>187167</v>
      </c>
      <c r="D107" s="21">
        <v>98085</v>
      </c>
      <c r="E107" s="21">
        <v>13434</v>
      </c>
      <c r="F107" s="25">
        <v>12663</v>
      </c>
      <c r="G107" s="25">
        <v>11654</v>
      </c>
      <c r="H107" s="25">
        <v>10612</v>
      </c>
      <c r="I107" s="25">
        <v>36</v>
      </c>
    </row>
    <row r="108" spans="1:9" ht="12.75" customHeight="1">
      <c r="A108" s="30" t="s">
        <v>192</v>
      </c>
      <c r="B108" s="20" t="s">
        <v>193</v>
      </c>
      <c r="C108" s="21">
        <v>62437</v>
      </c>
      <c r="D108" s="21">
        <v>19818</v>
      </c>
      <c r="E108" s="21">
        <v>5959</v>
      </c>
      <c r="F108" s="25">
        <v>4812</v>
      </c>
      <c r="G108" s="25">
        <v>8200</v>
      </c>
      <c r="H108" s="25">
        <v>4688</v>
      </c>
      <c r="I108" s="25">
        <v>18</v>
      </c>
    </row>
    <row r="109" spans="1:9" ht="12.75" customHeight="1">
      <c r="A109" s="31"/>
      <c r="B109" s="23" t="s">
        <v>194</v>
      </c>
      <c r="C109" s="24">
        <f t="shared" ref="C109:I109" si="14">SUM(C104:C108)</f>
        <v>340481</v>
      </c>
      <c r="D109" s="24">
        <f t="shared" si="14"/>
        <v>161596</v>
      </c>
      <c r="E109" s="24">
        <f t="shared" si="14"/>
        <v>32640</v>
      </c>
      <c r="F109" s="24">
        <f t="shared" si="14"/>
        <v>20571</v>
      </c>
      <c r="G109" s="24">
        <f t="shared" si="14"/>
        <v>33700</v>
      </c>
      <c r="H109" s="24">
        <f t="shared" si="14"/>
        <v>22301</v>
      </c>
      <c r="I109" s="24">
        <f t="shared" si="14"/>
        <v>84</v>
      </c>
    </row>
    <row r="110" spans="1:9" ht="12.75" customHeight="1">
      <c r="A110" s="19" t="s">
        <v>195</v>
      </c>
      <c r="B110" s="20" t="s">
        <v>196</v>
      </c>
      <c r="C110" s="21">
        <v>40339</v>
      </c>
      <c r="D110" s="21">
        <v>21873</v>
      </c>
      <c r="E110" s="21">
        <v>14117</v>
      </c>
      <c r="F110" s="25">
        <v>3510</v>
      </c>
      <c r="G110" s="25">
        <v>8246</v>
      </c>
      <c r="H110" s="25">
        <v>5283</v>
      </c>
      <c r="I110" s="25">
        <v>32</v>
      </c>
    </row>
    <row r="111" spans="1:9" ht="12.75" customHeight="1">
      <c r="A111" s="19" t="s">
        <v>197</v>
      </c>
      <c r="B111" s="20" t="s">
        <v>198</v>
      </c>
      <c r="C111" s="21">
        <v>4281</v>
      </c>
      <c r="D111" s="21">
        <v>2419</v>
      </c>
      <c r="E111" s="21">
        <v>2379</v>
      </c>
      <c r="F111" s="25">
        <v>369</v>
      </c>
      <c r="G111" s="25">
        <v>1455</v>
      </c>
      <c r="H111" s="25">
        <v>230</v>
      </c>
      <c r="I111" s="25">
        <v>3</v>
      </c>
    </row>
    <row r="112" spans="1:9" ht="12.75" customHeight="1">
      <c r="A112" s="19" t="s">
        <v>199</v>
      </c>
      <c r="B112" s="20" t="s">
        <v>200</v>
      </c>
      <c r="C112" s="21">
        <v>10980</v>
      </c>
      <c r="D112" s="21">
        <v>5564</v>
      </c>
      <c r="E112" s="21">
        <v>3598</v>
      </c>
      <c r="F112" s="25">
        <v>1656</v>
      </c>
      <c r="G112" s="25">
        <v>2597</v>
      </c>
      <c r="H112" s="25">
        <v>1006</v>
      </c>
      <c r="I112" s="25">
        <v>14</v>
      </c>
    </row>
    <row r="113" spans="1:9" ht="12.75" customHeight="1">
      <c r="A113" s="19" t="s">
        <v>201</v>
      </c>
      <c r="B113" s="20" t="s">
        <v>202</v>
      </c>
      <c r="C113" s="21">
        <v>28027</v>
      </c>
      <c r="D113" s="21">
        <v>12901</v>
      </c>
      <c r="E113" s="21">
        <v>3055</v>
      </c>
      <c r="F113" s="25">
        <v>2388</v>
      </c>
      <c r="G113" s="25">
        <v>5755</v>
      </c>
      <c r="H113" s="25">
        <v>3939</v>
      </c>
      <c r="I113" s="25">
        <v>7</v>
      </c>
    </row>
    <row r="114" spans="1:9" ht="12.75" customHeight="1">
      <c r="A114" s="19" t="s">
        <v>203</v>
      </c>
      <c r="B114" s="20" t="s">
        <v>204</v>
      </c>
      <c r="C114" s="21">
        <v>34252</v>
      </c>
      <c r="D114" s="21">
        <v>17286</v>
      </c>
      <c r="E114" s="21">
        <v>8702</v>
      </c>
      <c r="F114" s="25">
        <v>3081</v>
      </c>
      <c r="G114" s="25">
        <v>3323</v>
      </c>
      <c r="H114" s="25">
        <v>1882</v>
      </c>
      <c r="I114" s="25">
        <v>33</v>
      </c>
    </row>
    <row r="115" spans="1:9" ht="12.75" customHeight="1">
      <c r="A115" s="19" t="s">
        <v>205</v>
      </c>
      <c r="B115" s="20" t="s">
        <v>206</v>
      </c>
      <c r="C115" s="21">
        <v>11781</v>
      </c>
      <c r="D115" s="21">
        <v>7388</v>
      </c>
      <c r="E115" s="21">
        <v>5161</v>
      </c>
      <c r="F115" s="25">
        <v>1665</v>
      </c>
      <c r="G115" s="25">
        <v>2450</v>
      </c>
      <c r="H115" s="25">
        <v>9656</v>
      </c>
      <c r="I115" s="25">
        <v>12</v>
      </c>
    </row>
    <row r="116" spans="1:9" ht="12.75" customHeight="1">
      <c r="A116" s="22"/>
      <c r="B116" s="23" t="s">
        <v>207</v>
      </c>
      <c r="C116" s="24">
        <f t="shared" ref="C116:I116" si="15">SUM(C110:C115)</f>
        <v>129660</v>
      </c>
      <c r="D116" s="24">
        <f t="shared" si="15"/>
        <v>67431</v>
      </c>
      <c r="E116" s="24">
        <f t="shared" si="15"/>
        <v>37012</v>
      </c>
      <c r="F116" s="24">
        <f t="shared" si="15"/>
        <v>12669</v>
      </c>
      <c r="G116" s="24">
        <f t="shared" si="15"/>
        <v>23826</v>
      </c>
      <c r="H116" s="24">
        <f t="shared" si="15"/>
        <v>21996</v>
      </c>
      <c r="I116" s="24">
        <f t="shared" si="15"/>
        <v>101</v>
      </c>
    </row>
    <row r="117" spans="1:9" ht="12.75" customHeight="1">
      <c r="A117" s="19" t="s">
        <v>208</v>
      </c>
      <c r="B117" s="20" t="s">
        <v>209</v>
      </c>
      <c r="C117" s="21">
        <v>3488</v>
      </c>
      <c r="D117" s="21">
        <v>1965</v>
      </c>
      <c r="E117" s="21">
        <v>1236</v>
      </c>
      <c r="F117" s="25">
        <v>197</v>
      </c>
      <c r="G117" s="25">
        <v>1284</v>
      </c>
      <c r="H117" s="25">
        <v>677</v>
      </c>
      <c r="I117" s="25">
        <v>2</v>
      </c>
    </row>
    <row r="118" spans="1:9" ht="12.75" customHeight="1">
      <c r="A118" s="19" t="s">
        <v>210</v>
      </c>
      <c r="B118" s="20" t="s">
        <v>211</v>
      </c>
      <c r="C118" s="32">
        <v>12144</v>
      </c>
      <c r="D118" s="32">
        <v>3989</v>
      </c>
      <c r="E118" s="21">
        <v>3047</v>
      </c>
      <c r="F118" s="25">
        <v>2070</v>
      </c>
      <c r="G118" s="25">
        <v>4611</v>
      </c>
      <c r="H118" s="25">
        <v>1593</v>
      </c>
      <c r="I118" s="25">
        <v>8</v>
      </c>
    </row>
    <row r="119" spans="1:9" ht="12.75" customHeight="1">
      <c r="A119" s="22"/>
      <c r="B119" s="23" t="s">
        <v>212</v>
      </c>
      <c r="C119" s="24">
        <f t="shared" ref="C119:I119" si="16">SUM(C117:C118)</f>
        <v>15632</v>
      </c>
      <c r="D119" s="24">
        <f t="shared" si="16"/>
        <v>5954</v>
      </c>
      <c r="E119" s="24">
        <f t="shared" si="16"/>
        <v>4283</v>
      </c>
      <c r="F119" s="24">
        <f t="shared" si="16"/>
        <v>2267</v>
      </c>
      <c r="G119" s="24">
        <f t="shared" si="16"/>
        <v>5895</v>
      </c>
      <c r="H119" s="24">
        <f t="shared" si="16"/>
        <v>2270</v>
      </c>
      <c r="I119" s="24">
        <f t="shared" si="16"/>
        <v>10</v>
      </c>
    </row>
    <row r="120" spans="1:9" ht="12.75" customHeight="1">
      <c r="A120" s="19" t="s">
        <v>213</v>
      </c>
      <c r="B120" s="20" t="s">
        <v>214</v>
      </c>
      <c r="C120" s="21">
        <v>17158</v>
      </c>
      <c r="D120" s="21">
        <v>5062</v>
      </c>
      <c r="E120" s="21">
        <v>2819</v>
      </c>
      <c r="F120" s="25">
        <v>3941</v>
      </c>
      <c r="G120" s="25">
        <v>4804</v>
      </c>
      <c r="H120" s="25">
        <v>496</v>
      </c>
      <c r="I120" s="25">
        <v>11</v>
      </c>
    </row>
    <row r="121" spans="1:9" ht="12.75" customHeight="1">
      <c r="A121" s="19" t="s">
        <v>215</v>
      </c>
      <c r="B121" s="20" t="s">
        <v>216</v>
      </c>
      <c r="C121" s="21">
        <v>20899</v>
      </c>
      <c r="D121" s="21">
        <v>4452</v>
      </c>
      <c r="E121" s="21">
        <v>3427</v>
      </c>
      <c r="F121" s="25">
        <v>5645</v>
      </c>
      <c r="G121" s="25">
        <v>8395</v>
      </c>
      <c r="H121" s="25">
        <v>1120</v>
      </c>
      <c r="I121" s="25">
        <v>19</v>
      </c>
    </row>
    <row r="122" spans="1:9" ht="12.75" customHeight="1">
      <c r="A122" s="19" t="s">
        <v>217</v>
      </c>
      <c r="B122" s="20" t="s">
        <v>218</v>
      </c>
      <c r="C122" s="21">
        <v>6894</v>
      </c>
      <c r="D122" s="21">
        <v>1679</v>
      </c>
      <c r="E122" s="21">
        <v>543</v>
      </c>
      <c r="F122" s="25">
        <v>927</v>
      </c>
      <c r="G122" s="25">
        <v>1712</v>
      </c>
      <c r="H122" s="25">
        <v>320</v>
      </c>
      <c r="I122" s="25">
        <v>3</v>
      </c>
    </row>
    <row r="123" spans="1:9" ht="12.75" customHeight="1">
      <c r="A123" s="19" t="s">
        <v>219</v>
      </c>
      <c r="B123" s="20" t="s">
        <v>220</v>
      </c>
      <c r="C123" s="21">
        <v>18457</v>
      </c>
      <c r="D123" s="21">
        <v>5068</v>
      </c>
      <c r="E123" s="21">
        <v>2978</v>
      </c>
      <c r="F123" s="25">
        <v>6726</v>
      </c>
      <c r="G123" s="25">
        <v>5483</v>
      </c>
      <c r="H123" s="25">
        <v>1033</v>
      </c>
      <c r="I123" s="25">
        <v>21</v>
      </c>
    </row>
    <row r="124" spans="1:9" ht="12.75" customHeight="1">
      <c r="A124" s="19" t="s">
        <v>221</v>
      </c>
      <c r="B124" s="20" t="s">
        <v>222</v>
      </c>
      <c r="C124" s="21">
        <v>6402</v>
      </c>
      <c r="D124" s="21">
        <v>815</v>
      </c>
      <c r="E124" s="21">
        <v>580</v>
      </c>
      <c r="F124" s="25">
        <v>599</v>
      </c>
      <c r="G124" s="25">
        <v>2150</v>
      </c>
      <c r="H124" s="25">
        <v>145</v>
      </c>
      <c r="I124" s="25">
        <v>4</v>
      </c>
    </row>
    <row r="125" spans="1:9" ht="12.75" customHeight="1">
      <c r="A125" s="22"/>
      <c r="B125" s="23" t="s">
        <v>223</v>
      </c>
      <c r="C125" s="24">
        <f t="shared" ref="C125:I125" si="17">SUM(C120:C124)</f>
        <v>69810</v>
      </c>
      <c r="D125" s="24">
        <f t="shared" si="17"/>
        <v>17076</v>
      </c>
      <c r="E125" s="24">
        <f t="shared" si="17"/>
        <v>10347</v>
      </c>
      <c r="F125" s="24">
        <f t="shared" si="17"/>
        <v>17838</v>
      </c>
      <c r="G125" s="24">
        <f t="shared" si="17"/>
        <v>22544</v>
      </c>
      <c r="H125" s="24">
        <f t="shared" si="17"/>
        <v>3114</v>
      </c>
      <c r="I125" s="24">
        <f t="shared" si="17"/>
        <v>58</v>
      </c>
    </row>
    <row r="126" spans="1:9" ht="12.75" customHeight="1">
      <c r="A126" s="19" t="s">
        <v>224</v>
      </c>
      <c r="B126" s="20" t="s">
        <v>225</v>
      </c>
      <c r="C126" s="21">
        <v>8541</v>
      </c>
      <c r="D126" s="21">
        <v>866</v>
      </c>
      <c r="E126" s="21">
        <v>201</v>
      </c>
      <c r="F126" s="25">
        <v>4670</v>
      </c>
      <c r="G126" s="25">
        <v>2408</v>
      </c>
      <c r="H126" s="25">
        <v>933</v>
      </c>
      <c r="I126" s="25">
        <v>11</v>
      </c>
    </row>
    <row r="127" spans="1:9" ht="12.75" customHeight="1">
      <c r="A127" s="19" t="s">
        <v>226</v>
      </c>
      <c r="B127" s="20" t="s">
        <v>227</v>
      </c>
      <c r="C127" s="21">
        <v>2713</v>
      </c>
      <c r="D127" s="21">
        <v>675</v>
      </c>
      <c r="E127" s="21">
        <v>193</v>
      </c>
      <c r="F127" s="25">
        <v>1120</v>
      </c>
      <c r="G127" s="25">
        <v>918</v>
      </c>
      <c r="H127" s="25">
        <v>392</v>
      </c>
      <c r="I127" s="25">
        <v>6</v>
      </c>
    </row>
    <row r="128" spans="1:9" ht="12.75" customHeight="1">
      <c r="A128" s="19" t="s">
        <v>228</v>
      </c>
      <c r="B128" s="20" t="s">
        <v>229</v>
      </c>
      <c r="C128" s="21">
        <v>45545</v>
      </c>
      <c r="D128" s="21">
        <v>16857</v>
      </c>
      <c r="E128" s="21">
        <v>2819</v>
      </c>
      <c r="F128" s="25">
        <v>21736</v>
      </c>
      <c r="G128" s="25">
        <v>4297</v>
      </c>
      <c r="H128" s="25">
        <v>1809</v>
      </c>
      <c r="I128" s="25">
        <v>22</v>
      </c>
    </row>
    <row r="129" spans="1:9" ht="12.75" customHeight="1">
      <c r="A129" s="19" t="s">
        <v>230</v>
      </c>
      <c r="B129" s="20" t="s">
        <v>231</v>
      </c>
      <c r="C129" s="21">
        <v>24498</v>
      </c>
      <c r="D129" s="21">
        <v>9492</v>
      </c>
      <c r="E129" s="21">
        <v>888</v>
      </c>
      <c r="F129" s="25">
        <v>1254</v>
      </c>
      <c r="G129" s="25">
        <v>507</v>
      </c>
      <c r="H129" s="25">
        <v>377</v>
      </c>
      <c r="I129" s="25">
        <v>2</v>
      </c>
    </row>
    <row r="130" spans="1:9" ht="12.75" customHeight="1">
      <c r="A130" s="19" t="s">
        <v>232</v>
      </c>
      <c r="B130" s="20" t="s">
        <v>233</v>
      </c>
      <c r="C130" s="21">
        <v>17819</v>
      </c>
      <c r="D130" s="21">
        <v>8907</v>
      </c>
      <c r="E130" s="21">
        <v>7269</v>
      </c>
      <c r="F130" s="25">
        <v>4876</v>
      </c>
      <c r="G130" s="25">
        <v>4036</v>
      </c>
      <c r="H130" s="25">
        <v>1253</v>
      </c>
      <c r="I130" s="25">
        <v>21</v>
      </c>
    </row>
    <row r="131" spans="1:9" ht="12.75" customHeight="1">
      <c r="A131" s="19" t="s">
        <v>234</v>
      </c>
      <c r="B131" s="20" t="s">
        <v>235</v>
      </c>
      <c r="C131" s="21">
        <v>49365</v>
      </c>
      <c r="D131" s="21">
        <v>25228</v>
      </c>
      <c r="E131" s="21">
        <v>10794</v>
      </c>
      <c r="F131" s="25">
        <v>18076</v>
      </c>
      <c r="G131" s="25">
        <v>4788</v>
      </c>
      <c r="H131" s="25">
        <v>1270</v>
      </c>
      <c r="I131" s="25">
        <v>20</v>
      </c>
    </row>
    <row r="132" spans="1:9" ht="12.75" customHeight="1">
      <c r="A132" s="19" t="s">
        <v>236</v>
      </c>
      <c r="B132" s="20" t="s">
        <v>237</v>
      </c>
      <c r="C132" s="21">
        <v>21225</v>
      </c>
      <c r="D132" s="21">
        <v>5344</v>
      </c>
      <c r="E132" s="21">
        <v>1281</v>
      </c>
      <c r="F132" s="25">
        <v>12149</v>
      </c>
      <c r="G132" s="25">
        <v>1494</v>
      </c>
      <c r="H132" s="25">
        <v>1293</v>
      </c>
      <c r="I132" s="25">
        <v>7</v>
      </c>
    </row>
    <row r="133" spans="1:9" ht="12.75" customHeight="1">
      <c r="A133" s="19" t="s">
        <v>238</v>
      </c>
      <c r="B133" s="20" t="s">
        <v>239</v>
      </c>
      <c r="C133" s="21">
        <v>13160</v>
      </c>
      <c r="D133" s="21">
        <v>5686</v>
      </c>
      <c r="E133" s="21">
        <v>2722</v>
      </c>
      <c r="F133" s="25">
        <v>4764</v>
      </c>
      <c r="G133" s="25">
        <v>2711</v>
      </c>
      <c r="H133" s="25">
        <v>1140</v>
      </c>
      <c r="I133" s="25">
        <v>9</v>
      </c>
    </row>
    <row r="134" spans="1:9" ht="12.75" customHeight="1">
      <c r="A134" s="19" t="s">
        <v>240</v>
      </c>
      <c r="B134" s="20" t="s">
        <v>241</v>
      </c>
      <c r="C134" s="21">
        <v>11632</v>
      </c>
      <c r="D134" s="21">
        <v>2094</v>
      </c>
      <c r="E134" s="21">
        <v>1657</v>
      </c>
      <c r="F134" s="25">
        <v>6973</v>
      </c>
      <c r="G134" s="25">
        <v>2566</v>
      </c>
      <c r="H134" s="25">
        <v>974</v>
      </c>
      <c r="I134" s="25">
        <v>10</v>
      </c>
    </row>
    <row r="135" spans="1:9" ht="12.75" customHeight="1">
      <c r="A135" s="26"/>
      <c r="B135" s="23" t="s">
        <v>242</v>
      </c>
      <c r="C135" s="24">
        <f t="shared" ref="C135:I135" si="18">SUM(C126:C134)</f>
        <v>194498</v>
      </c>
      <c r="D135" s="24">
        <f t="shared" si="18"/>
        <v>75149</v>
      </c>
      <c r="E135" s="24">
        <f t="shared" si="18"/>
        <v>27824</v>
      </c>
      <c r="F135" s="24">
        <f t="shared" si="18"/>
        <v>75618</v>
      </c>
      <c r="G135" s="24">
        <f t="shared" si="18"/>
        <v>23725</v>
      </c>
      <c r="H135" s="24">
        <f t="shared" si="18"/>
        <v>9441</v>
      </c>
      <c r="I135" s="24">
        <f t="shared" si="18"/>
        <v>108</v>
      </c>
    </row>
    <row r="136" spans="1:9" ht="12.75" customHeight="1">
      <c r="A136" s="19" t="s">
        <v>243</v>
      </c>
      <c r="B136" s="20" t="s">
        <v>244</v>
      </c>
      <c r="C136" s="21">
        <v>50796</v>
      </c>
      <c r="D136" s="21">
        <v>5482</v>
      </c>
      <c r="E136" s="21">
        <v>3506</v>
      </c>
      <c r="F136" s="25">
        <v>21350</v>
      </c>
      <c r="G136" s="25">
        <v>7833</v>
      </c>
      <c r="H136" s="25">
        <v>4386</v>
      </c>
      <c r="I136" s="25">
        <v>14</v>
      </c>
    </row>
    <row r="137" spans="1:9" ht="12.75" customHeight="1">
      <c r="A137" s="19" t="s">
        <v>245</v>
      </c>
      <c r="B137" s="20" t="s">
        <v>246</v>
      </c>
      <c r="C137" s="21">
        <v>6728</v>
      </c>
      <c r="D137" s="21">
        <v>374</v>
      </c>
      <c r="E137" s="21">
        <v>374</v>
      </c>
      <c r="F137" s="25">
        <v>1409</v>
      </c>
      <c r="G137" s="25">
        <v>4945</v>
      </c>
      <c r="H137" s="25">
        <v>44</v>
      </c>
      <c r="I137" s="25">
        <v>3</v>
      </c>
    </row>
    <row r="138" spans="1:9" ht="12.75" customHeight="1">
      <c r="A138" s="19" t="s">
        <v>247</v>
      </c>
      <c r="B138" s="20" t="s">
        <v>248</v>
      </c>
      <c r="C138" s="21">
        <v>7346</v>
      </c>
      <c r="D138" s="21">
        <v>100</v>
      </c>
      <c r="E138" s="21">
        <v>100</v>
      </c>
      <c r="F138" s="25">
        <v>1515</v>
      </c>
      <c r="G138" s="25">
        <v>5731</v>
      </c>
      <c r="H138" s="25">
        <v>34</v>
      </c>
      <c r="I138" s="25">
        <v>2</v>
      </c>
    </row>
    <row r="139" spans="1:9" ht="12.75" customHeight="1">
      <c r="A139" s="19" t="s">
        <v>249</v>
      </c>
      <c r="B139" s="20" t="s">
        <v>250</v>
      </c>
      <c r="C139" s="21">
        <v>12414</v>
      </c>
      <c r="D139" s="21">
        <v>1110</v>
      </c>
      <c r="E139" s="21">
        <v>470</v>
      </c>
      <c r="F139" s="25">
        <v>3240</v>
      </c>
      <c r="G139" s="25">
        <v>2384</v>
      </c>
      <c r="H139" s="25">
        <v>160</v>
      </c>
      <c r="I139" s="25">
        <v>7</v>
      </c>
    </row>
    <row r="140" spans="1:9" ht="12.75" customHeight="1">
      <c r="A140" s="19" t="s">
        <v>251</v>
      </c>
      <c r="B140" s="20" t="s">
        <v>252</v>
      </c>
      <c r="C140" s="21">
        <v>3389</v>
      </c>
      <c r="D140" s="21">
        <v>0</v>
      </c>
      <c r="E140" s="21">
        <v>0</v>
      </c>
      <c r="F140" s="25">
        <v>1109</v>
      </c>
      <c r="G140" s="25">
        <v>691</v>
      </c>
      <c r="H140" s="25">
        <v>3</v>
      </c>
      <c r="I140" s="25">
        <v>2</v>
      </c>
    </row>
    <row r="141" spans="1:9" ht="12.75" customHeight="1">
      <c r="A141" s="19" t="s">
        <v>253</v>
      </c>
      <c r="B141" s="20" t="s">
        <v>254</v>
      </c>
      <c r="C141" s="21">
        <v>9203</v>
      </c>
      <c r="D141" s="21">
        <v>884</v>
      </c>
      <c r="E141" s="21">
        <v>884</v>
      </c>
      <c r="F141" s="25">
        <v>2711</v>
      </c>
      <c r="G141" s="25">
        <v>5608</v>
      </c>
      <c r="H141" s="25">
        <v>117</v>
      </c>
      <c r="I141" s="25">
        <v>9</v>
      </c>
    </row>
    <row r="142" spans="1:9" ht="12.75" customHeight="1">
      <c r="A142" s="19" t="s">
        <v>255</v>
      </c>
      <c r="B142" s="20" t="s">
        <v>256</v>
      </c>
      <c r="C142" s="21">
        <v>10090</v>
      </c>
      <c r="D142" s="21">
        <v>1273</v>
      </c>
      <c r="E142" s="21">
        <v>171</v>
      </c>
      <c r="F142" s="25">
        <v>2635</v>
      </c>
      <c r="G142" s="25">
        <v>2526</v>
      </c>
      <c r="H142" s="25">
        <v>160</v>
      </c>
      <c r="I142" s="25">
        <v>4</v>
      </c>
    </row>
    <row r="143" spans="1:9" ht="12.75" customHeight="1">
      <c r="A143" s="19" t="s">
        <v>257</v>
      </c>
      <c r="B143" s="20" t="s">
        <v>258</v>
      </c>
      <c r="C143" s="21">
        <v>22043</v>
      </c>
      <c r="D143" s="21">
        <v>4366</v>
      </c>
      <c r="E143" s="21">
        <v>1381</v>
      </c>
      <c r="F143" s="25">
        <v>7939</v>
      </c>
      <c r="G143" s="25">
        <v>5819</v>
      </c>
      <c r="H143" s="25">
        <v>869</v>
      </c>
      <c r="I143" s="25">
        <v>6</v>
      </c>
    </row>
    <row r="144" spans="1:9" ht="14.7" customHeight="1">
      <c r="A144" s="19" t="s">
        <v>259</v>
      </c>
      <c r="B144" s="20" t="s">
        <v>260</v>
      </c>
      <c r="C144" s="21"/>
      <c r="D144" s="21"/>
      <c r="E144" s="21"/>
      <c r="F144" s="25"/>
      <c r="G144" s="25"/>
      <c r="H144" s="25"/>
      <c r="I144" s="25"/>
    </row>
    <row r="145" spans="1:9" ht="14.7" customHeight="1">
      <c r="A145" s="26"/>
      <c r="B145" s="23" t="s">
        <v>261</v>
      </c>
      <c r="C145" s="33">
        <f t="shared" ref="C145:I145" si="19">SUM(C136:C144)</f>
        <v>122009</v>
      </c>
      <c r="D145" s="33">
        <f t="shared" si="19"/>
        <v>13589</v>
      </c>
      <c r="E145" s="33">
        <f t="shared" si="19"/>
        <v>6886</v>
      </c>
      <c r="F145" s="33">
        <f t="shared" si="19"/>
        <v>41908</v>
      </c>
      <c r="G145" s="33">
        <f t="shared" si="19"/>
        <v>35537</v>
      </c>
      <c r="H145" s="33">
        <f t="shared" si="19"/>
        <v>5773</v>
      </c>
      <c r="I145" s="33">
        <f t="shared" si="19"/>
        <v>47</v>
      </c>
    </row>
    <row r="146" spans="1:9" ht="14.7" customHeight="1">
      <c r="A146" s="19" t="s">
        <v>262</v>
      </c>
      <c r="B146" s="34" t="s">
        <v>263</v>
      </c>
      <c r="C146" s="25">
        <f t="shared" ref="C146:I146" si="20">C145+C135+C125+C119+C116+C109+C103+C98+C95+C89+C86+C80+C69+C59+C51+C46+C43+C30+C25+C23</f>
        <v>2703253</v>
      </c>
      <c r="D146" s="25">
        <f t="shared" si="20"/>
        <v>1396716</v>
      </c>
      <c r="E146" s="25">
        <f t="shared" si="20"/>
        <v>652897</v>
      </c>
      <c r="F146" s="25">
        <f t="shared" si="20"/>
        <v>249589</v>
      </c>
      <c r="G146" s="25">
        <f t="shared" si="20"/>
        <v>604203</v>
      </c>
      <c r="H146" s="25">
        <f t="shared" si="20"/>
        <v>329818</v>
      </c>
      <c r="I146" s="25">
        <f t="shared" si="20"/>
        <v>1700</v>
      </c>
    </row>
  </sheetData>
  <sheetProtection selectLockedCells="1" selectUnlockedCells="1"/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51180555555555551" footer="0.51180555555555551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2018-05-23T13:09:09Z</dcterms:modified>
</cp:coreProperties>
</file>