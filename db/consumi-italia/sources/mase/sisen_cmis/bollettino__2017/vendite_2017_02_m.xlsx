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N10" i="2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P43" l="1"/>
  <c r="P43" i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<sst xmlns="http://schemas.openxmlformats.org/spreadsheetml/2006/main" count="182" uniqueCount="91">
  <si>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</si>
  <si>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</si>
  <si>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</si>
  <si>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</si>
  <si>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</si>
  <si>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provvisori</t>
  </si>
  <si>
    <t>la materia è espressa in TONNELLATE intere</t>
  </si>
  <si>
    <t>Periodo: febbraio 2017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</si>
  <si>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</si>
  <si>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</si>
  <si>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</si>
  <si>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</si>
  <si>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</si>
  <si>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</si>
  <si>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</si>
  <si>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</si>
  <si>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</si>
  <si>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</si>
  <si>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</si>
  <si>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</si>
  <si>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</si>
  <si>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</si>
  <si>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</si>
  <si>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</si>
  <si>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</si>
  <si>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</si>
  <si>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</si>
  <si>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</si>
  <si>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</si>
  <si>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</si>
  <si>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</si>
  <si>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</si>
  <si>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</si>
  <si>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</si>
  <si>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</si>
  <si>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</si>
  <si>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</si>
  <si>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</si>
  <si>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</si>
  <si>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</si>
  <si>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</si>
  <si>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</si>
  <si>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</si>
  <si>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</si>
  <si>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</si>
  <si>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</si>
  <si>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</si>
  <si>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</si>
  <si>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</si>
  <si>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</si>
  <si>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</si>
  <si>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</si>
  <si>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</si>
  <si>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</si>
  <si>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</si>
  <si>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</si>
  <si>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</si>
  <si>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</si>
  <si>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</si>
  <si>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</si>
  <si>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</si>
  <si>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</si>
  <si>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</si>
  <si>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</si>
  <si>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</si>
  <si>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</si>
  <si>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</si>
  <si>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</si>
  <si>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</si>
  <si>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</si>
  <si>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</si>
  <si>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</si>
  <si>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</si>
  <si>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</si>
  <si>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</si>
  <si>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</si>
  <si>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</si>
  <si>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</si>
  <si>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</si>
  <si>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</si>
  <si>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</si>
  <si>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</si>
  <si>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</si>
  <si>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</si>
  <si>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</si>
  <si>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</si>
  <si>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</si>
  <si>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</si>
  <si>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</si>
  <si>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</si>
  <si>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gennaio-febbraio 2017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</si>
</sst>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103420</v>
      </c>
      <c r="E10" s="29">
        <v>2088</v>
      </c>
      <c r="F10" s="29">
        <v>0</v>
      </c>
      <c r="G10" s="29">
        <v>0</v>
      </c>
      <c r="H10" s="29">
        <v>0</v>
      </c>
      <c r="I10" s="29">
        <v>0</v>
      </c>
      <c r="J10" s="29">
        <v>6597</v>
      </c>
      <c r="K10" s="29">
        <v>474</v>
      </c>
      <c r="L10" s="29">
        <v>73358</v>
      </c>
      <c r="M10" s="29">
        <v>315</v>
      </c>
      <c r="N10" s="30">
        <f t="shared" ref="N10:N42" si="0">SUM(C10:M10)</f>
        <v>186252</v>
      </c>
      <c r="O10" s="29">
        <v>0</v>
      </c>
      <c r="P10" s="30">
        <f t="shared" ref="P10:P42" si="1">SUM(N10:O10)</f>
        <v>186252</v>
      </c>
    </row>
    <row r="11" spans="1:16" ht="15" customHeight="1">
      <c r="A11" s="11" t="s">
        <v>26</v>
      </c>
      <c r="B11" s="12" t="s">
        <v>27</v>
      </c>
      <c r="C11" s="29">
        <v>58424</v>
      </c>
      <c r="D11" s="29">
        <v>4155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62268</v>
      </c>
      <c r="M11" s="29">
        <v>1041</v>
      </c>
      <c r="N11" s="30">
        <f t="shared" si="0"/>
        <v>125888</v>
      </c>
      <c r="O11" s="29">
        <v>0</v>
      </c>
      <c r="P11" s="30">
        <f t="shared" si="1"/>
        <v>125888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1939</v>
      </c>
      <c r="K12" s="29">
        <v>0</v>
      </c>
      <c r="L12" s="29">
        <v>0</v>
      </c>
      <c r="M12" s="29">
        <v>0</v>
      </c>
      <c r="N12" s="30">
        <f t="shared" si="0"/>
        <v>1939</v>
      </c>
      <c r="O12" s="29">
        <v>0</v>
      </c>
      <c r="P12" s="30">
        <f t="shared" si="1"/>
        <v>1939</v>
      </c>
    </row>
    <row r="13" spans="1:16" ht="15" customHeight="1">
      <c r="A13" s="11" t="s">
        <v>30</v>
      </c>
      <c r="B13" s="12" t="s">
        <v>31</v>
      </c>
      <c r="C13" s="29">
        <v>394921</v>
      </c>
      <c r="D13" s="29">
        <v>1548</v>
      </c>
      <c r="E13" s="29">
        <v>26</v>
      </c>
      <c r="F13" s="29">
        <v>0</v>
      </c>
      <c r="G13" s="29">
        <v>44</v>
      </c>
      <c r="H13" s="29">
        <v>0</v>
      </c>
      <c r="I13" s="29">
        <v>0</v>
      </c>
      <c r="J13" s="29">
        <v>1180</v>
      </c>
      <c r="K13" s="29">
        <v>49</v>
      </c>
      <c r="L13" s="29">
        <v>127058</v>
      </c>
      <c r="M13" s="29">
        <v>8075</v>
      </c>
      <c r="N13" s="30">
        <f t="shared" si="0"/>
        <v>532901</v>
      </c>
      <c r="O13" s="29">
        <v>0</v>
      </c>
      <c r="P13" s="30">
        <f t="shared" si="1"/>
        <v>532901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49</v>
      </c>
      <c r="I14" s="29">
        <v>0</v>
      </c>
      <c r="J14" s="29">
        <v>0</v>
      </c>
      <c r="K14" s="29">
        <v>5</v>
      </c>
      <c r="L14" s="29">
        <v>0</v>
      </c>
      <c r="M14" s="29">
        <v>0</v>
      </c>
      <c r="N14" s="30">
        <f t="shared" si="0"/>
        <v>54</v>
      </c>
      <c r="O14" s="29">
        <v>0</v>
      </c>
      <c r="P14" s="30">
        <f t="shared" si="1"/>
        <v>54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73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73</v>
      </c>
      <c r="O15" s="29">
        <v>0</v>
      </c>
      <c r="P15" s="30">
        <f t="shared" si="1"/>
        <v>73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41</v>
      </c>
      <c r="F16" s="29">
        <v>0</v>
      </c>
      <c r="G16" s="29">
        <v>0</v>
      </c>
      <c r="H16" s="29">
        <v>0</v>
      </c>
      <c r="I16" s="29">
        <v>0</v>
      </c>
      <c r="J16" s="29">
        <v>307</v>
      </c>
      <c r="K16" s="29">
        <v>0</v>
      </c>
      <c r="L16" s="29">
        <v>112</v>
      </c>
      <c r="M16" s="29">
        <v>0</v>
      </c>
      <c r="N16" s="30">
        <f t="shared" si="0"/>
        <v>460</v>
      </c>
      <c r="O16" s="29">
        <v>0</v>
      </c>
      <c r="P16" s="30">
        <f t="shared" si="1"/>
        <v>460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7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414</v>
      </c>
      <c r="M17" s="29">
        <v>0</v>
      </c>
      <c r="N17" s="30">
        <f t="shared" si="0"/>
        <v>421</v>
      </c>
      <c r="O17" s="29">
        <v>0</v>
      </c>
      <c r="P17" s="30">
        <f t="shared" si="1"/>
        <v>421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250206</v>
      </c>
      <c r="I18" s="29">
        <v>0</v>
      </c>
      <c r="J18" s="29">
        <v>69</v>
      </c>
      <c r="K18" s="29">
        <v>634</v>
      </c>
      <c r="L18" s="29">
        <v>38</v>
      </c>
      <c r="M18" s="29">
        <v>3487</v>
      </c>
      <c r="N18" s="30">
        <f t="shared" si="0"/>
        <v>254434</v>
      </c>
      <c r="O18" s="29">
        <v>0</v>
      </c>
      <c r="P18" s="30">
        <f t="shared" si="1"/>
        <v>254434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14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5</v>
      </c>
      <c r="M19" s="29">
        <v>0</v>
      </c>
      <c r="N19" s="30">
        <f t="shared" si="0"/>
        <v>19</v>
      </c>
      <c r="O19" s="29">
        <v>0</v>
      </c>
      <c r="P19" s="30">
        <f t="shared" si="1"/>
        <v>19</v>
      </c>
    </row>
    <row r="20" spans="1:16" ht="15" customHeight="1">
      <c r="A20" s="11" t="s">
        <v>44</v>
      </c>
      <c r="B20" s="12" t="s">
        <v>45</v>
      </c>
      <c r="C20" s="29">
        <v>973473</v>
      </c>
      <c r="D20" s="29">
        <v>63549</v>
      </c>
      <c r="E20" s="29">
        <v>85812</v>
      </c>
      <c r="F20" s="29">
        <v>2766</v>
      </c>
      <c r="G20" s="29">
        <v>18137</v>
      </c>
      <c r="H20" s="29">
        <v>0</v>
      </c>
      <c r="I20" s="29">
        <v>402</v>
      </c>
      <c r="J20" s="29">
        <v>6599</v>
      </c>
      <c r="K20" s="29">
        <v>1090</v>
      </c>
      <c r="L20" s="29">
        <v>662688</v>
      </c>
      <c r="M20" s="29">
        <v>46604</v>
      </c>
      <c r="N20" s="30">
        <f t="shared" si="0"/>
        <v>1861120</v>
      </c>
      <c r="O20" s="29">
        <v>29367</v>
      </c>
      <c r="P20" s="30">
        <f t="shared" si="1"/>
        <v>1890487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4817</v>
      </c>
      <c r="E21" s="29">
        <v>22</v>
      </c>
      <c r="F21" s="29">
        <v>0</v>
      </c>
      <c r="G21" s="29">
        <v>331</v>
      </c>
      <c r="H21" s="29">
        <v>0</v>
      </c>
      <c r="I21" s="29">
        <v>2409</v>
      </c>
      <c r="J21" s="29">
        <v>338</v>
      </c>
      <c r="K21" s="29">
        <v>6485</v>
      </c>
      <c r="L21" s="29">
        <v>105545</v>
      </c>
      <c r="M21" s="29">
        <v>1573</v>
      </c>
      <c r="N21" s="30">
        <f t="shared" si="0"/>
        <v>121520</v>
      </c>
      <c r="O21" s="29">
        <v>6515</v>
      </c>
      <c r="P21" s="30">
        <f t="shared" si="1"/>
        <v>128035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93</v>
      </c>
      <c r="E22" s="29">
        <v>0</v>
      </c>
      <c r="F22" s="29">
        <v>0</v>
      </c>
      <c r="G22" s="29">
        <v>0</v>
      </c>
      <c r="H22" s="29">
        <v>0</v>
      </c>
      <c r="I22" s="29">
        <v>808</v>
      </c>
      <c r="J22" s="29">
        <v>0</v>
      </c>
      <c r="K22" s="29">
        <v>0</v>
      </c>
      <c r="L22" s="29">
        <v>0</v>
      </c>
      <c r="M22" s="29">
        <v>3994</v>
      </c>
      <c r="N22" s="30">
        <f t="shared" si="0"/>
        <v>4895</v>
      </c>
      <c r="O22" s="29">
        <v>0</v>
      </c>
      <c r="P22" s="30">
        <f t="shared" si="1"/>
        <v>4895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39950</v>
      </c>
      <c r="J23" s="29">
        <v>0</v>
      </c>
      <c r="K23" s="29">
        <v>0</v>
      </c>
      <c r="L23" s="29">
        <v>5280</v>
      </c>
      <c r="M23" s="29">
        <v>0</v>
      </c>
      <c r="N23" s="30">
        <f t="shared" si="0"/>
        <v>45230</v>
      </c>
      <c r="O23" s="29">
        <v>102400</v>
      </c>
      <c r="P23" s="30">
        <f t="shared" si="1"/>
        <v>147630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2062</v>
      </c>
      <c r="E24" s="29">
        <v>563</v>
      </c>
      <c r="F24" s="29">
        <v>0</v>
      </c>
      <c r="G24" s="29">
        <v>0</v>
      </c>
      <c r="H24" s="29">
        <v>0</v>
      </c>
      <c r="I24" s="29">
        <v>0</v>
      </c>
      <c r="J24" s="29">
        <v>1467</v>
      </c>
      <c r="K24" s="29">
        <v>74</v>
      </c>
      <c r="L24" s="29">
        <v>24804</v>
      </c>
      <c r="M24" s="29">
        <v>11700</v>
      </c>
      <c r="N24" s="30">
        <f t="shared" si="0"/>
        <v>40670</v>
      </c>
      <c r="O24" s="29">
        <v>69808</v>
      </c>
      <c r="P24" s="30">
        <f t="shared" si="1"/>
        <v>110478</v>
      </c>
    </row>
    <row r="25" spans="1:16" ht="15" customHeight="1">
      <c r="A25" s="11" t="s">
        <v>54</v>
      </c>
      <c r="B25" s="12" t="s">
        <v>55</v>
      </c>
      <c r="C25" s="29">
        <v>127</v>
      </c>
      <c r="D25" s="29">
        <v>6224</v>
      </c>
      <c r="E25" s="29">
        <v>692</v>
      </c>
      <c r="F25" s="29">
        <v>28</v>
      </c>
      <c r="G25" s="29">
        <v>178</v>
      </c>
      <c r="H25" s="29">
        <v>1</v>
      </c>
      <c r="I25" s="29">
        <v>63</v>
      </c>
      <c r="J25" s="29">
        <v>2467</v>
      </c>
      <c r="K25" s="29">
        <v>47</v>
      </c>
      <c r="L25" s="29">
        <v>5592</v>
      </c>
      <c r="M25" s="29">
        <v>616</v>
      </c>
      <c r="N25" s="30">
        <f t="shared" si="0"/>
        <v>16035</v>
      </c>
      <c r="O25" s="29">
        <v>2124</v>
      </c>
      <c r="P25" s="30">
        <f t="shared" si="1"/>
        <v>18159</v>
      </c>
    </row>
    <row r="26" spans="1:16" ht="15" customHeight="1">
      <c r="A26" s="11" t="s">
        <v>56</v>
      </c>
      <c r="B26" s="12" t="s">
        <v>57</v>
      </c>
      <c r="C26" s="29">
        <v>3</v>
      </c>
      <c r="D26" s="29">
        <v>3241</v>
      </c>
      <c r="E26" s="29">
        <v>154</v>
      </c>
      <c r="F26" s="29">
        <v>4</v>
      </c>
      <c r="G26" s="29">
        <v>67</v>
      </c>
      <c r="H26" s="29">
        <v>28</v>
      </c>
      <c r="I26" s="29">
        <v>34</v>
      </c>
      <c r="J26" s="29">
        <v>9274</v>
      </c>
      <c r="K26" s="29">
        <v>10</v>
      </c>
      <c r="L26" s="29">
        <v>2652</v>
      </c>
      <c r="M26" s="29">
        <v>929</v>
      </c>
      <c r="N26" s="30">
        <f t="shared" si="0"/>
        <v>16396</v>
      </c>
      <c r="O26" s="29">
        <v>278</v>
      </c>
      <c r="P26" s="30">
        <f t="shared" si="1"/>
        <v>16674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30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187</v>
      </c>
      <c r="K27" s="29">
        <v>0</v>
      </c>
      <c r="L27" s="29">
        <v>13</v>
      </c>
      <c r="M27" s="29">
        <v>0</v>
      </c>
      <c r="N27" s="30">
        <f t="shared" si="0"/>
        <v>230</v>
      </c>
      <c r="O27" s="29">
        <v>0</v>
      </c>
      <c r="P27" s="30">
        <f t="shared" si="1"/>
        <v>230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3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175</v>
      </c>
      <c r="K28" s="29">
        <v>0</v>
      </c>
      <c r="L28" s="29">
        <v>33</v>
      </c>
      <c r="M28" s="29">
        <v>0</v>
      </c>
      <c r="N28" s="30">
        <f t="shared" si="0"/>
        <v>211</v>
      </c>
      <c r="O28" s="29">
        <v>0</v>
      </c>
      <c r="P28" s="30">
        <f t="shared" si="1"/>
        <v>211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96</v>
      </c>
      <c r="K29" s="29">
        <v>0</v>
      </c>
      <c r="L29" s="29">
        <v>57</v>
      </c>
      <c r="M29" s="29">
        <v>8631</v>
      </c>
      <c r="N29" s="30">
        <f t="shared" si="0"/>
        <v>8784</v>
      </c>
      <c r="O29" s="29">
        <v>0</v>
      </c>
      <c r="P29" s="30">
        <f t="shared" si="1"/>
        <v>8784</v>
      </c>
    </row>
    <row r="30" spans="1:16" ht="15" customHeight="1">
      <c r="A30" s="11" t="s">
        <v>64</v>
      </c>
      <c r="B30" s="12" t="s">
        <v>65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6</v>
      </c>
      <c r="M30" s="29">
        <v>0</v>
      </c>
      <c r="N30" s="30">
        <f t="shared" si="0"/>
        <v>6</v>
      </c>
      <c r="O30" s="29">
        <v>0</v>
      </c>
      <c r="P30" s="30">
        <f t="shared" si="1"/>
        <v>6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3998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42609</v>
      </c>
      <c r="K32" s="29">
        <v>0</v>
      </c>
      <c r="L32" s="29">
        <v>28581</v>
      </c>
      <c r="M32" s="29">
        <v>3862</v>
      </c>
      <c r="N32" s="30">
        <f t="shared" si="0"/>
        <v>79050</v>
      </c>
      <c r="O32" s="29">
        <v>0</v>
      </c>
      <c r="P32" s="30">
        <f t="shared" si="1"/>
        <v>79050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9008</v>
      </c>
      <c r="K33" s="29">
        <v>0</v>
      </c>
      <c r="L33" s="29">
        <v>0</v>
      </c>
      <c r="M33" s="29">
        <v>0</v>
      </c>
      <c r="N33" s="30">
        <f t="shared" si="0"/>
        <v>9008</v>
      </c>
      <c r="O33" s="29">
        <v>0</v>
      </c>
      <c r="P33" s="30">
        <f t="shared" si="1"/>
        <v>9008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9</v>
      </c>
      <c r="D35" s="29">
        <v>69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3807</v>
      </c>
      <c r="K35" s="29">
        <v>0</v>
      </c>
      <c r="L35" s="29">
        <v>158</v>
      </c>
      <c r="M35" s="29">
        <v>0</v>
      </c>
      <c r="N35" s="30">
        <f t="shared" si="0"/>
        <v>4043</v>
      </c>
      <c r="O35" s="29">
        <v>0</v>
      </c>
      <c r="P35" s="30">
        <f t="shared" si="1"/>
        <v>4043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3630</v>
      </c>
      <c r="K36" s="29">
        <v>0</v>
      </c>
      <c r="L36" s="29">
        <v>9740</v>
      </c>
      <c r="M36" s="29">
        <v>28665</v>
      </c>
      <c r="N36" s="30">
        <f t="shared" si="0"/>
        <v>42035</v>
      </c>
      <c r="O36" s="29">
        <v>0</v>
      </c>
      <c r="P36" s="30">
        <f t="shared" si="1"/>
        <v>42035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1048</v>
      </c>
      <c r="K37" s="29">
        <v>0</v>
      </c>
      <c r="L37" s="29">
        <v>286</v>
      </c>
      <c r="M37" s="29">
        <v>0</v>
      </c>
      <c r="N37" s="30">
        <f t="shared" si="0"/>
        <v>1334</v>
      </c>
      <c r="O37" s="29">
        <v>0</v>
      </c>
      <c r="P37" s="30">
        <f t="shared" si="1"/>
        <v>1334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18</v>
      </c>
      <c r="K38" s="29">
        <v>0</v>
      </c>
      <c r="L38" s="29">
        <v>0</v>
      </c>
      <c r="M38" s="29">
        <v>0</v>
      </c>
      <c r="N38" s="30">
        <f t="shared" si="0"/>
        <v>18</v>
      </c>
      <c r="O38" s="29">
        <v>0</v>
      </c>
      <c r="P38" s="30">
        <f t="shared" si="1"/>
        <v>18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10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0</v>
      </c>
      <c r="K39" s="29">
        <v>0</v>
      </c>
      <c r="L39" s="29">
        <v>7920</v>
      </c>
      <c r="M39" s="29">
        <v>0</v>
      </c>
      <c r="N39" s="30">
        <f t="shared" si="0"/>
        <v>7930</v>
      </c>
      <c r="O39" s="29">
        <v>0</v>
      </c>
      <c r="P39" s="30">
        <f t="shared" si="1"/>
        <v>7930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1426957</v>
      </c>
      <c r="D43" s="31">
        <f t="shared" si="2"/>
        <v>193240</v>
      </c>
      <c r="E43" s="31">
        <f t="shared" si="2"/>
        <v>89398</v>
      </c>
      <c r="F43" s="31">
        <f t="shared" si="2"/>
        <v>2798</v>
      </c>
      <c r="G43" s="31">
        <f t="shared" si="2"/>
        <v>18757</v>
      </c>
      <c r="H43" s="31">
        <f t="shared" si="2"/>
        <v>250357</v>
      </c>
      <c r="I43" s="31">
        <f t="shared" si="2"/>
        <v>43666</v>
      </c>
      <c r="J43" s="31">
        <f t="shared" si="2"/>
        <v>90815</v>
      </c>
      <c r="K43" s="31">
        <f t="shared" si="2"/>
        <v>8868</v>
      </c>
      <c r="L43" s="31">
        <f t="shared" si="2"/>
        <v>1116608</v>
      </c>
      <c r="M43" s="31">
        <f t="shared" si="2"/>
        <v>119492</v>
      </c>
      <c r="N43" s="31">
        <f t="shared" si="2"/>
        <v>3360956</v>
      </c>
      <c r="O43" s="31">
        <f t="shared" si="2"/>
        <v>210492</v>
      </c>
      <c r="P43" s="31">
        <f t="shared" si="2"/>
        <v>3571448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215798</v>
      </c>
      <c r="E10" s="29">
        <v>4927</v>
      </c>
      <c r="F10" s="29">
        <v>0</v>
      </c>
      <c r="G10" s="29">
        <v>0</v>
      </c>
      <c r="H10" s="29">
        <v>0</v>
      </c>
      <c r="I10" s="29">
        <v>0</v>
      </c>
      <c r="J10" s="29">
        <v>15650</v>
      </c>
      <c r="K10" s="29">
        <v>1136</v>
      </c>
      <c r="L10" s="29">
        <v>187817</v>
      </c>
      <c r="M10" s="29">
        <v>896</v>
      </c>
      <c r="N10" s="30">
        <f t="shared" ref="N10:N42" si="0">SUM(C10:M10)</f>
        <v>426224</v>
      </c>
      <c r="O10" s="29">
        <v>0</v>
      </c>
      <c r="P10" s="30">
        <f t="shared" ref="P10:P42" si="1">SUM(N10:O10)</f>
        <v>426224</v>
      </c>
    </row>
    <row r="11" spans="1:16" ht="15" customHeight="1">
      <c r="A11" s="11" t="s">
        <v>26</v>
      </c>
      <c r="B11" s="12" t="s">
        <v>27</v>
      </c>
      <c r="C11" s="29">
        <v>121121</v>
      </c>
      <c r="D11" s="29">
        <v>8062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130764</v>
      </c>
      <c r="M11" s="29">
        <v>2683</v>
      </c>
      <c r="N11" s="30">
        <f t="shared" si="0"/>
        <v>262630</v>
      </c>
      <c r="O11" s="29">
        <v>0</v>
      </c>
      <c r="P11" s="30">
        <f t="shared" si="1"/>
        <v>262630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3801</v>
      </c>
      <c r="K12" s="29">
        <v>0</v>
      </c>
      <c r="L12" s="29">
        <v>0</v>
      </c>
      <c r="M12" s="29">
        <v>0</v>
      </c>
      <c r="N12" s="30">
        <f t="shared" si="0"/>
        <v>3801</v>
      </c>
      <c r="O12" s="29">
        <v>0</v>
      </c>
      <c r="P12" s="30">
        <f t="shared" si="1"/>
        <v>3801</v>
      </c>
    </row>
    <row r="13" spans="1:16" ht="15" customHeight="1">
      <c r="A13" s="11" t="s">
        <v>30</v>
      </c>
      <c r="B13" s="12" t="s">
        <v>31</v>
      </c>
      <c r="C13" s="29">
        <v>799886</v>
      </c>
      <c r="D13" s="29">
        <v>3225</v>
      </c>
      <c r="E13" s="29">
        <v>68</v>
      </c>
      <c r="F13" s="29">
        <v>0</v>
      </c>
      <c r="G13" s="29">
        <v>82</v>
      </c>
      <c r="H13" s="29">
        <v>0</v>
      </c>
      <c r="I13" s="29">
        <v>0</v>
      </c>
      <c r="J13" s="29">
        <v>2344</v>
      </c>
      <c r="K13" s="29">
        <v>115</v>
      </c>
      <c r="L13" s="29">
        <v>252576</v>
      </c>
      <c r="M13" s="29">
        <v>19450</v>
      </c>
      <c r="N13" s="30">
        <f t="shared" si="0"/>
        <v>1077746</v>
      </c>
      <c r="O13" s="29">
        <v>0</v>
      </c>
      <c r="P13" s="30">
        <f t="shared" si="1"/>
        <v>1077746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126</v>
      </c>
      <c r="I14" s="29">
        <v>0</v>
      </c>
      <c r="J14" s="29">
        <v>0</v>
      </c>
      <c r="K14" s="29">
        <v>5</v>
      </c>
      <c r="L14" s="29">
        <v>0</v>
      </c>
      <c r="M14" s="29">
        <v>0</v>
      </c>
      <c r="N14" s="30">
        <f t="shared" si="0"/>
        <v>131</v>
      </c>
      <c r="O14" s="29">
        <v>0</v>
      </c>
      <c r="P14" s="30">
        <f t="shared" si="1"/>
        <v>131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122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122</v>
      </c>
      <c r="O15" s="29">
        <v>0</v>
      </c>
      <c r="P15" s="30">
        <f t="shared" si="1"/>
        <v>122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64</v>
      </c>
      <c r="F16" s="29">
        <v>0</v>
      </c>
      <c r="G16" s="29">
        <v>0</v>
      </c>
      <c r="H16" s="29">
        <v>0</v>
      </c>
      <c r="I16" s="29">
        <v>0</v>
      </c>
      <c r="J16" s="29">
        <v>581</v>
      </c>
      <c r="K16" s="29">
        <v>0</v>
      </c>
      <c r="L16" s="29">
        <v>124</v>
      </c>
      <c r="M16" s="29">
        <v>0</v>
      </c>
      <c r="N16" s="30">
        <f t="shared" si="0"/>
        <v>769</v>
      </c>
      <c r="O16" s="29">
        <v>0</v>
      </c>
      <c r="P16" s="30">
        <f t="shared" si="1"/>
        <v>769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14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4</v>
      </c>
      <c r="K17" s="29">
        <v>0</v>
      </c>
      <c r="L17" s="29">
        <v>1269</v>
      </c>
      <c r="M17" s="29">
        <v>0</v>
      </c>
      <c r="N17" s="30">
        <f t="shared" si="0"/>
        <v>1287</v>
      </c>
      <c r="O17" s="29">
        <v>0</v>
      </c>
      <c r="P17" s="30">
        <f t="shared" si="1"/>
        <v>1287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509710</v>
      </c>
      <c r="I18" s="29">
        <v>0</v>
      </c>
      <c r="J18" s="29">
        <v>80</v>
      </c>
      <c r="K18" s="29">
        <v>8038</v>
      </c>
      <c r="L18" s="29">
        <v>38</v>
      </c>
      <c r="M18" s="29">
        <v>3973</v>
      </c>
      <c r="N18" s="30">
        <f t="shared" si="0"/>
        <v>521839</v>
      </c>
      <c r="O18" s="29">
        <v>0</v>
      </c>
      <c r="P18" s="30">
        <f t="shared" si="1"/>
        <v>521839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24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6</v>
      </c>
      <c r="M19" s="29">
        <v>0</v>
      </c>
      <c r="N19" s="30">
        <f t="shared" si="0"/>
        <v>30</v>
      </c>
      <c r="O19" s="29">
        <v>0</v>
      </c>
      <c r="P19" s="30">
        <f t="shared" si="1"/>
        <v>30</v>
      </c>
    </row>
    <row r="20" spans="1:16" ht="15" customHeight="1">
      <c r="A20" s="11" t="s">
        <v>44</v>
      </c>
      <c r="B20" s="12" t="s">
        <v>45</v>
      </c>
      <c r="C20" s="29">
        <v>1957311</v>
      </c>
      <c r="D20" s="29">
        <v>125756</v>
      </c>
      <c r="E20" s="29">
        <v>129729</v>
      </c>
      <c r="F20" s="29">
        <v>5687</v>
      </c>
      <c r="G20" s="29">
        <v>33398</v>
      </c>
      <c r="H20" s="29">
        <v>0</v>
      </c>
      <c r="I20" s="29">
        <v>812</v>
      </c>
      <c r="J20" s="29">
        <v>12744</v>
      </c>
      <c r="K20" s="29">
        <v>2492</v>
      </c>
      <c r="L20" s="29">
        <v>1307892</v>
      </c>
      <c r="M20" s="29">
        <v>119384</v>
      </c>
      <c r="N20" s="30">
        <f t="shared" si="0"/>
        <v>3695205</v>
      </c>
      <c r="O20" s="29">
        <v>54556</v>
      </c>
      <c r="P20" s="30">
        <f t="shared" si="1"/>
        <v>3749761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11406</v>
      </c>
      <c r="E21" s="29">
        <v>67</v>
      </c>
      <c r="F21" s="29">
        <v>0</v>
      </c>
      <c r="G21" s="29">
        <v>426</v>
      </c>
      <c r="H21" s="29">
        <v>0</v>
      </c>
      <c r="I21" s="29">
        <v>5839</v>
      </c>
      <c r="J21" s="29">
        <v>776</v>
      </c>
      <c r="K21" s="29">
        <v>8013</v>
      </c>
      <c r="L21" s="29">
        <v>254938</v>
      </c>
      <c r="M21" s="29">
        <v>3168</v>
      </c>
      <c r="N21" s="30">
        <f t="shared" si="0"/>
        <v>284633</v>
      </c>
      <c r="O21" s="29">
        <v>12975</v>
      </c>
      <c r="P21" s="30">
        <f t="shared" si="1"/>
        <v>297608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153</v>
      </c>
      <c r="E22" s="29">
        <v>0</v>
      </c>
      <c r="F22" s="29">
        <v>0</v>
      </c>
      <c r="G22" s="29">
        <v>0</v>
      </c>
      <c r="H22" s="29">
        <v>0</v>
      </c>
      <c r="I22" s="29">
        <v>2046</v>
      </c>
      <c r="J22" s="29">
        <v>0</v>
      </c>
      <c r="K22" s="29">
        <v>0</v>
      </c>
      <c r="L22" s="29">
        <v>0</v>
      </c>
      <c r="M22" s="29">
        <v>6848</v>
      </c>
      <c r="N22" s="30">
        <f t="shared" si="0"/>
        <v>9047</v>
      </c>
      <c r="O22" s="29">
        <v>0</v>
      </c>
      <c r="P22" s="30">
        <f t="shared" si="1"/>
        <v>9047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79336</v>
      </c>
      <c r="J23" s="29">
        <v>0</v>
      </c>
      <c r="K23" s="29">
        <v>0</v>
      </c>
      <c r="L23" s="29">
        <v>5755</v>
      </c>
      <c r="M23" s="29">
        <v>0</v>
      </c>
      <c r="N23" s="30">
        <f t="shared" si="0"/>
        <v>85091</v>
      </c>
      <c r="O23" s="29">
        <v>215959</v>
      </c>
      <c r="P23" s="30">
        <f t="shared" si="1"/>
        <v>301050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4295</v>
      </c>
      <c r="E24" s="29">
        <v>1222</v>
      </c>
      <c r="F24" s="29">
        <v>0</v>
      </c>
      <c r="G24" s="29">
        <v>0</v>
      </c>
      <c r="H24" s="29">
        <v>0</v>
      </c>
      <c r="I24" s="29">
        <v>0</v>
      </c>
      <c r="J24" s="29">
        <v>3005</v>
      </c>
      <c r="K24" s="29">
        <v>137</v>
      </c>
      <c r="L24" s="29">
        <v>50944</v>
      </c>
      <c r="M24" s="29">
        <v>24962</v>
      </c>
      <c r="N24" s="30">
        <f t="shared" si="0"/>
        <v>84565</v>
      </c>
      <c r="O24" s="29">
        <v>149577</v>
      </c>
      <c r="P24" s="30">
        <f t="shared" si="1"/>
        <v>234142</v>
      </c>
    </row>
    <row r="25" spans="1:16" ht="15" customHeight="1">
      <c r="A25" s="11" t="s">
        <v>54</v>
      </c>
      <c r="B25" s="12" t="s">
        <v>55</v>
      </c>
      <c r="C25" s="29">
        <v>194</v>
      </c>
      <c r="D25" s="29">
        <v>11776</v>
      </c>
      <c r="E25" s="29">
        <v>1102</v>
      </c>
      <c r="F25" s="29">
        <v>102</v>
      </c>
      <c r="G25" s="29">
        <v>361</v>
      </c>
      <c r="H25" s="29">
        <v>10</v>
      </c>
      <c r="I25" s="29">
        <v>129</v>
      </c>
      <c r="J25" s="29">
        <v>4534</v>
      </c>
      <c r="K25" s="29">
        <v>88</v>
      </c>
      <c r="L25" s="29">
        <v>10167</v>
      </c>
      <c r="M25" s="29">
        <v>1409</v>
      </c>
      <c r="N25" s="30">
        <f t="shared" si="0"/>
        <v>29872</v>
      </c>
      <c r="O25" s="29">
        <v>4360</v>
      </c>
      <c r="P25" s="30">
        <f t="shared" si="1"/>
        <v>34232</v>
      </c>
    </row>
    <row r="26" spans="1:16" ht="15" customHeight="1">
      <c r="A26" s="11" t="s">
        <v>56</v>
      </c>
      <c r="B26" s="12" t="s">
        <v>57</v>
      </c>
      <c r="C26" s="29">
        <v>6</v>
      </c>
      <c r="D26" s="29">
        <v>6270</v>
      </c>
      <c r="E26" s="29">
        <v>256</v>
      </c>
      <c r="F26" s="29">
        <v>13</v>
      </c>
      <c r="G26" s="29">
        <v>134</v>
      </c>
      <c r="H26" s="29">
        <v>78</v>
      </c>
      <c r="I26" s="29">
        <v>104</v>
      </c>
      <c r="J26" s="29">
        <v>18221</v>
      </c>
      <c r="K26" s="29">
        <v>12</v>
      </c>
      <c r="L26" s="29">
        <v>4911</v>
      </c>
      <c r="M26" s="29">
        <v>1351</v>
      </c>
      <c r="N26" s="30">
        <f t="shared" si="0"/>
        <v>31356</v>
      </c>
      <c r="O26" s="29">
        <v>484</v>
      </c>
      <c r="P26" s="30">
        <f t="shared" si="1"/>
        <v>31840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54</v>
      </c>
      <c r="E27" s="29">
        <v>1</v>
      </c>
      <c r="F27" s="29">
        <v>0</v>
      </c>
      <c r="G27" s="29">
        <v>0</v>
      </c>
      <c r="H27" s="29">
        <v>0</v>
      </c>
      <c r="I27" s="29">
        <v>0</v>
      </c>
      <c r="J27" s="29">
        <v>964</v>
      </c>
      <c r="K27" s="29">
        <v>0</v>
      </c>
      <c r="L27" s="29">
        <v>18</v>
      </c>
      <c r="M27" s="29">
        <v>0</v>
      </c>
      <c r="N27" s="30">
        <f t="shared" si="0"/>
        <v>1037</v>
      </c>
      <c r="O27" s="29">
        <v>0</v>
      </c>
      <c r="P27" s="30">
        <f t="shared" si="1"/>
        <v>1037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6</v>
      </c>
      <c r="E28" s="29">
        <v>0</v>
      </c>
      <c r="F28" s="29">
        <v>0</v>
      </c>
      <c r="G28" s="29">
        <v>0</v>
      </c>
      <c r="H28" s="29">
        <v>0</v>
      </c>
      <c r="I28" s="29">
        <v>15</v>
      </c>
      <c r="J28" s="29">
        <v>363</v>
      </c>
      <c r="K28" s="29">
        <v>0</v>
      </c>
      <c r="L28" s="29">
        <v>80</v>
      </c>
      <c r="M28" s="29">
        <v>1</v>
      </c>
      <c r="N28" s="30">
        <f t="shared" si="0"/>
        <v>465</v>
      </c>
      <c r="O28" s="29">
        <v>0</v>
      </c>
      <c r="P28" s="30">
        <f t="shared" si="1"/>
        <v>465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195</v>
      </c>
      <c r="K29" s="29">
        <v>0</v>
      </c>
      <c r="L29" s="29">
        <v>112</v>
      </c>
      <c r="M29" s="29">
        <v>17824</v>
      </c>
      <c r="N29" s="30">
        <f t="shared" si="0"/>
        <v>18131</v>
      </c>
      <c r="O29" s="29">
        <v>0</v>
      </c>
      <c r="P29" s="30">
        <f t="shared" si="1"/>
        <v>18131</v>
      </c>
    </row>
    <row r="30" spans="1:16" ht="15" customHeight="1">
      <c r="A30" s="11" t="s">
        <v>64</v>
      </c>
      <c r="B30" s="12" t="s">
        <v>65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6</v>
      </c>
      <c r="M30" s="29">
        <v>0</v>
      </c>
      <c r="N30" s="30">
        <f t="shared" si="0"/>
        <v>6</v>
      </c>
      <c r="O30" s="29">
        <v>0</v>
      </c>
      <c r="P30" s="30">
        <f t="shared" si="1"/>
        <v>6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30">
        <f t="shared" si="0"/>
        <v>0</v>
      </c>
      <c r="O31" s="29">
        <v>0</v>
      </c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5934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72047</v>
      </c>
      <c r="K32" s="29">
        <v>0</v>
      </c>
      <c r="L32" s="29">
        <v>45880</v>
      </c>
      <c r="M32" s="29">
        <v>6300</v>
      </c>
      <c r="N32" s="30">
        <f t="shared" si="0"/>
        <v>130161</v>
      </c>
      <c r="O32" s="29">
        <v>0</v>
      </c>
      <c r="P32" s="30">
        <f t="shared" si="1"/>
        <v>130161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17171</v>
      </c>
      <c r="K33" s="29">
        <v>0</v>
      </c>
      <c r="L33" s="29">
        <v>0</v>
      </c>
      <c r="M33" s="29">
        <v>0</v>
      </c>
      <c r="N33" s="30">
        <f t="shared" si="0"/>
        <v>17171</v>
      </c>
      <c r="O33" s="29">
        <v>0</v>
      </c>
      <c r="P33" s="30">
        <f t="shared" si="1"/>
        <v>17171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15</v>
      </c>
      <c r="D35" s="29">
        <v>187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7521</v>
      </c>
      <c r="K35" s="29">
        <v>0</v>
      </c>
      <c r="L35" s="29">
        <v>331</v>
      </c>
      <c r="M35" s="29">
        <v>0</v>
      </c>
      <c r="N35" s="30">
        <f t="shared" si="0"/>
        <v>8054</v>
      </c>
      <c r="O35" s="29">
        <v>0</v>
      </c>
      <c r="P35" s="30">
        <f t="shared" si="1"/>
        <v>8054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8812</v>
      </c>
      <c r="K36" s="29">
        <v>0</v>
      </c>
      <c r="L36" s="29">
        <v>24250</v>
      </c>
      <c r="M36" s="29">
        <v>57827</v>
      </c>
      <c r="N36" s="30">
        <f t="shared" si="0"/>
        <v>90889</v>
      </c>
      <c r="O36" s="29">
        <v>0</v>
      </c>
      <c r="P36" s="30">
        <f t="shared" si="1"/>
        <v>90889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2831</v>
      </c>
      <c r="K37" s="29">
        <v>0</v>
      </c>
      <c r="L37" s="29">
        <v>616</v>
      </c>
      <c r="M37" s="29">
        <v>0</v>
      </c>
      <c r="N37" s="30">
        <f t="shared" si="0"/>
        <v>3447</v>
      </c>
      <c r="O37" s="29">
        <v>0</v>
      </c>
      <c r="P37" s="30">
        <f t="shared" si="1"/>
        <v>3447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42</v>
      </c>
      <c r="K38" s="29">
        <v>0</v>
      </c>
      <c r="L38" s="29">
        <v>0</v>
      </c>
      <c r="M38" s="29">
        <v>0</v>
      </c>
      <c r="N38" s="30">
        <f t="shared" si="0"/>
        <v>42</v>
      </c>
      <c r="O38" s="29">
        <v>0</v>
      </c>
      <c r="P38" s="30">
        <f t="shared" si="1"/>
        <v>42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10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0</v>
      </c>
      <c r="K39" s="29">
        <v>0</v>
      </c>
      <c r="L39" s="29">
        <v>12420</v>
      </c>
      <c r="M39" s="29">
        <v>0</v>
      </c>
      <c r="N39" s="30">
        <f t="shared" si="0"/>
        <v>12430</v>
      </c>
      <c r="O39" s="29">
        <v>0</v>
      </c>
      <c r="P39" s="30">
        <f t="shared" si="1"/>
        <v>12430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2878533</v>
      </c>
      <c r="D43" s="31">
        <f t="shared" si="2"/>
        <v>392970</v>
      </c>
      <c r="E43" s="31">
        <f t="shared" si="2"/>
        <v>137436</v>
      </c>
      <c r="F43" s="31">
        <f t="shared" si="2"/>
        <v>5802</v>
      </c>
      <c r="G43" s="31">
        <f t="shared" si="2"/>
        <v>34401</v>
      </c>
      <c r="H43" s="31">
        <f t="shared" si="2"/>
        <v>510046</v>
      </c>
      <c r="I43" s="31">
        <f t="shared" si="2"/>
        <v>88281</v>
      </c>
      <c r="J43" s="31">
        <f t="shared" si="2"/>
        <v>171686</v>
      </c>
      <c r="K43" s="31">
        <f t="shared" si="2"/>
        <v>20036</v>
      </c>
      <c r="L43" s="31">
        <f t="shared" si="2"/>
        <v>2290914</v>
      </c>
      <c r="M43" s="31">
        <f t="shared" si="2"/>
        <v>266076</v>
      </c>
      <c r="N43" s="31">
        <f t="shared" si="2"/>
        <v>6796181</v>
      </c>
      <c r="O43" s="31">
        <f t="shared" si="2"/>
        <v>437911</v>
      </c>
      <c r="P43" s="31">
        <f t="shared" si="2"/>
        <v>7234092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2017-06-06T15:20:05Z</dcterms:modified>
</cp:coreProperties>
</file>